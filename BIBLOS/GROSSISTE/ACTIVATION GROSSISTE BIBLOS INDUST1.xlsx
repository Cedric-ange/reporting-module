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BLOS\GROSSISTE\"/>
    </mc:Choice>
  </mc:AlternateContent>
  <xr:revisionPtr revIDLastSave="0" documentId="13_ncr:1_{99F8CD0E-96E7-48F6-AB6F-CA7A28B9D8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Print_Area" localSheetId="0">Feuil1!$A$1:$AC$14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14" i="1" l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EG9" i="1"/>
  <c r="EJ14" i="1" l="1"/>
  <c r="EK14" i="1"/>
  <c r="EM14" i="1"/>
  <c r="EH14" i="1"/>
  <c r="EI14" i="1"/>
  <c r="EL14" i="1"/>
  <c r="DY14" i="1" l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J14" i="1"/>
  <c r="DI14" i="1"/>
  <c r="DH14" i="1"/>
  <c r="DG14" i="1"/>
  <c r="EF13" i="1"/>
  <c r="EE13" i="1"/>
  <c r="EC13" i="1"/>
  <c r="EB13" i="1"/>
  <c r="EA13" i="1"/>
  <c r="DZ13" i="1"/>
  <c r="EF12" i="1"/>
  <c r="EE12" i="1"/>
  <c r="EC12" i="1"/>
  <c r="EB12" i="1"/>
  <c r="EA12" i="1"/>
  <c r="DZ12" i="1"/>
  <c r="EF11" i="1"/>
  <c r="EE11" i="1"/>
  <c r="EC11" i="1"/>
  <c r="EB11" i="1"/>
  <c r="EA11" i="1"/>
  <c r="DZ11" i="1"/>
  <c r="EF10" i="1"/>
  <c r="EE10" i="1"/>
  <c r="EC10" i="1"/>
  <c r="EB10" i="1"/>
  <c r="EA10" i="1"/>
  <c r="DZ10" i="1"/>
  <c r="EF9" i="1"/>
  <c r="EE9" i="1"/>
  <c r="EC9" i="1"/>
  <c r="EB9" i="1"/>
  <c r="EA9" i="1"/>
  <c r="DZ9" i="1"/>
  <c r="CY14" i="1"/>
  <c r="CX14" i="1"/>
  <c r="CW14" i="1"/>
  <c r="CV14" i="1"/>
  <c r="CU14" i="1"/>
  <c r="CT14" i="1"/>
  <c r="CR14" i="1"/>
  <c r="CQ14" i="1"/>
  <c r="CP14" i="1"/>
  <c r="CO14" i="1"/>
  <c r="CN14" i="1"/>
  <c r="CM14" i="1"/>
  <c r="CL14" i="1"/>
  <c r="CK14" i="1"/>
  <c r="CI14" i="1"/>
  <c r="CH14" i="1"/>
  <c r="CG14" i="1"/>
  <c r="CF14" i="1"/>
  <c r="DF13" i="1"/>
  <c r="DE13" i="1"/>
  <c r="DC13" i="1"/>
  <c r="DB13" i="1"/>
  <c r="DA13" i="1"/>
  <c r="CZ13" i="1"/>
  <c r="DF12" i="1"/>
  <c r="DE12" i="1"/>
  <c r="DC12" i="1"/>
  <c r="DB12" i="1"/>
  <c r="DA12" i="1"/>
  <c r="CZ12" i="1"/>
  <c r="DF11" i="1"/>
  <c r="DE11" i="1"/>
  <c r="DC11" i="1"/>
  <c r="DB11" i="1"/>
  <c r="DA11" i="1"/>
  <c r="CZ11" i="1"/>
  <c r="DF10" i="1"/>
  <c r="DE10" i="1"/>
  <c r="DC10" i="1"/>
  <c r="DB10" i="1"/>
  <c r="DA10" i="1"/>
  <c r="CZ10" i="1"/>
  <c r="DF9" i="1"/>
  <c r="DE9" i="1"/>
  <c r="DC9" i="1"/>
  <c r="DB9" i="1"/>
  <c r="DA9" i="1"/>
  <c r="CZ9" i="1"/>
  <c r="DF14" i="1" l="1"/>
  <c r="EC14" i="1"/>
  <c r="DB14" i="1"/>
  <c r="DC14" i="1"/>
  <c r="CZ14" i="1"/>
  <c r="EA14" i="1"/>
  <c r="EE14" i="1"/>
  <c r="DZ14" i="1"/>
  <c r="DA14" i="1"/>
  <c r="DE14" i="1"/>
  <c r="EB14" i="1"/>
  <c r="EF14" i="1"/>
  <c r="EO14" i="1"/>
  <c r="AK14" i="1"/>
  <c r="AL14" i="1"/>
  <c r="BL14" i="1"/>
  <c r="BM14" i="1"/>
  <c r="J14" i="1"/>
  <c r="K14" i="1"/>
  <c r="BX14" i="1"/>
  <c r="BW14" i="1"/>
  <c r="BV14" i="1"/>
  <c r="BU14" i="1"/>
  <c r="BT14" i="1"/>
  <c r="BS14" i="1"/>
  <c r="BQ14" i="1"/>
  <c r="BP14" i="1"/>
  <c r="BO14" i="1"/>
  <c r="BN14" i="1"/>
  <c r="BK14" i="1"/>
  <c r="BJ14" i="1"/>
  <c r="BH14" i="1"/>
  <c r="BG14" i="1"/>
  <c r="BF14" i="1"/>
  <c r="BE14" i="1"/>
  <c r="CE13" i="1"/>
  <c r="CD13" i="1"/>
  <c r="CB13" i="1"/>
  <c r="CA13" i="1"/>
  <c r="BZ13" i="1"/>
  <c r="BY13" i="1"/>
  <c r="CE12" i="1"/>
  <c r="CD12" i="1"/>
  <c r="CB12" i="1"/>
  <c r="CA12" i="1"/>
  <c r="BZ12" i="1"/>
  <c r="BY12" i="1"/>
  <c r="CE11" i="1"/>
  <c r="CD11" i="1"/>
  <c r="CB11" i="1"/>
  <c r="CA11" i="1"/>
  <c r="BZ11" i="1"/>
  <c r="BY11" i="1"/>
  <c r="CE10" i="1"/>
  <c r="CD10" i="1"/>
  <c r="CB10" i="1"/>
  <c r="CA10" i="1"/>
  <c r="BZ10" i="1"/>
  <c r="BY10" i="1"/>
  <c r="CE9" i="1"/>
  <c r="CD9" i="1"/>
  <c r="CB9" i="1"/>
  <c r="CA9" i="1"/>
  <c r="BZ9" i="1"/>
  <c r="BY9" i="1"/>
  <c r="EN14" i="1" l="1"/>
  <c r="CB14" i="1"/>
  <c r="BY14" i="1"/>
  <c r="BZ14" i="1"/>
  <c r="CD14" i="1"/>
  <c r="CA14" i="1"/>
  <c r="CE14" i="1"/>
  <c r="FB10" i="1"/>
  <c r="FF10" i="1"/>
  <c r="FC11" i="1"/>
  <c r="FG11" i="1"/>
  <c r="ES14" i="1"/>
  <c r="FC9" i="1"/>
  <c r="FF9" i="1"/>
  <c r="EV14" i="1"/>
  <c r="FD11" i="1"/>
  <c r="FA12" i="1"/>
  <c r="FB13" i="1"/>
  <c r="EG14" i="1"/>
  <c r="EQ14" i="1"/>
  <c r="FG13" i="1"/>
  <c r="FD13" i="1"/>
  <c r="FC13" i="1"/>
  <c r="FA13" i="1"/>
  <c r="FC12" i="1"/>
  <c r="FB12" i="1"/>
  <c r="FF11" i="1"/>
  <c r="FB11" i="1"/>
  <c r="FG10" i="1"/>
  <c r="FD10" i="1"/>
  <c r="FC10" i="1"/>
  <c r="FA10" i="1"/>
  <c r="FD9" i="1"/>
  <c r="FB9" i="1"/>
  <c r="AW14" i="1"/>
  <c r="AV14" i="1"/>
  <c r="AU14" i="1"/>
  <c r="AT14" i="1"/>
  <c r="AS14" i="1"/>
  <c r="AR14" i="1"/>
  <c r="AP14" i="1"/>
  <c r="AO14" i="1"/>
  <c r="AN14" i="1"/>
  <c r="AM14" i="1"/>
  <c r="AJ14" i="1"/>
  <c r="AI14" i="1"/>
  <c r="AG14" i="1"/>
  <c r="AF14" i="1"/>
  <c r="AE14" i="1"/>
  <c r="AD14" i="1"/>
  <c r="BD13" i="1"/>
  <c r="BC13" i="1"/>
  <c r="BA13" i="1"/>
  <c r="AZ13" i="1"/>
  <c r="AY13" i="1"/>
  <c r="AX13" i="1"/>
  <c r="BD12" i="1"/>
  <c r="BC12" i="1"/>
  <c r="BA12" i="1"/>
  <c r="AZ12" i="1"/>
  <c r="AY12" i="1"/>
  <c r="AX12" i="1"/>
  <c r="BD11" i="1"/>
  <c r="BC11" i="1"/>
  <c r="BA11" i="1"/>
  <c r="AZ11" i="1"/>
  <c r="AY11" i="1"/>
  <c r="AX11" i="1"/>
  <c r="BD10" i="1"/>
  <c r="BC10" i="1"/>
  <c r="BA10" i="1"/>
  <c r="AZ10" i="1"/>
  <c r="AY10" i="1"/>
  <c r="AX10" i="1"/>
  <c r="BD9" i="1"/>
  <c r="BC9" i="1"/>
  <c r="BA9" i="1"/>
  <c r="AZ9" i="1"/>
  <c r="AY9" i="1"/>
  <c r="AX9" i="1"/>
  <c r="W10" i="1"/>
  <c r="X10" i="1"/>
  <c r="Y10" i="1"/>
  <c r="Z10" i="1"/>
  <c r="AB10" i="1"/>
  <c r="AC10" i="1"/>
  <c r="W11" i="1"/>
  <c r="X11" i="1"/>
  <c r="Y11" i="1"/>
  <c r="Z11" i="1"/>
  <c r="AB11" i="1"/>
  <c r="AC11" i="1"/>
  <c r="W12" i="1"/>
  <c r="X12" i="1"/>
  <c r="Y12" i="1"/>
  <c r="Z12" i="1"/>
  <c r="AB12" i="1"/>
  <c r="AC12" i="1"/>
  <c r="W13" i="1"/>
  <c r="X13" i="1"/>
  <c r="Y13" i="1"/>
  <c r="Z13" i="1"/>
  <c r="AB13" i="1"/>
  <c r="AC13" i="1"/>
  <c r="X9" i="1"/>
  <c r="Y9" i="1"/>
  <c r="Z9" i="1"/>
  <c r="AB9" i="1"/>
  <c r="AC9" i="1"/>
  <c r="W9" i="1"/>
  <c r="U14" i="1"/>
  <c r="T14" i="1"/>
  <c r="V14" i="1"/>
  <c r="S14" i="1"/>
  <c r="R14" i="1"/>
  <c r="Q14" i="1"/>
  <c r="O14" i="1"/>
  <c r="N14" i="1"/>
  <c r="M14" i="1"/>
  <c r="L14" i="1"/>
  <c r="AZ14" i="1" l="1"/>
  <c r="BD14" i="1"/>
  <c r="BA14" i="1"/>
  <c r="EP14" i="1"/>
  <c r="FA14" i="1" s="1"/>
  <c r="ER14" i="1"/>
  <c r="FC14" i="1" s="1"/>
  <c r="FG12" i="1"/>
  <c r="AX14" i="1"/>
  <c r="FD12" i="1"/>
  <c r="FB14" i="1"/>
  <c r="EX14" i="1"/>
  <c r="EY14" i="1"/>
  <c r="FA11" i="1"/>
  <c r="AY14" i="1"/>
  <c r="BC14" i="1"/>
  <c r="FA9" i="1"/>
  <c r="FF13" i="1"/>
  <c r="EU14" i="1"/>
  <c r="FG9" i="1"/>
  <c r="FF12" i="1"/>
  <c r="EW14" i="1"/>
  <c r="EZ14" i="1"/>
  <c r="FD14" i="1"/>
  <c r="FG14" i="1"/>
  <c r="C14" i="1"/>
  <c r="W14" i="1" s="1"/>
  <c r="E14" i="1"/>
  <c r="Y14" i="1" s="1"/>
  <c r="F14" i="1"/>
  <c r="Z14" i="1" s="1"/>
  <c r="H14" i="1"/>
  <c r="AB14" i="1" s="1"/>
  <c r="I14" i="1"/>
  <c r="AC14" i="1" s="1"/>
  <c r="D14" i="1"/>
  <c r="X14" i="1" s="1"/>
  <c r="FF14" i="1" l="1"/>
</calcChain>
</file>

<file path=xl/sharedStrings.xml><?xml version="1.0" encoding="utf-8"?>
<sst xmlns="http://schemas.openxmlformats.org/spreadsheetml/2006/main" count="238" uniqueCount="35">
  <si>
    <t>TOTAL</t>
  </si>
  <si>
    <t>Taux de réalisation</t>
  </si>
  <si>
    <t>REPORTING DES VENTES JOURNALIERES</t>
  </si>
  <si>
    <t>VILLE</t>
  </si>
  <si>
    <t>GROSSISTE</t>
  </si>
  <si>
    <t>BONDOUKOU</t>
  </si>
  <si>
    <t>ABENGOUROU</t>
  </si>
  <si>
    <t>BOUAFLE</t>
  </si>
  <si>
    <t>BOUAKE</t>
  </si>
  <si>
    <t>KORHOGO</t>
  </si>
  <si>
    <t>Lait</t>
  </si>
  <si>
    <t>16G</t>
  </si>
  <si>
    <t>360G</t>
  </si>
  <si>
    <t>900G</t>
  </si>
  <si>
    <t>Flocon d'avoine</t>
  </si>
  <si>
    <t>50G</t>
  </si>
  <si>
    <t>400G</t>
  </si>
  <si>
    <t>Lait 16G</t>
  </si>
  <si>
    <t>Lait 900G</t>
  </si>
  <si>
    <t>Flocon d'avoine 50g</t>
  </si>
  <si>
    <t>Objectif de vente (carton)</t>
  </si>
  <si>
    <t>Réalisation (carton)</t>
  </si>
  <si>
    <t>Gratuit (chapelet &amp; sachet)</t>
  </si>
  <si>
    <t>Affiche</t>
  </si>
  <si>
    <t>TAHIROU AMADOU</t>
  </si>
  <si>
    <t>DISTRIBAF</t>
  </si>
  <si>
    <t>ETS KONE &amp; FRERE</t>
  </si>
  <si>
    <t>ETS SABAH SOUHEIL</t>
  </si>
  <si>
    <t>SODIAMA</t>
  </si>
  <si>
    <t>ACTIVATION  GROSSISTES LAIT ET FLOCON D'AVOINE BIBLOS</t>
  </si>
  <si>
    <t>personnes approchées</t>
  </si>
  <si>
    <t>Client acheteur</t>
  </si>
  <si>
    <t>,,</t>
  </si>
  <si>
    <t>25KG Excell</t>
  </si>
  <si>
    <t>25KG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</si>
</sst>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ndara"/>
      <family val="2"/>
    </font>
    <font>
      <b/>
      <sz val="12"/>
      <name val="Candara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Candara"/>
      <family val="2"/>
    </font>
    <font>
      <sz val="12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65">
    <xf numFmtId="0" fontId="0" fillId="0" borderId="0" xfId="0"/>
    <xf numFmtId="0" fontId="1" fillId="0" borderId="0" xfId="0" applyFont="1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left" vertical="center"/>
    </xf>
    <xf numFmtId="9" fontId="8" fillId="3" borderId="15" xfId="1" applyFont="1" applyFill="1" applyBorder="1" applyAlignment="1">
      <alignment horizontal="center" vertical="center"/>
    </xf>
    <xf numFmtId="9" fontId="8" fillId="3" borderId="16" xfId="1" applyFont="1" applyFill="1" applyBorder="1" applyAlignment="1">
      <alignment horizontal="center" vertical="center"/>
    </xf>
    <xf numFmtId="9" fontId="8" fillId="3" borderId="17" xfId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9" fontId="6" fillId="5" borderId="27" xfId="1" applyFont="1" applyFill="1" applyBorder="1" applyAlignment="1">
      <alignment horizontal="center" vertical="center"/>
    </xf>
    <xf numFmtId="9" fontId="6" fillId="5" borderId="28" xfId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9" fontId="6" fillId="5" borderId="9" xfId="1" applyFont="1" applyFill="1" applyBorder="1" applyAlignment="1">
      <alignment horizontal="center" vertical="center"/>
    </xf>
    <xf numFmtId="9" fontId="6" fillId="5" borderId="10" xfId="1" applyFont="1" applyFill="1" applyBorder="1" applyAlignment="1">
      <alignment horizontal="center" vertical="center"/>
    </xf>
    <xf numFmtId="9" fontId="6" fillId="5" borderId="11" xfId="1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9" fontId="6" fillId="5" borderId="23" xfId="1" applyFont="1" applyFill="1" applyBorder="1" applyAlignment="1">
      <alignment horizontal="center" vertical="center"/>
    </xf>
    <xf numFmtId="9" fontId="6" fillId="5" borderId="24" xfId="1" applyFont="1" applyFill="1" applyBorder="1" applyAlignment="1">
      <alignment horizontal="center" vertical="center"/>
    </xf>
    <xf numFmtId="9" fontId="6" fillId="5" borderId="25" xfId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9" fontId="6" fillId="4" borderId="27" xfId="1" applyFont="1" applyFill="1" applyBorder="1" applyAlignment="1">
      <alignment horizontal="center" vertical="center"/>
    </xf>
    <xf numFmtId="9" fontId="6" fillId="4" borderId="28" xfId="1" applyFont="1" applyFill="1" applyBorder="1" applyAlignment="1">
      <alignment horizontal="center" vertical="center"/>
    </xf>
    <xf numFmtId="9" fontId="6" fillId="4" borderId="26" xfId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9" fontId="6" fillId="4" borderId="9" xfId="1" applyFont="1" applyFill="1" applyBorder="1" applyAlignment="1">
      <alignment horizontal="center" vertical="center"/>
    </xf>
    <xf numFmtId="9" fontId="6" fillId="4" borderId="10" xfId="1" applyFont="1" applyFill="1" applyBorder="1" applyAlignment="1">
      <alignment horizontal="center" vertical="center"/>
    </xf>
    <xf numFmtId="9" fontId="6" fillId="4" borderId="11" xfId="1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9" fontId="6" fillId="4" borderId="23" xfId="1" applyFont="1" applyFill="1" applyBorder="1" applyAlignment="1">
      <alignment horizontal="center" vertical="center"/>
    </xf>
    <xf numFmtId="9" fontId="6" fillId="4" borderId="24" xfId="1" applyFont="1" applyFill="1" applyBorder="1" applyAlignment="1">
      <alignment horizontal="center" vertical="center"/>
    </xf>
    <xf numFmtId="9" fontId="6" fillId="4" borderId="25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9" fontId="14" fillId="3" borderId="27" xfId="1" applyFont="1" applyFill="1" applyBorder="1" applyAlignment="1">
      <alignment horizontal="center" vertical="center"/>
    </xf>
    <xf numFmtId="9" fontId="14" fillId="3" borderId="28" xfId="1" applyFont="1" applyFill="1" applyBorder="1" applyAlignment="1">
      <alignment horizontal="center" vertical="center"/>
    </xf>
    <xf numFmtId="9" fontId="14" fillId="3" borderId="26" xfId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9" fontId="14" fillId="3" borderId="9" xfId="1" applyFont="1" applyFill="1" applyBorder="1" applyAlignment="1">
      <alignment horizontal="center" vertical="center"/>
    </xf>
    <xf numFmtId="9" fontId="14" fillId="3" borderId="10" xfId="1" applyFont="1" applyFill="1" applyBorder="1" applyAlignment="1">
      <alignment horizontal="center" vertical="center"/>
    </xf>
    <xf numFmtId="9" fontId="14" fillId="3" borderId="11" xfId="1" applyFont="1" applyFill="1" applyBorder="1" applyAlignment="1">
      <alignment horizontal="center" vertical="center"/>
    </xf>
    <xf numFmtId="9" fontId="14" fillId="3" borderId="23" xfId="1" applyFont="1" applyFill="1" applyBorder="1" applyAlignment="1">
      <alignment horizontal="center" vertical="center"/>
    </xf>
    <xf numFmtId="9" fontId="14" fillId="3" borderId="24" xfId="1" applyFont="1" applyFill="1" applyBorder="1" applyAlignment="1">
      <alignment horizontal="center" vertical="center"/>
    </xf>
    <xf numFmtId="9" fontId="14" fillId="3" borderId="25" xfId="1" applyFont="1" applyFill="1" applyBorder="1" applyAlignment="1">
      <alignment horizontal="center" vertical="center"/>
    </xf>
    <xf numFmtId="9" fontId="6" fillId="5" borderId="8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41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6" fillId="5" borderId="27" xfId="1" applyNumberFormat="1" applyFont="1" applyFill="1" applyBorder="1" applyAlignment="1">
      <alignment horizontal="center" vertical="center"/>
    </xf>
    <xf numFmtId="0" fontId="6" fillId="5" borderId="26" xfId="1" applyNumberFormat="1" applyFont="1" applyFill="1" applyBorder="1" applyAlignment="1">
      <alignment horizontal="center" vertical="center"/>
    </xf>
    <xf numFmtId="0" fontId="6" fillId="5" borderId="9" xfId="1" applyNumberFormat="1" applyFont="1" applyFill="1" applyBorder="1" applyAlignment="1">
      <alignment horizontal="center" vertical="center"/>
    </xf>
    <xf numFmtId="0" fontId="6" fillId="5" borderId="11" xfId="1" applyNumberFormat="1" applyFont="1" applyFill="1" applyBorder="1" applyAlignment="1">
      <alignment horizontal="center" vertical="center"/>
    </xf>
    <xf numFmtId="0" fontId="6" fillId="5" borderId="23" xfId="1" applyNumberFormat="1" applyFont="1" applyFill="1" applyBorder="1" applyAlignment="1">
      <alignment horizontal="center" vertical="center"/>
    </xf>
    <xf numFmtId="0" fontId="6" fillId="5" borderId="25" xfId="1" applyNumberFormat="1" applyFont="1" applyFill="1" applyBorder="1" applyAlignment="1">
      <alignment horizontal="center" vertical="center"/>
    </xf>
    <xf numFmtId="0" fontId="8" fillId="2" borderId="15" xfId="1" applyNumberFormat="1" applyFont="1" applyFill="1" applyBorder="1" applyAlignment="1">
      <alignment horizontal="center" vertical="center"/>
    </xf>
    <xf numFmtId="0" fontId="8" fillId="2" borderId="17" xfId="1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6" borderId="15" xfId="1" applyNumberFormat="1" applyFont="1" applyFill="1" applyBorder="1" applyAlignment="1">
      <alignment horizontal="center" vertical="center"/>
    </xf>
    <xf numFmtId="0" fontId="8" fillId="6" borderId="17" xfId="1" applyNumberFormat="1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40" xfId="0" applyFont="1" applyFill="1" applyBorder="1" applyAlignment="1">
      <alignment horizontal="center" vertical="center"/>
    </xf>
    <xf numFmtId="9" fontId="8" fillId="6" borderId="15" xfId="1" applyFont="1" applyFill="1" applyBorder="1" applyAlignment="1">
      <alignment horizontal="center" vertical="center"/>
    </xf>
    <xf numFmtId="9" fontId="8" fillId="6" borderId="16" xfId="1" applyFont="1" applyFill="1" applyBorder="1" applyAlignment="1">
      <alignment horizontal="center" vertical="center"/>
    </xf>
    <xf numFmtId="9" fontId="8" fillId="6" borderId="17" xfId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27" xfId="1" applyNumberFormat="1" applyFont="1" applyFill="1" applyBorder="1" applyAlignment="1">
      <alignment horizontal="center" vertical="center"/>
    </xf>
    <xf numFmtId="0" fontId="6" fillId="7" borderId="26" xfId="1" applyNumberFormat="1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9" fontId="6" fillId="7" borderId="27" xfId="1" applyFont="1" applyFill="1" applyBorder="1" applyAlignment="1">
      <alignment horizontal="center" vertical="center"/>
    </xf>
    <xf numFmtId="9" fontId="6" fillId="7" borderId="28" xfId="1" applyFont="1" applyFill="1" applyBorder="1" applyAlignment="1">
      <alignment horizontal="center" vertical="center"/>
    </xf>
    <xf numFmtId="9" fontId="6" fillId="7" borderId="8" xfId="1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9" xfId="1" applyNumberFormat="1" applyFont="1" applyFill="1" applyBorder="1" applyAlignment="1">
      <alignment horizontal="center" vertical="center"/>
    </xf>
    <xf numFmtId="0" fontId="6" fillId="7" borderId="11" xfId="1" applyNumberFormat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9" fontId="6" fillId="7" borderId="9" xfId="1" applyFont="1" applyFill="1" applyBorder="1" applyAlignment="1">
      <alignment horizontal="center" vertical="center"/>
    </xf>
    <xf numFmtId="9" fontId="6" fillId="7" borderId="10" xfId="1" applyFont="1" applyFill="1" applyBorder="1" applyAlignment="1">
      <alignment horizontal="center" vertical="center"/>
    </xf>
    <xf numFmtId="9" fontId="6" fillId="7" borderId="11" xfId="1" applyFont="1" applyFill="1" applyBorder="1" applyAlignment="1">
      <alignment horizontal="center" vertical="center"/>
    </xf>
    <xf numFmtId="0" fontId="6" fillId="7" borderId="23" xfId="1" applyNumberFormat="1" applyFont="1" applyFill="1" applyBorder="1" applyAlignment="1">
      <alignment horizontal="center" vertical="center"/>
    </xf>
    <xf numFmtId="0" fontId="6" fillId="7" borderId="25" xfId="1" applyNumberFormat="1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9" fontId="6" fillId="7" borderId="23" xfId="1" applyFont="1" applyFill="1" applyBorder="1" applyAlignment="1">
      <alignment horizontal="center" vertical="center"/>
    </xf>
    <xf numFmtId="9" fontId="6" fillId="7" borderId="24" xfId="1" applyFont="1" applyFill="1" applyBorder="1" applyAlignment="1">
      <alignment horizontal="center" vertical="center"/>
    </xf>
    <xf numFmtId="9" fontId="6" fillId="7" borderId="25" xfId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 wrapText="1"/>
    </xf>
    <xf numFmtId="14" fontId="5" fillId="4" borderId="5" xfId="0" applyNumberFormat="1" applyFont="1" applyFill="1" applyBorder="1" applyAlignment="1">
      <alignment horizontal="center"/>
    </xf>
    <xf numFmtId="14" fontId="5" fillId="4" borderId="18" xfId="0" applyNumberFormat="1" applyFont="1" applyFill="1" applyBorder="1" applyAlignment="1">
      <alignment horizontal="center"/>
    </xf>
    <xf numFmtId="14" fontId="5" fillId="4" borderId="19" xfId="0" applyNumberFormat="1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38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10" fillId="4" borderId="48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10" fillId="4" borderId="47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14" fontId="5" fillId="5" borderId="5" xfId="0" applyNumberFormat="1" applyFont="1" applyFill="1" applyBorder="1" applyAlignment="1">
      <alignment horizontal="center"/>
    </xf>
    <xf numFmtId="14" fontId="5" fillId="5" borderId="18" xfId="0" applyNumberFormat="1" applyFont="1" applyFill="1" applyBorder="1" applyAlignment="1">
      <alignment horizontal="center"/>
    </xf>
    <xf numFmtId="14" fontId="5" fillId="5" borderId="19" xfId="0" applyNumberFormat="1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43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7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38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14" fontId="5" fillId="7" borderId="5" xfId="0" applyNumberFormat="1" applyFont="1" applyFill="1" applyBorder="1" applyAlignment="1">
      <alignment horizontal="center"/>
    </xf>
    <xf numFmtId="14" fontId="5" fillId="7" borderId="18" xfId="0" applyNumberFormat="1" applyFont="1" applyFill="1" applyBorder="1" applyAlignment="1">
      <alignment horizontal="center"/>
    </xf>
    <xf numFmtId="14" fontId="5" fillId="7" borderId="19" xfId="0" applyNumberFormat="1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14" fontId="12" fillId="3" borderId="5" xfId="0" applyNumberFormat="1" applyFont="1" applyFill="1" applyBorder="1" applyAlignment="1">
      <alignment horizontal="center"/>
    </xf>
    <xf numFmtId="14" fontId="12" fillId="3" borderId="18" xfId="0" applyNumberFormat="1" applyFont="1" applyFill="1" applyBorder="1" applyAlignment="1">
      <alignment horizontal="center"/>
    </xf>
    <xf numFmtId="14" fontId="12" fillId="3" borderId="19" xfId="0" applyNumberFormat="1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 wrapText="1"/>
    </xf>
    <xf numFmtId="0" fontId="13" fillId="3" borderId="44" xfId="0" applyFont="1" applyFill="1" applyBorder="1" applyAlignment="1">
      <alignment horizontal="center" vertical="center" wrapText="1"/>
    </xf>
    <xf numFmtId="0" fontId="13" fillId="3" borderId="45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AD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21"/>
  <sheetViews>
    <sheetView tabSelected="1" zoomScale="40" zoomScaleNormal="40" zoomScaleSheetLayoutView="70" workbookViewId="0">
      <pane xSplit="1" topLeftCell="ET1" activePane="topRight" state="frozen"/>
      <selection pane="topRight" activeCell="FC25" sqref="FC25"/>
    </sheetView>
  </sheetViews>
  <sheetFormatPr defaultColWidth="11.453125" defaultRowHeight="14.5" x14ac:dyDescent="0.35"/>
  <cols>
    <col min="1" max="2" width="38.453125" customWidth="1"/>
    <col min="3" max="5" width="10.7265625" customWidth="1"/>
    <col min="6" max="6" width="11.7265625" bestFit="1" customWidth="1"/>
    <col min="7" max="7" width="11.7265625" customWidth="1"/>
    <col min="8" max="29" width="10.7265625" customWidth="1"/>
    <col min="55" max="55" width="11.1796875" customWidth="1"/>
    <col min="149" max="150" width="11.453125" customWidth="1"/>
  </cols>
  <sheetData>
    <row r="1" spans="1:182" ht="17" x14ac:dyDescent="0.4">
      <c r="A1" s="257" t="s">
        <v>29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</row>
    <row r="2" spans="1:182" ht="17" x14ac:dyDescent="0.4">
      <c r="A2" s="257" t="s">
        <v>2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</row>
    <row r="3" spans="1:182" ht="17.5" thickBot="1" x14ac:dyDescent="0.45">
      <c r="A3" s="1"/>
      <c r="B3" s="1"/>
    </row>
    <row r="4" spans="1:182" s="2" customFormat="1" ht="16.5" customHeight="1" x14ac:dyDescent="0.35">
      <c r="A4" s="258" t="s">
        <v>3</v>
      </c>
      <c r="B4" s="261" t="s">
        <v>4</v>
      </c>
      <c r="C4" s="159">
        <v>46046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1"/>
      <c r="AD4" s="184">
        <v>46048</v>
      </c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6"/>
      <c r="BE4" s="159">
        <v>46049</v>
      </c>
      <c r="BF4" s="160"/>
      <c r="BG4" s="160"/>
      <c r="BH4" s="160"/>
      <c r="BI4" s="160"/>
      <c r="BJ4" s="160"/>
      <c r="BK4" s="160"/>
      <c r="BL4" s="160"/>
      <c r="BM4" s="160"/>
      <c r="BN4" s="160"/>
      <c r="BO4" s="160"/>
      <c r="BP4" s="160"/>
      <c r="BQ4" s="160"/>
      <c r="BR4" s="160"/>
      <c r="BS4" s="160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160"/>
      <c r="CE4" s="161"/>
      <c r="CF4" s="210">
        <v>46050</v>
      </c>
      <c r="CG4" s="211"/>
      <c r="CH4" s="211"/>
      <c r="CI4" s="211"/>
      <c r="CJ4" s="211"/>
      <c r="CK4" s="211"/>
      <c r="CL4" s="211"/>
      <c r="CM4" s="211"/>
      <c r="CN4" s="211"/>
      <c r="CO4" s="211"/>
      <c r="CP4" s="211"/>
      <c r="CQ4" s="211"/>
      <c r="CR4" s="211"/>
      <c r="CS4" s="211"/>
      <c r="CT4" s="211"/>
      <c r="CU4" s="211"/>
      <c r="CV4" s="211"/>
      <c r="CW4" s="211"/>
      <c r="CX4" s="211"/>
      <c r="CY4" s="211"/>
      <c r="CZ4" s="211"/>
      <c r="DA4" s="211"/>
      <c r="DB4" s="211"/>
      <c r="DC4" s="211"/>
      <c r="DD4" s="211"/>
      <c r="DE4" s="211"/>
      <c r="DF4" s="212"/>
      <c r="DG4" s="159">
        <v>46051</v>
      </c>
      <c r="DH4" s="160"/>
      <c r="DI4" s="160"/>
      <c r="DJ4" s="160"/>
      <c r="DK4" s="160"/>
      <c r="DL4" s="160"/>
      <c r="DM4" s="160"/>
      <c r="DN4" s="160"/>
      <c r="DO4" s="160"/>
      <c r="DP4" s="160"/>
      <c r="DQ4" s="160"/>
      <c r="DR4" s="160"/>
      <c r="DS4" s="160"/>
      <c r="DT4" s="160"/>
      <c r="DU4" s="160"/>
      <c r="DV4" s="160"/>
      <c r="DW4" s="160"/>
      <c r="DX4" s="160"/>
      <c r="DY4" s="160"/>
      <c r="DZ4" s="160"/>
      <c r="EA4" s="160"/>
      <c r="EB4" s="160"/>
      <c r="EC4" s="160"/>
      <c r="ED4" s="160"/>
      <c r="EE4" s="160"/>
      <c r="EF4" s="161"/>
      <c r="EG4" s="236" t="s">
        <v>0</v>
      </c>
      <c r="EH4" s="237"/>
      <c r="EI4" s="237"/>
      <c r="EJ4" s="237"/>
      <c r="EK4" s="237"/>
      <c r="EL4" s="237"/>
      <c r="EM4" s="237"/>
      <c r="EN4" s="237"/>
      <c r="EO4" s="237"/>
      <c r="EP4" s="237"/>
      <c r="EQ4" s="237"/>
      <c r="ER4" s="237"/>
      <c r="ES4" s="237"/>
      <c r="ET4" s="237"/>
      <c r="EU4" s="237"/>
      <c r="EV4" s="237"/>
      <c r="EW4" s="237"/>
      <c r="EX4" s="237"/>
      <c r="EY4" s="237"/>
      <c r="EZ4" s="237"/>
      <c r="FA4" s="237"/>
      <c r="FB4" s="237"/>
      <c r="FC4" s="237"/>
      <c r="FD4" s="237"/>
      <c r="FE4" s="237"/>
      <c r="FF4" s="237"/>
      <c r="FG4" s="238"/>
    </row>
    <row r="5" spans="1:182" s="2" customFormat="1" ht="15.75" customHeight="1" thickBot="1" x14ac:dyDescent="0.4">
      <c r="A5" s="259"/>
      <c r="B5" s="262"/>
      <c r="C5" s="162" t="s">
        <v>20</v>
      </c>
      <c r="D5" s="163"/>
      <c r="E5" s="163"/>
      <c r="F5" s="163"/>
      <c r="G5" s="163"/>
      <c r="H5" s="163"/>
      <c r="I5" s="171"/>
      <c r="J5" s="165" t="s">
        <v>30</v>
      </c>
      <c r="K5" s="168" t="s">
        <v>31</v>
      </c>
      <c r="L5" s="162" t="s">
        <v>21</v>
      </c>
      <c r="M5" s="163"/>
      <c r="N5" s="163"/>
      <c r="O5" s="163"/>
      <c r="P5" s="163"/>
      <c r="Q5" s="163"/>
      <c r="R5" s="171"/>
      <c r="S5" s="172" t="s">
        <v>22</v>
      </c>
      <c r="T5" s="173"/>
      <c r="U5" s="173"/>
      <c r="V5" s="174"/>
      <c r="W5" s="162" t="s">
        <v>1</v>
      </c>
      <c r="X5" s="163"/>
      <c r="Y5" s="163"/>
      <c r="Z5" s="163"/>
      <c r="AA5" s="163"/>
      <c r="AB5" s="163"/>
      <c r="AC5" s="171"/>
      <c r="AD5" s="187" t="s">
        <v>20</v>
      </c>
      <c r="AE5" s="188"/>
      <c r="AF5" s="188"/>
      <c r="AG5" s="188"/>
      <c r="AH5" s="188"/>
      <c r="AI5" s="188"/>
      <c r="AJ5" s="188"/>
      <c r="AK5" s="189" t="s">
        <v>30</v>
      </c>
      <c r="AL5" s="192" t="s">
        <v>31</v>
      </c>
      <c r="AM5" s="187" t="s">
        <v>21</v>
      </c>
      <c r="AN5" s="188"/>
      <c r="AO5" s="188"/>
      <c r="AP5" s="188"/>
      <c r="AQ5" s="188"/>
      <c r="AR5" s="188"/>
      <c r="AS5" s="195"/>
      <c r="AT5" s="196" t="s">
        <v>22</v>
      </c>
      <c r="AU5" s="197"/>
      <c r="AV5" s="197"/>
      <c r="AW5" s="198"/>
      <c r="AX5" s="187" t="s">
        <v>1</v>
      </c>
      <c r="AY5" s="188"/>
      <c r="AZ5" s="188"/>
      <c r="BA5" s="188"/>
      <c r="BB5" s="188"/>
      <c r="BC5" s="188"/>
      <c r="BD5" s="195"/>
      <c r="BE5" s="162" t="s">
        <v>20</v>
      </c>
      <c r="BF5" s="163"/>
      <c r="BG5" s="163"/>
      <c r="BH5" s="163"/>
      <c r="BI5" s="163"/>
      <c r="BJ5" s="163"/>
      <c r="BK5" s="164"/>
      <c r="BL5" s="165" t="s">
        <v>30</v>
      </c>
      <c r="BM5" s="168" t="s">
        <v>31</v>
      </c>
      <c r="BN5" s="162" t="s">
        <v>21</v>
      </c>
      <c r="BO5" s="163"/>
      <c r="BP5" s="163"/>
      <c r="BQ5" s="163"/>
      <c r="BR5" s="163"/>
      <c r="BS5" s="163"/>
      <c r="BT5" s="171"/>
      <c r="BU5" s="172" t="s">
        <v>22</v>
      </c>
      <c r="BV5" s="173"/>
      <c r="BW5" s="173"/>
      <c r="BX5" s="174"/>
      <c r="BY5" s="162" t="s">
        <v>1</v>
      </c>
      <c r="BZ5" s="163"/>
      <c r="CA5" s="163"/>
      <c r="CB5" s="163"/>
      <c r="CC5" s="163"/>
      <c r="CD5" s="163"/>
      <c r="CE5" s="171"/>
      <c r="CF5" s="213" t="s">
        <v>20</v>
      </c>
      <c r="CG5" s="214"/>
      <c r="CH5" s="214"/>
      <c r="CI5" s="214"/>
      <c r="CJ5" s="214"/>
      <c r="CK5" s="214"/>
      <c r="CL5" s="214"/>
      <c r="CM5" s="215" t="s">
        <v>30</v>
      </c>
      <c r="CN5" s="218" t="s">
        <v>31</v>
      </c>
      <c r="CO5" s="213" t="s">
        <v>21</v>
      </c>
      <c r="CP5" s="214"/>
      <c r="CQ5" s="214"/>
      <c r="CR5" s="214"/>
      <c r="CS5" s="214"/>
      <c r="CT5" s="214"/>
      <c r="CU5" s="221"/>
      <c r="CV5" s="222" t="s">
        <v>22</v>
      </c>
      <c r="CW5" s="223"/>
      <c r="CX5" s="223"/>
      <c r="CY5" s="224"/>
      <c r="CZ5" s="213" t="s">
        <v>1</v>
      </c>
      <c r="DA5" s="214"/>
      <c r="DB5" s="214"/>
      <c r="DC5" s="214"/>
      <c r="DD5" s="214"/>
      <c r="DE5" s="214"/>
      <c r="DF5" s="221"/>
      <c r="DG5" s="162" t="s">
        <v>20</v>
      </c>
      <c r="DH5" s="163"/>
      <c r="DI5" s="163"/>
      <c r="DJ5" s="163"/>
      <c r="DK5" s="163"/>
      <c r="DL5" s="163"/>
      <c r="DM5" s="164"/>
      <c r="DN5" s="165" t="s">
        <v>30</v>
      </c>
      <c r="DO5" s="168" t="s">
        <v>31</v>
      </c>
      <c r="DP5" s="162" t="s">
        <v>21</v>
      </c>
      <c r="DQ5" s="163"/>
      <c r="DR5" s="163"/>
      <c r="DS5" s="163"/>
      <c r="DT5" s="163"/>
      <c r="DU5" s="171"/>
      <c r="DV5" s="172" t="s">
        <v>22</v>
      </c>
      <c r="DW5" s="173"/>
      <c r="DX5" s="173"/>
      <c r="DY5" s="174"/>
      <c r="DZ5" s="162" t="s">
        <v>1</v>
      </c>
      <c r="EA5" s="163"/>
      <c r="EB5" s="163"/>
      <c r="EC5" s="163"/>
      <c r="ED5" s="163"/>
      <c r="EE5" s="163"/>
      <c r="EF5" s="171"/>
      <c r="EG5" s="239" t="s">
        <v>20</v>
      </c>
      <c r="EH5" s="240"/>
      <c r="EI5" s="240"/>
      <c r="EJ5" s="240"/>
      <c r="EK5" s="240"/>
      <c r="EL5" s="240"/>
      <c r="EM5" s="241"/>
      <c r="EN5" s="253" t="s">
        <v>30</v>
      </c>
      <c r="EO5" s="255" t="s">
        <v>31</v>
      </c>
      <c r="EP5" s="239" t="s">
        <v>21</v>
      </c>
      <c r="EQ5" s="240"/>
      <c r="ER5" s="240"/>
      <c r="ES5" s="240"/>
      <c r="ET5" s="240"/>
      <c r="EU5" s="240"/>
      <c r="EV5" s="242"/>
      <c r="EW5" s="243" t="s">
        <v>22</v>
      </c>
      <c r="EX5" s="244"/>
      <c r="EY5" s="244"/>
      <c r="EZ5" s="245"/>
      <c r="FA5" s="239" t="s">
        <v>1</v>
      </c>
      <c r="FB5" s="240"/>
      <c r="FC5" s="240"/>
      <c r="FD5" s="240"/>
      <c r="FE5" s="240"/>
      <c r="FF5" s="240"/>
      <c r="FG5" s="242"/>
    </row>
    <row r="6" spans="1:182" s="2" customFormat="1" ht="7.5" customHeight="1" thickBot="1" x14ac:dyDescent="0.4">
      <c r="A6" s="259"/>
      <c r="B6" s="262"/>
      <c r="C6" s="162"/>
      <c r="D6" s="163"/>
      <c r="E6" s="163"/>
      <c r="F6" s="163"/>
      <c r="G6" s="163"/>
      <c r="H6" s="163"/>
      <c r="I6" s="171"/>
      <c r="J6" s="166"/>
      <c r="K6" s="169"/>
      <c r="L6" s="162"/>
      <c r="M6" s="163"/>
      <c r="N6" s="163"/>
      <c r="O6" s="163"/>
      <c r="P6" s="163"/>
      <c r="Q6" s="163"/>
      <c r="R6" s="171"/>
      <c r="S6" s="175"/>
      <c r="T6" s="176"/>
      <c r="U6" s="176"/>
      <c r="V6" s="177"/>
      <c r="W6" s="165"/>
      <c r="X6" s="178"/>
      <c r="Y6" s="178"/>
      <c r="Z6" s="178"/>
      <c r="AA6" s="178"/>
      <c r="AB6" s="178"/>
      <c r="AC6" s="168"/>
      <c r="AD6" s="187"/>
      <c r="AE6" s="188"/>
      <c r="AF6" s="188"/>
      <c r="AG6" s="188"/>
      <c r="AH6" s="188"/>
      <c r="AI6" s="188"/>
      <c r="AJ6" s="188"/>
      <c r="AK6" s="190"/>
      <c r="AL6" s="193"/>
      <c r="AM6" s="187"/>
      <c r="AN6" s="188"/>
      <c r="AO6" s="188"/>
      <c r="AP6" s="188"/>
      <c r="AQ6" s="188"/>
      <c r="AR6" s="188"/>
      <c r="AS6" s="195"/>
      <c r="AT6" s="199"/>
      <c r="AU6" s="200"/>
      <c r="AV6" s="200"/>
      <c r="AW6" s="201"/>
      <c r="AX6" s="189"/>
      <c r="AY6" s="202"/>
      <c r="AZ6" s="202"/>
      <c r="BA6" s="202"/>
      <c r="BB6" s="202"/>
      <c r="BC6" s="202"/>
      <c r="BD6" s="192"/>
      <c r="BE6" s="162"/>
      <c r="BF6" s="163"/>
      <c r="BG6" s="163"/>
      <c r="BH6" s="163"/>
      <c r="BI6" s="163"/>
      <c r="BJ6" s="163"/>
      <c r="BK6" s="164"/>
      <c r="BL6" s="166"/>
      <c r="BM6" s="169"/>
      <c r="BN6" s="162"/>
      <c r="BO6" s="163"/>
      <c r="BP6" s="163"/>
      <c r="BQ6" s="163"/>
      <c r="BR6" s="163"/>
      <c r="BS6" s="163"/>
      <c r="BT6" s="171"/>
      <c r="BU6" s="175"/>
      <c r="BV6" s="176"/>
      <c r="BW6" s="176"/>
      <c r="BX6" s="177"/>
      <c r="BY6" s="165"/>
      <c r="BZ6" s="178"/>
      <c r="CA6" s="178"/>
      <c r="CB6" s="178"/>
      <c r="CC6" s="178"/>
      <c r="CD6" s="178"/>
      <c r="CE6" s="168"/>
      <c r="CF6" s="213"/>
      <c r="CG6" s="214"/>
      <c r="CH6" s="214"/>
      <c r="CI6" s="214"/>
      <c r="CJ6" s="214"/>
      <c r="CK6" s="214"/>
      <c r="CL6" s="214"/>
      <c r="CM6" s="216"/>
      <c r="CN6" s="219"/>
      <c r="CO6" s="213"/>
      <c r="CP6" s="214"/>
      <c r="CQ6" s="214"/>
      <c r="CR6" s="214"/>
      <c r="CS6" s="214"/>
      <c r="CT6" s="214"/>
      <c r="CU6" s="221"/>
      <c r="CV6" s="225"/>
      <c r="CW6" s="226"/>
      <c r="CX6" s="226"/>
      <c r="CY6" s="227"/>
      <c r="CZ6" s="215"/>
      <c r="DA6" s="228"/>
      <c r="DB6" s="228"/>
      <c r="DC6" s="228"/>
      <c r="DD6" s="228"/>
      <c r="DE6" s="228"/>
      <c r="DF6" s="218"/>
      <c r="DG6" s="162"/>
      <c r="DH6" s="163"/>
      <c r="DI6" s="163"/>
      <c r="DJ6" s="163"/>
      <c r="DK6" s="163"/>
      <c r="DL6" s="163"/>
      <c r="DM6" s="164"/>
      <c r="DN6" s="166"/>
      <c r="DO6" s="169"/>
      <c r="DP6" s="162"/>
      <c r="DQ6" s="163"/>
      <c r="DR6" s="163"/>
      <c r="DS6" s="163"/>
      <c r="DT6" s="163"/>
      <c r="DU6" s="171"/>
      <c r="DV6" s="175"/>
      <c r="DW6" s="176"/>
      <c r="DX6" s="176"/>
      <c r="DY6" s="177"/>
      <c r="DZ6" s="165"/>
      <c r="EA6" s="178"/>
      <c r="EB6" s="178"/>
      <c r="EC6" s="178"/>
      <c r="ED6" s="178"/>
      <c r="EE6" s="178"/>
      <c r="EF6" s="168"/>
      <c r="EG6" s="239"/>
      <c r="EH6" s="240"/>
      <c r="EI6" s="240"/>
      <c r="EJ6" s="240"/>
      <c r="EK6" s="240"/>
      <c r="EL6" s="240"/>
      <c r="EM6" s="241"/>
      <c r="EN6" s="254"/>
      <c r="EO6" s="256"/>
      <c r="EP6" s="239"/>
      <c r="EQ6" s="240"/>
      <c r="ER6" s="240"/>
      <c r="ES6" s="240"/>
      <c r="ET6" s="240"/>
      <c r="EU6" s="240"/>
      <c r="EV6" s="242"/>
      <c r="EW6" s="246"/>
      <c r="EX6" s="247"/>
      <c r="EY6" s="247"/>
      <c r="EZ6" s="248"/>
      <c r="FA6" s="243"/>
      <c r="FB6" s="244"/>
      <c r="FC6" s="244"/>
      <c r="FD6" s="244"/>
      <c r="FE6" s="244"/>
      <c r="FF6" s="244"/>
      <c r="FG6" s="245"/>
    </row>
    <row r="7" spans="1:182" s="2" customFormat="1" ht="25.5" customHeight="1" thickBot="1" x14ac:dyDescent="0.4">
      <c r="A7" s="259"/>
      <c r="B7" s="262"/>
      <c r="C7" s="179" t="s">
        <v>10</v>
      </c>
      <c r="D7" s="180"/>
      <c r="E7" s="180"/>
      <c r="F7" s="180"/>
      <c r="G7" s="145"/>
      <c r="H7" s="164" t="s">
        <v>14</v>
      </c>
      <c r="I7" s="264"/>
      <c r="J7" s="166"/>
      <c r="K7" s="169"/>
      <c r="L7" s="162" t="s">
        <v>10</v>
      </c>
      <c r="M7" s="163"/>
      <c r="N7" s="163"/>
      <c r="O7" s="163"/>
      <c r="P7" s="144"/>
      <c r="Q7" s="163" t="s">
        <v>14</v>
      </c>
      <c r="R7" s="171"/>
      <c r="S7" s="175"/>
      <c r="T7" s="176"/>
      <c r="U7" s="176"/>
      <c r="V7" s="177"/>
      <c r="W7" s="181" t="s">
        <v>10</v>
      </c>
      <c r="X7" s="182"/>
      <c r="Y7" s="182"/>
      <c r="Z7" s="182"/>
      <c r="AA7" s="146"/>
      <c r="AB7" s="182" t="s">
        <v>14</v>
      </c>
      <c r="AC7" s="183"/>
      <c r="AD7" s="203" t="s">
        <v>10</v>
      </c>
      <c r="AE7" s="204"/>
      <c r="AF7" s="204"/>
      <c r="AG7" s="204"/>
      <c r="AH7" s="148"/>
      <c r="AI7" s="205" t="s">
        <v>14</v>
      </c>
      <c r="AJ7" s="206"/>
      <c r="AK7" s="190"/>
      <c r="AL7" s="193"/>
      <c r="AM7" s="187" t="s">
        <v>10</v>
      </c>
      <c r="AN7" s="188"/>
      <c r="AO7" s="188"/>
      <c r="AP7" s="188"/>
      <c r="AQ7" s="147"/>
      <c r="AR7" s="188" t="s">
        <v>14</v>
      </c>
      <c r="AS7" s="195"/>
      <c r="AT7" s="199"/>
      <c r="AU7" s="200"/>
      <c r="AV7" s="200"/>
      <c r="AW7" s="201"/>
      <c r="AX7" s="207" t="s">
        <v>10</v>
      </c>
      <c r="AY7" s="208"/>
      <c r="AZ7" s="208"/>
      <c r="BA7" s="208"/>
      <c r="BB7" s="149"/>
      <c r="BC7" s="208" t="s">
        <v>14</v>
      </c>
      <c r="BD7" s="209"/>
      <c r="BE7" s="179" t="s">
        <v>10</v>
      </c>
      <c r="BF7" s="180"/>
      <c r="BG7" s="180"/>
      <c r="BH7" s="180"/>
      <c r="BI7" s="145"/>
      <c r="BJ7" s="164" t="s">
        <v>14</v>
      </c>
      <c r="BK7" s="180"/>
      <c r="BL7" s="166"/>
      <c r="BM7" s="169"/>
      <c r="BN7" s="162" t="s">
        <v>10</v>
      </c>
      <c r="BO7" s="163"/>
      <c r="BP7" s="163"/>
      <c r="BQ7" s="163"/>
      <c r="BR7" s="144"/>
      <c r="BS7" s="163" t="s">
        <v>14</v>
      </c>
      <c r="BT7" s="171"/>
      <c r="BU7" s="175"/>
      <c r="BV7" s="176"/>
      <c r="BW7" s="176"/>
      <c r="BX7" s="177"/>
      <c r="BY7" s="181" t="s">
        <v>10</v>
      </c>
      <c r="BZ7" s="182"/>
      <c r="CA7" s="182"/>
      <c r="CB7" s="182"/>
      <c r="CC7" s="146"/>
      <c r="CD7" s="182" t="s">
        <v>14</v>
      </c>
      <c r="CE7" s="183"/>
      <c r="CF7" s="229" t="s">
        <v>10</v>
      </c>
      <c r="CG7" s="230"/>
      <c r="CH7" s="230"/>
      <c r="CI7" s="230"/>
      <c r="CJ7" s="151"/>
      <c r="CK7" s="231" t="s">
        <v>14</v>
      </c>
      <c r="CL7" s="232"/>
      <c r="CM7" s="216"/>
      <c r="CN7" s="219"/>
      <c r="CO7" s="213" t="s">
        <v>10</v>
      </c>
      <c r="CP7" s="214"/>
      <c r="CQ7" s="214"/>
      <c r="CR7" s="214"/>
      <c r="CS7" s="150"/>
      <c r="CT7" s="214" t="s">
        <v>14</v>
      </c>
      <c r="CU7" s="221"/>
      <c r="CV7" s="225"/>
      <c r="CW7" s="226"/>
      <c r="CX7" s="226"/>
      <c r="CY7" s="227"/>
      <c r="CZ7" s="233" t="s">
        <v>10</v>
      </c>
      <c r="DA7" s="234"/>
      <c r="DB7" s="234"/>
      <c r="DC7" s="234"/>
      <c r="DD7" s="152"/>
      <c r="DE7" s="234" t="s">
        <v>14</v>
      </c>
      <c r="DF7" s="235"/>
      <c r="DG7" s="179" t="s">
        <v>10</v>
      </c>
      <c r="DH7" s="180"/>
      <c r="DI7" s="180"/>
      <c r="DJ7" s="180"/>
      <c r="DK7" s="145"/>
      <c r="DL7" s="164" t="s">
        <v>14</v>
      </c>
      <c r="DM7" s="180"/>
      <c r="DN7" s="166"/>
      <c r="DO7" s="169"/>
      <c r="DP7" s="162" t="s">
        <v>10</v>
      </c>
      <c r="DQ7" s="163"/>
      <c r="DR7" s="163"/>
      <c r="DS7" s="163"/>
      <c r="DT7" s="163" t="s">
        <v>14</v>
      </c>
      <c r="DU7" s="171"/>
      <c r="DV7" s="175"/>
      <c r="DW7" s="176"/>
      <c r="DX7" s="176"/>
      <c r="DY7" s="177"/>
      <c r="DZ7" s="181" t="s">
        <v>10</v>
      </c>
      <c r="EA7" s="182"/>
      <c r="EB7" s="182"/>
      <c r="EC7" s="182"/>
      <c r="ED7" s="146"/>
      <c r="EE7" s="182" t="s">
        <v>14</v>
      </c>
      <c r="EF7" s="183"/>
      <c r="EG7" s="239" t="s">
        <v>10</v>
      </c>
      <c r="EH7" s="240"/>
      <c r="EI7" s="240"/>
      <c r="EJ7" s="240"/>
      <c r="EK7" s="153"/>
      <c r="EL7" s="249" t="s">
        <v>14</v>
      </c>
      <c r="EM7" s="249"/>
      <c r="EN7" s="254"/>
      <c r="EO7" s="256"/>
      <c r="EP7" s="239" t="s">
        <v>10</v>
      </c>
      <c r="EQ7" s="240"/>
      <c r="ER7" s="240"/>
      <c r="ES7" s="240"/>
      <c r="ET7" s="155"/>
      <c r="EU7" s="239" t="s">
        <v>14</v>
      </c>
      <c r="EV7" s="242"/>
      <c r="EW7" s="246"/>
      <c r="EX7" s="247"/>
      <c r="EY7" s="247"/>
      <c r="EZ7" s="248"/>
      <c r="FA7" s="250" t="s">
        <v>10</v>
      </c>
      <c r="FB7" s="251"/>
      <c r="FC7" s="251"/>
      <c r="FD7" s="251"/>
      <c r="FE7" s="154"/>
      <c r="FF7" s="251" t="s">
        <v>14</v>
      </c>
      <c r="FG7" s="252"/>
    </row>
    <row r="8" spans="1:182" s="2" customFormat="1" ht="51" customHeight="1" thickBot="1" x14ac:dyDescent="0.4">
      <c r="A8" s="260"/>
      <c r="B8" s="263"/>
      <c r="C8" s="41" t="s">
        <v>11</v>
      </c>
      <c r="D8" s="42" t="s">
        <v>12</v>
      </c>
      <c r="E8" s="42" t="s">
        <v>13</v>
      </c>
      <c r="F8" s="42" t="s">
        <v>33</v>
      </c>
      <c r="G8" s="42" t="s">
        <v>34</v>
      </c>
      <c r="H8" s="42" t="s">
        <v>15</v>
      </c>
      <c r="I8" s="43" t="s">
        <v>16</v>
      </c>
      <c r="J8" s="167"/>
      <c r="K8" s="170"/>
      <c r="L8" s="41" t="s">
        <v>11</v>
      </c>
      <c r="M8" s="42" t="s">
        <v>12</v>
      </c>
      <c r="N8" s="42" t="s">
        <v>13</v>
      </c>
      <c r="O8" s="42" t="s">
        <v>33</v>
      </c>
      <c r="P8" s="42" t="s">
        <v>34</v>
      </c>
      <c r="Q8" s="42" t="s">
        <v>15</v>
      </c>
      <c r="R8" s="43" t="s">
        <v>16</v>
      </c>
      <c r="S8" s="41" t="s">
        <v>17</v>
      </c>
      <c r="T8" s="42" t="s">
        <v>18</v>
      </c>
      <c r="U8" s="44" t="s">
        <v>19</v>
      </c>
      <c r="V8" s="43" t="s">
        <v>23</v>
      </c>
      <c r="W8" s="41" t="s">
        <v>11</v>
      </c>
      <c r="X8" s="42" t="s">
        <v>12</v>
      </c>
      <c r="Y8" s="42" t="s">
        <v>13</v>
      </c>
      <c r="Z8" s="42" t="s">
        <v>33</v>
      </c>
      <c r="AA8" s="42" t="s">
        <v>34</v>
      </c>
      <c r="AB8" s="42" t="s">
        <v>15</v>
      </c>
      <c r="AC8" s="43" t="s">
        <v>16</v>
      </c>
      <c r="AD8" s="15" t="s">
        <v>11</v>
      </c>
      <c r="AE8" s="16" t="s">
        <v>12</v>
      </c>
      <c r="AF8" s="16" t="s">
        <v>13</v>
      </c>
      <c r="AG8" s="16" t="s">
        <v>33</v>
      </c>
      <c r="AH8" s="16" t="s">
        <v>34</v>
      </c>
      <c r="AI8" s="16" t="s">
        <v>15</v>
      </c>
      <c r="AJ8" s="16" t="s">
        <v>16</v>
      </c>
      <c r="AK8" s="191"/>
      <c r="AL8" s="194"/>
      <c r="AM8" s="15" t="s">
        <v>11</v>
      </c>
      <c r="AN8" s="16" t="s">
        <v>12</v>
      </c>
      <c r="AO8" s="16" t="s">
        <v>13</v>
      </c>
      <c r="AP8" s="16" t="s">
        <v>33</v>
      </c>
      <c r="AQ8" s="16" t="s">
        <v>34</v>
      </c>
      <c r="AR8" s="16" t="s">
        <v>15</v>
      </c>
      <c r="AS8" s="17" t="s">
        <v>16</v>
      </c>
      <c r="AT8" s="15" t="s">
        <v>17</v>
      </c>
      <c r="AU8" s="16" t="s">
        <v>18</v>
      </c>
      <c r="AV8" s="18" t="s">
        <v>19</v>
      </c>
      <c r="AW8" s="17" t="s">
        <v>23</v>
      </c>
      <c r="AX8" s="15" t="s">
        <v>11</v>
      </c>
      <c r="AY8" s="16" t="s">
        <v>12</v>
      </c>
      <c r="AZ8" s="16" t="s">
        <v>13</v>
      </c>
      <c r="BA8" s="16" t="s">
        <v>33</v>
      </c>
      <c r="BB8" s="16" t="s">
        <v>34</v>
      </c>
      <c r="BC8" s="16" t="s">
        <v>15</v>
      </c>
      <c r="BD8" s="17" t="s">
        <v>16</v>
      </c>
      <c r="BE8" s="41" t="s">
        <v>11</v>
      </c>
      <c r="BF8" s="42" t="s">
        <v>12</v>
      </c>
      <c r="BG8" s="42" t="s">
        <v>13</v>
      </c>
      <c r="BH8" s="42" t="s">
        <v>33</v>
      </c>
      <c r="BI8" s="42" t="s">
        <v>34</v>
      </c>
      <c r="BJ8" s="42" t="s">
        <v>15</v>
      </c>
      <c r="BK8" s="44" t="s">
        <v>16</v>
      </c>
      <c r="BL8" s="167"/>
      <c r="BM8" s="170"/>
      <c r="BN8" s="41" t="s">
        <v>11</v>
      </c>
      <c r="BO8" s="42" t="s">
        <v>12</v>
      </c>
      <c r="BP8" s="42" t="s">
        <v>13</v>
      </c>
      <c r="BQ8" s="42" t="s">
        <v>33</v>
      </c>
      <c r="BR8" s="42" t="s">
        <v>34</v>
      </c>
      <c r="BS8" s="42" t="s">
        <v>15</v>
      </c>
      <c r="BT8" s="44" t="s">
        <v>16</v>
      </c>
      <c r="BU8" s="41" t="s">
        <v>17</v>
      </c>
      <c r="BV8" s="42" t="s">
        <v>18</v>
      </c>
      <c r="BW8" s="44" t="s">
        <v>19</v>
      </c>
      <c r="BX8" s="43" t="s">
        <v>23</v>
      </c>
      <c r="BY8" s="41" t="s">
        <v>11</v>
      </c>
      <c r="BZ8" s="42" t="s">
        <v>12</v>
      </c>
      <c r="CA8" s="42" t="s">
        <v>13</v>
      </c>
      <c r="CB8" s="42" t="s">
        <v>33</v>
      </c>
      <c r="CC8" s="42" t="s">
        <v>34</v>
      </c>
      <c r="CD8" s="42" t="s">
        <v>15</v>
      </c>
      <c r="CE8" s="44" t="s">
        <v>16</v>
      </c>
      <c r="CF8" s="108" t="s">
        <v>11</v>
      </c>
      <c r="CG8" s="109" t="s">
        <v>12</v>
      </c>
      <c r="CH8" s="109" t="s">
        <v>13</v>
      </c>
      <c r="CI8" s="109" t="s">
        <v>33</v>
      </c>
      <c r="CJ8" s="109" t="s">
        <v>34</v>
      </c>
      <c r="CK8" s="109" t="s">
        <v>15</v>
      </c>
      <c r="CL8" s="109" t="s">
        <v>16</v>
      </c>
      <c r="CM8" s="217"/>
      <c r="CN8" s="220"/>
      <c r="CO8" s="108" t="s">
        <v>11</v>
      </c>
      <c r="CP8" s="109" t="s">
        <v>12</v>
      </c>
      <c r="CQ8" s="109" t="s">
        <v>13</v>
      </c>
      <c r="CR8" s="109" t="s">
        <v>33</v>
      </c>
      <c r="CS8" s="109" t="s">
        <v>34</v>
      </c>
      <c r="CT8" s="109" t="s">
        <v>15</v>
      </c>
      <c r="CU8" s="110" t="s">
        <v>16</v>
      </c>
      <c r="CV8" s="108" t="s">
        <v>17</v>
      </c>
      <c r="CW8" s="109" t="s">
        <v>18</v>
      </c>
      <c r="CX8" s="111" t="s">
        <v>19</v>
      </c>
      <c r="CY8" s="110" t="s">
        <v>23</v>
      </c>
      <c r="CZ8" s="108" t="s">
        <v>11</v>
      </c>
      <c r="DA8" s="109" t="s">
        <v>12</v>
      </c>
      <c r="DB8" s="109" t="s">
        <v>13</v>
      </c>
      <c r="DC8" s="109" t="s">
        <v>33</v>
      </c>
      <c r="DD8" s="109" t="s">
        <v>34</v>
      </c>
      <c r="DE8" s="109" t="s">
        <v>15</v>
      </c>
      <c r="DF8" s="110" t="s">
        <v>16</v>
      </c>
      <c r="DG8" s="41" t="s">
        <v>11</v>
      </c>
      <c r="DH8" s="42" t="s">
        <v>12</v>
      </c>
      <c r="DI8" s="42" t="s">
        <v>13</v>
      </c>
      <c r="DJ8" s="42" t="s">
        <v>33</v>
      </c>
      <c r="DK8" s="42" t="s">
        <v>34</v>
      </c>
      <c r="DL8" s="42" t="s">
        <v>15</v>
      </c>
      <c r="DM8" s="44" t="s">
        <v>16</v>
      </c>
      <c r="DN8" s="167"/>
      <c r="DO8" s="170"/>
      <c r="DP8" s="41" t="s">
        <v>11</v>
      </c>
      <c r="DQ8" s="42" t="s">
        <v>12</v>
      </c>
      <c r="DR8" s="42" t="s">
        <v>13</v>
      </c>
      <c r="DS8" s="42" t="s">
        <v>33</v>
      </c>
      <c r="DT8" s="42" t="s">
        <v>34</v>
      </c>
      <c r="DU8" s="43" t="s">
        <v>15</v>
      </c>
      <c r="DV8" s="41" t="s">
        <v>16</v>
      </c>
      <c r="DW8" s="42" t="s">
        <v>18</v>
      </c>
      <c r="DX8" s="44" t="s">
        <v>19</v>
      </c>
      <c r="DY8" s="43" t="s">
        <v>23</v>
      </c>
      <c r="DZ8" s="41" t="s">
        <v>11</v>
      </c>
      <c r="EA8" s="42" t="s">
        <v>12</v>
      </c>
      <c r="EB8" s="42" t="s">
        <v>13</v>
      </c>
      <c r="EC8" s="42" t="s">
        <v>33</v>
      </c>
      <c r="ED8" s="42" t="s">
        <v>34</v>
      </c>
      <c r="EE8" s="42" t="s">
        <v>15</v>
      </c>
      <c r="EF8" s="43" t="s">
        <v>16</v>
      </c>
      <c r="EG8" s="141" t="s">
        <v>11</v>
      </c>
      <c r="EH8" s="142" t="s">
        <v>12</v>
      </c>
      <c r="EI8" s="142" t="s">
        <v>13</v>
      </c>
      <c r="EJ8" s="142" t="s">
        <v>33</v>
      </c>
      <c r="EK8" s="155" t="s">
        <v>34</v>
      </c>
      <c r="EL8" s="141" t="s">
        <v>15</v>
      </c>
      <c r="EM8" s="143" t="s">
        <v>16</v>
      </c>
      <c r="EN8" s="254"/>
      <c r="EO8" s="256"/>
      <c r="EP8" s="68" t="s">
        <v>11</v>
      </c>
      <c r="EQ8" s="69" t="s">
        <v>12</v>
      </c>
      <c r="ER8" s="69" t="s">
        <v>13</v>
      </c>
      <c r="ES8" s="69" t="s">
        <v>33</v>
      </c>
      <c r="ET8" s="158" t="s">
        <v>34</v>
      </c>
      <c r="EU8" s="68" t="s">
        <v>15</v>
      </c>
      <c r="EV8" s="70" t="s">
        <v>16</v>
      </c>
      <c r="EW8" s="68" t="s">
        <v>17</v>
      </c>
      <c r="EX8" s="69" t="s">
        <v>18</v>
      </c>
      <c r="EY8" s="69" t="s">
        <v>19</v>
      </c>
      <c r="EZ8" s="70" t="s">
        <v>23</v>
      </c>
      <c r="FA8" s="68" t="s">
        <v>11</v>
      </c>
      <c r="FB8" s="69" t="s">
        <v>12</v>
      </c>
      <c r="FC8" s="69" t="s">
        <v>13</v>
      </c>
      <c r="FD8" s="69" t="s">
        <v>33</v>
      </c>
      <c r="FE8" s="69" t="s">
        <v>34</v>
      </c>
      <c r="FF8" s="69" t="s">
        <v>15</v>
      </c>
      <c r="FG8" s="70" t="s">
        <v>16</v>
      </c>
    </row>
    <row r="9" spans="1:182" s="4" customFormat="1" ht="40" customHeight="1" x14ac:dyDescent="0.35">
      <c r="A9" s="85" t="s">
        <v>5</v>
      </c>
      <c r="B9" s="5" t="s">
        <v>24</v>
      </c>
      <c r="C9" s="45">
        <v>5</v>
      </c>
      <c r="D9" s="46">
        <v>5</v>
      </c>
      <c r="E9" s="46">
        <v>1</v>
      </c>
      <c r="F9" s="46">
        <v>1</v>
      </c>
      <c r="G9" s="46"/>
      <c r="H9" s="46">
        <v>5</v>
      </c>
      <c r="I9" s="96">
        <v>5</v>
      </c>
      <c r="J9" s="45">
        <v>28</v>
      </c>
      <c r="K9" s="96">
        <v>0</v>
      </c>
      <c r="L9" s="45"/>
      <c r="M9" s="46"/>
      <c r="N9" s="46"/>
      <c r="O9" s="46"/>
      <c r="P9" s="46"/>
      <c r="Q9" s="46"/>
      <c r="R9" s="47"/>
      <c r="S9" s="48"/>
      <c r="T9" s="49"/>
      <c r="U9" s="50"/>
      <c r="V9" s="47">
        <v>0</v>
      </c>
      <c r="W9" s="51">
        <f t="shared" ref="W9:Z14" si="0">L9/C9</f>
        <v>0</v>
      </c>
      <c r="X9" s="52">
        <f t="shared" si="0"/>
        <v>0</v>
      </c>
      <c r="Y9" s="52">
        <f t="shared" si="0"/>
        <v>0</v>
      </c>
      <c r="Z9" s="52">
        <f t="shared" si="0"/>
        <v>0</v>
      </c>
      <c r="AA9" s="52"/>
      <c r="AB9" s="52">
        <f t="shared" ref="AB9:AC14" si="1">Q9/H9</f>
        <v>0</v>
      </c>
      <c r="AC9" s="53">
        <f t="shared" si="1"/>
        <v>0</v>
      </c>
      <c r="AD9" s="19">
        <v>5</v>
      </c>
      <c r="AE9" s="20">
        <v>5</v>
      </c>
      <c r="AF9" s="20">
        <v>1</v>
      </c>
      <c r="AG9" s="20">
        <v>1</v>
      </c>
      <c r="AH9" s="20"/>
      <c r="AI9" s="20">
        <v>5</v>
      </c>
      <c r="AJ9" s="20">
        <v>5</v>
      </c>
      <c r="AK9" s="88">
        <v>55</v>
      </c>
      <c r="AL9" s="89">
        <v>3</v>
      </c>
      <c r="AM9" s="19">
        <v>1</v>
      </c>
      <c r="AN9" s="20"/>
      <c r="AO9" s="20"/>
      <c r="AP9" s="20"/>
      <c r="AQ9" s="20"/>
      <c r="AR9" s="20">
        <v>1</v>
      </c>
      <c r="AS9" s="21">
        <v>1</v>
      </c>
      <c r="AT9" s="22">
        <v>2</v>
      </c>
      <c r="AU9" s="23"/>
      <c r="AV9" s="24">
        <v>1</v>
      </c>
      <c r="AW9" s="21">
        <v>0</v>
      </c>
      <c r="AX9" s="25">
        <f t="shared" ref="AX9:BA14" si="2">AM9/AD9</f>
        <v>0.2</v>
      </c>
      <c r="AY9" s="26">
        <f t="shared" si="2"/>
        <v>0</v>
      </c>
      <c r="AZ9" s="26">
        <f t="shared" si="2"/>
        <v>0</v>
      </c>
      <c r="BA9" s="26">
        <f t="shared" si="2"/>
        <v>0</v>
      </c>
      <c r="BB9" s="26"/>
      <c r="BC9" s="26">
        <f t="shared" ref="BC9:BD14" si="3">AR9/AI9</f>
        <v>0.2</v>
      </c>
      <c r="BD9" s="83">
        <f t="shared" si="3"/>
        <v>0.2</v>
      </c>
      <c r="BE9" s="45">
        <v>5</v>
      </c>
      <c r="BF9" s="46">
        <v>5</v>
      </c>
      <c r="BG9" s="46">
        <v>1</v>
      </c>
      <c r="BH9" s="46">
        <v>1</v>
      </c>
      <c r="BI9" s="46"/>
      <c r="BJ9" s="46">
        <v>5</v>
      </c>
      <c r="BK9" s="97">
        <v>5</v>
      </c>
      <c r="BL9" s="45">
        <v>35</v>
      </c>
      <c r="BM9" s="96">
        <v>2</v>
      </c>
      <c r="BN9" s="45">
        <v>2</v>
      </c>
      <c r="BO9" s="46"/>
      <c r="BP9" s="46"/>
      <c r="BQ9" s="46"/>
      <c r="BR9" s="46"/>
      <c r="BS9" s="46"/>
      <c r="BT9" s="47"/>
      <c r="BU9" s="48">
        <v>2</v>
      </c>
      <c r="BV9" s="49"/>
      <c r="BW9" s="50"/>
      <c r="BX9" s="47"/>
      <c r="BY9" s="51">
        <f t="shared" ref="BY9:CB14" si="4">BN9/BE9</f>
        <v>0.4</v>
      </c>
      <c r="BZ9" s="52">
        <f t="shared" si="4"/>
        <v>0</v>
      </c>
      <c r="CA9" s="52">
        <f t="shared" si="4"/>
        <v>0</v>
      </c>
      <c r="CB9" s="52">
        <f t="shared" si="4"/>
        <v>0</v>
      </c>
      <c r="CC9" s="52"/>
      <c r="CD9" s="52">
        <f t="shared" ref="CD9:CE14" si="5">BS9/BJ9</f>
        <v>0</v>
      </c>
      <c r="CE9" s="53">
        <f t="shared" si="5"/>
        <v>0</v>
      </c>
      <c r="CF9" s="112">
        <v>5</v>
      </c>
      <c r="CG9" s="113">
        <v>5</v>
      </c>
      <c r="CH9" s="113">
        <v>1</v>
      </c>
      <c r="CI9" s="113">
        <v>1</v>
      </c>
      <c r="CJ9" s="113"/>
      <c r="CK9" s="113">
        <v>5</v>
      </c>
      <c r="CL9" s="113">
        <v>5</v>
      </c>
      <c r="CM9" s="114">
        <v>30</v>
      </c>
      <c r="CN9" s="115">
        <v>2</v>
      </c>
      <c r="CO9" s="112">
        <v>1</v>
      </c>
      <c r="CP9" s="113"/>
      <c r="CQ9" s="113"/>
      <c r="CR9" s="113"/>
      <c r="CS9" s="113"/>
      <c r="CT9" s="113"/>
      <c r="CU9" s="116">
        <v>1</v>
      </c>
      <c r="CV9" s="117">
        <v>1</v>
      </c>
      <c r="CW9" s="118"/>
      <c r="CX9" s="119">
        <v>1</v>
      </c>
      <c r="CY9" s="116"/>
      <c r="CZ9" s="120">
        <f t="shared" ref="CZ9:DC14" si="6">CO9/CF9</f>
        <v>0.2</v>
      </c>
      <c r="DA9" s="121">
        <f t="shared" si="6"/>
        <v>0</v>
      </c>
      <c r="DB9" s="121">
        <f t="shared" si="6"/>
        <v>0</v>
      </c>
      <c r="DC9" s="121">
        <f t="shared" si="6"/>
        <v>0</v>
      </c>
      <c r="DD9" s="121"/>
      <c r="DE9" s="121">
        <f t="shared" ref="DE9:DF14" si="7">CT9/CK9</f>
        <v>0</v>
      </c>
      <c r="DF9" s="122">
        <f t="shared" si="7"/>
        <v>0.2</v>
      </c>
      <c r="DG9" s="45">
        <v>5</v>
      </c>
      <c r="DH9" s="46">
        <v>5</v>
      </c>
      <c r="DI9" s="46">
        <v>1</v>
      </c>
      <c r="DJ9" s="46">
        <v>1</v>
      </c>
      <c r="DK9" s="46"/>
      <c r="DL9" s="46">
        <v>5</v>
      </c>
      <c r="DM9" s="97">
        <v>5</v>
      </c>
      <c r="DN9" s="45">
        <v>27</v>
      </c>
      <c r="DO9" s="96">
        <v>0</v>
      </c>
      <c r="DP9" s="45"/>
      <c r="DQ9" s="46"/>
      <c r="DR9" s="46"/>
      <c r="DS9" s="46"/>
      <c r="DT9" s="46"/>
      <c r="DU9" s="47"/>
      <c r="DV9" s="48"/>
      <c r="DW9" s="49"/>
      <c r="DX9" s="50"/>
      <c r="DY9" s="47"/>
      <c r="DZ9" s="51">
        <f t="shared" ref="DZ9:EC14" si="8">DP9/DG9</f>
        <v>0</v>
      </c>
      <c r="EA9" s="52">
        <f t="shared" si="8"/>
        <v>0</v>
      </c>
      <c r="EB9" s="52">
        <f t="shared" si="8"/>
        <v>0</v>
      </c>
      <c r="EC9" s="52">
        <f t="shared" si="8"/>
        <v>0</v>
      </c>
      <c r="ED9" s="52"/>
      <c r="EE9" s="52">
        <f t="shared" ref="EE9:EF14" si="9">DT9/DL9</f>
        <v>0</v>
      </c>
      <c r="EF9" s="53">
        <f t="shared" si="9"/>
        <v>0</v>
      </c>
      <c r="EG9" s="74">
        <f>C9+AD9+BE9+CF9+DG9</f>
        <v>25</v>
      </c>
      <c r="EH9" s="75">
        <f t="shared" ref="EH9:EZ9" si="10">D9+AE9+BF9+CG9+DH9</f>
        <v>25</v>
      </c>
      <c r="EI9" s="75">
        <f t="shared" si="10"/>
        <v>5</v>
      </c>
      <c r="EJ9" s="75">
        <f t="shared" si="10"/>
        <v>5</v>
      </c>
      <c r="EK9" s="156">
        <f t="shared" si="10"/>
        <v>0</v>
      </c>
      <c r="EL9" s="74">
        <f t="shared" si="10"/>
        <v>25</v>
      </c>
      <c r="EM9" s="76">
        <f t="shared" si="10"/>
        <v>25</v>
      </c>
      <c r="EN9" s="74">
        <f t="shared" si="10"/>
        <v>175</v>
      </c>
      <c r="EO9" s="76">
        <f t="shared" si="10"/>
        <v>7</v>
      </c>
      <c r="EP9" s="74">
        <f t="shared" si="10"/>
        <v>4</v>
      </c>
      <c r="EQ9" s="75">
        <f t="shared" si="10"/>
        <v>0</v>
      </c>
      <c r="ER9" s="75">
        <f t="shared" si="10"/>
        <v>0</v>
      </c>
      <c r="ES9" s="75">
        <f t="shared" si="10"/>
        <v>0</v>
      </c>
      <c r="ET9" s="156">
        <f t="shared" si="10"/>
        <v>0</v>
      </c>
      <c r="EU9" s="74">
        <f t="shared" si="10"/>
        <v>1</v>
      </c>
      <c r="EV9" s="76">
        <f t="shared" si="10"/>
        <v>2</v>
      </c>
      <c r="EW9" s="74">
        <f t="shared" si="10"/>
        <v>5</v>
      </c>
      <c r="EX9" s="75">
        <f t="shared" si="10"/>
        <v>0</v>
      </c>
      <c r="EY9" s="75">
        <f t="shared" si="10"/>
        <v>2</v>
      </c>
      <c r="EZ9" s="76">
        <f t="shared" si="10"/>
        <v>0</v>
      </c>
      <c r="FA9" s="71">
        <f t="shared" ref="FA9:FD14" si="11">EP9/EG9</f>
        <v>0.16</v>
      </c>
      <c r="FB9" s="72">
        <f t="shared" si="11"/>
        <v>0</v>
      </c>
      <c r="FC9" s="72">
        <f t="shared" si="11"/>
        <v>0</v>
      </c>
      <c r="FD9" s="72">
        <f t="shared" si="11"/>
        <v>0</v>
      </c>
      <c r="FE9" s="72"/>
      <c r="FF9" s="72">
        <f t="shared" ref="FF9:FG14" si="12">EU9/EL9</f>
        <v>0.04</v>
      </c>
      <c r="FG9" s="73">
        <f t="shared" si="12"/>
        <v>0.08</v>
      </c>
    </row>
    <row r="10" spans="1:182" s="4" customFormat="1" ht="40" customHeight="1" x14ac:dyDescent="0.35">
      <c r="A10" s="86" t="s">
        <v>6</v>
      </c>
      <c r="B10" s="11" t="s">
        <v>25</v>
      </c>
      <c r="C10" s="54">
        <v>5</v>
      </c>
      <c r="D10" s="55">
        <v>5</v>
      </c>
      <c r="E10" s="55">
        <v>1</v>
      </c>
      <c r="F10" s="55">
        <v>1</v>
      </c>
      <c r="G10" s="55"/>
      <c r="H10" s="55">
        <v>5</v>
      </c>
      <c r="I10" s="56">
        <v>5</v>
      </c>
      <c r="J10" s="54">
        <v>36</v>
      </c>
      <c r="K10" s="56">
        <v>1</v>
      </c>
      <c r="L10" s="54">
        <v>1</v>
      </c>
      <c r="M10" s="55"/>
      <c r="N10" s="55"/>
      <c r="O10" s="55"/>
      <c r="P10" s="55"/>
      <c r="Q10" s="55"/>
      <c r="R10" s="56"/>
      <c r="S10" s="54">
        <v>1</v>
      </c>
      <c r="T10" s="55"/>
      <c r="U10" s="57"/>
      <c r="V10" s="56">
        <v>0</v>
      </c>
      <c r="W10" s="58">
        <f t="shared" si="0"/>
        <v>0.2</v>
      </c>
      <c r="X10" s="59">
        <f t="shared" si="0"/>
        <v>0</v>
      </c>
      <c r="Y10" s="59">
        <f t="shared" si="0"/>
        <v>0</v>
      </c>
      <c r="Z10" s="59">
        <f t="shared" si="0"/>
        <v>0</v>
      </c>
      <c r="AA10" s="59"/>
      <c r="AB10" s="59">
        <f t="shared" si="1"/>
        <v>0</v>
      </c>
      <c r="AC10" s="60">
        <f t="shared" si="1"/>
        <v>0</v>
      </c>
      <c r="AD10" s="27">
        <v>5</v>
      </c>
      <c r="AE10" s="28">
        <v>5</v>
      </c>
      <c r="AF10" s="28">
        <v>1</v>
      </c>
      <c r="AG10" s="28">
        <v>1</v>
      </c>
      <c r="AH10" s="28"/>
      <c r="AI10" s="28">
        <v>5</v>
      </c>
      <c r="AJ10" s="28">
        <v>5</v>
      </c>
      <c r="AK10" s="90">
        <v>45</v>
      </c>
      <c r="AL10" s="91">
        <v>0</v>
      </c>
      <c r="AM10" s="27"/>
      <c r="AN10" s="28"/>
      <c r="AO10" s="28"/>
      <c r="AP10" s="28"/>
      <c r="AQ10" s="28"/>
      <c r="AR10" s="28"/>
      <c r="AS10" s="29"/>
      <c r="AT10" s="27"/>
      <c r="AU10" s="28"/>
      <c r="AV10" s="30"/>
      <c r="AW10" s="29">
        <v>0</v>
      </c>
      <c r="AX10" s="31">
        <f t="shared" si="2"/>
        <v>0</v>
      </c>
      <c r="AY10" s="32">
        <f t="shared" si="2"/>
        <v>0</v>
      </c>
      <c r="AZ10" s="32">
        <f t="shared" si="2"/>
        <v>0</v>
      </c>
      <c r="BA10" s="32">
        <f t="shared" si="2"/>
        <v>0</v>
      </c>
      <c r="BB10" s="32"/>
      <c r="BC10" s="32">
        <f t="shared" si="3"/>
        <v>0</v>
      </c>
      <c r="BD10" s="33">
        <f t="shared" si="3"/>
        <v>0</v>
      </c>
      <c r="BE10" s="54">
        <v>5</v>
      </c>
      <c r="BF10" s="55">
        <v>5</v>
      </c>
      <c r="BG10" s="55">
        <v>1</v>
      </c>
      <c r="BH10" s="55">
        <v>1</v>
      </c>
      <c r="BI10" s="55"/>
      <c r="BJ10" s="55">
        <v>5</v>
      </c>
      <c r="BK10" s="57">
        <v>5</v>
      </c>
      <c r="BL10" s="54">
        <v>56</v>
      </c>
      <c r="BM10" s="56">
        <v>0</v>
      </c>
      <c r="BN10" s="54"/>
      <c r="BO10" s="55"/>
      <c r="BP10" s="55"/>
      <c r="BQ10" s="55"/>
      <c r="BR10" s="55"/>
      <c r="BS10" s="55"/>
      <c r="BT10" s="56"/>
      <c r="BU10" s="54"/>
      <c r="BV10" s="55"/>
      <c r="BW10" s="57"/>
      <c r="BX10" s="56"/>
      <c r="BY10" s="58">
        <f t="shared" si="4"/>
        <v>0</v>
      </c>
      <c r="BZ10" s="59">
        <f t="shared" si="4"/>
        <v>0</v>
      </c>
      <c r="CA10" s="59">
        <f t="shared" si="4"/>
        <v>0</v>
      </c>
      <c r="CB10" s="59">
        <f t="shared" si="4"/>
        <v>0</v>
      </c>
      <c r="CC10" s="59"/>
      <c r="CD10" s="59">
        <f t="shared" si="5"/>
        <v>0</v>
      </c>
      <c r="CE10" s="60">
        <f t="shared" si="5"/>
        <v>0</v>
      </c>
      <c r="CF10" s="123">
        <v>5</v>
      </c>
      <c r="CG10" s="124">
        <v>5</v>
      </c>
      <c r="CH10" s="124">
        <v>1</v>
      </c>
      <c r="CI10" s="124">
        <v>1</v>
      </c>
      <c r="CJ10" s="124"/>
      <c r="CK10" s="124">
        <v>5</v>
      </c>
      <c r="CL10" s="124">
        <v>5</v>
      </c>
      <c r="CM10" s="125">
        <v>12</v>
      </c>
      <c r="CN10" s="126"/>
      <c r="CO10" s="123"/>
      <c r="CP10" s="124"/>
      <c r="CQ10" s="124"/>
      <c r="CR10" s="124"/>
      <c r="CS10" s="124"/>
      <c r="CT10" s="124"/>
      <c r="CU10" s="127"/>
      <c r="CV10" s="123"/>
      <c r="CW10" s="124"/>
      <c r="CX10" s="128"/>
      <c r="CY10" s="127"/>
      <c r="CZ10" s="129">
        <f t="shared" si="6"/>
        <v>0</v>
      </c>
      <c r="DA10" s="130">
        <f t="shared" si="6"/>
        <v>0</v>
      </c>
      <c r="DB10" s="130">
        <f t="shared" si="6"/>
        <v>0</v>
      </c>
      <c r="DC10" s="130">
        <f t="shared" si="6"/>
        <v>0</v>
      </c>
      <c r="DD10" s="130"/>
      <c r="DE10" s="130">
        <f t="shared" si="7"/>
        <v>0</v>
      </c>
      <c r="DF10" s="131">
        <f t="shared" si="7"/>
        <v>0</v>
      </c>
      <c r="DG10" s="54">
        <v>5</v>
      </c>
      <c r="DH10" s="55">
        <v>5</v>
      </c>
      <c r="DI10" s="55">
        <v>1</v>
      </c>
      <c r="DJ10" s="55">
        <v>1</v>
      </c>
      <c r="DK10" s="55"/>
      <c r="DL10" s="55">
        <v>5</v>
      </c>
      <c r="DM10" s="57">
        <v>5</v>
      </c>
      <c r="DN10" s="54">
        <v>25</v>
      </c>
      <c r="DO10" s="56">
        <v>0</v>
      </c>
      <c r="DP10" s="54"/>
      <c r="DQ10" s="55"/>
      <c r="DR10" s="55"/>
      <c r="DS10" s="55"/>
      <c r="DT10" s="55"/>
      <c r="DU10" s="56"/>
      <c r="DV10" s="54"/>
      <c r="DW10" s="55"/>
      <c r="DX10" s="57"/>
      <c r="DY10" s="56"/>
      <c r="DZ10" s="58">
        <f t="shared" si="8"/>
        <v>0</v>
      </c>
      <c r="EA10" s="59">
        <f t="shared" si="8"/>
        <v>0</v>
      </c>
      <c r="EB10" s="59">
        <f t="shared" si="8"/>
        <v>0</v>
      </c>
      <c r="EC10" s="59">
        <f t="shared" si="8"/>
        <v>0</v>
      </c>
      <c r="ED10" s="59"/>
      <c r="EE10" s="59">
        <f t="shared" si="9"/>
        <v>0</v>
      </c>
      <c r="EF10" s="60">
        <f t="shared" si="9"/>
        <v>0</v>
      </c>
      <c r="EG10" s="74">
        <f t="shared" ref="EG10:EG13" si="13">C10+AD10+BE10+CF10+DG10</f>
        <v>25</v>
      </c>
      <c r="EH10" s="75">
        <f t="shared" ref="EH10:EH13" si="14">D10+AE10+BF10+CG10+DH10</f>
        <v>25</v>
      </c>
      <c r="EI10" s="75">
        <f t="shared" ref="EI10:EI13" si="15">E10+AF10+BG10+CH10+DI10</f>
        <v>5</v>
      </c>
      <c r="EJ10" s="75">
        <f t="shared" ref="EJ10:EJ13" si="16">F10+AG10+BH10+CI10+DJ10</f>
        <v>5</v>
      </c>
      <c r="EK10" s="156">
        <f t="shared" ref="EK10:EK13" si="17">G10+AH10+BI10+CJ10+DK10</f>
        <v>0</v>
      </c>
      <c r="EL10" s="74">
        <f t="shared" ref="EL10:EL13" si="18">H10+AI10+BJ10+CK10+DL10</f>
        <v>25</v>
      </c>
      <c r="EM10" s="76">
        <f t="shared" ref="EM10:EM13" si="19">I10+AJ10+BK10+CL10+DM10</f>
        <v>25</v>
      </c>
      <c r="EN10" s="74">
        <f t="shared" ref="EN10:EN13" si="20">J10+AK10+BL10+CM10+DN10</f>
        <v>174</v>
      </c>
      <c r="EO10" s="76">
        <f t="shared" ref="EO10:EO13" si="21">K10+AL10+BM10+CN10+DO10</f>
        <v>1</v>
      </c>
      <c r="EP10" s="74">
        <f t="shared" ref="EP10:EP13" si="22">L10+AM10+BN10+CO10+DP10</f>
        <v>1</v>
      </c>
      <c r="EQ10" s="75">
        <f t="shared" ref="EQ10:EQ13" si="23">M10+AN10+BO10+CP10+DQ10</f>
        <v>0</v>
      </c>
      <c r="ER10" s="75">
        <f t="shared" ref="ER10:ER13" si="24">N10+AO10+BP10+CQ10+DR10</f>
        <v>0</v>
      </c>
      <c r="ES10" s="75">
        <f t="shared" ref="ES10:ES13" si="25">O10+AP10+BQ10+CR10+DS10</f>
        <v>0</v>
      </c>
      <c r="ET10" s="156">
        <f t="shared" ref="ET10:ET13" si="26">P10+AQ10+BR10+CS10+DT10</f>
        <v>0</v>
      </c>
      <c r="EU10" s="74">
        <f t="shared" ref="EU10:EU13" si="27">Q10+AR10+BS10+CT10+DU10</f>
        <v>0</v>
      </c>
      <c r="EV10" s="76">
        <f t="shared" ref="EV10:EV13" si="28">R10+AS10+BT10+CU10+DV10</f>
        <v>0</v>
      </c>
      <c r="EW10" s="74">
        <f t="shared" ref="EW10:EW13" si="29">S10+AT10+BU10+CV10+DW10</f>
        <v>1</v>
      </c>
      <c r="EX10" s="75">
        <f t="shared" ref="EX10:EX13" si="30">T10+AU10+BV10+CW10+DX10</f>
        <v>0</v>
      </c>
      <c r="EY10" s="75">
        <f t="shared" ref="EY10:EY13" si="31">U10+AV10+BW10+CX10+DY10</f>
        <v>0</v>
      </c>
      <c r="EZ10" s="76">
        <f t="shared" ref="EZ10:EZ13" si="32">V10+AW10+BX10+CY10+DZ10</f>
        <v>0</v>
      </c>
      <c r="FA10" s="77">
        <f t="shared" si="11"/>
        <v>0.04</v>
      </c>
      <c r="FB10" s="78">
        <f t="shared" si="11"/>
        <v>0</v>
      </c>
      <c r="FC10" s="78">
        <f t="shared" si="11"/>
        <v>0</v>
      </c>
      <c r="FD10" s="78">
        <f t="shared" si="11"/>
        <v>0</v>
      </c>
      <c r="FE10" s="78"/>
      <c r="FF10" s="78">
        <f t="shared" si="12"/>
        <v>0</v>
      </c>
      <c r="FG10" s="79">
        <f t="shared" si="12"/>
        <v>0</v>
      </c>
    </row>
    <row r="11" spans="1:182" s="4" customFormat="1" ht="40" customHeight="1" x14ac:dyDescent="0.35">
      <c r="A11" s="86" t="s">
        <v>7</v>
      </c>
      <c r="B11" s="6" t="s">
        <v>27</v>
      </c>
      <c r="C11" s="54">
        <v>5</v>
      </c>
      <c r="D11" s="55">
        <v>5</v>
      </c>
      <c r="E11" s="55">
        <v>1</v>
      </c>
      <c r="F11" s="55">
        <v>1</v>
      </c>
      <c r="G11" s="55"/>
      <c r="H11" s="55">
        <v>5</v>
      </c>
      <c r="I11" s="56">
        <v>5</v>
      </c>
      <c r="J11" s="54"/>
      <c r="K11" s="56"/>
      <c r="L11" s="54"/>
      <c r="M11" s="55"/>
      <c r="N11" s="55"/>
      <c r="O11" s="55"/>
      <c r="P11" s="55"/>
      <c r="Q11" s="55"/>
      <c r="R11" s="56"/>
      <c r="S11" s="54"/>
      <c r="T11" s="55"/>
      <c r="U11" s="57"/>
      <c r="V11" s="56"/>
      <c r="W11" s="58">
        <f t="shared" si="0"/>
        <v>0</v>
      </c>
      <c r="X11" s="59">
        <f t="shared" si="0"/>
        <v>0</v>
      </c>
      <c r="Y11" s="59">
        <f t="shared" si="0"/>
        <v>0</v>
      </c>
      <c r="Z11" s="59">
        <f t="shared" si="0"/>
        <v>0</v>
      </c>
      <c r="AA11" s="59"/>
      <c r="AB11" s="59">
        <f t="shared" si="1"/>
        <v>0</v>
      </c>
      <c r="AC11" s="60">
        <f t="shared" si="1"/>
        <v>0</v>
      </c>
      <c r="AD11" s="27">
        <v>5</v>
      </c>
      <c r="AE11" s="28">
        <v>5</v>
      </c>
      <c r="AF11" s="28">
        <v>1</v>
      </c>
      <c r="AG11" s="28">
        <v>1</v>
      </c>
      <c r="AH11" s="28"/>
      <c r="AI11" s="28">
        <v>5</v>
      </c>
      <c r="AJ11" s="28">
        <v>5</v>
      </c>
      <c r="AK11" s="90"/>
      <c r="AL11" s="91"/>
      <c r="AM11" s="27"/>
      <c r="AN11" s="28"/>
      <c r="AO11" s="28"/>
      <c r="AP11" s="28"/>
      <c r="AQ11" s="28"/>
      <c r="AR11" s="28"/>
      <c r="AS11" s="29"/>
      <c r="AT11" s="27"/>
      <c r="AU11" s="28"/>
      <c r="AV11" s="30"/>
      <c r="AW11" s="29"/>
      <c r="AX11" s="31">
        <f t="shared" si="2"/>
        <v>0</v>
      </c>
      <c r="AY11" s="32">
        <f t="shared" si="2"/>
        <v>0</v>
      </c>
      <c r="AZ11" s="32">
        <f t="shared" si="2"/>
        <v>0</v>
      </c>
      <c r="BA11" s="32">
        <f t="shared" si="2"/>
        <v>0</v>
      </c>
      <c r="BB11" s="32"/>
      <c r="BC11" s="32">
        <f t="shared" si="3"/>
        <v>0</v>
      </c>
      <c r="BD11" s="33">
        <f t="shared" si="3"/>
        <v>0</v>
      </c>
      <c r="BE11" s="54">
        <v>5</v>
      </c>
      <c r="BF11" s="55">
        <v>5</v>
      </c>
      <c r="BG11" s="55">
        <v>1</v>
      </c>
      <c r="BH11" s="55">
        <v>1</v>
      </c>
      <c r="BI11" s="55"/>
      <c r="BJ11" s="55">
        <v>5</v>
      </c>
      <c r="BK11" s="57">
        <v>5</v>
      </c>
      <c r="BL11" s="54"/>
      <c r="BM11" s="56"/>
      <c r="BN11" s="54"/>
      <c r="BO11" s="55"/>
      <c r="BP11" s="55"/>
      <c r="BQ11" s="55"/>
      <c r="BR11" s="55"/>
      <c r="BS11" s="55"/>
      <c r="BT11" s="56"/>
      <c r="BU11" s="54"/>
      <c r="BV11" s="55"/>
      <c r="BW11" s="57"/>
      <c r="BX11" s="56"/>
      <c r="BY11" s="58">
        <f t="shared" si="4"/>
        <v>0</v>
      </c>
      <c r="BZ11" s="59">
        <f t="shared" si="4"/>
        <v>0</v>
      </c>
      <c r="CA11" s="59">
        <f t="shared" si="4"/>
        <v>0</v>
      </c>
      <c r="CB11" s="59">
        <f t="shared" si="4"/>
        <v>0</v>
      </c>
      <c r="CC11" s="59"/>
      <c r="CD11" s="59">
        <f t="shared" si="5"/>
        <v>0</v>
      </c>
      <c r="CE11" s="60">
        <f t="shared" si="5"/>
        <v>0</v>
      </c>
      <c r="CF11" s="123">
        <v>5</v>
      </c>
      <c r="CG11" s="124">
        <v>5</v>
      </c>
      <c r="CH11" s="124">
        <v>1</v>
      </c>
      <c r="CI11" s="124">
        <v>1</v>
      </c>
      <c r="CJ11" s="124"/>
      <c r="CK11" s="124">
        <v>5</v>
      </c>
      <c r="CL11" s="124">
        <v>5</v>
      </c>
      <c r="CM11" s="125"/>
      <c r="CN11" s="126"/>
      <c r="CO11" s="123"/>
      <c r="CP11" s="124"/>
      <c r="CQ11" s="124"/>
      <c r="CR11" s="124"/>
      <c r="CS11" s="124"/>
      <c r="CT11" s="124"/>
      <c r="CU11" s="127"/>
      <c r="CV11" s="123"/>
      <c r="CW11" s="124"/>
      <c r="CX11" s="128"/>
      <c r="CY11" s="127"/>
      <c r="CZ11" s="129">
        <f t="shared" si="6"/>
        <v>0</v>
      </c>
      <c r="DA11" s="130">
        <f t="shared" si="6"/>
        <v>0</v>
      </c>
      <c r="DB11" s="130">
        <f t="shared" si="6"/>
        <v>0</v>
      </c>
      <c r="DC11" s="130">
        <f t="shared" si="6"/>
        <v>0</v>
      </c>
      <c r="DD11" s="130"/>
      <c r="DE11" s="130">
        <f t="shared" si="7"/>
        <v>0</v>
      </c>
      <c r="DF11" s="131">
        <f t="shared" si="7"/>
        <v>0</v>
      </c>
      <c r="DG11" s="54">
        <v>5</v>
      </c>
      <c r="DH11" s="55">
        <v>5</v>
      </c>
      <c r="DI11" s="55">
        <v>1</v>
      </c>
      <c r="DJ11" s="55">
        <v>1</v>
      </c>
      <c r="DK11" s="55"/>
      <c r="DL11" s="55">
        <v>5</v>
      </c>
      <c r="DM11" s="57">
        <v>5</v>
      </c>
      <c r="DN11" s="54"/>
      <c r="DO11" s="56"/>
      <c r="DP11" s="54"/>
      <c r="DQ11" s="55"/>
      <c r="DR11" s="55"/>
      <c r="DS11" s="55"/>
      <c r="DT11" s="55"/>
      <c r="DU11" s="56"/>
      <c r="DV11" s="54"/>
      <c r="DW11" s="55"/>
      <c r="DX11" s="57"/>
      <c r="DY11" s="56"/>
      <c r="DZ11" s="58">
        <f t="shared" si="8"/>
        <v>0</v>
      </c>
      <c r="EA11" s="59">
        <f t="shared" si="8"/>
        <v>0</v>
      </c>
      <c r="EB11" s="59">
        <f t="shared" si="8"/>
        <v>0</v>
      </c>
      <c r="EC11" s="59">
        <f t="shared" si="8"/>
        <v>0</v>
      </c>
      <c r="ED11" s="59"/>
      <c r="EE11" s="59">
        <f t="shared" si="9"/>
        <v>0</v>
      </c>
      <c r="EF11" s="60">
        <f t="shared" si="9"/>
        <v>0</v>
      </c>
      <c r="EG11" s="74">
        <f t="shared" si="13"/>
        <v>25</v>
      </c>
      <c r="EH11" s="75">
        <f t="shared" si="14"/>
        <v>25</v>
      </c>
      <c r="EI11" s="75">
        <f t="shared" si="15"/>
        <v>5</v>
      </c>
      <c r="EJ11" s="75">
        <f t="shared" si="16"/>
        <v>5</v>
      </c>
      <c r="EK11" s="156">
        <f t="shared" si="17"/>
        <v>0</v>
      </c>
      <c r="EL11" s="74">
        <f t="shared" si="18"/>
        <v>25</v>
      </c>
      <c r="EM11" s="76">
        <f t="shared" si="19"/>
        <v>25</v>
      </c>
      <c r="EN11" s="74">
        <f t="shared" si="20"/>
        <v>0</v>
      </c>
      <c r="EO11" s="76">
        <f t="shared" si="21"/>
        <v>0</v>
      </c>
      <c r="EP11" s="74">
        <f t="shared" si="22"/>
        <v>0</v>
      </c>
      <c r="EQ11" s="75">
        <f t="shared" si="23"/>
        <v>0</v>
      </c>
      <c r="ER11" s="75">
        <f t="shared" si="24"/>
        <v>0</v>
      </c>
      <c r="ES11" s="75">
        <f t="shared" si="25"/>
        <v>0</v>
      </c>
      <c r="ET11" s="156">
        <f t="shared" si="26"/>
        <v>0</v>
      </c>
      <c r="EU11" s="74">
        <f t="shared" si="27"/>
        <v>0</v>
      </c>
      <c r="EV11" s="76">
        <f t="shared" si="28"/>
        <v>0</v>
      </c>
      <c r="EW11" s="74">
        <f t="shared" si="29"/>
        <v>0</v>
      </c>
      <c r="EX11" s="75">
        <f t="shared" si="30"/>
        <v>0</v>
      </c>
      <c r="EY11" s="75">
        <f t="shared" si="31"/>
        <v>0</v>
      </c>
      <c r="EZ11" s="76">
        <f t="shared" si="32"/>
        <v>0</v>
      </c>
      <c r="FA11" s="77">
        <f t="shared" si="11"/>
        <v>0</v>
      </c>
      <c r="FB11" s="78">
        <f t="shared" si="11"/>
        <v>0</v>
      </c>
      <c r="FC11" s="78">
        <f t="shared" si="11"/>
        <v>0</v>
      </c>
      <c r="FD11" s="78">
        <f t="shared" si="11"/>
        <v>0</v>
      </c>
      <c r="FE11" s="78"/>
      <c r="FF11" s="78">
        <f t="shared" si="12"/>
        <v>0</v>
      </c>
      <c r="FG11" s="79">
        <f t="shared" si="12"/>
        <v>0</v>
      </c>
    </row>
    <row r="12" spans="1:182" s="4" customFormat="1" ht="40" customHeight="1" x14ac:dyDescent="0.35">
      <c r="A12" s="86" t="s">
        <v>8</v>
      </c>
      <c r="B12" s="6" t="s">
        <v>28</v>
      </c>
      <c r="C12" s="54">
        <v>5</v>
      </c>
      <c r="D12" s="55">
        <v>5</v>
      </c>
      <c r="E12" s="55">
        <v>1</v>
      </c>
      <c r="F12" s="55">
        <v>1</v>
      </c>
      <c r="G12" s="55"/>
      <c r="H12" s="55">
        <v>5</v>
      </c>
      <c r="I12" s="56">
        <v>5</v>
      </c>
      <c r="J12" s="54">
        <v>62</v>
      </c>
      <c r="K12" s="56">
        <v>13</v>
      </c>
      <c r="L12" s="54">
        <v>2</v>
      </c>
      <c r="M12" s="55"/>
      <c r="N12" s="55"/>
      <c r="O12" s="55">
        <v>19</v>
      </c>
      <c r="P12" s="55"/>
      <c r="Q12" s="55">
        <v>4</v>
      </c>
      <c r="R12" s="56"/>
      <c r="S12" s="54">
        <v>2</v>
      </c>
      <c r="T12" s="55">
        <v>19</v>
      </c>
      <c r="U12" s="57">
        <v>4</v>
      </c>
      <c r="V12" s="56">
        <v>0</v>
      </c>
      <c r="W12" s="58">
        <f t="shared" si="0"/>
        <v>0.4</v>
      </c>
      <c r="X12" s="59">
        <f t="shared" si="0"/>
        <v>0</v>
      </c>
      <c r="Y12" s="59">
        <f t="shared" si="0"/>
        <v>0</v>
      </c>
      <c r="Z12" s="59">
        <f t="shared" si="0"/>
        <v>19</v>
      </c>
      <c r="AA12" s="59"/>
      <c r="AB12" s="59">
        <f t="shared" si="1"/>
        <v>0.8</v>
      </c>
      <c r="AC12" s="60">
        <f t="shared" si="1"/>
        <v>0</v>
      </c>
      <c r="AD12" s="27">
        <v>5</v>
      </c>
      <c r="AE12" s="28">
        <v>5</v>
      </c>
      <c r="AF12" s="28">
        <v>1</v>
      </c>
      <c r="AG12" s="28">
        <v>1</v>
      </c>
      <c r="AH12" s="28"/>
      <c r="AI12" s="28">
        <v>5</v>
      </c>
      <c r="AJ12" s="28">
        <v>5</v>
      </c>
      <c r="AK12" s="90">
        <v>56</v>
      </c>
      <c r="AL12" s="91">
        <v>16</v>
      </c>
      <c r="AM12" s="27">
        <v>1</v>
      </c>
      <c r="AN12" s="28"/>
      <c r="AO12" s="28"/>
      <c r="AP12" s="28">
        <v>37</v>
      </c>
      <c r="AQ12" s="28"/>
      <c r="AR12" s="28">
        <v>2</v>
      </c>
      <c r="AS12" s="29">
        <v>1</v>
      </c>
      <c r="AT12" s="27">
        <v>1</v>
      </c>
      <c r="AU12" s="28">
        <v>37</v>
      </c>
      <c r="AV12" s="30">
        <v>3</v>
      </c>
      <c r="AW12" s="29">
        <v>0</v>
      </c>
      <c r="AX12" s="31">
        <f t="shared" si="2"/>
        <v>0.2</v>
      </c>
      <c r="AY12" s="32">
        <f t="shared" si="2"/>
        <v>0</v>
      </c>
      <c r="AZ12" s="32">
        <f t="shared" si="2"/>
        <v>0</v>
      </c>
      <c r="BA12" s="32">
        <f t="shared" si="2"/>
        <v>37</v>
      </c>
      <c r="BB12" s="32"/>
      <c r="BC12" s="32">
        <f t="shared" si="3"/>
        <v>0.4</v>
      </c>
      <c r="BD12" s="33">
        <f t="shared" si="3"/>
        <v>0.2</v>
      </c>
      <c r="BE12" s="54">
        <v>5</v>
      </c>
      <c r="BF12" s="55">
        <v>5</v>
      </c>
      <c r="BG12" s="55">
        <v>1</v>
      </c>
      <c r="BH12" s="55">
        <v>1</v>
      </c>
      <c r="BI12" s="55"/>
      <c r="BJ12" s="55">
        <v>5</v>
      </c>
      <c r="BK12" s="57">
        <v>5</v>
      </c>
      <c r="BL12" s="54">
        <v>32</v>
      </c>
      <c r="BM12" s="56">
        <v>6</v>
      </c>
      <c r="BN12" s="54"/>
      <c r="BO12" s="55"/>
      <c r="BP12" s="55">
        <v>0.5</v>
      </c>
      <c r="BQ12" s="55">
        <v>14</v>
      </c>
      <c r="BR12" s="55"/>
      <c r="BS12" s="55">
        <v>1</v>
      </c>
      <c r="BT12" s="56"/>
      <c r="BU12" s="54"/>
      <c r="BV12" s="55">
        <v>14</v>
      </c>
      <c r="BW12" s="57">
        <v>1</v>
      </c>
      <c r="BX12" s="56"/>
      <c r="BY12" s="58">
        <f t="shared" si="4"/>
        <v>0</v>
      </c>
      <c r="BZ12" s="59">
        <f t="shared" si="4"/>
        <v>0</v>
      </c>
      <c r="CA12" s="59">
        <f t="shared" si="4"/>
        <v>0.5</v>
      </c>
      <c r="CB12" s="59">
        <f t="shared" si="4"/>
        <v>14</v>
      </c>
      <c r="CC12" s="59"/>
      <c r="CD12" s="59">
        <f t="shared" si="5"/>
        <v>0.2</v>
      </c>
      <c r="CE12" s="60">
        <f t="shared" si="5"/>
        <v>0</v>
      </c>
      <c r="CF12" s="123">
        <v>5</v>
      </c>
      <c r="CG12" s="124">
        <v>5</v>
      </c>
      <c r="CH12" s="124">
        <v>1</v>
      </c>
      <c r="CI12" s="124">
        <v>1</v>
      </c>
      <c r="CJ12" s="124"/>
      <c r="CK12" s="124">
        <v>5</v>
      </c>
      <c r="CL12" s="124">
        <v>5</v>
      </c>
      <c r="CM12" s="125">
        <v>40</v>
      </c>
      <c r="CN12" s="126">
        <v>8</v>
      </c>
      <c r="CO12" s="123"/>
      <c r="CP12" s="124"/>
      <c r="CQ12" s="124"/>
      <c r="CR12" s="124">
        <v>15</v>
      </c>
      <c r="CS12" s="124"/>
      <c r="CT12" s="124">
        <v>1</v>
      </c>
      <c r="CU12" s="127"/>
      <c r="CV12" s="123"/>
      <c r="CW12" s="124">
        <v>15</v>
      </c>
      <c r="CX12" s="128">
        <v>1</v>
      </c>
      <c r="CY12" s="127"/>
      <c r="CZ12" s="129">
        <f t="shared" si="6"/>
        <v>0</v>
      </c>
      <c r="DA12" s="130">
        <f t="shared" si="6"/>
        <v>0</v>
      </c>
      <c r="DB12" s="130">
        <f t="shared" si="6"/>
        <v>0</v>
      </c>
      <c r="DC12" s="130">
        <f t="shared" si="6"/>
        <v>15</v>
      </c>
      <c r="DD12" s="130"/>
      <c r="DE12" s="130">
        <f t="shared" si="7"/>
        <v>0.2</v>
      </c>
      <c r="DF12" s="131">
        <f t="shared" si="7"/>
        <v>0</v>
      </c>
      <c r="DG12" s="54">
        <v>5</v>
      </c>
      <c r="DH12" s="55">
        <v>5</v>
      </c>
      <c r="DI12" s="55">
        <v>1</v>
      </c>
      <c r="DJ12" s="55">
        <v>1</v>
      </c>
      <c r="DK12" s="55"/>
      <c r="DL12" s="55">
        <v>5</v>
      </c>
      <c r="DM12" s="57">
        <v>5</v>
      </c>
      <c r="DN12" s="54">
        <v>42</v>
      </c>
      <c r="DO12" s="56">
        <v>6</v>
      </c>
      <c r="DP12" s="54"/>
      <c r="DQ12" s="55"/>
      <c r="DR12" s="55">
        <v>1</v>
      </c>
      <c r="DS12" s="55">
        <v>78</v>
      </c>
      <c r="DT12" s="55"/>
      <c r="DU12" s="56"/>
      <c r="DV12" s="54"/>
      <c r="DW12" s="55">
        <v>79</v>
      </c>
      <c r="DX12" s="57"/>
      <c r="DY12" s="56"/>
      <c r="DZ12" s="58">
        <f t="shared" si="8"/>
        <v>0</v>
      </c>
      <c r="EA12" s="59">
        <f t="shared" si="8"/>
        <v>0</v>
      </c>
      <c r="EB12" s="59">
        <f t="shared" si="8"/>
        <v>1</v>
      </c>
      <c r="EC12" s="59">
        <f t="shared" si="8"/>
        <v>78</v>
      </c>
      <c r="ED12" s="59"/>
      <c r="EE12" s="59">
        <f t="shared" si="9"/>
        <v>0</v>
      </c>
      <c r="EF12" s="60">
        <f t="shared" si="9"/>
        <v>0</v>
      </c>
      <c r="EG12" s="74">
        <f t="shared" si="13"/>
        <v>25</v>
      </c>
      <c r="EH12" s="75">
        <f t="shared" si="14"/>
        <v>25</v>
      </c>
      <c r="EI12" s="75">
        <f t="shared" si="15"/>
        <v>5</v>
      </c>
      <c r="EJ12" s="75">
        <f t="shared" si="16"/>
        <v>5</v>
      </c>
      <c r="EK12" s="156">
        <f t="shared" si="17"/>
        <v>0</v>
      </c>
      <c r="EL12" s="74">
        <f t="shared" si="18"/>
        <v>25</v>
      </c>
      <c r="EM12" s="76">
        <f t="shared" si="19"/>
        <v>25</v>
      </c>
      <c r="EN12" s="74">
        <f t="shared" si="20"/>
        <v>232</v>
      </c>
      <c r="EO12" s="76">
        <f t="shared" si="21"/>
        <v>49</v>
      </c>
      <c r="EP12" s="74">
        <f t="shared" si="22"/>
        <v>3</v>
      </c>
      <c r="EQ12" s="75">
        <f t="shared" si="23"/>
        <v>0</v>
      </c>
      <c r="ER12" s="75">
        <f t="shared" si="24"/>
        <v>1.5</v>
      </c>
      <c r="ES12" s="75">
        <f t="shared" si="25"/>
        <v>163</v>
      </c>
      <c r="ET12" s="156">
        <f t="shared" si="26"/>
        <v>0</v>
      </c>
      <c r="EU12" s="74">
        <f t="shared" si="27"/>
        <v>8</v>
      </c>
      <c r="EV12" s="76">
        <f t="shared" si="28"/>
        <v>1</v>
      </c>
      <c r="EW12" s="74">
        <f t="shared" si="29"/>
        <v>82</v>
      </c>
      <c r="EX12" s="75">
        <f t="shared" si="30"/>
        <v>85</v>
      </c>
      <c r="EY12" s="75">
        <f t="shared" si="31"/>
        <v>9</v>
      </c>
      <c r="EZ12" s="76">
        <f t="shared" si="32"/>
        <v>0</v>
      </c>
      <c r="FA12" s="77">
        <f t="shared" si="11"/>
        <v>0.12</v>
      </c>
      <c r="FB12" s="78">
        <f t="shared" si="11"/>
        <v>0</v>
      </c>
      <c r="FC12" s="78">
        <f t="shared" si="11"/>
        <v>0.3</v>
      </c>
      <c r="FD12" s="78">
        <f t="shared" si="11"/>
        <v>32.6</v>
      </c>
      <c r="FE12" s="78"/>
      <c r="FF12" s="78">
        <f t="shared" si="12"/>
        <v>0.32</v>
      </c>
      <c r="FG12" s="79">
        <f t="shared" si="12"/>
        <v>0.04</v>
      </c>
    </row>
    <row r="13" spans="1:182" s="3" customFormat="1" ht="40" customHeight="1" thickBot="1" x14ac:dyDescent="0.4">
      <c r="A13" s="87" t="s">
        <v>9</v>
      </c>
      <c r="B13" s="6" t="s">
        <v>26</v>
      </c>
      <c r="C13" s="54">
        <v>5</v>
      </c>
      <c r="D13" s="55">
        <v>5</v>
      </c>
      <c r="E13" s="55">
        <v>1</v>
      </c>
      <c r="F13" s="55">
        <v>1</v>
      </c>
      <c r="G13" s="55"/>
      <c r="H13" s="55">
        <v>5</v>
      </c>
      <c r="I13" s="56">
        <v>5</v>
      </c>
      <c r="J13" s="54">
        <v>38</v>
      </c>
      <c r="K13" s="56">
        <v>1</v>
      </c>
      <c r="L13" s="54"/>
      <c r="M13" s="55"/>
      <c r="N13" s="55"/>
      <c r="O13" s="55"/>
      <c r="P13" s="55"/>
      <c r="Q13" s="55">
        <v>1</v>
      </c>
      <c r="R13" s="56"/>
      <c r="S13" s="61"/>
      <c r="T13" s="62"/>
      <c r="U13" s="63">
        <v>1</v>
      </c>
      <c r="V13" s="64">
        <v>0</v>
      </c>
      <c r="W13" s="65">
        <f t="shared" si="0"/>
        <v>0</v>
      </c>
      <c r="X13" s="66">
        <f t="shared" si="0"/>
        <v>0</v>
      </c>
      <c r="Y13" s="66">
        <f t="shared" si="0"/>
        <v>0</v>
      </c>
      <c r="Z13" s="66">
        <f t="shared" si="0"/>
        <v>0</v>
      </c>
      <c r="AA13" s="66"/>
      <c r="AB13" s="66">
        <f t="shared" si="1"/>
        <v>0.2</v>
      </c>
      <c r="AC13" s="67">
        <f t="shared" si="1"/>
        <v>0</v>
      </c>
      <c r="AD13" s="27">
        <v>5</v>
      </c>
      <c r="AE13" s="28">
        <v>5</v>
      </c>
      <c r="AF13" s="28">
        <v>1</v>
      </c>
      <c r="AG13" s="28">
        <v>1</v>
      </c>
      <c r="AH13" s="28"/>
      <c r="AI13" s="28">
        <v>5</v>
      </c>
      <c r="AJ13" s="28">
        <v>5</v>
      </c>
      <c r="AK13" s="92">
        <v>61</v>
      </c>
      <c r="AL13" s="93">
        <v>1</v>
      </c>
      <c r="AM13" s="27">
        <v>3</v>
      </c>
      <c r="AN13" s="28"/>
      <c r="AO13" s="28"/>
      <c r="AP13" s="28"/>
      <c r="AQ13" s="28"/>
      <c r="AR13" s="28">
        <v>3</v>
      </c>
      <c r="AS13" s="29"/>
      <c r="AT13" s="34">
        <v>3</v>
      </c>
      <c r="AU13" s="35"/>
      <c r="AV13" s="36">
        <v>3</v>
      </c>
      <c r="AW13" s="37">
        <v>0</v>
      </c>
      <c r="AX13" s="38">
        <f t="shared" si="2"/>
        <v>0.6</v>
      </c>
      <c r="AY13" s="39">
        <f t="shared" si="2"/>
        <v>0</v>
      </c>
      <c r="AZ13" s="39">
        <f t="shared" si="2"/>
        <v>0</v>
      </c>
      <c r="BA13" s="39">
        <f t="shared" si="2"/>
        <v>0</v>
      </c>
      <c r="BB13" s="39"/>
      <c r="BC13" s="39">
        <f t="shared" si="3"/>
        <v>0.6</v>
      </c>
      <c r="BD13" s="40">
        <f t="shared" si="3"/>
        <v>0</v>
      </c>
      <c r="BE13" s="54">
        <v>5</v>
      </c>
      <c r="BF13" s="55">
        <v>5</v>
      </c>
      <c r="BG13" s="55">
        <v>1</v>
      </c>
      <c r="BH13" s="55">
        <v>1</v>
      </c>
      <c r="BI13" s="55"/>
      <c r="BJ13" s="55">
        <v>5</v>
      </c>
      <c r="BK13" s="57">
        <v>5</v>
      </c>
      <c r="BL13" s="54">
        <v>69</v>
      </c>
      <c r="BM13" s="56">
        <v>3</v>
      </c>
      <c r="BN13" s="54"/>
      <c r="BO13" s="55"/>
      <c r="BP13" s="55"/>
      <c r="BQ13" s="55">
        <v>6</v>
      </c>
      <c r="BR13" s="55"/>
      <c r="BS13" s="55"/>
      <c r="BT13" s="56">
        <v>1</v>
      </c>
      <c r="BU13" s="61"/>
      <c r="BV13" s="62">
        <v>6</v>
      </c>
      <c r="BW13" s="63">
        <v>1</v>
      </c>
      <c r="BX13" s="64"/>
      <c r="BY13" s="65">
        <f t="shared" si="4"/>
        <v>0</v>
      </c>
      <c r="BZ13" s="66">
        <f t="shared" si="4"/>
        <v>0</v>
      </c>
      <c r="CA13" s="66">
        <f t="shared" si="4"/>
        <v>0</v>
      </c>
      <c r="CB13" s="66">
        <f t="shared" si="4"/>
        <v>6</v>
      </c>
      <c r="CC13" s="66"/>
      <c r="CD13" s="66">
        <f t="shared" si="5"/>
        <v>0</v>
      </c>
      <c r="CE13" s="67">
        <f t="shared" si="5"/>
        <v>0.2</v>
      </c>
      <c r="CF13" s="123">
        <v>5</v>
      </c>
      <c r="CG13" s="124">
        <v>5</v>
      </c>
      <c r="CH13" s="124">
        <v>1</v>
      </c>
      <c r="CI13" s="124">
        <v>1</v>
      </c>
      <c r="CJ13" s="124"/>
      <c r="CK13" s="124">
        <v>5</v>
      </c>
      <c r="CL13" s="124">
        <v>5</v>
      </c>
      <c r="CM13" s="132">
        <v>72</v>
      </c>
      <c r="CN13" s="133">
        <v>1</v>
      </c>
      <c r="CO13" s="123"/>
      <c r="CP13" s="124"/>
      <c r="CQ13" s="124"/>
      <c r="CR13" s="124"/>
      <c r="CS13" s="124"/>
      <c r="CT13" s="124">
        <v>1</v>
      </c>
      <c r="CU13" s="127"/>
      <c r="CV13" s="134"/>
      <c r="CW13" s="135"/>
      <c r="CX13" s="136">
        <v>1</v>
      </c>
      <c r="CY13" s="137"/>
      <c r="CZ13" s="138">
        <f t="shared" si="6"/>
        <v>0</v>
      </c>
      <c r="DA13" s="139">
        <f t="shared" si="6"/>
        <v>0</v>
      </c>
      <c r="DB13" s="139">
        <f t="shared" si="6"/>
        <v>0</v>
      </c>
      <c r="DC13" s="139">
        <f t="shared" si="6"/>
        <v>0</v>
      </c>
      <c r="DD13" s="139"/>
      <c r="DE13" s="139">
        <f t="shared" si="7"/>
        <v>0.2</v>
      </c>
      <c r="DF13" s="140">
        <f t="shared" si="7"/>
        <v>0</v>
      </c>
      <c r="DG13" s="54">
        <v>5</v>
      </c>
      <c r="DH13" s="55">
        <v>5</v>
      </c>
      <c r="DI13" s="55">
        <v>1</v>
      </c>
      <c r="DJ13" s="55">
        <v>1</v>
      </c>
      <c r="DK13" s="55"/>
      <c r="DL13" s="55">
        <v>5</v>
      </c>
      <c r="DM13" s="57">
        <v>5</v>
      </c>
      <c r="DN13" s="54">
        <v>52</v>
      </c>
      <c r="DO13" s="56">
        <v>1</v>
      </c>
      <c r="DP13" s="54"/>
      <c r="DQ13" s="55"/>
      <c r="DR13" s="55"/>
      <c r="DS13" s="55"/>
      <c r="DT13" s="55">
        <v>1</v>
      </c>
      <c r="DU13" s="56"/>
      <c r="DV13" s="61"/>
      <c r="DW13" s="62"/>
      <c r="DX13" s="63">
        <v>1</v>
      </c>
      <c r="DY13" s="64"/>
      <c r="DZ13" s="65">
        <f t="shared" si="8"/>
        <v>0</v>
      </c>
      <c r="EA13" s="66">
        <f t="shared" si="8"/>
        <v>0</v>
      </c>
      <c r="EB13" s="66">
        <f t="shared" si="8"/>
        <v>0</v>
      </c>
      <c r="EC13" s="66">
        <f t="shared" si="8"/>
        <v>0</v>
      </c>
      <c r="ED13" s="66"/>
      <c r="EE13" s="66">
        <f t="shared" si="9"/>
        <v>0.2</v>
      </c>
      <c r="EF13" s="67">
        <f t="shared" si="9"/>
        <v>0</v>
      </c>
      <c r="EG13" s="74">
        <f t="shared" si="13"/>
        <v>25</v>
      </c>
      <c r="EH13" s="75">
        <f t="shared" si="14"/>
        <v>25</v>
      </c>
      <c r="EI13" s="75">
        <f t="shared" si="15"/>
        <v>5</v>
      </c>
      <c r="EJ13" s="75">
        <f t="shared" si="16"/>
        <v>5</v>
      </c>
      <c r="EK13" s="156">
        <f t="shared" si="17"/>
        <v>0</v>
      </c>
      <c r="EL13" s="74">
        <f t="shared" si="18"/>
        <v>25</v>
      </c>
      <c r="EM13" s="76">
        <f t="shared" si="19"/>
        <v>25</v>
      </c>
      <c r="EN13" s="74">
        <f t="shared" si="20"/>
        <v>292</v>
      </c>
      <c r="EO13" s="76">
        <f t="shared" si="21"/>
        <v>7</v>
      </c>
      <c r="EP13" s="74">
        <f t="shared" si="22"/>
        <v>3</v>
      </c>
      <c r="EQ13" s="75">
        <f t="shared" si="23"/>
        <v>0</v>
      </c>
      <c r="ER13" s="75">
        <f t="shared" si="24"/>
        <v>0</v>
      </c>
      <c r="ES13" s="75">
        <f t="shared" si="25"/>
        <v>6</v>
      </c>
      <c r="ET13" s="156">
        <f t="shared" si="26"/>
        <v>1</v>
      </c>
      <c r="EU13" s="74">
        <f t="shared" si="27"/>
        <v>5</v>
      </c>
      <c r="EV13" s="76">
        <f t="shared" si="28"/>
        <v>1</v>
      </c>
      <c r="EW13" s="74">
        <f t="shared" si="29"/>
        <v>3</v>
      </c>
      <c r="EX13" s="75">
        <f t="shared" si="30"/>
        <v>7</v>
      </c>
      <c r="EY13" s="75">
        <f t="shared" si="31"/>
        <v>6</v>
      </c>
      <c r="EZ13" s="76">
        <f t="shared" si="32"/>
        <v>0</v>
      </c>
      <c r="FA13" s="80">
        <f t="shared" si="11"/>
        <v>0.12</v>
      </c>
      <c r="FB13" s="81">
        <f t="shared" si="11"/>
        <v>0</v>
      </c>
      <c r="FC13" s="81">
        <f t="shared" si="11"/>
        <v>0</v>
      </c>
      <c r="FD13" s="81">
        <f t="shared" si="11"/>
        <v>1.2</v>
      </c>
      <c r="FE13" s="81"/>
      <c r="FF13" s="81">
        <f t="shared" si="12"/>
        <v>0.2</v>
      </c>
      <c r="FG13" s="82">
        <f t="shared" si="12"/>
        <v>0.04</v>
      </c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</row>
    <row r="14" spans="1:182" s="84" customFormat="1" ht="40" customHeight="1" thickBot="1" x14ac:dyDescent="0.4">
      <c r="A14" s="98" t="s">
        <v>0</v>
      </c>
      <c r="B14" s="98"/>
      <c r="C14" s="7">
        <f t="shared" ref="C14:I14" si="33">SUM(C9:C13)</f>
        <v>25</v>
      </c>
      <c r="D14" s="8">
        <f t="shared" si="33"/>
        <v>25</v>
      </c>
      <c r="E14" s="8">
        <f t="shared" si="33"/>
        <v>5</v>
      </c>
      <c r="F14" s="8">
        <f t="shared" si="33"/>
        <v>5</v>
      </c>
      <c r="G14" s="8"/>
      <c r="H14" s="8">
        <f t="shared" si="33"/>
        <v>25</v>
      </c>
      <c r="I14" s="9">
        <f t="shared" si="33"/>
        <v>25</v>
      </c>
      <c r="J14" s="7">
        <f>SUM(J9:J13)</f>
        <v>164</v>
      </c>
      <c r="K14" s="9">
        <f>SUM(K9:K13)</f>
        <v>15</v>
      </c>
      <c r="L14" s="7">
        <f t="shared" ref="L14:R14" si="34">SUM(L9:L13)</f>
        <v>3</v>
      </c>
      <c r="M14" s="8">
        <f t="shared" si="34"/>
        <v>0</v>
      </c>
      <c r="N14" s="8">
        <f t="shared" si="34"/>
        <v>0</v>
      </c>
      <c r="O14" s="8">
        <f t="shared" si="34"/>
        <v>19</v>
      </c>
      <c r="P14" s="8"/>
      <c r="Q14" s="8">
        <f t="shared" si="34"/>
        <v>5</v>
      </c>
      <c r="R14" s="9">
        <f t="shared" si="34"/>
        <v>0</v>
      </c>
      <c r="S14" s="7">
        <f>SUM(S9:S13)</f>
        <v>3</v>
      </c>
      <c r="T14" s="8">
        <f>SUM(T9:T13)</f>
        <v>19</v>
      </c>
      <c r="U14" s="10">
        <f>SUM(U9:U13)</f>
        <v>5</v>
      </c>
      <c r="V14" s="9">
        <f>SUM(V9:V13)</f>
        <v>0</v>
      </c>
      <c r="W14" s="12">
        <f t="shared" si="0"/>
        <v>0.12</v>
      </c>
      <c r="X14" s="13">
        <f t="shared" si="0"/>
        <v>0</v>
      </c>
      <c r="Y14" s="13">
        <f t="shared" si="0"/>
        <v>0</v>
      </c>
      <c r="Z14" s="13">
        <f t="shared" si="0"/>
        <v>3.8</v>
      </c>
      <c r="AA14" s="13"/>
      <c r="AB14" s="13">
        <f t="shared" si="1"/>
        <v>0.2</v>
      </c>
      <c r="AC14" s="14">
        <f t="shared" si="1"/>
        <v>0</v>
      </c>
      <c r="AD14" s="7">
        <f t="shared" ref="AD14:AS14" si="35">SUM(AD9:AD13)</f>
        <v>25</v>
      </c>
      <c r="AE14" s="8">
        <f t="shared" si="35"/>
        <v>25</v>
      </c>
      <c r="AF14" s="8">
        <f t="shared" si="35"/>
        <v>5</v>
      </c>
      <c r="AG14" s="8">
        <f t="shared" si="35"/>
        <v>5</v>
      </c>
      <c r="AH14" s="8"/>
      <c r="AI14" s="8">
        <f t="shared" si="35"/>
        <v>25</v>
      </c>
      <c r="AJ14" s="8">
        <f t="shared" si="35"/>
        <v>25</v>
      </c>
      <c r="AK14" s="94">
        <f>SUM(AK9:AK13)</f>
        <v>217</v>
      </c>
      <c r="AL14" s="95">
        <f>SUM(AL9:AL13)</f>
        <v>20</v>
      </c>
      <c r="AM14" s="7">
        <f t="shared" si="35"/>
        <v>5</v>
      </c>
      <c r="AN14" s="8">
        <f t="shared" si="35"/>
        <v>0</v>
      </c>
      <c r="AO14" s="8">
        <f t="shared" si="35"/>
        <v>0</v>
      </c>
      <c r="AP14" s="8">
        <f t="shared" si="35"/>
        <v>37</v>
      </c>
      <c r="AQ14" s="8"/>
      <c r="AR14" s="8">
        <f t="shared" si="35"/>
        <v>6</v>
      </c>
      <c r="AS14" s="9">
        <f t="shared" si="35"/>
        <v>2</v>
      </c>
      <c r="AT14" s="7">
        <f>SUM(AT9:AT13)</f>
        <v>6</v>
      </c>
      <c r="AU14" s="8">
        <f>SUM(AU9:AU13)</f>
        <v>37</v>
      </c>
      <c r="AV14" s="10">
        <f>SUM(AV9:AV13)</f>
        <v>7</v>
      </c>
      <c r="AW14" s="9">
        <f>SUM(AW9:AW13)</f>
        <v>0</v>
      </c>
      <c r="AX14" s="12">
        <f t="shared" si="2"/>
        <v>0.2</v>
      </c>
      <c r="AY14" s="13">
        <f t="shared" si="2"/>
        <v>0</v>
      </c>
      <c r="AZ14" s="13">
        <f t="shared" si="2"/>
        <v>0</v>
      </c>
      <c r="BA14" s="13">
        <f t="shared" si="2"/>
        <v>7.4</v>
      </c>
      <c r="BB14" s="13"/>
      <c r="BC14" s="13">
        <f t="shared" si="3"/>
        <v>0.24</v>
      </c>
      <c r="BD14" s="14">
        <f t="shared" si="3"/>
        <v>0.08</v>
      </c>
      <c r="BE14" s="7">
        <f t="shared" ref="BE14:BK14" si="36">SUM(BE9:BE13)</f>
        <v>25</v>
      </c>
      <c r="BF14" s="8">
        <f t="shared" si="36"/>
        <v>25</v>
      </c>
      <c r="BG14" s="8">
        <f t="shared" si="36"/>
        <v>5</v>
      </c>
      <c r="BH14" s="8">
        <f t="shared" si="36"/>
        <v>5</v>
      </c>
      <c r="BI14" s="8"/>
      <c r="BJ14" s="8">
        <f t="shared" si="36"/>
        <v>25</v>
      </c>
      <c r="BK14" s="10">
        <f t="shared" si="36"/>
        <v>25</v>
      </c>
      <c r="BL14" s="7">
        <f>SUM(BL9:BL13)</f>
        <v>192</v>
      </c>
      <c r="BM14" s="9">
        <f>SUM(BM9:BM13)</f>
        <v>11</v>
      </c>
      <c r="BN14" s="7">
        <f t="shared" ref="BN14:BT14" si="37">SUM(BN9:BN13)</f>
        <v>2</v>
      </c>
      <c r="BO14" s="8">
        <f t="shared" si="37"/>
        <v>0</v>
      </c>
      <c r="BP14" s="8">
        <f t="shared" si="37"/>
        <v>0.5</v>
      </c>
      <c r="BQ14" s="8">
        <f t="shared" si="37"/>
        <v>20</v>
      </c>
      <c r="BR14" s="8"/>
      <c r="BS14" s="8">
        <f t="shared" si="37"/>
        <v>1</v>
      </c>
      <c r="BT14" s="9">
        <f t="shared" si="37"/>
        <v>1</v>
      </c>
      <c r="BU14" s="7">
        <f>SUM(BU9:BU13)</f>
        <v>2</v>
      </c>
      <c r="BV14" s="8">
        <f>SUM(BV9:BV13)</f>
        <v>20</v>
      </c>
      <c r="BW14" s="10">
        <f>SUM(BW9:BW13)</f>
        <v>2</v>
      </c>
      <c r="BX14" s="9">
        <f>SUM(BX9:BX13)</f>
        <v>0</v>
      </c>
      <c r="BY14" s="12">
        <f t="shared" si="4"/>
        <v>0.08</v>
      </c>
      <c r="BZ14" s="13">
        <f t="shared" si="4"/>
        <v>0</v>
      </c>
      <c r="CA14" s="13">
        <f t="shared" si="4"/>
        <v>0.1</v>
      </c>
      <c r="CB14" s="13">
        <f t="shared" si="4"/>
        <v>4</v>
      </c>
      <c r="CC14" s="13"/>
      <c r="CD14" s="13">
        <f t="shared" si="5"/>
        <v>0.04</v>
      </c>
      <c r="CE14" s="14">
        <f t="shared" si="5"/>
        <v>0.04</v>
      </c>
      <c r="CF14" s="99">
        <f t="shared" ref="CF14:CL14" si="38">SUM(CF9:CF13)</f>
        <v>25</v>
      </c>
      <c r="CG14" s="100">
        <f t="shared" si="38"/>
        <v>25</v>
      </c>
      <c r="CH14" s="100">
        <f t="shared" si="38"/>
        <v>5</v>
      </c>
      <c r="CI14" s="100">
        <f t="shared" si="38"/>
        <v>5</v>
      </c>
      <c r="CJ14" s="100"/>
      <c r="CK14" s="100">
        <f t="shared" si="38"/>
        <v>25</v>
      </c>
      <c r="CL14" s="100">
        <f t="shared" si="38"/>
        <v>25</v>
      </c>
      <c r="CM14" s="101">
        <f>SUM(CM9:CM13)</f>
        <v>154</v>
      </c>
      <c r="CN14" s="102">
        <f>SUM(CN9:CN13)</f>
        <v>11</v>
      </c>
      <c r="CO14" s="99">
        <f t="shared" ref="CO14:CU14" si="39">SUM(CO9:CO13)</f>
        <v>1</v>
      </c>
      <c r="CP14" s="100">
        <f t="shared" si="39"/>
        <v>0</v>
      </c>
      <c r="CQ14" s="100">
        <f t="shared" si="39"/>
        <v>0</v>
      </c>
      <c r="CR14" s="100">
        <f t="shared" si="39"/>
        <v>15</v>
      </c>
      <c r="CS14" s="100"/>
      <c r="CT14" s="100">
        <f t="shared" si="39"/>
        <v>2</v>
      </c>
      <c r="CU14" s="103">
        <f t="shared" si="39"/>
        <v>1</v>
      </c>
      <c r="CV14" s="99">
        <f>SUM(CV9:CV13)</f>
        <v>1</v>
      </c>
      <c r="CW14" s="100">
        <f>SUM(CW9:CW13)</f>
        <v>15</v>
      </c>
      <c r="CX14" s="104">
        <f>SUM(CX9:CX13)</f>
        <v>3</v>
      </c>
      <c r="CY14" s="103">
        <f>SUM(CY9:CY13)</f>
        <v>0</v>
      </c>
      <c r="CZ14" s="105">
        <f t="shared" si="6"/>
        <v>0.04</v>
      </c>
      <c r="DA14" s="106">
        <f t="shared" si="6"/>
        <v>0</v>
      </c>
      <c r="DB14" s="106">
        <f t="shared" si="6"/>
        <v>0</v>
      </c>
      <c r="DC14" s="106">
        <f t="shared" si="6"/>
        <v>3</v>
      </c>
      <c r="DD14" s="106"/>
      <c r="DE14" s="106">
        <f t="shared" si="7"/>
        <v>0.08</v>
      </c>
      <c r="DF14" s="107">
        <f t="shared" si="7"/>
        <v>0.04</v>
      </c>
      <c r="DG14" s="7">
        <f t="shared" ref="DG14:DM14" si="40">SUM(DG9:DG13)</f>
        <v>25</v>
      </c>
      <c r="DH14" s="8">
        <f t="shared" si="40"/>
        <v>25</v>
      </c>
      <c r="DI14" s="8">
        <f t="shared" si="40"/>
        <v>5</v>
      </c>
      <c r="DJ14" s="8">
        <f t="shared" si="40"/>
        <v>5</v>
      </c>
      <c r="DK14" s="8"/>
      <c r="DL14" s="8">
        <f t="shared" si="40"/>
        <v>25</v>
      </c>
      <c r="DM14" s="10">
        <f t="shared" si="40"/>
        <v>25</v>
      </c>
      <c r="DN14" s="7">
        <f>SUM(DN9:DN13)</f>
        <v>146</v>
      </c>
      <c r="DO14" s="9">
        <f>SUM(DO9:DO13)</f>
        <v>7</v>
      </c>
      <c r="DP14" s="7">
        <f t="shared" ref="DP14:DU14" si="41">SUM(DP9:DP13)</f>
        <v>0</v>
      </c>
      <c r="DQ14" s="8">
        <f t="shared" si="41"/>
        <v>0</v>
      </c>
      <c r="DR14" s="8">
        <f t="shared" si="41"/>
        <v>1</v>
      </c>
      <c r="DS14" s="8">
        <f t="shared" si="41"/>
        <v>78</v>
      </c>
      <c r="DT14" s="8">
        <f t="shared" si="41"/>
        <v>1</v>
      </c>
      <c r="DU14" s="9">
        <f t="shared" si="41"/>
        <v>0</v>
      </c>
      <c r="DV14" s="7">
        <f>SUM(DV9:DV13)</f>
        <v>0</v>
      </c>
      <c r="DW14" s="8">
        <f>SUM(DW9:DW13)</f>
        <v>79</v>
      </c>
      <c r="DX14" s="10">
        <f>SUM(DX9:DX13)</f>
        <v>1</v>
      </c>
      <c r="DY14" s="9">
        <f>SUM(DY9:DY13)</f>
        <v>0</v>
      </c>
      <c r="DZ14" s="12">
        <f t="shared" si="8"/>
        <v>0</v>
      </c>
      <c r="EA14" s="13">
        <f t="shared" si="8"/>
        <v>0</v>
      </c>
      <c r="EB14" s="13">
        <f t="shared" si="8"/>
        <v>0.2</v>
      </c>
      <c r="EC14" s="13">
        <f t="shared" si="8"/>
        <v>15.6</v>
      </c>
      <c r="ED14" s="13"/>
      <c r="EE14" s="13">
        <f t="shared" si="9"/>
        <v>0.04</v>
      </c>
      <c r="EF14" s="14">
        <f t="shared" si="9"/>
        <v>0</v>
      </c>
      <c r="EG14" s="7">
        <f t="shared" ref="EG14:EV14" si="42">SUM(EG9:EG13)</f>
        <v>125</v>
      </c>
      <c r="EH14" s="8">
        <f t="shared" si="42"/>
        <v>125</v>
      </c>
      <c r="EI14" s="8">
        <f t="shared" si="42"/>
        <v>25</v>
      </c>
      <c r="EJ14" s="8">
        <f t="shared" si="42"/>
        <v>25</v>
      </c>
      <c r="EK14" s="157">
        <f t="shared" si="42"/>
        <v>0</v>
      </c>
      <c r="EL14" s="7">
        <f t="shared" si="42"/>
        <v>125</v>
      </c>
      <c r="EM14" s="9">
        <f t="shared" si="42"/>
        <v>125</v>
      </c>
      <c r="EN14" s="7">
        <f>SUM(EN9:EN13)</f>
        <v>873</v>
      </c>
      <c r="EO14" s="9">
        <f>SUM(EO9:EO13)</f>
        <v>64</v>
      </c>
      <c r="EP14" s="7">
        <f t="shared" si="42"/>
        <v>11</v>
      </c>
      <c r="EQ14" s="8">
        <f t="shared" si="42"/>
        <v>0</v>
      </c>
      <c r="ER14" s="8">
        <f t="shared" si="42"/>
        <v>1.5</v>
      </c>
      <c r="ES14" s="8">
        <f t="shared" si="42"/>
        <v>169</v>
      </c>
      <c r="ET14" s="8">
        <f t="shared" si="42"/>
        <v>1</v>
      </c>
      <c r="EU14" s="7">
        <f t="shared" si="42"/>
        <v>14</v>
      </c>
      <c r="EV14" s="9">
        <f t="shared" si="42"/>
        <v>4</v>
      </c>
      <c r="EW14" s="7">
        <f>SUM(EW9:EW13)</f>
        <v>91</v>
      </c>
      <c r="EX14" s="8">
        <f>SUM(EX9:EX13)</f>
        <v>92</v>
      </c>
      <c r="EY14" s="8">
        <f>SUM(EY9:EY13)</f>
        <v>17</v>
      </c>
      <c r="EZ14" s="9">
        <f>SUM(EZ9:EZ13)</f>
        <v>0</v>
      </c>
      <c r="FA14" s="12">
        <f t="shared" si="11"/>
        <v>8.7999999999999995E-2</v>
      </c>
      <c r="FB14" s="13">
        <f t="shared" si="11"/>
        <v>0</v>
      </c>
      <c r="FC14" s="13">
        <f t="shared" si="11"/>
        <v>0.06</v>
      </c>
      <c r="FD14" s="13">
        <f t="shared" si="11"/>
        <v>6.76</v>
      </c>
      <c r="FE14" s="13"/>
      <c r="FF14" s="13">
        <f t="shared" si="12"/>
        <v>0.112</v>
      </c>
      <c r="FG14" s="14">
        <f t="shared" si="12"/>
        <v>3.2000000000000001E-2</v>
      </c>
    </row>
    <row r="18" spans="4:148" x14ac:dyDescent="0.35">
      <c r="ER18" t="s">
        <v>32</v>
      </c>
    </row>
    <row r="21" spans="4:148" x14ac:dyDescent="0.35">
      <c r="D21">
        <v>2</v>
      </c>
    </row>
  </sheetData>
  <mergeCells count="82">
    <mergeCell ref="BL5:BL8"/>
    <mergeCell ref="BE4:CE4"/>
    <mergeCell ref="BE5:BK6"/>
    <mergeCell ref="BN5:BT6"/>
    <mergeCell ref="BU5:BX7"/>
    <mergeCell ref="BY5:CE6"/>
    <mergeCell ref="BE7:BH7"/>
    <mergeCell ref="BJ7:BK7"/>
    <mergeCell ref="BN7:BQ7"/>
    <mergeCell ref="BS7:BT7"/>
    <mergeCell ref="BY7:CB7"/>
    <mergeCell ref="CD7:CE7"/>
    <mergeCell ref="BM5:BM8"/>
    <mergeCell ref="A1:AC1"/>
    <mergeCell ref="A2:AC2"/>
    <mergeCell ref="A4:A8"/>
    <mergeCell ref="C5:I6"/>
    <mergeCell ref="B4:B8"/>
    <mergeCell ref="C7:F7"/>
    <mergeCell ref="J5:J8"/>
    <mergeCell ref="K5:K8"/>
    <mergeCell ref="W5:AC6"/>
    <mergeCell ref="W7:Z7"/>
    <mergeCell ref="AB7:AC7"/>
    <mergeCell ref="C4:AC4"/>
    <mergeCell ref="S5:V7"/>
    <mergeCell ref="H7:I7"/>
    <mergeCell ref="L5:R6"/>
    <mergeCell ref="L7:O7"/>
    <mergeCell ref="Q7:R7"/>
    <mergeCell ref="AD4:BD4"/>
    <mergeCell ref="AD5:AJ6"/>
    <mergeCell ref="AM5:AS6"/>
    <mergeCell ref="AT5:AW7"/>
    <mergeCell ref="AX5:BD6"/>
    <mergeCell ref="AD7:AG7"/>
    <mergeCell ref="AI7:AJ7"/>
    <mergeCell ref="AM7:AP7"/>
    <mergeCell ref="AR7:AS7"/>
    <mergeCell ref="AX7:BA7"/>
    <mergeCell ref="BC7:BD7"/>
    <mergeCell ref="AK5:AK8"/>
    <mergeCell ref="AL5:AL8"/>
    <mergeCell ref="EG4:FG4"/>
    <mergeCell ref="EG5:EM6"/>
    <mergeCell ref="EP5:EV6"/>
    <mergeCell ref="EW5:EZ7"/>
    <mergeCell ref="FA5:FG6"/>
    <mergeCell ref="EG7:EJ7"/>
    <mergeCell ref="EL7:EM7"/>
    <mergeCell ref="EP7:ES7"/>
    <mergeCell ref="EU7:EV7"/>
    <mergeCell ref="FA7:FD7"/>
    <mergeCell ref="FF7:FG7"/>
    <mergeCell ref="EN5:EN8"/>
    <mergeCell ref="EO5:EO8"/>
    <mergeCell ref="CF4:DF4"/>
    <mergeCell ref="CF5:CL6"/>
    <mergeCell ref="CM5:CM8"/>
    <mergeCell ref="CN5:CN8"/>
    <mergeCell ref="CO5:CU6"/>
    <mergeCell ref="CV5:CY7"/>
    <mergeCell ref="CZ5:DF6"/>
    <mergeCell ref="CF7:CI7"/>
    <mergeCell ref="CK7:CL7"/>
    <mergeCell ref="CO7:CR7"/>
    <mergeCell ref="CT7:CU7"/>
    <mergeCell ref="CZ7:DC7"/>
    <mergeCell ref="DE7:DF7"/>
    <mergeCell ref="DG4:EF4"/>
    <mergeCell ref="DG5:DM6"/>
    <mergeCell ref="DN5:DN8"/>
    <mergeCell ref="DO5:DO8"/>
    <mergeCell ref="DP5:DU6"/>
    <mergeCell ref="DV5:DY7"/>
    <mergeCell ref="DZ5:EF6"/>
    <mergeCell ref="DG7:DJ7"/>
    <mergeCell ref="DL7:DM7"/>
    <mergeCell ref="DP7:DS7"/>
    <mergeCell ref="DT7:DU7"/>
    <mergeCell ref="DZ7:EC7"/>
    <mergeCell ref="EE7:EF7"/>
  </mergeCells>
  <pageMargins left="0.19685039370078741" right="0.11811023622047245" top="0.74803149606299213" bottom="0.74803149606299213" header="0.31496062992125984" footer="0.31496062992125984"/>
  <pageSetup paperSize="9" scale="1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Feuil1</vt:lpstr>
      <vt:lpstr>Feuil1!Print_Area</vt:lpstr>
    </vt:vector>
  </TitlesOfParts>
  <Company>HELC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</dc:creator>
  <cp:lastModifiedBy>Touré, C.T. (Cédric-Ange)</cp:lastModifiedBy>
  <cp:lastPrinted>2014-06-10T03:22:17Z</cp:lastPrinted>
  <dcterms:created xsi:type="dcterms:W3CDTF">2014-06-03T22:09:22Z</dcterms:created>
  <dcterms:modified xsi:type="dcterms:W3CDTF">2026-06-17T00:53:33Z</dcterms:modified>
</cp:coreProperties>
</file>