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blos856-my.sharepoint.com/personal/edwige_tanoh_biblos_ci/Documents/Bureau/DOSSIER TRACKER/"/>
    </mc:Choice>
  </mc:AlternateContent>
  <xr:revisionPtr revIDLastSave="16" documentId="13_ncr:1_{21E90E0E-4616-454E-869D-09FB2B4EF3A8}" xr6:coauthVersionLast="47" xr6:coauthVersionMax="47" xr10:uidLastSave="{DB6FD523-D940-43E5-A75A-D855DC13A880}"/>
  <bookViews>
    <workbookView xWindow="-108" yWindow="-108" windowWidth="23256" windowHeight="12456" firstSheet="2" activeTab="11" xr2:uid="{6DE53640-A908-4544-8F9C-7F78E73251F2}"/>
  </bookViews>
  <sheets>
    <sheet name="JOUR 1 " sheetId="1" r:id="rId1"/>
    <sheet name="JOUR 2" sheetId="2" r:id="rId2"/>
    <sheet name="JOUR 3" sheetId="3" r:id="rId3"/>
    <sheet name="JOUR 4" sheetId="4" r:id="rId4"/>
    <sheet name="JOUR 5" sheetId="5" r:id="rId5"/>
    <sheet name="JOUR 6" sheetId="6" r:id="rId6"/>
    <sheet name="JOUR 7" sheetId="7" r:id="rId7"/>
    <sheet name="JOUR 8" sheetId="8" r:id="rId8"/>
    <sheet name="JOUR 9" sheetId="9" r:id="rId9"/>
    <sheet name="JOUR 10" sheetId="10" r:id="rId10"/>
    <sheet name="JOUR 11" sheetId="11" r:id="rId11"/>
    <sheet name="JOUR 1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2" l="1"/>
  <c r="J12" i="12"/>
  <c r="I12" i="12"/>
  <c r="Z10" i="12"/>
  <c r="Y10" i="12"/>
  <c r="X10" i="12"/>
  <c r="X12" i="12" s="1"/>
  <c r="W10" i="12"/>
  <c r="W12" i="12" s="1"/>
  <c r="V10" i="12"/>
  <c r="V12" i="12" s="1"/>
  <c r="U10" i="12"/>
  <c r="U12" i="12" s="1"/>
  <c r="T10" i="12"/>
  <c r="T12" i="12" s="1"/>
  <c r="S10" i="12"/>
  <c r="S12" i="12" s="1"/>
  <c r="R10" i="12"/>
  <c r="R12" i="12" s="1"/>
  <c r="Q10" i="12"/>
  <c r="Q12" i="12" s="1"/>
  <c r="P10" i="12"/>
  <c r="P12" i="12" s="1"/>
  <c r="O10" i="12"/>
  <c r="O12" i="12" s="1"/>
  <c r="N10" i="12"/>
  <c r="N12" i="12" s="1"/>
  <c r="M10" i="12"/>
  <c r="M12" i="12" s="1"/>
  <c r="L10" i="12"/>
  <c r="L12" i="12" s="1"/>
  <c r="K10" i="12"/>
  <c r="J10" i="12"/>
  <c r="I10" i="12"/>
  <c r="H10" i="12"/>
  <c r="H12" i="12" s="1"/>
  <c r="G10" i="12"/>
  <c r="G12" i="12" s="1"/>
  <c r="F10" i="12"/>
  <c r="F12" i="12" s="1"/>
  <c r="E10" i="12"/>
  <c r="E12" i="12" s="1"/>
  <c r="D10" i="12"/>
  <c r="C10" i="12"/>
  <c r="D3" i="12"/>
  <c r="C3" i="12"/>
  <c r="S2" i="12"/>
  <c r="D2" i="12"/>
  <c r="V12" i="11"/>
  <c r="K12" i="11"/>
  <c r="J12" i="11"/>
  <c r="I12" i="11"/>
  <c r="F12" i="11"/>
  <c r="E12" i="11"/>
  <c r="Z10" i="11"/>
  <c r="Y10" i="11"/>
  <c r="X10" i="11"/>
  <c r="X12" i="11" s="1"/>
  <c r="W10" i="11"/>
  <c r="W12" i="11" s="1"/>
  <c r="V10" i="11"/>
  <c r="U10" i="11"/>
  <c r="U12" i="11" s="1"/>
  <c r="T10" i="11"/>
  <c r="T12" i="11" s="1"/>
  <c r="S10" i="11"/>
  <c r="S12" i="11" s="1"/>
  <c r="R10" i="11"/>
  <c r="R12" i="11" s="1"/>
  <c r="Q10" i="11"/>
  <c r="Q12" i="11" s="1"/>
  <c r="P10" i="11"/>
  <c r="P12" i="11" s="1"/>
  <c r="O10" i="11"/>
  <c r="O12" i="11" s="1"/>
  <c r="N10" i="11"/>
  <c r="N12" i="11" s="1"/>
  <c r="M10" i="11"/>
  <c r="M12" i="11" s="1"/>
  <c r="L10" i="11"/>
  <c r="L12" i="11" s="1"/>
  <c r="K10" i="11"/>
  <c r="J10" i="11"/>
  <c r="I10" i="11"/>
  <c r="H10" i="11"/>
  <c r="H12" i="11" s="1"/>
  <c r="G10" i="11"/>
  <c r="G12" i="11" s="1"/>
  <c r="F10" i="11"/>
  <c r="E10" i="11"/>
  <c r="D10" i="11"/>
  <c r="C10" i="11"/>
  <c r="D3" i="11"/>
  <c r="C3" i="11"/>
  <c r="S2" i="11"/>
  <c r="D2" i="11"/>
  <c r="K12" i="10"/>
  <c r="J12" i="10"/>
  <c r="I12" i="10"/>
  <c r="E12" i="10"/>
  <c r="Z10" i="10"/>
  <c r="Y10" i="10"/>
  <c r="X10" i="10"/>
  <c r="X12" i="10" s="1"/>
  <c r="W10" i="10"/>
  <c r="W12" i="10" s="1"/>
  <c r="V10" i="10"/>
  <c r="V12" i="10" s="1"/>
  <c r="U10" i="10"/>
  <c r="U12" i="10" s="1"/>
  <c r="T10" i="10"/>
  <c r="T12" i="10" s="1"/>
  <c r="S10" i="10"/>
  <c r="S12" i="10" s="1"/>
  <c r="R10" i="10"/>
  <c r="R12" i="10" s="1"/>
  <c r="Q10" i="10"/>
  <c r="Q12" i="10" s="1"/>
  <c r="P10" i="10"/>
  <c r="P12" i="10" s="1"/>
  <c r="O10" i="10"/>
  <c r="O12" i="10" s="1"/>
  <c r="N10" i="10"/>
  <c r="N12" i="10" s="1"/>
  <c r="M10" i="10"/>
  <c r="M12" i="10" s="1"/>
  <c r="L10" i="10"/>
  <c r="L12" i="10" s="1"/>
  <c r="K10" i="10"/>
  <c r="J10" i="10"/>
  <c r="I10" i="10"/>
  <c r="H10" i="10"/>
  <c r="H12" i="10" s="1"/>
  <c r="G10" i="10"/>
  <c r="G12" i="10" s="1"/>
  <c r="F10" i="10"/>
  <c r="F12" i="10" s="1"/>
  <c r="E10" i="10"/>
  <c r="D10" i="10"/>
  <c r="C10" i="10"/>
  <c r="D3" i="10"/>
  <c r="C3" i="10"/>
  <c r="S2" i="10"/>
  <c r="D2" i="10"/>
  <c r="F12" i="9"/>
  <c r="E12" i="9"/>
  <c r="Z10" i="9"/>
  <c r="Y10" i="9"/>
  <c r="X10" i="9"/>
  <c r="X12" i="9" s="1"/>
  <c r="W10" i="9"/>
  <c r="W12" i="9" s="1"/>
  <c r="V10" i="9"/>
  <c r="V12" i="9" s="1"/>
  <c r="U10" i="9"/>
  <c r="U12" i="9" s="1"/>
  <c r="T10" i="9"/>
  <c r="T12" i="9" s="1"/>
  <c r="S10" i="9"/>
  <c r="S12" i="9" s="1"/>
  <c r="R10" i="9"/>
  <c r="R12" i="9" s="1"/>
  <c r="Q10" i="9"/>
  <c r="Q12" i="9" s="1"/>
  <c r="P10" i="9"/>
  <c r="P12" i="9" s="1"/>
  <c r="O10" i="9"/>
  <c r="O12" i="9" s="1"/>
  <c r="N10" i="9"/>
  <c r="N12" i="9" s="1"/>
  <c r="M10" i="9"/>
  <c r="M12" i="9" s="1"/>
  <c r="L10" i="9"/>
  <c r="L12" i="9" s="1"/>
  <c r="K10" i="9"/>
  <c r="K12" i="9" s="1"/>
  <c r="J10" i="9"/>
  <c r="J12" i="9" s="1"/>
  <c r="I10" i="9"/>
  <c r="I12" i="9" s="1"/>
  <c r="H10" i="9"/>
  <c r="H12" i="9" s="1"/>
  <c r="G10" i="9"/>
  <c r="G12" i="9" s="1"/>
  <c r="F10" i="9"/>
  <c r="E10" i="9"/>
  <c r="D10" i="9"/>
  <c r="C10" i="9"/>
  <c r="D3" i="9"/>
  <c r="C3" i="9"/>
  <c r="S2" i="9"/>
  <c r="D2" i="9"/>
  <c r="F12" i="8"/>
  <c r="E12" i="8"/>
  <c r="Z10" i="8"/>
  <c r="Y10" i="8"/>
  <c r="X10" i="8"/>
  <c r="X12" i="8" s="1"/>
  <c r="W10" i="8"/>
  <c r="W12" i="8" s="1"/>
  <c r="V10" i="8"/>
  <c r="V12" i="8" s="1"/>
  <c r="U10" i="8"/>
  <c r="U12" i="8" s="1"/>
  <c r="T10" i="8"/>
  <c r="T12" i="8" s="1"/>
  <c r="S10" i="8"/>
  <c r="S12" i="8" s="1"/>
  <c r="R10" i="8"/>
  <c r="R12" i="8" s="1"/>
  <c r="Q10" i="8"/>
  <c r="Q12" i="8" s="1"/>
  <c r="P10" i="8"/>
  <c r="P12" i="8" s="1"/>
  <c r="O10" i="8"/>
  <c r="O12" i="8" s="1"/>
  <c r="N10" i="8"/>
  <c r="N12" i="8" s="1"/>
  <c r="M10" i="8"/>
  <c r="M12" i="8" s="1"/>
  <c r="L10" i="8"/>
  <c r="L12" i="8" s="1"/>
  <c r="K10" i="8"/>
  <c r="K12" i="8" s="1"/>
  <c r="J10" i="8"/>
  <c r="J12" i="8" s="1"/>
  <c r="I10" i="8"/>
  <c r="I12" i="8" s="1"/>
  <c r="H10" i="8"/>
  <c r="H12" i="8" s="1"/>
  <c r="G10" i="8"/>
  <c r="G12" i="8" s="1"/>
  <c r="F10" i="8"/>
  <c r="E10" i="8"/>
  <c r="D10" i="8"/>
  <c r="C10" i="8"/>
  <c r="D3" i="8"/>
  <c r="C3" i="8"/>
  <c r="S2" i="8"/>
  <c r="D2" i="8"/>
  <c r="K12" i="7"/>
  <c r="F12" i="7"/>
  <c r="E12" i="7"/>
  <c r="Z10" i="7"/>
  <c r="Y10" i="7"/>
  <c r="X10" i="7"/>
  <c r="X12" i="7" s="1"/>
  <c r="W10" i="7"/>
  <c r="W12" i="7" s="1"/>
  <c r="V10" i="7"/>
  <c r="V12" i="7" s="1"/>
  <c r="U10" i="7"/>
  <c r="U12" i="7" s="1"/>
  <c r="T10" i="7"/>
  <c r="T12" i="7" s="1"/>
  <c r="S10" i="7"/>
  <c r="S12" i="7" s="1"/>
  <c r="R10" i="7"/>
  <c r="R12" i="7" s="1"/>
  <c r="Q10" i="7"/>
  <c r="Q12" i="7" s="1"/>
  <c r="P10" i="7"/>
  <c r="P12" i="7" s="1"/>
  <c r="O10" i="7"/>
  <c r="O12" i="7" s="1"/>
  <c r="N10" i="7"/>
  <c r="N12" i="7" s="1"/>
  <c r="M10" i="7"/>
  <c r="M12" i="7" s="1"/>
  <c r="L10" i="7"/>
  <c r="L12" i="7" s="1"/>
  <c r="K10" i="7"/>
  <c r="J10" i="7"/>
  <c r="J12" i="7" s="1"/>
  <c r="I10" i="7"/>
  <c r="I12" i="7" s="1"/>
  <c r="H10" i="7"/>
  <c r="H12" i="7" s="1"/>
  <c r="G10" i="7"/>
  <c r="G12" i="7" s="1"/>
  <c r="F10" i="7"/>
  <c r="E10" i="7"/>
  <c r="D10" i="7"/>
  <c r="C10" i="7"/>
  <c r="D3" i="7"/>
  <c r="C3" i="7"/>
  <c r="S2" i="7"/>
  <c r="D2" i="7"/>
  <c r="Z10" i="6"/>
  <c r="Y10" i="6"/>
  <c r="X10" i="6"/>
  <c r="X12" i="6" s="1"/>
  <c r="W10" i="6"/>
  <c r="W12" i="6" s="1"/>
  <c r="V10" i="6"/>
  <c r="V12" i="6" s="1"/>
  <c r="U10" i="6"/>
  <c r="U12" i="6" s="1"/>
  <c r="T10" i="6"/>
  <c r="T12" i="6" s="1"/>
  <c r="S10" i="6"/>
  <c r="S12" i="6" s="1"/>
  <c r="R10" i="6"/>
  <c r="R12" i="6" s="1"/>
  <c r="Q10" i="6"/>
  <c r="Q12" i="6" s="1"/>
  <c r="P10" i="6"/>
  <c r="P12" i="6" s="1"/>
  <c r="O10" i="6"/>
  <c r="O12" i="6" s="1"/>
  <c r="N10" i="6"/>
  <c r="N12" i="6" s="1"/>
  <c r="M10" i="6"/>
  <c r="M12" i="6" s="1"/>
  <c r="L10" i="6"/>
  <c r="L12" i="6" s="1"/>
  <c r="K10" i="6"/>
  <c r="K12" i="6" s="1"/>
  <c r="J10" i="6"/>
  <c r="J12" i="6" s="1"/>
  <c r="I10" i="6"/>
  <c r="I12" i="6" s="1"/>
  <c r="H10" i="6"/>
  <c r="H12" i="6" s="1"/>
  <c r="G10" i="6"/>
  <c r="G12" i="6" s="1"/>
  <c r="F10" i="6"/>
  <c r="F12" i="6" s="1"/>
  <c r="E10" i="6"/>
  <c r="E12" i="6" s="1"/>
  <c r="D10" i="6"/>
  <c r="C10" i="6"/>
  <c r="D3" i="6"/>
  <c r="C3" i="6"/>
  <c r="S2" i="6"/>
  <c r="D2" i="6"/>
  <c r="K12" i="5"/>
  <c r="F12" i="5"/>
  <c r="E12" i="5"/>
  <c r="Z10" i="5"/>
  <c r="Y10" i="5"/>
  <c r="X10" i="5"/>
  <c r="X12" i="5" s="1"/>
  <c r="W10" i="5"/>
  <c r="W12" i="5" s="1"/>
  <c r="V10" i="5"/>
  <c r="V12" i="5" s="1"/>
  <c r="U10" i="5"/>
  <c r="U12" i="5" s="1"/>
  <c r="T10" i="5"/>
  <c r="T12" i="5" s="1"/>
  <c r="S10" i="5"/>
  <c r="S12" i="5" s="1"/>
  <c r="R10" i="5"/>
  <c r="R12" i="5" s="1"/>
  <c r="Q10" i="5"/>
  <c r="Q12" i="5" s="1"/>
  <c r="P10" i="5"/>
  <c r="P12" i="5" s="1"/>
  <c r="O10" i="5"/>
  <c r="O12" i="5" s="1"/>
  <c r="N10" i="5"/>
  <c r="N12" i="5" s="1"/>
  <c r="M10" i="5"/>
  <c r="M12" i="5" s="1"/>
  <c r="L10" i="5"/>
  <c r="L12" i="5" s="1"/>
  <c r="K10" i="5"/>
  <c r="J10" i="5"/>
  <c r="J12" i="5" s="1"/>
  <c r="I10" i="5"/>
  <c r="I12" i="5" s="1"/>
  <c r="H10" i="5"/>
  <c r="H12" i="5" s="1"/>
  <c r="G10" i="5"/>
  <c r="G12" i="5" s="1"/>
  <c r="F10" i="5"/>
  <c r="E10" i="5"/>
  <c r="D10" i="5"/>
  <c r="C10" i="5"/>
  <c r="D3" i="5"/>
  <c r="C3" i="5"/>
  <c r="S2" i="5"/>
  <c r="D2" i="5"/>
  <c r="F12" i="4"/>
  <c r="E12" i="4"/>
  <c r="Z10" i="4"/>
  <c r="Y10" i="4"/>
  <c r="X10" i="4"/>
  <c r="X12" i="4" s="1"/>
  <c r="W10" i="4"/>
  <c r="W12" i="4" s="1"/>
  <c r="V10" i="4"/>
  <c r="V12" i="4" s="1"/>
  <c r="U10" i="4"/>
  <c r="U12" i="4" s="1"/>
  <c r="T10" i="4"/>
  <c r="T12" i="4" s="1"/>
  <c r="S10" i="4"/>
  <c r="S12" i="4" s="1"/>
  <c r="R10" i="4"/>
  <c r="R12" i="4" s="1"/>
  <c r="Q10" i="4"/>
  <c r="Q12" i="4" s="1"/>
  <c r="P10" i="4"/>
  <c r="P12" i="4" s="1"/>
  <c r="O10" i="4"/>
  <c r="O12" i="4" s="1"/>
  <c r="N10" i="4"/>
  <c r="N12" i="4" s="1"/>
  <c r="M10" i="4"/>
  <c r="M12" i="4" s="1"/>
  <c r="L10" i="4"/>
  <c r="L12" i="4" s="1"/>
  <c r="K10" i="4"/>
  <c r="K12" i="4" s="1"/>
  <c r="J10" i="4"/>
  <c r="J12" i="4" s="1"/>
  <c r="I10" i="4"/>
  <c r="I12" i="4" s="1"/>
  <c r="H10" i="4"/>
  <c r="H12" i="4" s="1"/>
  <c r="G10" i="4"/>
  <c r="G12" i="4" s="1"/>
  <c r="F10" i="4"/>
  <c r="E10" i="4"/>
  <c r="D10" i="4"/>
  <c r="C10" i="4"/>
  <c r="D3" i="4"/>
  <c r="C3" i="4"/>
  <c r="S2" i="4"/>
  <c r="D2" i="4"/>
  <c r="H12" i="3"/>
  <c r="G12" i="3"/>
  <c r="Z10" i="3"/>
  <c r="Y10" i="3"/>
  <c r="X10" i="3"/>
  <c r="X12" i="3" s="1"/>
  <c r="W10" i="3"/>
  <c r="W12" i="3" s="1"/>
  <c r="V10" i="3"/>
  <c r="V12" i="3" s="1"/>
  <c r="U10" i="3"/>
  <c r="U12" i="3" s="1"/>
  <c r="T10" i="3"/>
  <c r="T12" i="3" s="1"/>
  <c r="S10" i="3"/>
  <c r="S12" i="3" s="1"/>
  <c r="R10" i="3"/>
  <c r="R12" i="3" s="1"/>
  <c r="Q10" i="3"/>
  <c r="Q12" i="3" s="1"/>
  <c r="P10" i="3"/>
  <c r="P12" i="3" s="1"/>
  <c r="O10" i="3"/>
  <c r="O12" i="3" s="1"/>
  <c r="N10" i="3"/>
  <c r="N12" i="3" s="1"/>
  <c r="M10" i="3"/>
  <c r="M12" i="3" s="1"/>
  <c r="L10" i="3"/>
  <c r="L12" i="3" s="1"/>
  <c r="K10" i="3"/>
  <c r="K12" i="3" s="1"/>
  <c r="J10" i="3"/>
  <c r="J12" i="3" s="1"/>
  <c r="I10" i="3"/>
  <c r="I12" i="3" s="1"/>
  <c r="H10" i="3"/>
  <c r="G10" i="3"/>
  <c r="F10" i="3"/>
  <c r="F12" i="3" s="1"/>
  <c r="E10" i="3"/>
  <c r="E12" i="3" s="1"/>
  <c r="D10" i="3"/>
  <c r="C10" i="3"/>
  <c r="D3" i="3"/>
  <c r="C3" i="3"/>
  <c r="S2" i="3"/>
  <c r="D2" i="3"/>
  <c r="I12" i="2"/>
  <c r="H12" i="2"/>
  <c r="E12" i="2"/>
  <c r="Z10" i="2"/>
  <c r="Y10" i="2"/>
  <c r="X10" i="2"/>
  <c r="X12" i="2" s="1"/>
  <c r="W10" i="2"/>
  <c r="W12" i="2" s="1"/>
  <c r="V10" i="2"/>
  <c r="V12" i="2" s="1"/>
  <c r="U10" i="2"/>
  <c r="U12" i="2" s="1"/>
  <c r="T10" i="2"/>
  <c r="T12" i="2" s="1"/>
  <c r="S10" i="2"/>
  <c r="S12" i="2" s="1"/>
  <c r="R10" i="2"/>
  <c r="R12" i="2" s="1"/>
  <c r="Q10" i="2"/>
  <c r="Q12" i="2" s="1"/>
  <c r="P10" i="2"/>
  <c r="P12" i="2" s="1"/>
  <c r="O10" i="2"/>
  <c r="O12" i="2" s="1"/>
  <c r="N10" i="2"/>
  <c r="N12" i="2" s="1"/>
  <c r="M10" i="2"/>
  <c r="M12" i="2" s="1"/>
  <c r="L10" i="2"/>
  <c r="L12" i="2" s="1"/>
  <c r="K10" i="2"/>
  <c r="K12" i="2" s="1"/>
  <c r="J10" i="2"/>
  <c r="J12" i="2" s="1"/>
  <c r="I10" i="2"/>
  <c r="H10" i="2"/>
  <c r="G10" i="2"/>
  <c r="G12" i="2" s="1"/>
  <c r="F10" i="2"/>
  <c r="F12" i="2" s="1"/>
  <c r="E10" i="2"/>
  <c r="D10" i="2"/>
  <c r="C10" i="2"/>
  <c r="D3" i="2"/>
  <c r="C3" i="2"/>
  <c r="S2" i="2"/>
  <c r="D2" i="2"/>
  <c r="Z10" i="1"/>
  <c r="Y10" i="1"/>
  <c r="X10" i="1"/>
  <c r="X12" i="1" s="1"/>
  <c r="W10" i="1"/>
  <c r="W12" i="1" s="1"/>
  <c r="V10" i="1"/>
  <c r="V12" i="1" s="1"/>
  <c r="U10" i="1"/>
  <c r="U12" i="1" s="1"/>
  <c r="T10" i="1"/>
  <c r="T12" i="1" s="1"/>
  <c r="S10" i="1"/>
  <c r="S12" i="1" s="1"/>
  <c r="R10" i="1"/>
  <c r="R12" i="1" s="1"/>
  <c r="Q10" i="1"/>
  <c r="Q12" i="1" s="1"/>
  <c r="P10" i="1"/>
  <c r="P12" i="1" s="1"/>
  <c r="O10" i="1"/>
  <c r="O12" i="1" s="1"/>
  <c r="N10" i="1"/>
  <c r="N12" i="1" s="1"/>
  <c r="M10" i="1"/>
  <c r="M12" i="1" s="1"/>
  <c r="L10" i="1"/>
  <c r="L12" i="1" s="1"/>
  <c r="K10" i="1"/>
  <c r="K12" i="1" s="1"/>
  <c r="J10" i="1"/>
  <c r="J12" i="1" s="1"/>
  <c r="I10" i="1"/>
  <c r="I12" i="1" s="1"/>
  <c r="H10" i="1"/>
  <c r="H12" i="1" s="1"/>
  <c r="G10" i="1"/>
  <c r="G12" i="1" s="1"/>
  <c r="F10" i="1"/>
  <c r="F12" i="1" s="1"/>
  <c r="E10" i="1"/>
  <c r="E12" i="1" s="1"/>
  <c r="D10" i="1"/>
  <c r="C10" i="1"/>
  <c r="D3" i="1"/>
  <c r="C3" i="1"/>
  <c r="S2" i="1"/>
  <c r="D2" i="1"/>
</calcChain>
</file>

<file path=xl/sharedStrings.xml><?xml version="1.0" encoding="utf-8"?>
<sst xmlns="http://schemas.openxmlformats.org/spreadsheetml/2006/main" count="555" uniqueCount="33">
  <si>
    <t>Date</t>
  </si>
  <si>
    <t>Enseigne</t>
  </si>
  <si>
    <t>Nom du PDV en promotion</t>
  </si>
  <si>
    <t>Contacts</t>
  </si>
  <si>
    <t>Acheteurs</t>
  </si>
  <si>
    <t>Produits (en unités)</t>
  </si>
  <si>
    <t>Gratuités pour achats 
(en unités)</t>
  </si>
  <si>
    <t>Produits</t>
  </si>
  <si>
    <t>GOODIES</t>
  </si>
  <si>
    <t>Commentaires</t>
  </si>
  <si>
    <t>Impressions des PDV et des clients</t>
  </si>
  <si>
    <t>Nombre de personnes ayant été contactées au rayon</t>
  </si>
  <si>
    <t>Nombre de personnes ayant acheté</t>
  </si>
  <si>
    <t>Biblos Lait Premium 16g</t>
  </si>
  <si>
    <t>Biblos Lait Premium 360g</t>
  </si>
  <si>
    <t>Biblos Lait Excellence</t>
  </si>
  <si>
    <t>Biblos Flocon d'avoine 50g</t>
  </si>
  <si>
    <t>Biblos Flocon d'avoine 400g</t>
  </si>
  <si>
    <t xml:space="preserve">TOTAL </t>
  </si>
  <si>
    <t>TOTAL EN CARTONS</t>
  </si>
  <si>
    <t>Tasse à café plastique</t>
  </si>
  <si>
    <t>Bocal Transparent</t>
  </si>
  <si>
    <t>Plateau</t>
  </si>
  <si>
    <t>Tasse porcelaine</t>
  </si>
  <si>
    <t>BON PRIX</t>
  </si>
  <si>
    <t>KORHOGO</t>
  </si>
  <si>
    <t>DALOA</t>
  </si>
  <si>
    <t>SAN PEDRO</t>
  </si>
  <si>
    <t>YAMOUSSOUKRO</t>
  </si>
  <si>
    <t>LES CLIENTS SONT SATISFAITS DES PRODUITS</t>
  </si>
  <si>
    <t>BOUAKE</t>
  </si>
  <si>
    <t>GAGNOA</t>
  </si>
  <si>
    <t>RUPTURE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</si>
</sst>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b/>
      <sz val="14"/>
      <color rgb="FFFF0000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textRotation="90" wrapText="1"/>
    </xf>
    <xf numFmtId="0" fontId="4" fillId="3" borderId="11" xfId="0" applyFont="1" applyFill="1" applyBorder="1" applyAlignment="1">
      <alignment horizontal="center" vertical="center" textRotation="90" wrapText="1"/>
    </xf>
    <xf numFmtId="0" fontId="4" fillId="3" borderId="12" xfId="0" applyFont="1" applyFill="1" applyBorder="1" applyAlignment="1">
      <alignment horizontal="center" vertical="center" textRotation="90" wrapText="1"/>
    </xf>
    <xf numFmtId="0" fontId="4" fillId="3" borderId="13" xfId="0" applyFont="1" applyFill="1" applyBorder="1" applyAlignment="1">
      <alignment horizontal="center" vertical="center" textRotation="90" wrapText="1"/>
    </xf>
    <xf numFmtId="0" fontId="4" fillId="3" borderId="14" xfId="0" applyFont="1" applyFill="1" applyBorder="1" applyAlignment="1">
      <alignment horizontal="center" vertical="center" textRotation="90" wrapText="1"/>
    </xf>
    <xf numFmtId="0" fontId="4" fillId="4" borderId="12" xfId="0" applyFont="1" applyFill="1" applyBorder="1" applyAlignment="1">
      <alignment horizontal="center" vertical="center" textRotation="90" wrapText="1"/>
    </xf>
    <xf numFmtId="0" fontId="4" fillId="4" borderId="13" xfId="0" applyFont="1" applyFill="1" applyBorder="1" applyAlignment="1">
      <alignment horizontal="center" vertical="center" textRotation="90" wrapText="1"/>
    </xf>
    <xf numFmtId="0" fontId="4" fillId="4" borderId="14" xfId="0" applyFont="1" applyFill="1" applyBorder="1" applyAlignment="1">
      <alignment horizontal="center" vertical="center" textRotation="90" wrapText="1"/>
    </xf>
    <xf numFmtId="0" fontId="4" fillId="5" borderId="16" xfId="0" applyFont="1" applyFill="1" applyBorder="1" applyAlignment="1">
      <alignment horizontal="center" vertical="center"/>
    </xf>
    <xf numFmtId="3" fontId="7" fillId="7" borderId="21" xfId="0" applyNumberFormat="1" applyFont="1" applyFill="1" applyBorder="1" applyAlignment="1">
      <alignment horizontal="center" vertical="center"/>
    </xf>
    <xf numFmtId="164" fontId="7" fillId="7" borderId="21" xfId="0" applyNumberFormat="1" applyFont="1" applyFill="1" applyBorder="1" applyAlignment="1">
      <alignment horizontal="center" vertical="center"/>
    </xf>
    <xf numFmtId="3" fontId="7" fillId="7" borderId="6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textRotation="90" wrapText="1"/>
    </xf>
    <xf numFmtId="0" fontId="4" fillId="4" borderId="11" xfId="0" applyFont="1" applyFill="1" applyBorder="1" applyAlignment="1">
      <alignment horizontal="center" vertical="center" textRotation="90" wrapText="1"/>
    </xf>
    <xf numFmtId="41" fontId="5" fillId="6" borderId="17" xfId="2" applyFont="1" applyFill="1" applyBorder="1" applyAlignment="1">
      <alignment horizontal="center" vertical="center"/>
    </xf>
    <xf numFmtId="41" fontId="5" fillId="6" borderId="18" xfId="2" applyFont="1" applyFill="1" applyBorder="1" applyAlignment="1">
      <alignment horizontal="center" vertical="center"/>
    </xf>
    <xf numFmtId="41" fontId="5" fillId="6" borderId="19" xfId="2" applyFont="1" applyFill="1" applyBorder="1" applyAlignment="1">
      <alignment horizontal="center" vertical="center"/>
    </xf>
    <xf numFmtId="41" fontId="5" fillId="6" borderId="20" xfId="2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41" fontId="5" fillId="4" borderId="17" xfId="2" applyFont="1" applyFill="1" applyBorder="1" applyAlignment="1">
      <alignment horizontal="center" vertical="center"/>
    </xf>
    <xf numFmtId="41" fontId="5" fillId="4" borderId="19" xfId="2" applyFont="1" applyFill="1" applyBorder="1" applyAlignment="1">
      <alignment horizontal="center" vertical="center"/>
    </xf>
    <xf numFmtId="41" fontId="5" fillId="4" borderId="18" xfId="2" applyFont="1" applyFill="1" applyBorder="1" applyAlignment="1">
      <alignment horizontal="center" vertical="center"/>
    </xf>
    <xf numFmtId="41" fontId="5" fillId="4" borderId="20" xfId="2" applyFont="1" applyFill="1" applyBorder="1" applyAlignment="1">
      <alignment horizontal="center" vertical="center"/>
    </xf>
    <xf numFmtId="41" fontId="5" fillId="4" borderId="16" xfId="2" applyFont="1" applyFill="1" applyBorder="1" applyAlignment="1">
      <alignment horizontal="center" vertical="center"/>
    </xf>
    <xf numFmtId="41" fontId="8" fillId="6" borderId="17" xfId="2" applyFont="1" applyFill="1" applyBorder="1" applyAlignment="1">
      <alignment horizontal="center" vertical="center" wrapText="1"/>
    </xf>
    <xf numFmtId="41" fontId="5" fillId="6" borderId="16" xfId="2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wrapText="1"/>
    </xf>
    <xf numFmtId="3" fontId="7" fillId="7" borderId="22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41" fontId="0" fillId="0" borderId="0" xfId="0" applyNumberFormat="1"/>
  </cellXfs>
  <cellStyles count="3">
    <cellStyle name="Milliers [0]" xfId="2" builtinId="6"/>
    <cellStyle name="Milliers [0] 2" xfId="1" xr:uid="{228558C3-423E-4B82-BE7C-AAB86709ED9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D60B-42A4-4D85-9A36-66C3F62D1B6E}">
  <dimension ref="A1:Z13"/>
  <sheetViews>
    <sheetView zoomScale="53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44140625" bestFit="1" customWidth="1"/>
    <col min="6" max="11" width="7.88671875" bestFit="1" customWidth="1"/>
    <col min="12" max="13" width="11.21875" bestFit="1" customWidth="1"/>
    <col min="14" max="15" width="8.44140625" bestFit="1" customWidth="1"/>
    <col min="16" max="16" width="7.88671875" bestFit="1" customWidth="1"/>
    <col min="17" max="18" width="8.44140625" bestFit="1" customWidth="1"/>
    <col min="19" max="21" width="7.88671875" bestFit="1" customWidth="1"/>
    <col min="22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46132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25</v>
      </c>
      <c r="M4" s="24">
        <v>18</v>
      </c>
      <c r="N4" s="24">
        <v>30</v>
      </c>
      <c r="O4" s="25">
        <v>10</v>
      </c>
      <c r="P4" s="25">
        <v>0</v>
      </c>
      <c r="Q4" s="25">
        <v>26</v>
      </c>
      <c r="R4" s="26">
        <v>0</v>
      </c>
      <c r="S4" s="27">
        <v>20</v>
      </c>
      <c r="T4" s="27">
        <v>4</v>
      </c>
      <c r="U4" s="28">
        <v>0</v>
      </c>
      <c r="V4" s="27">
        <v>0</v>
      </c>
      <c r="W4" s="27">
        <v>0</v>
      </c>
      <c r="X4" s="27">
        <v>0</v>
      </c>
      <c r="Y4" s="29"/>
      <c r="Z4" s="30"/>
    </row>
    <row r="5" spans="1:26" ht="52.2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50</v>
      </c>
      <c r="M5" s="24">
        <v>30</v>
      </c>
      <c r="N5" s="24">
        <v>0</v>
      </c>
      <c r="O5" s="25">
        <v>15</v>
      </c>
      <c r="P5" s="25">
        <v>0</v>
      </c>
      <c r="Q5" s="25">
        <v>200</v>
      </c>
      <c r="R5" s="26">
        <v>0</v>
      </c>
      <c r="S5" s="27">
        <v>48</v>
      </c>
      <c r="T5" s="27">
        <v>25</v>
      </c>
      <c r="U5" s="28">
        <v>0</v>
      </c>
      <c r="V5" s="27">
        <v>0</v>
      </c>
      <c r="W5" s="27">
        <v>0</v>
      </c>
      <c r="X5" s="27">
        <v>0</v>
      </c>
      <c r="Y5" s="29"/>
      <c r="Z5" s="30" t="s">
        <v>29</v>
      </c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39</v>
      </c>
      <c r="M6" s="24">
        <v>28</v>
      </c>
      <c r="N6" s="24">
        <v>510</v>
      </c>
      <c r="O6" s="25">
        <v>20</v>
      </c>
      <c r="P6" s="25">
        <v>0</v>
      </c>
      <c r="Q6" s="25">
        <v>25</v>
      </c>
      <c r="R6" s="26">
        <v>60</v>
      </c>
      <c r="S6" s="27">
        <v>9</v>
      </c>
      <c r="T6" s="27">
        <v>5</v>
      </c>
      <c r="U6" s="28">
        <v>0</v>
      </c>
      <c r="V6" s="27">
        <v>2</v>
      </c>
      <c r="W6" s="27">
        <v>2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6</v>
      </c>
      <c r="M7" s="24">
        <v>3</v>
      </c>
      <c r="N7" s="24">
        <v>5</v>
      </c>
      <c r="O7" s="25">
        <v>0</v>
      </c>
      <c r="P7" s="25">
        <v>2</v>
      </c>
      <c r="Q7" s="25">
        <v>0</v>
      </c>
      <c r="R7" s="26">
        <v>10</v>
      </c>
      <c r="S7" s="27">
        <v>0</v>
      </c>
      <c r="T7" s="27">
        <v>0</v>
      </c>
      <c r="U7" s="28">
        <v>2</v>
      </c>
      <c r="V7" s="27">
        <v>0</v>
      </c>
      <c r="W7" s="27">
        <v>1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31</v>
      </c>
      <c r="M8" s="24">
        <v>8</v>
      </c>
      <c r="N8" s="24">
        <v>120</v>
      </c>
      <c r="O8" s="25">
        <v>120</v>
      </c>
      <c r="P8" s="25">
        <v>0</v>
      </c>
      <c r="Q8" s="25">
        <v>0</v>
      </c>
      <c r="R8" s="26">
        <v>10</v>
      </c>
      <c r="S8" s="27">
        <v>0</v>
      </c>
      <c r="T8" s="27">
        <v>0</v>
      </c>
      <c r="U8" s="28">
        <v>2</v>
      </c>
      <c r="V8" s="27">
        <v>0</v>
      </c>
      <c r="W8" s="27">
        <v>6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26</v>
      </c>
      <c r="M9" s="24">
        <v>22</v>
      </c>
      <c r="N9" s="24">
        <v>160</v>
      </c>
      <c r="O9" s="25">
        <v>14</v>
      </c>
      <c r="P9" s="25">
        <v>0</v>
      </c>
      <c r="Q9" s="25">
        <v>130</v>
      </c>
      <c r="R9" s="26">
        <v>27</v>
      </c>
      <c r="S9" s="27">
        <v>12</v>
      </c>
      <c r="T9" s="27">
        <v>16</v>
      </c>
      <c r="U9" s="28">
        <v>12</v>
      </c>
      <c r="V9" s="27">
        <v>3</v>
      </c>
      <c r="W9" s="27">
        <v>9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177</v>
      </c>
      <c r="M10" s="14">
        <f t="shared" si="0"/>
        <v>109</v>
      </c>
      <c r="N10" s="14">
        <f t="shared" si="0"/>
        <v>825</v>
      </c>
      <c r="O10" s="14">
        <f t="shared" si="0"/>
        <v>179</v>
      </c>
      <c r="P10" s="14">
        <f t="shared" si="0"/>
        <v>2</v>
      </c>
      <c r="Q10" s="14">
        <f t="shared" si="0"/>
        <v>381</v>
      </c>
      <c r="R10" s="14">
        <f t="shared" si="0"/>
        <v>107</v>
      </c>
      <c r="S10" s="14">
        <f t="shared" si="0"/>
        <v>89</v>
      </c>
      <c r="T10" s="14">
        <f t="shared" si="0"/>
        <v>50</v>
      </c>
      <c r="U10" s="14">
        <f t="shared" si="0"/>
        <v>16</v>
      </c>
      <c r="V10" s="14">
        <f t="shared" si="0"/>
        <v>5</v>
      </c>
      <c r="W10" s="14">
        <f t="shared" si="0"/>
        <v>18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1.4750000000000001</v>
      </c>
      <c r="M12" s="15">
        <f t="shared" si="1"/>
        <v>0.90833333333333333</v>
      </c>
      <c r="N12" s="15">
        <f t="shared" si="1"/>
        <v>6.875</v>
      </c>
      <c r="O12" s="15">
        <f t="shared" si="1"/>
        <v>1.4916666666666667</v>
      </c>
      <c r="P12" s="15">
        <f t="shared" si="1"/>
        <v>1.6666666666666666E-2</v>
      </c>
      <c r="Q12" s="15">
        <f t="shared" si="1"/>
        <v>3.1749999999999998</v>
      </c>
      <c r="R12" s="15">
        <f t="shared" si="1"/>
        <v>0.89166666666666672</v>
      </c>
      <c r="S12" s="15">
        <f t="shared" si="1"/>
        <v>0.7416666666666667</v>
      </c>
      <c r="T12" s="15">
        <f t="shared" si="1"/>
        <v>0.41666666666666669</v>
      </c>
      <c r="U12" s="15">
        <f t="shared" si="1"/>
        <v>0.13333333333333333</v>
      </c>
      <c r="V12" s="15">
        <f t="shared" si="1"/>
        <v>4.1666666666666664E-2</v>
      </c>
      <c r="W12" s="15">
        <f t="shared" si="1"/>
        <v>0.15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  <mergeCell ref="Z2: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D9A2-6EBC-460F-8A8E-7335E5870FCE}">
  <dimension ref="A1:Z13"/>
  <sheetViews>
    <sheetView zoomScale="56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44140625" bestFit="1" customWidth="1"/>
    <col min="6" max="11" width="7.88671875" bestFit="1" customWidth="1"/>
    <col min="12" max="13" width="11.21875" bestFit="1" customWidth="1"/>
    <col min="14" max="15" width="8.44140625" bestFit="1" customWidth="1"/>
    <col min="16" max="16" width="7.88671875" bestFit="1" customWidth="1"/>
    <col min="17" max="18" width="8.44140625" bestFit="1" customWidth="1"/>
    <col min="19" max="21" width="7.88671875" bestFit="1" customWidth="1"/>
    <col min="22" max="22" width="7.21875" bestFit="1" customWidth="1"/>
    <col min="23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46133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29</v>
      </c>
      <c r="M4" s="24">
        <v>17</v>
      </c>
      <c r="N4" s="24">
        <v>10</v>
      </c>
      <c r="O4" s="25">
        <v>5</v>
      </c>
      <c r="P4" s="25">
        <v>0</v>
      </c>
      <c r="Q4" s="25">
        <v>33</v>
      </c>
      <c r="R4" s="26">
        <v>0</v>
      </c>
      <c r="S4" s="27">
        <v>10</v>
      </c>
      <c r="T4" s="27">
        <v>0</v>
      </c>
      <c r="U4" s="28">
        <v>0</v>
      </c>
      <c r="V4" s="27">
        <v>0</v>
      </c>
      <c r="W4" s="27">
        <v>0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30</v>
      </c>
      <c r="M5" s="24">
        <v>19</v>
      </c>
      <c r="N5" s="24">
        <v>0</v>
      </c>
      <c r="O5" s="25">
        <v>13</v>
      </c>
      <c r="P5" s="25">
        <v>0</v>
      </c>
      <c r="Q5" s="25">
        <v>360</v>
      </c>
      <c r="R5" s="26">
        <v>0</v>
      </c>
      <c r="S5" s="27">
        <v>20</v>
      </c>
      <c r="T5" s="27">
        <v>18</v>
      </c>
      <c r="U5" s="28">
        <v>10</v>
      </c>
      <c r="V5" s="27">
        <v>2</v>
      </c>
      <c r="W5" s="27">
        <v>5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38</v>
      </c>
      <c r="M6" s="24">
        <v>20</v>
      </c>
      <c r="N6" s="24">
        <v>50</v>
      </c>
      <c r="O6" s="25">
        <v>20</v>
      </c>
      <c r="P6" s="25">
        <v>0</v>
      </c>
      <c r="Q6" s="25">
        <v>54</v>
      </c>
      <c r="R6" s="26">
        <v>10</v>
      </c>
      <c r="S6" s="27">
        <v>10</v>
      </c>
      <c r="T6" s="27">
        <v>10</v>
      </c>
      <c r="U6" s="28">
        <v>0</v>
      </c>
      <c r="V6" s="27">
        <v>3</v>
      </c>
      <c r="W6" s="27">
        <v>2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40</v>
      </c>
      <c r="M7" s="24">
        <v>30</v>
      </c>
      <c r="N7" s="24">
        <v>90</v>
      </c>
      <c r="O7" s="25">
        <v>0</v>
      </c>
      <c r="P7" s="25">
        <v>0</v>
      </c>
      <c r="Q7" s="25">
        <v>0</v>
      </c>
      <c r="R7" s="26">
        <v>40</v>
      </c>
      <c r="S7" s="27">
        <v>30</v>
      </c>
      <c r="T7" s="27">
        <v>0</v>
      </c>
      <c r="U7" s="28">
        <v>0</v>
      </c>
      <c r="V7" s="27">
        <v>10</v>
      </c>
      <c r="W7" s="27">
        <v>6</v>
      </c>
      <c r="X7" s="27">
        <v>4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27</v>
      </c>
      <c r="M8" s="24">
        <v>11</v>
      </c>
      <c r="N8" s="24">
        <v>122</v>
      </c>
      <c r="O8" s="25">
        <v>120</v>
      </c>
      <c r="P8" s="25">
        <v>0</v>
      </c>
      <c r="Q8" s="25">
        <v>120</v>
      </c>
      <c r="R8" s="26">
        <v>0</v>
      </c>
      <c r="S8" s="27">
        <v>0</v>
      </c>
      <c r="T8" s="27">
        <v>0</v>
      </c>
      <c r="U8" s="28">
        <v>0</v>
      </c>
      <c r="V8" s="27">
        <v>0</v>
      </c>
      <c r="W8" s="27">
        <v>0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12</v>
      </c>
      <c r="M9" s="24">
        <v>9</v>
      </c>
      <c r="N9" s="24">
        <v>110</v>
      </c>
      <c r="O9" s="25">
        <v>7</v>
      </c>
      <c r="P9" s="25">
        <v>0</v>
      </c>
      <c r="Q9" s="25">
        <v>60</v>
      </c>
      <c r="R9" s="26">
        <v>17</v>
      </c>
      <c r="S9" s="27">
        <v>0</v>
      </c>
      <c r="T9" s="27">
        <v>6</v>
      </c>
      <c r="U9" s="28">
        <v>9</v>
      </c>
      <c r="V9" s="27">
        <v>3</v>
      </c>
      <c r="W9" s="27">
        <v>6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176</v>
      </c>
      <c r="M10" s="14">
        <f t="shared" si="0"/>
        <v>106</v>
      </c>
      <c r="N10" s="14">
        <f t="shared" si="0"/>
        <v>382</v>
      </c>
      <c r="O10" s="14">
        <f t="shared" si="0"/>
        <v>165</v>
      </c>
      <c r="P10" s="14">
        <f t="shared" si="0"/>
        <v>0</v>
      </c>
      <c r="Q10" s="14">
        <f t="shared" si="0"/>
        <v>627</v>
      </c>
      <c r="R10" s="14">
        <f t="shared" si="0"/>
        <v>67</v>
      </c>
      <c r="S10" s="14">
        <f t="shared" si="0"/>
        <v>70</v>
      </c>
      <c r="T10" s="14">
        <f t="shared" si="0"/>
        <v>34</v>
      </c>
      <c r="U10" s="14">
        <f t="shared" si="0"/>
        <v>19</v>
      </c>
      <c r="V10" s="14">
        <f t="shared" si="0"/>
        <v>18</v>
      </c>
      <c r="W10" s="14">
        <f t="shared" si="0"/>
        <v>19</v>
      </c>
      <c r="X10" s="14">
        <f t="shared" si="0"/>
        <v>4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1.4666666666666666</v>
      </c>
      <c r="M12" s="15">
        <f t="shared" si="1"/>
        <v>0.8833333333333333</v>
      </c>
      <c r="N12" s="15">
        <f t="shared" si="1"/>
        <v>3.1833333333333331</v>
      </c>
      <c r="O12" s="15">
        <f t="shared" si="1"/>
        <v>1.375</v>
      </c>
      <c r="P12" s="15">
        <f t="shared" si="1"/>
        <v>0</v>
      </c>
      <c r="Q12" s="15">
        <f t="shared" si="1"/>
        <v>5.2249999999999996</v>
      </c>
      <c r="R12" s="15">
        <f t="shared" si="1"/>
        <v>0.55833333333333335</v>
      </c>
      <c r="S12" s="15">
        <f t="shared" si="1"/>
        <v>0.58333333333333337</v>
      </c>
      <c r="T12" s="15">
        <f t="shared" si="1"/>
        <v>0.28333333333333333</v>
      </c>
      <c r="U12" s="15">
        <f t="shared" si="1"/>
        <v>0.15833333333333333</v>
      </c>
      <c r="V12" s="15">
        <f t="shared" si="1"/>
        <v>0.15</v>
      </c>
      <c r="W12" s="15">
        <f t="shared" si="1"/>
        <v>0.15833333333333333</v>
      </c>
      <c r="X12" s="15">
        <f t="shared" si="1"/>
        <v>3.3333333333333333E-2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  <mergeCell ref="Z2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403E-91E6-4E2C-9F2B-AF780F58B93B}">
  <dimension ref="A1:Z13"/>
  <sheetViews>
    <sheetView topLeftCell="B1" zoomScale="67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44140625" bestFit="1" customWidth="1"/>
    <col min="6" max="11" width="7.88671875" bestFit="1" customWidth="1"/>
    <col min="12" max="13" width="11.21875" bestFit="1" customWidth="1"/>
    <col min="14" max="15" width="8.44140625" bestFit="1" customWidth="1"/>
    <col min="16" max="16" width="7.88671875" bestFit="1" customWidth="1"/>
    <col min="17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46134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33</v>
      </c>
      <c r="M4" s="24">
        <v>20</v>
      </c>
      <c r="N4" s="24">
        <v>48</v>
      </c>
      <c r="O4" s="25">
        <v>122</v>
      </c>
      <c r="P4" s="25">
        <v>0</v>
      </c>
      <c r="Q4" s="25">
        <v>57</v>
      </c>
      <c r="R4" s="26">
        <v>0</v>
      </c>
      <c r="S4" s="27">
        <v>20</v>
      </c>
      <c r="T4" s="27">
        <v>20</v>
      </c>
      <c r="U4" s="28">
        <v>0</v>
      </c>
      <c r="V4" s="27">
        <v>0</v>
      </c>
      <c r="W4" s="27">
        <v>0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40</v>
      </c>
      <c r="M5" s="24">
        <v>25</v>
      </c>
      <c r="N5" s="24">
        <v>0</v>
      </c>
      <c r="O5" s="25">
        <v>10</v>
      </c>
      <c r="P5" s="25">
        <v>0</v>
      </c>
      <c r="Q5" s="25">
        <v>120</v>
      </c>
      <c r="R5" s="26">
        <v>0</v>
      </c>
      <c r="S5" s="27">
        <v>15</v>
      </c>
      <c r="T5" s="27">
        <v>20</v>
      </c>
      <c r="U5" s="28">
        <v>5</v>
      </c>
      <c r="V5" s="27">
        <v>0</v>
      </c>
      <c r="W5" s="27">
        <v>5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44</v>
      </c>
      <c r="M6" s="24">
        <v>27</v>
      </c>
      <c r="N6" s="24">
        <v>180</v>
      </c>
      <c r="O6" s="25">
        <v>30</v>
      </c>
      <c r="P6" s="25">
        <v>0</v>
      </c>
      <c r="Q6" s="25">
        <v>25</v>
      </c>
      <c r="R6" s="26">
        <v>10</v>
      </c>
      <c r="S6" s="27">
        <v>35</v>
      </c>
      <c r="T6" s="27">
        <v>20</v>
      </c>
      <c r="U6" s="28">
        <v>0</v>
      </c>
      <c r="V6" s="27">
        <v>3</v>
      </c>
      <c r="W6" s="27">
        <v>4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50</v>
      </c>
      <c r="M7" s="24">
        <v>35</v>
      </c>
      <c r="N7" s="24">
        <v>270</v>
      </c>
      <c r="O7" s="25">
        <v>0</v>
      </c>
      <c r="P7" s="25">
        <v>7</v>
      </c>
      <c r="Q7" s="25">
        <v>0</v>
      </c>
      <c r="R7" s="26">
        <v>32</v>
      </c>
      <c r="S7" s="27">
        <v>0</v>
      </c>
      <c r="T7" s="27">
        <v>0</v>
      </c>
      <c r="U7" s="28">
        <v>8</v>
      </c>
      <c r="V7" s="27">
        <v>6</v>
      </c>
      <c r="W7" s="27">
        <v>12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42</v>
      </c>
      <c r="M8" s="24">
        <v>26</v>
      </c>
      <c r="N8" s="24">
        <v>150</v>
      </c>
      <c r="O8" s="25">
        <v>121</v>
      </c>
      <c r="P8" s="25">
        <v>0</v>
      </c>
      <c r="Q8" s="25">
        <v>70</v>
      </c>
      <c r="R8" s="26">
        <v>0</v>
      </c>
      <c r="S8" s="26">
        <v>0</v>
      </c>
      <c r="T8" s="26">
        <v>0</v>
      </c>
      <c r="U8" s="28">
        <v>2</v>
      </c>
      <c r="V8" s="27">
        <v>0</v>
      </c>
      <c r="W8" s="27">
        <v>10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40</v>
      </c>
      <c r="M9" s="24">
        <v>31</v>
      </c>
      <c r="N9" s="24">
        <v>80</v>
      </c>
      <c r="O9" s="25">
        <v>5</v>
      </c>
      <c r="P9" s="25">
        <v>0</v>
      </c>
      <c r="Q9" s="25">
        <v>50</v>
      </c>
      <c r="R9" s="26">
        <v>42</v>
      </c>
      <c r="S9" s="27">
        <v>0</v>
      </c>
      <c r="T9" s="27">
        <v>6</v>
      </c>
      <c r="U9" s="28">
        <v>16</v>
      </c>
      <c r="V9" s="27">
        <v>6</v>
      </c>
      <c r="W9" s="27">
        <v>18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249</v>
      </c>
      <c r="M10" s="14">
        <f t="shared" si="0"/>
        <v>164</v>
      </c>
      <c r="N10" s="14">
        <f t="shared" si="0"/>
        <v>728</v>
      </c>
      <c r="O10" s="14">
        <f t="shared" si="0"/>
        <v>288</v>
      </c>
      <c r="P10" s="14">
        <f t="shared" si="0"/>
        <v>7</v>
      </c>
      <c r="Q10" s="14">
        <f t="shared" si="0"/>
        <v>322</v>
      </c>
      <c r="R10" s="14">
        <f t="shared" si="0"/>
        <v>84</v>
      </c>
      <c r="S10" s="14">
        <f t="shared" si="0"/>
        <v>70</v>
      </c>
      <c r="T10" s="14">
        <f t="shared" si="0"/>
        <v>66</v>
      </c>
      <c r="U10" s="14">
        <f t="shared" si="0"/>
        <v>31</v>
      </c>
      <c r="V10" s="14">
        <f t="shared" si="0"/>
        <v>15</v>
      </c>
      <c r="W10" s="14">
        <f t="shared" si="0"/>
        <v>49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2.0750000000000002</v>
      </c>
      <c r="M12" s="15">
        <f t="shared" si="1"/>
        <v>1.3666666666666667</v>
      </c>
      <c r="N12" s="15">
        <f t="shared" si="1"/>
        <v>6.0666666666666664</v>
      </c>
      <c r="O12" s="15">
        <f t="shared" si="1"/>
        <v>2.4</v>
      </c>
      <c r="P12" s="15">
        <f t="shared" si="1"/>
        <v>5.8333333333333334E-2</v>
      </c>
      <c r="Q12" s="15">
        <f t="shared" si="1"/>
        <v>2.6833333333333331</v>
      </c>
      <c r="R12" s="15">
        <f t="shared" si="1"/>
        <v>0.7</v>
      </c>
      <c r="S12" s="15">
        <f t="shared" si="1"/>
        <v>0.58333333333333337</v>
      </c>
      <c r="T12" s="15">
        <f t="shared" si="1"/>
        <v>0.55000000000000004</v>
      </c>
      <c r="U12" s="15">
        <f t="shared" si="1"/>
        <v>0.25833333333333336</v>
      </c>
      <c r="V12" s="15">
        <f t="shared" si="1"/>
        <v>0.125</v>
      </c>
      <c r="W12" s="15">
        <f t="shared" si="1"/>
        <v>0.40833333333333333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  <mergeCell ref="Z2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8A0C-CDB0-47F8-95A4-42987FE52163}">
  <dimension ref="A1:Z13"/>
  <sheetViews>
    <sheetView zoomScale="68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44140625" bestFit="1" customWidth="1"/>
    <col min="6" max="11" width="7.88671875" bestFit="1" customWidth="1"/>
    <col min="12" max="13" width="11.21875" bestFit="1" customWidth="1"/>
    <col min="14" max="15" width="8.44140625" bestFit="1" customWidth="1"/>
    <col min="16" max="16" width="7.88671875" bestFit="1" customWidth="1"/>
    <col min="17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46135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43</v>
      </c>
      <c r="M4" s="24">
        <v>22</v>
      </c>
      <c r="N4" s="24">
        <v>50</v>
      </c>
      <c r="O4" s="25">
        <v>5</v>
      </c>
      <c r="P4" s="25">
        <v>0</v>
      </c>
      <c r="Q4" s="25">
        <v>83</v>
      </c>
      <c r="R4" s="26">
        <v>0</v>
      </c>
      <c r="S4" s="27">
        <v>8</v>
      </c>
      <c r="T4" s="27">
        <v>10</v>
      </c>
      <c r="U4" s="28">
        <v>0</v>
      </c>
      <c r="V4" s="27">
        <v>0</v>
      </c>
      <c r="W4" s="27">
        <v>0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30</v>
      </c>
      <c r="M5" s="24">
        <v>18</v>
      </c>
      <c r="N5" s="24">
        <v>0</v>
      </c>
      <c r="O5" s="25">
        <v>20</v>
      </c>
      <c r="P5" s="25">
        <v>0</v>
      </c>
      <c r="Q5" s="25">
        <v>380</v>
      </c>
      <c r="R5" s="26">
        <v>0</v>
      </c>
      <c r="S5" s="27">
        <v>25</v>
      </c>
      <c r="T5" s="27">
        <v>15</v>
      </c>
      <c r="U5" s="28">
        <v>8</v>
      </c>
      <c r="V5" s="27">
        <v>6</v>
      </c>
      <c r="W5" s="27">
        <v>8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40</v>
      </c>
      <c r="M6" s="24">
        <v>30</v>
      </c>
      <c r="N6" s="24">
        <v>360</v>
      </c>
      <c r="O6" s="25">
        <v>15</v>
      </c>
      <c r="P6" s="25">
        <v>0</v>
      </c>
      <c r="Q6" s="25">
        <v>25</v>
      </c>
      <c r="R6" s="26">
        <v>10</v>
      </c>
      <c r="S6" s="27">
        <v>20</v>
      </c>
      <c r="T6" s="27">
        <v>10</v>
      </c>
      <c r="U6" s="28">
        <v>0</v>
      </c>
      <c r="V6" s="27">
        <v>3</v>
      </c>
      <c r="W6" s="27">
        <v>2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40</v>
      </c>
      <c r="M7" s="24">
        <v>30</v>
      </c>
      <c r="N7" s="24">
        <v>195</v>
      </c>
      <c r="O7" s="25">
        <v>6</v>
      </c>
      <c r="P7" s="25">
        <v>0</v>
      </c>
      <c r="Q7" s="25">
        <v>0</v>
      </c>
      <c r="R7" s="26">
        <v>44</v>
      </c>
      <c r="S7" s="27">
        <v>0</v>
      </c>
      <c r="T7" s="27">
        <v>0</v>
      </c>
      <c r="U7" s="28">
        <v>10</v>
      </c>
      <c r="V7" s="27">
        <v>9</v>
      </c>
      <c r="W7" s="27">
        <v>18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39</v>
      </c>
      <c r="M8" s="24">
        <v>21</v>
      </c>
      <c r="N8" s="24">
        <v>120</v>
      </c>
      <c r="O8" s="25">
        <v>5</v>
      </c>
      <c r="P8" s="25">
        <v>0</v>
      </c>
      <c r="Q8" s="25">
        <v>50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6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29</v>
      </c>
      <c r="M9" s="24">
        <v>21</v>
      </c>
      <c r="N9" s="24">
        <v>30</v>
      </c>
      <c r="O9" s="25">
        <v>6</v>
      </c>
      <c r="P9" s="25">
        <v>0</v>
      </c>
      <c r="Q9" s="25">
        <v>50</v>
      </c>
      <c r="R9" s="26">
        <v>37</v>
      </c>
      <c r="S9" s="27">
        <v>0</v>
      </c>
      <c r="T9" s="27">
        <v>12</v>
      </c>
      <c r="U9" s="28">
        <v>5</v>
      </c>
      <c r="V9" s="27">
        <v>7</v>
      </c>
      <c r="W9" s="27">
        <v>15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221</v>
      </c>
      <c r="M10" s="14">
        <f t="shared" si="0"/>
        <v>142</v>
      </c>
      <c r="N10" s="14">
        <f t="shared" si="0"/>
        <v>755</v>
      </c>
      <c r="O10" s="14">
        <f t="shared" si="0"/>
        <v>57</v>
      </c>
      <c r="P10" s="14">
        <f t="shared" si="0"/>
        <v>0</v>
      </c>
      <c r="Q10" s="14">
        <f t="shared" si="0"/>
        <v>588</v>
      </c>
      <c r="R10" s="14">
        <f t="shared" si="0"/>
        <v>91</v>
      </c>
      <c r="S10" s="14">
        <f t="shared" si="0"/>
        <v>53</v>
      </c>
      <c r="T10" s="14">
        <f t="shared" si="0"/>
        <v>47</v>
      </c>
      <c r="U10" s="14">
        <f t="shared" si="0"/>
        <v>23</v>
      </c>
      <c r="V10" s="14">
        <f t="shared" si="0"/>
        <v>25</v>
      </c>
      <c r="W10" s="14">
        <f t="shared" si="0"/>
        <v>49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1.8416666666666666</v>
      </c>
      <c r="M12" s="15">
        <f t="shared" si="1"/>
        <v>1.1833333333333333</v>
      </c>
      <c r="N12" s="15">
        <f t="shared" si="1"/>
        <v>6.291666666666667</v>
      </c>
      <c r="O12" s="15">
        <f t="shared" si="1"/>
        <v>0.47499999999999998</v>
      </c>
      <c r="P12" s="15">
        <f t="shared" si="1"/>
        <v>0</v>
      </c>
      <c r="Q12" s="15">
        <f t="shared" si="1"/>
        <v>4.9000000000000004</v>
      </c>
      <c r="R12" s="15">
        <f t="shared" si="1"/>
        <v>0.7583333333333333</v>
      </c>
      <c r="S12" s="15">
        <f t="shared" si="1"/>
        <v>0.44166666666666665</v>
      </c>
      <c r="T12" s="15">
        <f t="shared" si="1"/>
        <v>0.39166666666666666</v>
      </c>
      <c r="U12" s="15">
        <f t="shared" si="1"/>
        <v>0.19166666666666668</v>
      </c>
      <c r="V12" s="15">
        <f t="shared" si="1"/>
        <v>0.20833333333333334</v>
      </c>
      <c r="W12" s="15">
        <f t="shared" si="1"/>
        <v>0.40833333333333333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  <mergeCell ref="Z2:Z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BF0F-C0C4-4C66-90AE-B1CAE0C00A3B}">
  <dimension ref="A1:Z13"/>
  <sheetViews>
    <sheetView zoomScale="57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44140625" bestFit="1" customWidth="1"/>
    <col min="6" max="11" width="7.88671875" bestFit="1" customWidth="1"/>
    <col min="12" max="13" width="11.21875" bestFit="1" customWidth="1"/>
    <col min="14" max="15" width="8.44140625" bestFit="1" customWidth="1"/>
    <col min="16" max="16" width="7.88671875" bestFit="1" customWidth="1"/>
    <col min="17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46136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43</v>
      </c>
      <c r="M4" s="24">
        <v>22</v>
      </c>
      <c r="N4" s="24">
        <v>50</v>
      </c>
      <c r="O4" s="25">
        <v>5</v>
      </c>
      <c r="P4" s="25">
        <v>0</v>
      </c>
      <c r="Q4" s="25">
        <v>83</v>
      </c>
      <c r="R4" s="26">
        <v>0</v>
      </c>
      <c r="S4" s="27">
        <v>8</v>
      </c>
      <c r="T4" s="27">
        <v>10</v>
      </c>
      <c r="U4" s="28">
        <v>0</v>
      </c>
      <c r="V4" s="27">
        <v>0</v>
      </c>
      <c r="W4" s="27">
        <v>0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60</v>
      </c>
      <c r="M5" s="24">
        <v>40</v>
      </c>
      <c r="N5" s="24">
        <v>0</v>
      </c>
      <c r="O5" s="25">
        <v>13</v>
      </c>
      <c r="P5" s="25">
        <v>0</v>
      </c>
      <c r="Q5" s="25">
        <v>240</v>
      </c>
      <c r="R5" s="26">
        <v>0</v>
      </c>
      <c r="S5" s="27">
        <v>15</v>
      </c>
      <c r="T5" s="27">
        <v>10</v>
      </c>
      <c r="U5" s="28">
        <v>12</v>
      </c>
      <c r="V5" s="27">
        <v>5</v>
      </c>
      <c r="W5" s="27">
        <v>6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40</v>
      </c>
      <c r="M6" s="24">
        <v>30</v>
      </c>
      <c r="N6" s="24">
        <v>145</v>
      </c>
      <c r="O6" s="25">
        <v>15</v>
      </c>
      <c r="P6" s="25">
        <v>0</v>
      </c>
      <c r="Q6" s="25">
        <v>35</v>
      </c>
      <c r="R6" s="26">
        <v>45</v>
      </c>
      <c r="S6" s="27">
        <v>25</v>
      </c>
      <c r="T6" s="27">
        <v>10</v>
      </c>
      <c r="U6" s="28">
        <v>0</v>
      </c>
      <c r="V6" s="27">
        <v>3</v>
      </c>
      <c r="W6" s="27">
        <v>4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40</v>
      </c>
      <c r="M7" s="24">
        <v>35</v>
      </c>
      <c r="N7" s="24">
        <v>78</v>
      </c>
      <c r="O7" s="25">
        <v>13</v>
      </c>
      <c r="P7" s="25">
        <v>7</v>
      </c>
      <c r="Q7" s="25">
        <v>30</v>
      </c>
      <c r="R7" s="26">
        <v>26</v>
      </c>
      <c r="S7" s="27">
        <v>0</v>
      </c>
      <c r="T7" s="27">
        <v>0</v>
      </c>
      <c r="U7" s="28">
        <v>0</v>
      </c>
      <c r="V7" s="27">
        <v>5</v>
      </c>
      <c r="W7" s="27">
        <v>13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39</v>
      </c>
      <c r="M8" s="24">
        <v>21</v>
      </c>
      <c r="N8" s="24">
        <v>120</v>
      </c>
      <c r="O8" s="25">
        <v>5</v>
      </c>
      <c r="P8" s="25">
        <v>0</v>
      </c>
      <c r="Q8" s="25">
        <v>50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6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32</v>
      </c>
      <c r="M9" s="24">
        <v>19</v>
      </c>
      <c r="N9" s="24">
        <v>40</v>
      </c>
      <c r="O9" s="25">
        <v>4</v>
      </c>
      <c r="P9" s="25">
        <v>0</v>
      </c>
      <c r="Q9" s="25">
        <v>80</v>
      </c>
      <c r="R9" s="26">
        <v>25</v>
      </c>
      <c r="S9" s="27">
        <v>0</v>
      </c>
      <c r="T9" s="27">
        <v>4</v>
      </c>
      <c r="U9" s="28">
        <v>0</v>
      </c>
      <c r="V9" s="27">
        <v>7</v>
      </c>
      <c r="W9" s="27">
        <v>9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254</v>
      </c>
      <c r="M10" s="14">
        <f t="shared" si="0"/>
        <v>167</v>
      </c>
      <c r="N10" s="14">
        <f t="shared" si="0"/>
        <v>433</v>
      </c>
      <c r="O10" s="14">
        <f t="shared" si="0"/>
        <v>55</v>
      </c>
      <c r="P10" s="14">
        <f t="shared" si="0"/>
        <v>7</v>
      </c>
      <c r="Q10" s="14">
        <f t="shared" si="0"/>
        <v>518</v>
      </c>
      <c r="R10" s="14">
        <f t="shared" si="0"/>
        <v>96</v>
      </c>
      <c r="S10" s="14">
        <f t="shared" si="0"/>
        <v>48</v>
      </c>
      <c r="T10" s="14">
        <f t="shared" si="0"/>
        <v>34</v>
      </c>
      <c r="U10" s="14">
        <f t="shared" si="0"/>
        <v>12</v>
      </c>
      <c r="V10" s="14">
        <f t="shared" si="0"/>
        <v>20</v>
      </c>
      <c r="W10" s="14">
        <f t="shared" si="0"/>
        <v>38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2.1166666666666667</v>
      </c>
      <c r="M12" s="15">
        <f t="shared" si="1"/>
        <v>1.3916666666666666</v>
      </c>
      <c r="N12" s="15">
        <f t="shared" si="1"/>
        <v>3.6083333333333334</v>
      </c>
      <c r="O12" s="15">
        <f t="shared" si="1"/>
        <v>0.45833333333333331</v>
      </c>
      <c r="P12" s="15">
        <f t="shared" si="1"/>
        <v>5.8333333333333334E-2</v>
      </c>
      <c r="Q12" s="15">
        <f t="shared" si="1"/>
        <v>4.3166666666666664</v>
      </c>
      <c r="R12" s="15">
        <f t="shared" si="1"/>
        <v>0.8</v>
      </c>
      <c r="S12" s="15">
        <f t="shared" si="1"/>
        <v>0.4</v>
      </c>
      <c r="T12" s="15">
        <f t="shared" si="1"/>
        <v>0.28333333333333333</v>
      </c>
      <c r="U12" s="15">
        <f t="shared" si="1"/>
        <v>0.1</v>
      </c>
      <c r="V12" s="15">
        <f t="shared" si="1"/>
        <v>0.16666666666666666</v>
      </c>
      <c r="W12" s="15">
        <f t="shared" si="1"/>
        <v>0.31666666666666665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  <mergeCell ref="Z2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49C4-7009-4349-B8B5-AA4DAA3A0DA8}">
  <dimension ref="A1:Z13"/>
  <sheetViews>
    <sheetView zoomScale="73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77734375" bestFit="1" customWidth="1"/>
    <col min="6" max="11" width="7.88671875" bestFit="1" customWidth="1"/>
    <col min="12" max="13" width="11.21875" bestFit="1" customWidth="1"/>
    <col min="14" max="15" width="8.77734375" bestFit="1" customWidth="1"/>
    <col min="16" max="16" width="7.88671875" bestFit="1" customWidth="1"/>
    <col min="17" max="17" width="8.77734375" bestFit="1" customWidth="1"/>
    <col min="18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46137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40</v>
      </c>
      <c r="M4" s="24">
        <v>23</v>
      </c>
      <c r="N4" s="24">
        <v>22</v>
      </c>
      <c r="O4" s="25">
        <v>122</v>
      </c>
      <c r="P4" s="25">
        <v>0</v>
      </c>
      <c r="Q4" s="25">
        <v>56</v>
      </c>
      <c r="R4" s="26">
        <v>0</v>
      </c>
      <c r="S4" s="27">
        <v>2</v>
      </c>
      <c r="T4" s="27">
        <v>8</v>
      </c>
      <c r="U4" s="28">
        <v>0</v>
      </c>
      <c r="V4" s="27">
        <v>0</v>
      </c>
      <c r="W4" s="27">
        <v>1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30</v>
      </c>
      <c r="M5" s="24">
        <v>22</v>
      </c>
      <c r="N5" s="24">
        <v>0</v>
      </c>
      <c r="O5" s="25">
        <v>25</v>
      </c>
      <c r="P5" s="25">
        <v>0</v>
      </c>
      <c r="Q5" s="25">
        <v>360</v>
      </c>
      <c r="R5" s="26">
        <v>0</v>
      </c>
      <c r="S5" s="27">
        <v>0</v>
      </c>
      <c r="T5" s="27">
        <v>10</v>
      </c>
      <c r="U5" s="28">
        <v>10</v>
      </c>
      <c r="V5" s="27">
        <v>5</v>
      </c>
      <c r="W5" s="27">
        <v>8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40</v>
      </c>
      <c r="M6" s="24">
        <v>30</v>
      </c>
      <c r="N6" s="24">
        <v>550</v>
      </c>
      <c r="O6" s="25">
        <v>25</v>
      </c>
      <c r="P6" s="25">
        <v>0</v>
      </c>
      <c r="Q6" s="25">
        <v>12</v>
      </c>
      <c r="R6" s="26">
        <v>25</v>
      </c>
      <c r="S6" s="27">
        <v>15</v>
      </c>
      <c r="T6" s="27">
        <v>9</v>
      </c>
      <c r="U6" s="28">
        <v>0</v>
      </c>
      <c r="V6" s="27">
        <v>2</v>
      </c>
      <c r="W6" s="27">
        <v>2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55</v>
      </c>
      <c r="M7" s="24">
        <v>35</v>
      </c>
      <c r="N7" s="24">
        <v>60</v>
      </c>
      <c r="O7" s="25">
        <v>240</v>
      </c>
      <c r="P7" s="25">
        <v>3</v>
      </c>
      <c r="Q7" s="25">
        <v>26</v>
      </c>
      <c r="R7" s="26">
        <v>21</v>
      </c>
      <c r="S7" s="27">
        <v>0</v>
      </c>
      <c r="T7" s="27">
        <v>0</v>
      </c>
      <c r="U7" s="28">
        <v>0</v>
      </c>
      <c r="V7" s="27">
        <v>13</v>
      </c>
      <c r="W7" s="27">
        <v>15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35</v>
      </c>
      <c r="M8" s="24">
        <v>26</v>
      </c>
      <c r="N8" s="24">
        <v>240</v>
      </c>
      <c r="O8" s="25">
        <v>362</v>
      </c>
      <c r="P8" s="25">
        <v>0</v>
      </c>
      <c r="Q8" s="25">
        <v>50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21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21</v>
      </c>
      <c r="M9" s="24">
        <v>16</v>
      </c>
      <c r="N9" s="24">
        <v>80</v>
      </c>
      <c r="O9" s="25">
        <v>4</v>
      </c>
      <c r="P9" s="25">
        <v>0</v>
      </c>
      <c r="Q9" s="25">
        <v>20</v>
      </c>
      <c r="R9" s="26">
        <v>22</v>
      </c>
      <c r="S9" s="27">
        <v>0</v>
      </c>
      <c r="T9" s="27">
        <v>0</v>
      </c>
      <c r="U9" s="28">
        <v>7</v>
      </c>
      <c r="V9" s="27">
        <v>3</v>
      </c>
      <c r="W9" s="27">
        <v>9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221</v>
      </c>
      <c r="M10" s="14">
        <f t="shared" si="0"/>
        <v>152</v>
      </c>
      <c r="N10" s="14">
        <f t="shared" si="0"/>
        <v>952</v>
      </c>
      <c r="O10" s="14">
        <f t="shared" si="0"/>
        <v>778</v>
      </c>
      <c r="P10" s="14">
        <f t="shared" si="0"/>
        <v>3</v>
      </c>
      <c r="Q10" s="14">
        <f t="shared" si="0"/>
        <v>524</v>
      </c>
      <c r="R10" s="14">
        <f t="shared" si="0"/>
        <v>68</v>
      </c>
      <c r="S10" s="14">
        <f t="shared" si="0"/>
        <v>17</v>
      </c>
      <c r="T10" s="14">
        <f t="shared" si="0"/>
        <v>27</v>
      </c>
      <c r="U10" s="14">
        <f t="shared" si="0"/>
        <v>17</v>
      </c>
      <c r="V10" s="14">
        <f t="shared" si="0"/>
        <v>23</v>
      </c>
      <c r="W10" s="14">
        <f t="shared" si="0"/>
        <v>56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1.8416666666666666</v>
      </c>
      <c r="M12" s="15">
        <f t="shared" si="1"/>
        <v>1.2666666666666666</v>
      </c>
      <c r="N12" s="15">
        <f t="shared" si="1"/>
        <v>7.9333333333333336</v>
      </c>
      <c r="O12" s="15">
        <f t="shared" si="1"/>
        <v>6.4833333333333334</v>
      </c>
      <c r="P12" s="15">
        <f t="shared" si="1"/>
        <v>2.5000000000000001E-2</v>
      </c>
      <c r="Q12" s="15">
        <f t="shared" si="1"/>
        <v>4.3666666666666663</v>
      </c>
      <c r="R12" s="15">
        <f t="shared" si="1"/>
        <v>0.56666666666666665</v>
      </c>
      <c r="S12" s="15">
        <f t="shared" si="1"/>
        <v>0.14166666666666666</v>
      </c>
      <c r="T12" s="15">
        <f t="shared" si="1"/>
        <v>0.22500000000000001</v>
      </c>
      <c r="U12" s="15">
        <f t="shared" si="1"/>
        <v>0.14166666666666666</v>
      </c>
      <c r="V12" s="15">
        <f t="shared" si="1"/>
        <v>0.19166666666666668</v>
      </c>
      <c r="W12" s="15">
        <f t="shared" si="1"/>
        <v>0.46666666666666667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  <mergeCell ref="Z2:Z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F054-EDAE-4A35-A604-F0EF469C24C4}">
  <dimension ref="A1:Z13"/>
  <sheetViews>
    <sheetView zoomScale="70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77734375" bestFit="1" customWidth="1"/>
    <col min="6" max="11" width="7.88671875" bestFit="1" customWidth="1"/>
    <col min="12" max="13" width="11.21875" bestFit="1" customWidth="1"/>
    <col min="14" max="15" width="8.77734375" bestFit="1" customWidth="1"/>
    <col min="16" max="16" width="7.88671875" bestFit="1" customWidth="1"/>
    <col min="17" max="17" width="8.77734375" bestFit="1" customWidth="1"/>
    <col min="18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46139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30</v>
      </c>
      <c r="M4" s="24">
        <v>17</v>
      </c>
      <c r="N4" s="24">
        <v>26</v>
      </c>
      <c r="O4" s="25">
        <v>5</v>
      </c>
      <c r="P4" s="25">
        <v>0</v>
      </c>
      <c r="Q4" s="25">
        <v>11</v>
      </c>
      <c r="R4" s="26">
        <v>0</v>
      </c>
      <c r="S4" s="27">
        <v>6</v>
      </c>
      <c r="T4" s="27">
        <v>2</v>
      </c>
      <c r="U4" s="28">
        <v>0</v>
      </c>
      <c r="V4" s="27">
        <v>0</v>
      </c>
      <c r="W4" s="27">
        <v>1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45</v>
      </c>
      <c r="M5" s="24">
        <v>20</v>
      </c>
      <c r="N5" s="24">
        <v>0</v>
      </c>
      <c r="O5" s="25">
        <v>12</v>
      </c>
      <c r="P5" s="25">
        <v>0</v>
      </c>
      <c r="Q5" s="25">
        <v>170</v>
      </c>
      <c r="R5" s="26">
        <v>0</v>
      </c>
      <c r="S5" s="27">
        <v>20</v>
      </c>
      <c r="T5" s="27">
        <v>15</v>
      </c>
      <c r="U5" s="28">
        <v>5</v>
      </c>
      <c r="V5" s="27">
        <v>0</v>
      </c>
      <c r="W5" s="27">
        <v>5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50</v>
      </c>
      <c r="M6" s="24">
        <v>36</v>
      </c>
      <c r="N6" s="24">
        <v>150</v>
      </c>
      <c r="O6" s="25">
        <v>6</v>
      </c>
      <c r="P6" s="25">
        <v>0</v>
      </c>
      <c r="Q6" s="25">
        <v>10</v>
      </c>
      <c r="R6" s="26">
        <v>10</v>
      </c>
      <c r="S6" s="27">
        <v>10</v>
      </c>
      <c r="T6" s="27">
        <v>5</v>
      </c>
      <c r="U6" s="28">
        <v>0</v>
      </c>
      <c r="V6" s="27">
        <v>2</v>
      </c>
      <c r="W6" s="27">
        <v>2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40</v>
      </c>
      <c r="M7" s="24">
        <v>30</v>
      </c>
      <c r="N7" s="24">
        <v>59</v>
      </c>
      <c r="O7" s="25">
        <v>5</v>
      </c>
      <c r="P7" s="25">
        <v>0</v>
      </c>
      <c r="Q7" s="25">
        <v>26</v>
      </c>
      <c r="R7" s="26">
        <v>19</v>
      </c>
      <c r="S7" s="27">
        <v>0</v>
      </c>
      <c r="T7" s="27">
        <v>51</v>
      </c>
      <c r="U7" s="28">
        <v>0</v>
      </c>
      <c r="V7" s="27">
        <v>6</v>
      </c>
      <c r="W7" s="27">
        <v>12</v>
      </c>
      <c r="X7" s="27">
        <v>3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39</v>
      </c>
      <c r="M8" s="24">
        <v>12</v>
      </c>
      <c r="N8" s="24">
        <v>0</v>
      </c>
      <c r="O8" s="25">
        <v>242</v>
      </c>
      <c r="P8" s="25">
        <v>0</v>
      </c>
      <c r="Q8" s="25">
        <v>60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9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22</v>
      </c>
      <c r="M9" s="24">
        <v>18</v>
      </c>
      <c r="N9" s="24">
        <v>30</v>
      </c>
      <c r="O9" s="25">
        <v>12</v>
      </c>
      <c r="P9" s="25">
        <v>0</v>
      </c>
      <c r="Q9" s="25">
        <v>20</v>
      </c>
      <c r="R9" s="26">
        <v>26</v>
      </c>
      <c r="S9" s="27">
        <v>0</v>
      </c>
      <c r="T9" s="27">
        <v>0</v>
      </c>
      <c r="U9" s="28">
        <v>6</v>
      </c>
      <c r="V9" s="27">
        <v>3</v>
      </c>
      <c r="W9" s="27">
        <v>13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226</v>
      </c>
      <c r="M10" s="14">
        <f t="shared" si="0"/>
        <v>133</v>
      </c>
      <c r="N10" s="14">
        <f t="shared" si="0"/>
        <v>265</v>
      </c>
      <c r="O10" s="14">
        <f t="shared" si="0"/>
        <v>282</v>
      </c>
      <c r="P10" s="14">
        <f t="shared" si="0"/>
        <v>0</v>
      </c>
      <c r="Q10" s="14">
        <f t="shared" si="0"/>
        <v>297</v>
      </c>
      <c r="R10" s="14">
        <f t="shared" si="0"/>
        <v>55</v>
      </c>
      <c r="S10" s="14">
        <f t="shared" si="0"/>
        <v>36</v>
      </c>
      <c r="T10" s="14">
        <f t="shared" si="0"/>
        <v>73</v>
      </c>
      <c r="U10" s="14">
        <f t="shared" si="0"/>
        <v>11</v>
      </c>
      <c r="V10" s="14">
        <f t="shared" si="0"/>
        <v>11</v>
      </c>
      <c r="W10" s="14">
        <f t="shared" si="0"/>
        <v>42</v>
      </c>
      <c r="X10" s="14">
        <f t="shared" si="0"/>
        <v>3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1.8833333333333333</v>
      </c>
      <c r="M12" s="15">
        <f t="shared" si="1"/>
        <v>1.1083333333333334</v>
      </c>
      <c r="N12" s="15">
        <f t="shared" si="1"/>
        <v>2.2083333333333335</v>
      </c>
      <c r="O12" s="15">
        <f t="shared" si="1"/>
        <v>2.35</v>
      </c>
      <c r="P12" s="15">
        <f t="shared" si="1"/>
        <v>0</v>
      </c>
      <c r="Q12" s="15">
        <f t="shared" si="1"/>
        <v>2.4750000000000001</v>
      </c>
      <c r="R12" s="15">
        <f t="shared" si="1"/>
        <v>0.45833333333333331</v>
      </c>
      <c r="S12" s="15">
        <f t="shared" si="1"/>
        <v>0.3</v>
      </c>
      <c r="T12" s="15">
        <f t="shared" si="1"/>
        <v>0.60833333333333328</v>
      </c>
      <c r="U12" s="15">
        <f t="shared" si="1"/>
        <v>9.166666666666666E-2</v>
      </c>
      <c r="V12" s="15">
        <f t="shared" si="1"/>
        <v>9.166666666666666E-2</v>
      </c>
      <c r="W12" s="15">
        <f t="shared" si="1"/>
        <v>0.35</v>
      </c>
      <c r="X12" s="15">
        <f t="shared" si="1"/>
        <v>2.5000000000000001E-2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Z2:Z3"/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E1A1-6849-4E56-ADBE-AC65D9FEB3CB}">
  <dimension ref="A1:Z13"/>
  <sheetViews>
    <sheetView zoomScale="70" zoomScaleNormal="70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77734375" bestFit="1" customWidth="1"/>
    <col min="6" max="11" width="7.88671875" bestFit="1" customWidth="1"/>
    <col min="12" max="13" width="11.21875" bestFit="1" customWidth="1"/>
    <col min="14" max="15" width="8.77734375" bestFit="1" customWidth="1"/>
    <col min="16" max="16" width="7.88671875" bestFit="1" customWidth="1"/>
    <col min="17" max="17" width="8.77734375" bestFit="1" customWidth="1"/>
    <col min="18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46140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25</v>
      </c>
      <c r="M4" s="24">
        <v>17</v>
      </c>
      <c r="N4" s="24">
        <v>40</v>
      </c>
      <c r="O4" s="25">
        <v>5</v>
      </c>
      <c r="P4" s="25">
        <v>0</v>
      </c>
      <c r="Q4" s="25">
        <v>33</v>
      </c>
      <c r="R4" s="26">
        <v>0</v>
      </c>
      <c r="S4" s="27">
        <v>5</v>
      </c>
      <c r="T4" s="27">
        <v>2</v>
      </c>
      <c r="U4" s="28">
        <v>0</v>
      </c>
      <c r="V4" s="27">
        <v>0</v>
      </c>
      <c r="W4" s="27">
        <v>1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30</v>
      </c>
      <c r="M5" s="24">
        <v>20</v>
      </c>
      <c r="N5" s="24">
        <v>0</v>
      </c>
      <c r="O5" s="25">
        <v>18</v>
      </c>
      <c r="P5" s="25">
        <v>0</v>
      </c>
      <c r="Q5" s="25">
        <v>240</v>
      </c>
      <c r="R5" s="26">
        <v>0</v>
      </c>
      <c r="S5" s="27">
        <v>15</v>
      </c>
      <c r="T5" s="27">
        <v>30</v>
      </c>
      <c r="U5" s="28">
        <v>10</v>
      </c>
      <c r="V5" s="27">
        <v>0</v>
      </c>
      <c r="W5" s="27">
        <v>8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55</v>
      </c>
      <c r="M6" s="24">
        <v>47</v>
      </c>
      <c r="N6" s="24">
        <v>15</v>
      </c>
      <c r="O6" s="25">
        <v>25</v>
      </c>
      <c r="P6" s="25">
        <v>0</v>
      </c>
      <c r="Q6" s="25">
        <v>25</v>
      </c>
      <c r="R6" s="26">
        <v>13</v>
      </c>
      <c r="S6" s="27">
        <v>10</v>
      </c>
      <c r="T6" s="27">
        <v>10</v>
      </c>
      <c r="U6" s="28">
        <v>0</v>
      </c>
      <c r="V6" s="27">
        <v>2</v>
      </c>
      <c r="W6" s="27">
        <v>2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25</v>
      </c>
      <c r="M7" s="24">
        <v>15</v>
      </c>
      <c r="N7" s="24">
        <v>52</v>
      </c>
      <c r="O7" s="25">
        <v>3</v>
      </c>
      <c r="P7" s="25">
        <v>4</v>
      </c>
      <c r="Q7" s="25">
        <v>50</v>
      </c>
      <c r="R7" s="26">
        <v>24</v>
      </c>
      <c r="S7" s="27">
        <v>0</v>
      </c>
      <c r="T7" s="27">
        <v>0</v>
      </c>
      <c r="U7" s="28">
        <v>0</v>
      </c>
      <c r="V7" s="27">
        <v>0</v>
      </c>
      <c r="W7" s="27">
        <v>7</v>
      </c>
      <c r="X7" s="27">
        <v>2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33</v>
      </c>
      <c r="M8" s="24">
        <v>14</v>
      </c>
      <c r="N8" s="24">
        <v>0</v>
      </c>
      <c r="O8" s="25">
        <v>120</v>
      </c>
      <c r="P8" s="25">
        <v>0</v>
      </c>
      <c r="Q8" s="25">
        <v>80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0</v>
      </c>
      <c r="X8" s="27">
        <v>0</v>
      </c>
      <c r="Y8" s="29" t="s">
        <v>32</v>
      </c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12</v>
      </c>
      <c r="M9" s="24">
        <v>8</v>
      </c>
      <c r="N9" s="24">
        <v>50</v>
      </c>
      <c r="O9" s="25">
        <v>7</v>
      </c>
      <c r="P9" s="25">
        <v>0</v>
      </c>
      <c r="Q9" s="25">
        <v>20</v>
      </c>
      <c r="R9" s="26">
        <v>16</v>
      </c>
      <c r="S9" s="27">
        <v>0</v>
      </c>
      <c r="T9" s="27">
        <v>0</v>
      </c>
      <c r="U9" s="28">
        <v>8</v>
      </c>
      <c r="V9" s="27">
        <v>3</v>
      </c>
      <c r="W9" s="27">
        <v>5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180</v>
      </c>
      <c r="M10" s="14">
        <f t="shared" si="0"/>
        <v>121</v>
      </c>
      <c r="N10" s="14">
        <f t="shared" si="0"/>
        <v>157</v>
      </c>
      <c r="O10" s="14">
        <f t="shared" si="0"/>
        <v>178</v>
      </c>
      <c r="P10" s="14">
        <f t="shared" si="0"/>
        <v>4</v>
      </c>
      <c r="Q10" s="14">
        <f t="shared" si="0"/>
        <v>448</v>
      </c>
      <c r="R10" s="14">
        <f t="shared" si="0"/>
        <v>53</v>
      </c>
      <c r="S10" s="14">
        <f t="shared" si="0"/>
        <v>30</v>
      </c>
      <c r="T10" s="14">
        <f t="shared" si="0"/>
        <v>42</v>
      </c>
      <c r="U10" s="14">
        <f t="shared" si="0"/>
        <v>18</v>
      </c>
      <c r="V10" s="14">
        <f t="shared" si="0"/>
        <v>5</v>
      </c>
      <c r="W10" s="14">
        <f t="shared" si="0"/>
        <v>23</v>
      </c>
      <c r="X10" s="14">
        <f t="shared" si="0"/>
        <v>2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1.5</v>
      </c>
      <c r="M12" s="15">
        <f t="shared" si="1"/>
        <v>1.0083333333333333</v>
      </c>
      <c r="N12" s="15">
        <f t="shared" si="1"/>
        <v>1.3083333333333333</v>
      </c>
      <c r="O12" s="15">
        <f t="shared" si="1"/>
        <v>1.4833333333333334</v>
      </c>
      <c r="P12" s="15">
        <f t="shared" si="1"/>
        <v>3.3333333333333333E-2</v>
      </c>
      <c r="Q12" s="15">
        <f t="shared" si="1"/>
        <v>3.7333333333333334</v>
      </c>
      <c r="R12" s="15">
        <f t="shared" si="1"/>
        <v>0.44166666666666665</v>
      </c>
      <c r="S12" s="15">
        <f t="shared" si="1"/>
        <v>0.25</v>
      </c>
      <c r="T12" s="15">
        <f t="shared" si="1"/>
        <v>0.35</v>
      </c>
      <c r="U12" s="15">
        <f t="shared" si="1"/>
        <v>0.15</v>
      </c>
      <c r="V12" s="15">
        <f t="shared" si="1"/>
        <v>4.1666666666666664E-2</v>
      </c>
      <c r="W12" s="15">
        <f t="shared" si="1"/>
        <v>0.19166666666666668</v>
      </c>
      <c r="X12" s="15">
        <f t="shared" si="1"/>
        <v>1.6666666666666666E-2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Z2:Z3"/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19D9-847E-48FF-B2FF-FC0C72B3FA31}">
  <dimension ref="A1:Z13"/>
  <sheetViews>
    <sheetView topLeftCell="B1" zoomScale="80" zoomScaleNormal="80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77734375" bestFit="1" customWidth="1"/>
    <col min="6" max="11" width="7.88671875" bestFit="1" customWidth="1"/>
    <col min="12" max="13" width="11.21875" bestFit="1" customWidth="1"/>
    <col min="14" max="15" width="8.77734375" bestFit="1" customWidth="1"/>
    <col min="16" max="16" width="7.88671875" bestFit="1" customWidth="1"/>
    <col min="17" max="17" width="8.77734375" bestFit="1" customWidth="1"/>
    <col min="18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46141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22</v>
      </c>
      <c r="M4" s="24">
        <v>14</v>
      </c>
      <c r="N4" s="24">
        <v>8</v>
      </c>
      <c r="O4" s="25">
        <v>7</v>
      </c>
      <c r="P4" s="25">
        <v>0</v>
      </c>
      <c r="Q4" s="25">
        <v>58</v>
      </c>
      <c r="R4" s="26">
        <v>0</v>
      </c>
      <c r="S4" s="27">
        <v>0</v>
      </c>
      <c r="T4" s="27">
        <v>8</v>
      </c>
      <c r="U4" s="28">
        <v>0</v>
      </c>
      <c r="V4" s="27">
        <v>0</v>
      </c>
      <c r="W4" s="27">
        <v>1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20</v>
      </c>
      <c r="M5" s="24">
        <v>17</v>
      </c>
      <c r="N5" s="24">
        <v>0</v>
      </c>
      <c r="O5" s="25">
        <v>22</v>
      </c>
      <c r="P5" s="25">
        <v>0</v>
      </c>
      <c r="Q5" s="25">
        <v>270</v>
      </c>
      <c r="R5" s="26">
        <v>0</v>
      </c>
      <c r="S5" s="27">
        <v>4</v>
      </c>
      <c r="T5" s="27">
        <v>15</v>
      </c>
      <c r="U5" s="28">
        <v>20</v>
      </c>
      <c r="V5" s="27">
        <v>2</v>
      </c>
      <c r="W5" s="27">
        <v>10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35</v>
      </c>
      <c r="M6" s="24">
        <v>18</v>
      </c>
      <c r="N6" s="24">
        <v>45</v>
      </c>
      <c r="O6" s="25">
        <v>15</v>
      </c>
      <c r="P6" s="25">
        <v>0</v>
      </c>
      <c r="Q6" s="25">
        <v>25</v>
      </c>
      <c r="R6" s="26">
        <v>10</v>
      </c>
      <c r="S6" s="27">
        <v>10</v>
      </c>
      <c r="T6" s="27">
        <v>15</v>
      </c>
      <c r="U6" s="28">
        <v>0</v>
      </c>
      <c r="V6" s="27">
        <v>3</v>
      </c>
      <c r="W6" s="27">
        <v>3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40</v>
      </c>
      <c r="M7" s="24">
        <v>25</v>
      </c>
      <c r="N7" s="24">
        <v>72</v>
      </c>
      <c r="O7" s="25">
        <v>12</v>
      </c>
      <c r="P7" s="25">
        <v>1</v>
      </c>
      <c r="Q7" s="25">
        <v>33</v>
      </c>
      <c r="R7" s="26">
        <v>33</v>
      </c>
      <c r="S7" s="27">
        <v>0</v>
      </c>
      <c r="T7" s="27">
        <v>0</v>
      </c>
      <c r="U7" s="28">
        <v>0</v>
      </c>
      <c r="V7" s="27">
        <v>0</v>
      </c>
      <c r="W7" s="27">
        <v>18</v>
      </c>
      <c r="X7" s="27">
        <v>4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30</v>
      </c>
      <c r="M8" s="24">
        <v>15</v>
      </c>
      <c r="N8" s="24">
        <v>0</v>
      </c>
      <c r="O8" s="25">
        <v>0</v>
      </c>
      <c r="P8" s="25">
        <v>0</v>
      </c>
      <c r="Q8" s="25">
        <v>140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0</v>
      </c>
      <c r="X8" s="27">
        <v>0</v>
      </c>
      <c r="Y8" s="29" t="s">
        <v>32</v>
      </c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43</v>
      </c>
      <c r="M9" s="24">
        <v>38</v>
      </c>
      <c r="N9" s="24">
        <v>100</v>
      </c>
      <c r="O9" s="25">
        <v>5</v>
      </c>
      <c r="P9" s="25">
        <v>0</v>
      </c>
      <c r="Q9" s="25">
        <v>60</v>
      </c>
      <c r="R9" s="26">
        <v>47</v>
      </c>
      <c r="S9" s="27">
        <v>0</v>
      </c>
      <c r="T9" s="27">
        <v>0</v>
      </c>
      <c r="U9" s="28">
        <v>6</v>
      </c>
      <c r="V9" s="27">
        <v>0</v>
      </c>
      <c r="W9" s="27">
        <v>16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190</v>
      </c>
      <c r="M10" s="14">
        <f t="shared" si="0"/>
        <v>127</v>
      </c>
      <c r="N10" s="14">
        <f t="shared" si="0"/>
        <v>225</v>
      </c>
      <c r="O10" s="14">
        <f t="shared" si="0"/>
        <v>61</v>
      </c>
      <c r="P10" s="14">
        <f t="shared" si="0"/>
        <v>1</v>
      </c>
      <c r="Q10" s="14">
        <f t="shared" si="0"/>
        <v>586</v>
      </c>
      <c r="R10" s="14">
        <f t="shared" si="0"/>
        <v>90</v>
      </c>
      <c r="S10" s="14">
        <f t="shared" si="0"/>
        <v>14</v>
      </c>
      <c r="T10" s="14">
        <f t="shared" si="0"/>
        <v>38</v>
      </c>
      <c r="U10" s="14">
        <f t="shared" si="0"/>
        <v>26</v>
      </c>
      <c r="V10" s="14">
        <f t="shared" si="0"/>
        <v>5</v>
      </c>
      <c r="W10" s="14">
        <f t="shared" si="0"/>
        <v>48</v>
      </c>
      <c r="X10" s="14">
        <f t="shared" si="0"/>
        <v>4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1.5833333333333333</v>
      </c>
      <c r="M12" s="15">
        <f t="shared" si="1"/>
        <v>1.0583333333333333</v>
      </c>
      <c r="N12" s="15">
        <f t="shared" si="1"/>
        <v>1.875</v>
      </c>
      <c r="O12" s="15">
        <f t="shared" si="1"/>
        <v>0.5083333333333333</v>
      </c>
      <c r="P12" s="15">
        <f t="shared" si="1"/>
        <v>8.3333333333333332E-3</v>
      </c>
      <c r="Q12" s="15">
        <f t="shared" si="1"/>
        <v>4.8833333333333337</v>
      </c>
      <c r="R12" s="15">
        <f t="shared" si="1"/>
        <v>0.75</v>
      </c>
      <c r="S12" s="15">
        <f t="shared" si="1"/>
        <v>0.11666666666666667</v>
      </c>
      <c r="T12" s="15">
        <f t="shared" si="1"/>
        <v>0.31666666666666665</v>
      </c>
      <c r="U12" s="15">
        <f t="shared" si="1"/>
        <v>0.21666666666666667</v>
      </c>
      <c r="V12" s="15">
        <f t="shared" si="1"/>
        <v>4.1666666666666664E-2</v>
      </c>
      <c r="W12" s="15">
        <f t="shared" si="1"/>
        <v>0.4</v>
      </c>
      <c r="X12" s="15">
        <f t="shared" si="1"/>
        <v>3.3333333333333333E-2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Z2:Z3"/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33B6-D883-4153-9A3F-30EFA3E43204}">
  <dimension ref="A1:Z13"/>
  <sheetViews>
    <sheetView zoomScale="57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77734375" bestFit="1" customWidth="1"/>
    <col min="6" max="11" width="7.88671875" bestFit="1" customWidth="1"/>
    <col min="12" max="13" width="11.21875" bestFit="1" customWidth="1"/>
    <col min="14" max="15" width="8.77734375" bestFit="1" customWidth="1"/>
    <col min="16" max="16" width="7.88671875" bestFit="1" customWidth="1"/>
    <col min="17" max="17" width="8.77734375" bestFit="1" customWidth="1"/>
    <col min="18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46142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35</v>
      </c>
      <c r="M4" s="24">
        <v>20</v>
      </c>
      <c r="N4" s="24">
        <v>50</v>
      </c>
      <c r="O4" s="25">
        <v>40</v>
      </c>
      <c r="P4" s="25">
        <v>0</v>
      </c>
      <c r="Q4" s="25">
        <v>22</v>
      </c>
      <c r="R4" s="26">
        <v>0</v>
      </c>
      <c r="S4" s="27">
        <v>8</v>
      </c>
      <c r="T4" s="27">
        <v>10</v>
      </c>
      <c r="U4" s="28">
        <v>0</v>
      </c>
      <c r="V4" s="27">
        <v>0</v>
      </c>
      <c r="W4" s="27">
        <v>2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50</v>
      </c>
      <c r="M5" s="24">
        <v>30</v>
      </c>
      <c r="N5" s="24">
        <v>0</v>
      </c>
      <c r="O5" s="25">
        <v>12</v>
      </c>
      <c r="P5" s="25">
        <v>0</v>
      </c>
      <c r="Q5" s="25">
        <v>170</v>
      </c>
      <c r="R5" s="26">
        <v>0</v>
      </c>
      <c r="S5" s="27">
        <v>40</v>
      </c>
      <c r="T5" s="27">
        <v>30</v>
      </c>
      <c r="U5" s="28">
        <v>15</v>
      </c>
      <c r="V5" s="27">
        <v>10</v>
      </c>
      <c r="W5" s="27">
        <v>15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40</v>
      </c>
      <c r="M6" s="24">
        <v>25</v>
      </c>
      <c r="N6" s="24">
        <v>87</v>
      </c>
      <c r="O6" s="25">
        <v>25</v>
      </c>
      <c r="P6" s="25">
        <v>0</v>
      </c>
      <c r="Q6" s="25">
        <v>45</v>
      </c>
      <c r="R6" s="26">
        <v>10</v>
      </c>
      <c r="S6" s="27">
        <v>25</v>
      </c>
      <c r="T6" s="27">
        <v>15</v>
      </c>
      <c r="U6" s="28">
        <v>0</v>
      </c>
      <c r="V6" s="27">
        <v>2</v>
      </c>
      <c r="W6" s="27">
        <v>3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30</v>
      </c>
      <c r="M7" s="24">
        <v>15</v>
      </c>
      <c r="N7" s="24">
        <v>78</v>
      </c>
      <c r="O7" s="25">
        <v>2</v>
      </c>
      <c r="P7" s="25">
        <v>0</v>
      </c>
      <c r="Q7" s="25">
        <v>63</v>
      </c>
      <c r="R7" s="26">
        <v>0</v>
      </c>
      <c r="S7" s="27">
        <v>0</v>
      </c>
      <c r="T7" s="27">
        <v>0</v>
      </c>
      <c r="U7" s="28">
        <v>0</v>
      </c>
      <c r="V7" s="27">
        <v>0</v>
      </c>
      <c r="W7" s="27">
        <v>0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36</v>
      </c>
      <c r="M8" s="24">
        <v>29</v>
      </c>
      <c r="N8" s="24">
        <v>240</v>
      </c>
      <c r="O8" s="25">
        <v>22</v>
      </c>
      <c r="P8" s="25">
        <v>0</v>
      </c>
      <c r="Q8" s="25">
        <v>40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0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34</v>
      </c>
      <c r="M9" s="24">
        <v>23</v>
      </c>
      <c r="N9" s="24">
        <v>120</v>
      </c>
      <c r="O9" s="25">
        <v>7</v>
      </c>
      <c r="P9" s="25">
        <v>0</v>
      </c>
      <c r="Q9" s="25">
        <v>0</v>
      </c>
      <c r="R9" s="26">
        <v>49</v>
      </c>
      <c r="S9" s="27">
        <v>0</v>
      </c>
      <c r="T9" s="27">
        <v>0</v>
      </c>
      <c r="U9" s="28">
        <v>0</v>
      </c>
      <c r="V9" s="27">
        <v>0</v>
      </c>
      <c r="W9" s="27">
        <v>15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225</v>
      </c>
      <c r="M10" s="14">
        <f t="shared" si="0"/>
        <v>142</v>
      </c>
      <c r="N10" s="14">
        <f t="shared" si="0"/>
        <v>575</v>
      </c>
      <c r="O10" s="14">
        <f t="shared" si="0"/>
        <v>108</v>
      </c>
      <c r="P10" s="14">
        <f t="shared" si="0"/>
        <v>0</v>
      </c>
      <c r="Q10" s="14">
        <f t="shared" si="0"/>
        <v>340</v>
      </c>
      <c r="R10" s="14">
        <f t="shared" si="0"/>
        <v>59</v>
      </c>
      <c r="S10" s="14">
        <f t="shared" si="0"/>
        <v>73</v>
      </c>
      <c r="T10" s="14">
        <f t="shared" si="0"/>
        <v>55</v>
      </c>
      <c r="U10" s="14">
        <f t="shared" si="0"/>
        <v>15</v>
      </c>
      <c r="V10" s="14">
        <f t="shared" si="0"/>
        <v>12</v>
      </c>
      <c r="W10" s="14">
        <f t="shared" si="0"/>
        <v>35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1.875</v>
      </c>
      <c r="M12" s="15">
        <f t="shared" si="1"/>
        <v>1.1833333333333333</v>
      </c>
      <c r="N12" s="15">
        <f t="shared" si="1"/>
        <v>4.791666666666667</v>
      </c>
      <c r="O12" s="15">
        <f t="shared" si="1"/>
        <v>0.9</v>
      </c>
      <c r="P12" s="15">
        <f t="shared" si="1"/>
        <v>0</v>
      </c>
      <c r="Q12" s="15">
        <f t="shared" si="1"/>
        <v>2.8333333333333335</v>
      </c>
      <c r="R12" s="15">
        <f t="shared" si="1"/>
        <v>0.49166666666666664</v>
      </c>
      <c r="S12" s="15">
        <f t="shared" si="1"/>
        <v>0.60833333333333328</v>
      </c>
      <c r="T12" s="15">
        <f t="shared" si="1"/>
        <v>0.45833333333333331</v>
      </c>
      <c r="U12" s="15">
        <f t="shared" si="1"/>
        <v>0.125</v>
      </c>
      <c r="V12" s="15">
        <f t="shared" si="1"/>
        <v>0.1</v>
      </c>
      <c r="W12" s="15">
        <f t="shared" si="1"/>
        <v>0.29166666666666669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Z2:Z3"/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B55E-9C8E-4FC2-B7C5-51B7C823DE48}">
  <dimension ref="A1:Z13"/>
  <sheetViews>
    <sheetView zoomScale="66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77734375" bestFit="1" customWidth="1"/>
    <col min="6" max="11" width="7.88671875" bestFit="1" customWidth="1"/>
    <col min="12" max="13" width="11.21875" bestFit="1" customWidth="1"/>
    <col min="14" max="15" width="8.77734375" bestFit="1" customWidth="1"/>
    <col min="16" max="16" width="7.88671875" bestFit="1" customWidth="1"/>
    <col min="17" max="17" width="8.77734375" bestFit="1" customWidth="1"/>
    <col min="18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46143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22</v>
      </c>
      <c r="M4" s="24">
        <v>12</v>
      </c>
      <c r="N4" s="24">
        <v>18</v>
      </c>
      <c r="O4" s="25">
        <v>2</v>
      </c>
      <c r="P4" s="25">
        <v>0</v>
      </c>
      <c r="Q4" s="25">
        <v>37</v>
      </c>
      <c r="R4" s="26">
        <v>0</v>
      </c>
      <c r="S4" s="27">
        <v>4</v>
      </c>
      <c r="T4" s="27">
        <v>2</v>
      </c>
      <c r="U4" s="28">
        <v>0</v>
      </c>
      <c r="V4" s="27">
        <v>0</v>
      </c>
      <c r="W4" s="27">
        <v>0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28</v>
      </c>
      <c r="M5" s="24">
        <v>14</v>
      </c>
      <c r="N5" s="24">
        <v>0</v>
      </c>
      <c r="O5" s="25">
        <v>6</v>
      </c>
      <c r="P5" s="25">
        <v>0</v>
      </c>
      <c r="Q5" s="25">
        <v>90</v>
      </c>
      <c r="R5" s="26">
        <v>0</v>
      </c>
      <c r="S5" s="27">
        <v>15</v>
      </c>
      <c r="T5" s="27">
        <v>13</v>
      </c>
      <c r="U5" s="28">
        <v>8</v>
      </c>
      <c r="V5" s="27">
        <v>0</v>
      </c>
      <c r="W5" s="27">
        <v>5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35</v>
      </c>
      <c r="M6" s="24">
        <v>19</v>
      </c>
      <c r="N6" s="24">
        <v>57</v>
      </c>
      <c r="O6" s="25">
        <v>0</v>
      </c>
      <c r="P6" s="25">
        <v>0</v>
      </c>
      <c r="Q6" s="25">
        <v>45</v>
      </c>
      <c r="R6" s="26">
        <v>0</v>
      </c>
      <c r="S6" s="27">
        <v>25</v>
      </c>
      <c r="T6" s="27">
        <v>10</v>
      </c>
      <c r="U6" s="28">
        <v>0</v>
      </c>
      <c r="V6" s="27">
        <v>5</v>
      </c>
      <c r="W6" s="27">
        <v>3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22</v>
      </c>
      <c r="M7" s="24">
        <v>15</v>
      </c>
      <c r="N7" s="24">
        <v>42</v>
      </c>
      <c r="O7" s="25">
        <v>5</v>
      </c>
      <c r="P7" s="25">
        <v>0</v>
      </c>
      <c r="Q7" s="25">
        <v>120</v>
      </c>
      <c r="R7" s="26">
        <v>0</v>
      </c>
      <c r="S7" s="27">
        <v>0</v>
      </c>
      <c r="T7" s="27">
        <v>0</v>
      </c>
      <c r="U7" s="28">
        <v>0</v>
      </c>
      <c r="V7" s="27">
        <v>0</v>
      </c>
      <c r="W7" s="27">
        <v>0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40</v>
      </c>
      <c r="M8" s="24">
        <v>33</v>
      </c>
      <c r="N8" s="24">
        <v>220</v>
      </c>
      <c r="O8" s="25">
        <v>20</v>
      </c>
      <c r="P8" s="25">
        <v>0</v>
      </c>
      <c r="Q8" s="25">
        <v>50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0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25</v>
      </c>
      <c r="M9" s="24">
        <v>14</v>
      </c>
      <c r="N9" s="24">
        <v>120</v>
      </c>
      <c r="O9" s="25">
        <v>3</v>
      </c>
      <c r="P9" s="25">
        <v>0</v>
      </c>
      <c r="Q9" s="25">
        <v>60</v>
      </c>
      <c r="R9" s="26">
        <v>22</v>
      </c>
      <c r="S9" s="27">
        <v>0</v>
      </c>
      <c r="T9" s="27">
        <v>0</v>
      </c>
      <c r="U9" s="28">
        <v>0</v>
      </c>
      <c r="V9" s="27">
        <v>0</v>
      </c>
      <c r="W9" s="27">
        <v>8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172</v>
      </c>
      <c r="M10" s="14">
        <f t="shared" si="0"/>
        <v>107</v>
      </c>
      <c r="N10" s="14">
        <f t="shared" si="0"/>
        <v>457</v>
      </c>
      <c r="O10" s="14">
        <f t="shared" si="0"/>
        <v>36</v>
      </c>
      <c r="P10" s="14">
        <f t="shared" si="0"/>
        <v>0</v>
      </c>
      <c r="Q10" s="14">
        <f t="shared" si="0"/>
        <v>402</v>
      </c>
      <c r="R10" s="14">
        <f t="shared" si="0"/>
        <v>22</v>
      </c>
      <c r="S10" s="14">
        <f t="shared" si="0"/>
        <v>44</v>
      </c>
      <c r="T10" s="14">
        <f t="shared" si="0"/>
        <v>25</v>
      </c>
      <c r="U10" s="14">
        <f t="shared" si="0"/>
        <v>8</v>
      </c>
      <c r="V10" s="14">
        <f t="shared" si="0"/>
        <v>5</v>
      </c>
      <c r="W10" s="14">
        <f t="shared" si="0"/>
        <v>16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1.4333333333333333</v>
      </c>
      <c r="M12" s="15">
        <f t="shared" si="1"/>
        <v>0.89166666666666672</v>
      </c>
      <c r="N12" s="15">
        <f t="shared" si="1"/>
        <v>3.8083333333333331</v>
      </c>
      <c r="O12" s="15">
        <f t="shared" si="1"/>
        <v>0.3</v>
      </c>
      <c r="P12" s="15">
        <f t="shared" si="1"/>
        <v>0</v>
      </c>
      <c r="Q12" s="15">
        <f t="shared" si="1"/>
        <v>3.35</v>
      </c>
      <c r="R12" s="15">
        <f t="shared" si="1"/>
        <v>0.18333333333333332</v>
      </c>
      <c r="S12" s="15">
        <f t="shared" si="1"/>
        <v>0.36666666666666664</v>
      </c>
      <c r="T12" s="15">
        <f t="shared" si="1"/>
        <v>0.20833333333333334</v>
      </c>
      <c r="U12" s="15">
        <f t="shared" si="1"/>
        <v>6.6666666666666666E-2</v>
      </c>
      <c r="V12" s="15">
        <f t="shared" si="1"/>
        <v>4.1666666666666664E-2</v>
      </c>
      <c r="W12" s="15">
        <f t="shared" si="1"/>
        <v>0.13333333333333333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</sheetData>
  <mergeCells count="13">
    <mergeCell ref="Z2:Z3"/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0C8D-7640-42E6-82D0-C7CB412FF9A3}">
  <dimension ref="A1:Z15"/>
  <sheetViews>
    <sheetView tabSelected="1" zoomScale="77" workbookViewId="0">
      <selection activeCell="C4" sqref="C4:D9"/>
    </sheetView>
  </sheetViews>
  <sheetFormatPr baseColWidth="10" defaultRowHeight="14.4" x14ac:dyDescent="0.3"/>
  <cols>
    <col min="1" max="1" width="18" customWidth="1"/>
    <col min="2" max="2" width="33" customWidth="1"/>
    <col min="3" max="4" width="11.21875" bestFit="1" customWidth="1"/>
    <col min="5" max="5" width="8.77734375" bestFit="1" customWidth="1"/>
    <col min="6" max="11" width="7.88671875" bestFit="1" customWidth="1"/>
    <col min="12" max="13" width="11.21875" bestFit="1" customWidth="1"/>
    <col min="14" max="15" width="8.77734375" bestFit="1" customWidth="1"/>
    <col min="16" max="16" width="7.88671875" bestFit="1" customWidth="1"/>
    <col min="17" max="17" width="8.77734375" bestFit="1" customWidth="1"/>
    <col min="18" max="18" width="8.44140625" bestFit="1" customWidth="1"/>
    <col min="19" max="21" width="7.88671875" bestFit="1" customWidth="1"/>
    <col min="22" max="22" width="7.21875" bestFit="1" customWidth="1"/>
    <col min="23" max="23" width="7.109375" bestFit="1" customWidth="1"/>
    <col min="24" max="24" width="6.5546875" bestFit="1" customWidth="1"/>
    <col min="25" max="25" width="25.33203125" customWidth="1"/>
    <col min="26" max="26" width="34.5546875" customWidth="1"/>
  </cols>
  <sheetData>
    <row r="1" spans="1:26" ht="25.2" thickBot="1" x14ac:dyDescent="0.35">
      <c r="A1" s="1" t="s">
        <v>0</v>
      </c>
      <c r="B1" s="23">
        <v>46144</v>
      </c>
      <c r="C1" s="40"/>
      <c r="D1" s="40"/>
      <c r="E1" s="41"/>
      <c r="F1" s="41"/>
      <c r="G1" s="41"/>
      <c r="H1" s="41"/>
      <c r="I1" s="41"/>
      <c r="J1" s="41"/>
      <c r="K1" s="42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ht="35.4" customHeight="1" thickBot="1" x14ac:dyDescent="0.35">
      <c r="A2" s="45" t="s">
        <v>1</v>
      </c>
      <c r="B2" s="47" t="s">
        <v>2</v>
      </c>
      <c r="C2" s="2" t="s">
        <v>3</v>
      </c>
      <c r="D2" s="3" t="str">
        <f>M2</f>
        <v>Acheteurs</v>
      </c>
      <c r="E2" s="49" t="s">
        <v>5</v>
      </c>
      <c r="F2" s="49"/>
      <c r="G2" s="49"/>
      <c r="H2" s="49"/>
      <c r="I2" s="50"/>
      <c r="J2" s="51" t="s">
        <v>6</v>
      </c>
      <c r="K2" s="52"/>
      <c r="L2" s="4" t="s">
        <v>3</v>
      </c>
      <c r="M2" s="4" t="s">
        <v>4</v>
      </c>
      <c r="N2" s="53" t="s">
        <v>7</v>
      </c>
      <c r="O2" s="54"/>
      <c r="P2" s="54"/>
      <c r="Q2" s="54"/>
      <c r="R2" s="55"/>
      <c r="S2" s="56" t="str">
        <f>J2</f>
        <v>Gratuités pour achats 
(en unités)</v>
      </c>
      <c r="T2" s="57"/>
      <c r="U2" s="56" t="s">
        <v>8</v>
      </c>
      <c r="V2" s="58"/>
      <c r="W2" s="58"/>
      <c r="X2" s="57"/>
      <c r="Y2" s="59" t="s">
        <v>9</v>
      </c>
      <c r="Z2" s="35" t="s">
        <v>10</v>
      </c>
    </row>
    <row r="3" spans="1:26" ht="166.8" customHeight="1" thickBot="1" x14ac:dyDescent="0.35">
      <c r="A3" s="46"/>
      <c r="B3" s="48"/>
      <c r="C3" s="5" t="str">
        <f>L3</f>
        <v>Nombre de personnes ayant été contactées au rayon</v>
      </c>
      <c r="D3" s="6" t="str">
        <f>M3</f>
        <v>Nombre de personnes ayant acheté</v>
      </c>
      <c r="E3" s="7" t="s">
        <v>13</v>
      </c>
      <c r="F3" s="7" t="s">
        <v>14</v>
      </c>
      <c r="G3" s="7" t="s">
        <v>15</v>
      </c>
      <c r="H3" s="8" t="s">
        <v>16</v>
      </c>
      <c r="I3" s="9" t="s">
        <v>17</v>
      </c>
      <c r="J3" s="7" t="s">
        <v>13</v>
      </c>
      <c r="K3" s="8" t="s">
        <v>16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1" t="s">
        <v>16</v>
      </c>
      <c r="R3" s="12" t="s">
        <v>17</v>
      </c>
      <c r="S3" s="10" t="s">
        <v>13</v>
      </c>
      <c r="T3" s="11" t="s">
        <v>16</v>
      </c>
      <c r="U3" s="17" t="s">
        <v>20</v>
      </c>
      <c r="V3" s="11" t="s">
        <v>21</v>
      </c>
      <c r="W3" s="11" t="s">
        <v>22</v>
      </c>
      <c r="X3" s="18" t="s">
        <v>23</v>
      </c>
      <c r="Y3" s="60"/>
      <c r="Z3" s="36"/>
    </row>
    <row r="4" spans="1:26" ht="17.399999999999999" x14ac:dyDescent="0.3">
      <c r="A4" s="13" t="s">
        <v>24</v>
      </c>
      <c r="B4" s="13" t="s">
        <v>25</v>
      </c>
      <c r="C4" s="19">
        <v>40</v>
      </c>
      <c r="D4" s="20">
        <v>20</v>
      </c>
      <c r="E4" s="19">
        <v>120</v>
      </c>
      <c r="F4" s="21">
        <v>6</v>
      </c>
      <c r="G4" s="21">
        <v>1</v>
      </c>
      <c r="H4" s="21">
        <v>50</v>
      </c>
      <c r="I4" s="20">
        <v>10</v>
      </c>
      <c r="J4" s="22">
        <v>60</v>
      </c>
      <c r="K4" s="22">
        <v>25</v>
      </c>
      <c r="L4" s="24">
        <v>40</v>
      </c>
      <c r="M4" s="24">
        <v>25</v>
      </c>
      <c r="N4" s="24">
        <v>35</v>
      </c>
      <c r="O4" s="25">
        <v>0</v>
      </c>
      <c r="P4" s="25">
        <v>0</v>
      </c>
      <c r="Q4" s="25">
        <v>72</v>
      </c>
      <c r="R4" s="26">
        <v>0</v>
      </c>
      <c r="S4" s="27">
        <v>20</v>
      </c>
      <c r="T4" s="27">
        <v>0</v>
      </c>
      <c r="U4" s="28">
        <v>0</v>
      </c>
      <c r="V4" s="27">
        <v>0</v>
      </c>
      <c r="W4" s="27">
        <v>0</v>
      </c>
      <c r="X4" s="27">
        <v>0</v>
      </c>
      <c r="Y4" s="29"/>
      <c r="Z4" s="30"/>
    </row>
    <row r="5" spans="1:26" ht="17.399999999999999" x14ac:dyDescent="0.3">
      <c r="A5" s="13" t="s">
        <v>24</v>
      </c>
      <c r="B5" s="13" t="s">
        <v>28</v>
      </c>
      <c r="C5" s="19">
        <v>40</v>
      </c>
      <c r="D5" s="20">
        <v>20</v>
      </c>
      <c r="E5" s="19">
        <v>120</v>
      </c>
      <c r="F5" s="21">
        <v>6</v>
      </c>
      <c r="G5" s="21">
        <v>1</v>
      </c>
      <c r="H5" s="21">
        <v>50</v>
      </c>
      <c r="I5" s="20">
        <v>10</v>
      </c>
      <c r="J5" s="22">
        <v>60</v>
      </c>
      <c r="K5" s="22">
        <v>25</v>
      </c>
      <c r="L5" s="24">
        <v>50</v>
      </c>
      <c r="M5" s="24">
        <v>37</v>
      </c>
      <c r="N5" s="24">
        <v>0</v>
      </c>
      <c r="O5" s="25">
        <v>30</v>
      </c>
      <c r="P5" s="25">
        <v>0</v>
      </c>
      <c r="Q5" s="25">
        <v>360</v>
      </c>
      <c r="R5" s="26">
        <v>0</v>
      </c>
      <c r="S5" s="27">
        <v>40</v>
      </c>
      <c r="T5" s="27">
        <v>10</v>
      </c>
      <c r="U5" s="28">
        <v>0</v>
      </c>
      <c r="V5" s="27">
        <v>1</v>
      </c>
      <c r="W5" s="27">
        <v>25</v>
      </c>
      <c r="X5" s="27">
        <v>0</v>
      </c>
      <c r="Y5" s="29"/>
      <c r="Z5" s="30"/>
    </row>
    <row r="6" spans="1:26" ht="17.399999999999999" x14ac:dyDescent="0.3">
      <c r="A6" s="13" t="s">
        <v>24</v>
      </c>
      <c r="B6" s="13" t="s">
        <v>26</v>
      </c>
      <c r="C6" s="19">
        <v>40</v>
      </c>
      <c r="D6" s="20">
        <v>20</v>
      </c>
      <c r="E6" s="19">
        <v>120</v>
      </c>
      <c r="F6" s="21">
        <v>6</v>
      </c>
      <c r="G6" s="21">
        <v>1</v>
      </c>
      <c r="H6" s="21">
        <v>50</v>
      </c>
      <c r="I6" s="20">
        <v>10</v>
      </c>
      <c r="J6" s="22">
        <v>60</v>
      </c>
      <c r="K6" s="22">
        <v>25</v>
      </c>
      <c r="L6" s="24">
        <v>55</v>
      </c>
      <c r="M6" s="24">
        <v>45</v>
      </c>
      <c r="N6" s="24">
        <v>680</v>
      </c>
      <c r="O6" s="25">
        <v>25</v>
      </c>
      <c r="P6" s="25">
        <v>0</v>
      </c>
      <c r="Q6" s="25">
        <v>60</v>
      </c>
      <c r="R6" s="26">
        <v>0</v>
      </c>
      <c r="S6" s="27">
        <v>40</v>
      </c>
      <c r="T6" s="27">
        <v>30</v>
      </c>
      <c r="U6" s="28">
        <v>0</v>
      </c>
      <c r="V6" s="27">
        <v>5</v>
      </c>
      <c r="W6" s="27">
        <v>9</v>
      </c>
      <c r="X6" s="27">
        <v>0</v>
      </c>
      <c r="Y6" s="29"/>
      <c r="Z6" s="30"/>
    </row>
    <row r="7" spans="1:26" ht="17.399999999999999" x14ac:dyDescent="0.3">
      <c r="A7" s="13" t="s">
        <v>24</v>
      </c>
      <c r="B7" s="13" t="s">
        <v>27</v>
      </c>
      <c r="C7" s="19">
        <v>40</v>
      </c>
      <c r="D7" s="20">
        <v>20</v>
      </c>
      <c r="E7" s="19">
        <v>120</v>
      </c>
      <c r="F7" s="21">
        <v>6</v>
      </c>
      <c r="G7" s="21">
        <v>1</v>
      </c>
      <c r="H7" s="21">
        <v>50</v>
      </c>
      <c r="I7" s="20">
        <v>10</v>
      </c>
      <c r="J7" s="22">
        <v>60</v>
      </c>
      <c r="K7" s="22">
        <v>25</v>
      </c>
      <c r="L7" s="24">
        <v>30</v>
      </c>
      <c r="M7" s="24">
        <v>12</v>
      </c>
      <c r="N7" s="24">
        <v>0</v>
      </c>
      <c r="O7" s="25">
        <v>4</v>
      </c>
      <c r="P7" s="25">
        <v>0</v>
      </c>
      <c r="Q7" s="25">
        <v>77</v>
      </c>
      <c r="R7" s="26">
        <v>3</v>
      </c>
      <c r="S7" s="27">
        <v>0</v>
      </c>
      <c r="T7" s="27">
        <v>0</v>
      </c>
      <c r="U7" s="28">
        <v>0</v>
      </c>
      <c r="V7" s="27">
        <v>0</v>
      </c>
      <c r="W7" s="27">
        <v>0</v>
      </c>
      <c r="X7" s="27">
        <v>0</v>
      </c>
      <c r="Y7" s="29"/>
      <c r="Z7" s="30"/>
    </row>
    <row r="8" spans="1:26" ht="17.399999999999999" x14ac:dyDescent="0.3">
      <c r="A8" s="13" t="s">
        <v>24</v>
      </c>
      <c r="B8" s="13" t="s">
        <v>30</v>
      </c>
      <c r="C8" s="19">
        <v>40</v>
      </c>
      <c r="D8" s="20">
        <v>20</v>
      </c>
      <c r="E8" s="19">
        <v>120</v>
      </c>
      <c r="F8" s="21">
        <v>6</v>
      </c>
      <c r="G8" s="21">
        <v>1</v>
      </c>
      <c r="H8" s="21">
        <v>50</v>
      </c>
      <c r="I8" s="20">
        <v>10</v>
      </c>
      <c r="J8" s="22">
        <v>60</v>
      </c>
      <c r="K8" s="22">
        <v>25</v>
      </c>
      <c r="L8" s="24">
        <v>30</v>
      </c>
      <c r="M8" s="24">
        <v>20</v>
      </c>
      <c r="N8" s="24">
        <v>270</v>
      </c>
      <c r="O8" s="25">
        <v>25</v>
      </c>
      <c r="P8" s="25">
        <v>0</v>
      </c>
      <c r="Q8" s="25">
        <v>80</v>
      </c>
      <c r="R8" s="26">
        <v>0</v>
      </c>
      <c r="S8" s="26">
        <v>0</v>
      </c>
      <c r="T8" s="26">
        <v>0</v>
      </c>
      <c r="U8" s="28">
        <v>0</v>
      </c>
      <c r="V8" s="27">
        <v>0</v>
      </c>
      <c r="W8" s="27">
        <v>0</v>
      </c>
      <c r="X8" s="27">
        <v>0</v>
      </c>
      <c r="Y8" s="29"/>
      <c r="Z8" s="30"/>
    </row>
    <row r="9" spans="1:26" ht="18" thickBot="1" x14ac:dyDescent="0.35">
      <c r="A9" s="13" t="s">
        <v>24</v>
      </c>
      <c r="B9" s="13" t="s">
        <v>31</v>
      </c>
      <c r="C9" s="19">
        <v>40</v>
      </c>
      <c r="D9" s="20">
        <v>20</v>
      </c>
      <c r="E9" s="19">
        <v>120</v>
      </c>
      <c r="F9" s="21">
        <v>6</v>
      </c>
      <c r="G9" s="21">
        <v>1</v>
      </c>
      <c r="H9" s="21">
        <v>50</v>
      </c>
      <c r="I9" s="20">
        <v>10</v>
      </c>
      <c r="J9" s="22">
        <v>60</v>
      </c>
      <c r="K9" s="22">
        <v>25</v>
      </c>
      <c r="L9" s="24">
        <v>36</v>
      </c>
      <c r="M9" s="24">
        <v>23</v>
      </c>
      <c r="N9" s="24">
        <v>60</v>
      </c>
      <c r="O9" s="25">
        <v>3</v>
      </c>
      <c r="P9" s="25">
        <v>0</v>
      </c>
      <c r="Q9" s="25">
        <v>30</v>
      </c>
      <c r="R9" s="26">
        <v>42</v>
      </c>
      <c r="S9" s="27">
        <v>0</v>
      </c>
      <c r="T9" s="27">
        <v>0</v>
      </c>
      <c r="U9" s="28">
        <v>0</v>
      </c>
      <c r="V9" s="27">
        <v>0</v>
      </c>
      <c r="W9" s="27">
        <v>9</v>
      </c>
      <c r="X9" s="27">
        <v>0</v>
      </c>
      <c r="Y9" s="29"/>
      <c r="Z9" s="30"/>
    </row>
    <row r="10" spans="1:26" ht="20.399999999999999" thickBot="1" x14ac:dyDescent="0.35">
      <c r="A10" s="37" t="s">
        <v>18</v>
      </c>
      <c r="B10" s="38"/>
      <c r="C10" s="14">
        <f t="shared" ref="C10:Z10" si="0">SUM(C4:C9)</f>
        <v>240</v>
      </c>
      <c r="D10" s="14">
        <f t="shared" si="0"/>
        <v>120</v>
      </c>
      <c r="E10" s="14">
        <f t="shared" si="0"/>
        <v>720</v>
      </c>
      <c r="F10" s="14">
        <f t="shared" si="0"/>
        <v>36</v>
      </c>
      <c r="G10" s="14">
        <f t="shared" si="0"/>
        <v>6</v>
      </c>
      <c r="H10" s="14">
        <f t="shared" si="0"/>
        <v>300</v>
      </c>
      <c r="I10" s="14">
        <f t="shared" si="0"/>
        <v>60</v>
      </c>
      <c r="J10" s="14">
        <f t="shared" si="0"/>
        <v>360</v>
      </c>
      <c r="K10" s="14">
        <f t="shared" si="0"/>
        <v>150</v>
      </c>
      <c r="L10" s="14">
        <f t="shared" si="0"/>
        <v>241</v>
      </c>
      <c r="M10" s="14">
        <f t="shared" si="0"/>
        <v>162</v>
      </c>
      <c r="N10" s="14">
        <f t="shared" si="0"/>
        <v>1045</v>
      </c>
      <c r="O10" s="14">
        <f t="shared" si="0"/>
        <v>87</v>
      </c>
      <c r="P10" s="14">
        <f t="shared" si="0"/>
        <v>0</v>
      </c>
      <c r="Q10" s="14">
        <f t="shared" si="0"/>
        <v>679</v>
      </c>
      <c r="R10" s="14">
        <f t="shared" si="0"/>
        <v>45</v>
      </c>
      <c r="S10" s="14">
        <f t="shared" si="0"/>
        <v>100</v>
      </c>
      <c r="T10" s="14">
        <f t="shared" si="0"/>
        <v>40</v>
      </c>
      <c r="U10" s="14">
        <f t="shared" si="0"/>
        <v>0</v>
      </c>
      <c r="V10" s="14">
        <f t="shared" si="0"/>
        <v>6</v>
      </c>
      <c r="W10" s="14">
        <f t="shared" si="0"/>
        <v>43</v>
      </c>
      <c r="X10" s="14">
        <f t="shared" si="0"/>
        <v>0</v>
      </c>
      <c r="Y10" s="14">
        <f t="shared" si="0"/>
        <v>0</v>
      </c>
      <c r="Z10" s="14">
        <f t="shared" si="0"/>
        <v>0</v>
      </c>
    </row>
    <row r="11" spans="1:26" ht="15" thickBot="1" x14ac:dyDescent="0.35">
      <c r="A11" s="31"/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0.399999999999999" thickBot="1" x14ac:dyDescent="0.35">
      <c r="A12" s="37" t="s">
        <v>19</v>
      </c>
      <c r="B12" s="39"/>
      <c r="C12" s="15"/>
      <c r="D12" s="34"/>
      <c r="E12" s="15">
        <f>E10/120</f>
        <v>6</v>
      </c>
      <c r="F12" s="15">
        <f t="shared" ref="F12:X12" si="1">F10/120</f>
        <v>0.3</v>
      </c>
      <c r="G12" s="15">
        <f t="shared" si="1"/>
        <v>0.05</v>
      </c>
      <c r="H12" s="15">
        <f t="shared" si="1"/>
        <v>2.5</v>
      </c>
      <c r="I12" s="15">
        <f t="shared" si="1"/>
        <v>0.5</v>
      </c>
      <c r="J12" s="15">
        <f t="shared" si="1"/>
        <v>3</v>
      </c>
      <c r="K12" s="15">
        <f t="shared" si="1"/>
        <v>1.25</v>
      </c>
      <c r="L12" s="15">
        <f t="shared" si="1"/>
        <v>2.0083333333333333</v>
      </c>
      <c r="M12" s="15">
        <f t="shared" si="1"/>
        <v>1.35</v>
      </c>
      <c r="N12" s="15">
        <f t="shared" si="1"/>
        <v>8.7083333333333339</v>
      </c>
      <c r="O12" s="15">
        <f t="shared" si="1"/>
        <v>0.72499999999999998</v>
      </c>
      <c r="P12" s="15">
        <f t="shared" si="1"/>
        <v>0</v>
      </c>
      <c r="Q12" s="15">
        <f t="shared" si="1"/>
        <v>5.6583333333333332</v>
      </c>
      <c r="R12" s="15">
        <f t="shared" si="1"/>
        <v>0.375</v>
      </c>
      <c r="S12" s="15">
        <f t="shared" si="1"/>
        <v>0.83333333333333337</v>
      </c>
      <c r="T12" s="15">
        <f t="shared" si="1"/>
        <v>0.33333333333333331</v>
      </c>
      <c r="U12" s="15">
        <f t="shared" si="1"/>
        <v>0</v>
      </c>
      <c r="V12" s="15">
        <f t="shared" si="1"/>
        <v>0.05</v>
      </c>
      <c r="W12" s="15">
        <f t="shared" si="1"/>
        <v>0.35833333333333334</v>
      </c>
      <c r="X12" s="15">
        <f t="shared" si="1"/>
        <v>0</v>
      </c>
      <c r="Y12" s="14"/>
      <c r="Z12" s="16"/>
    </row>
    <row r="13" spans="1:26" x14ac:dyDescent="0.3">
      <c r="A13" s="3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</row>
    <row r="15" spans="1:26" x14ac:dyDescent="0.3">
      <c r="E15" s="61"/>
    </row>
  </sheetData>
  <mergeCells count="13">
    <mergeCell ref="Z2:Z3"/>
    <mergeCell ref="A10:B10"/>
    <mergeCell ref="A12:B12"/>
    <mergeCell ref="C1:K1"/>
    <mergeCell ref="L1:Z1"/>
    <mergeCell ref="A2:A3"/>
    <mergeCell ref="B2:B3"/>
    <mergeCell ref="E2:I2"/>
    <mergeCell ref="J2:K2"/>
    <mergeCell ref="N2:R2"/>
    <mergeCell ref="S2:T2"/>
    <mergeCell ref="U2:X2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JOUR 1 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  <vt:lpstr>JOUR 11</vt:lpstr>
      <vt:lpstr>JOUR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X1 CARBON</dc:creator>
  <cp:lastModifiedBy>Edwige Emmanuelle Tanoh</cp:lastModifiedBy>
  <dcterms:created xsi:type="dcterms:W3CDTF">2026-04-23T19:56:25Z</dcterms:created>
  <dcterms:modified xsi:type="dcterms:W3CDTF">2026-06-13T11:50:07Z</dcterms:modified>
</cp:coreProperties>
</file>