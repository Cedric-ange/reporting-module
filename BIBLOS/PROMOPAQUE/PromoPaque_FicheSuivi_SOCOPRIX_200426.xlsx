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blos856-my.sharepoint.com/personal/edwige_tanoh_biblos_ci/Documents/Bureau/DOSSIER TRACKER/"/>
    </mc:Choice>
  </mc:AlternateContent>
  <xr:revisionPtr revIDLastSave="28" documentId="13_ncr:1_{18A42BEC-F6EA-493E-BAF2-6EF64F234D14}" xr6:coauthVersionLast="47" xr6:coauthVersionMax="47" xr10:uidLastSave="{C3E1B72F-14CF-497A-8D84-896732E0FC72}"/>
  <bookViews>
    <workbookView xWindow="-108" yWindow="-108" windowWidth="23256" windowHeight="12456" firstSheet="7" activeTab="15" xr2:uid="{05167F89-FAE9-48E2-BC3B-DC2773EB0E85}"/>
  </bookViews>
  <sheets>
    <sheet name="RECAP PAR JOUR" sheetId="11" r:id="rId1"/>
    <sheet name="RECAP PAR MAGASIN" sheetId="42" r:id="rId2"/>
    <sheet name="JOUR 1" sheetId="1" r:id="rId3"/>
    <sheet name="JOUR 2" sheetId="27" r:id="rId4"/>
    <sheet name="JOUR 3" sheetId="28" r:id="rId5"/>
    <sheet name="JOUR 4" sheetId="29" r:id="rId6"/>
    <sheet name="JOUR 5" sheetId="30" r:id="rId7"/>
    <sheet name="JOUR 6" sheetId="31" r:id="rId8"/>
    <sheet name="JOUR 7" sheetId="32" r:id="rId9"/>
    <sheet name="JOUR 8" sheetId="33" r:id="rId10"/>
    <sheet name="JOUR 9" sheetId="34" r:id="rId11"/>
    <sheet name="JOUR 10" sheetId="35" r:id="rId12"/>
    <sheet name="JOUR 11" sheetId="36" r:id="rId13"/>
    <sheet name="JOUR 12" sheetId="37" r:id="rId14"/>
    <sheet name="JOUR 13" sheetId="38" r:id="rId15"/>
    <sheet name="JOUR 14" sheetId="39" r:id="rId16"/>
  </sheets>
  <definedNames>
    <definedName name="_xlnm._FilterDatabase" localSheetId="2" hidden="1">'JOUR 1'!$A$2:$AI$55</definedName>
    <definedName name="_xlnm._FilterDatabase" localSheetId="11" hidden="1">'JOUR 10'!$A$2:$AI$55</definedName>
    <definedName name="_xlnm._FilterDatabase" localSheetId="12" hidden="1">'JOUR 11'!$A$2:$AI$55</definedName>
    <definedName name="_xlnm._FilterDatabase" localSheetId="13" hidden="1">'JOUR 12'!$A$2:$AI$55</definedName>
    <definedName name="_xlnm._FilterDatabase" localSheetId="14" hidden="1">'JOUR 13'!$A$2:$AI$55</definedName>
    <definedName name="_xlnm._FilterDatabase" localSheetId="9" hidden="1">'JOUR 8'!$A$2:$AI$55</definedName>
    <definedName name="_xlnm._FilterDatabase" localSheetId="10" hidden="1">'JOUR 9'!$A$2:$AI$55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1" l="1"/>
  <c r="J5" i="11"/>
  <c r="I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5" i="11"/>
  <c r="AA55" i="1"/>
  <c r="AG55" i="39" l="1"/>
  <c r="AG57" i="39" s="1"/>
  <c r="AF55" i="39"/>
  <c r="AF57" i="39" s="1"/>
  <c r="AE55" i="39"/>
  <c r="AE57" i="39" s="1"/>
  <c r="AD55" i="39"/>
  <c r="AD57" i="39" s="1"/>
  <c r="AC55" i="39"/>
  <c r="AC57" i="39" s="1"/>
  <c r="AB55" i="39"/>
  <c r="AB57" i="39" s="1"/>
  <c r="AA55" i="39"/>
  <c r="AA57" i="39" s="1"/>
  <c r="Z55" i="39"/>
  <c r="Z57" i="39" s="1"/>
  <c r="T18" i="11" s="1"/>
  <c r="Y55" i="39"/>
  <c r="Y57" i="39" s="1"/>
  <c r="S18" i="11" s="1"/>
  <c r="X55" i="39"/>
  <c r="X57" i="39" s="1"/>
  <c r="R18" i="11" s="1"/>
  <c r="W55" i="39"/>
  <c r="W57" i="39" s="1"/>
  <c r="Q18" i="11" s="1"/>
  <c r="V55" i="39"/>
  <c r="AN55" i="39" s="1"/>
  <c r="AN57" i="39" s="1"/>
  <c r="U55" i="39"/>
  <c r="U57" i="39" s="1"/>
  <c r="O18" i="11" s="1"/>
  <c r="T55" i="39"/>
  <c r="T57" i="39" s="1"/>
  <c r="F18" i="11" s="1"/>
  <c r="S55" i="39"/>
  <c r="S57" i="39" s="1"/>
  <c r="C18" i="11" s="1"/>
  <c r="R55" i="39"/>
  <c r="R57" i="39" s="1"/>
  <c r="Q55" i="39"/>
  <c r="Q57" i="39" s="1"/>
  <c r="P55" i="39"/>
  <c r="P57" i="39" s="1"/>
  <c r="O55" i="39"/>
  <c r="O57" i="39" s="1"/>
  <c r="N55" i="39"/>
  <c r="N57" i="39" s="1"/>
  <c r="M55" i="39"/>
  <c r="M57" i="39" s="1"/>
  <c r="L55" i="39"/>
  <c r="L57" i="39" s="1"/>
  <c r="K55" i="39"/>
  <c r="K57" i="39" s="1"/>
  <c r="J55" i="39"/>
  <c r="J57" i="39" s="1"/>
  <c r="I55" i="39"/>
  <c r="H55" i="39"/>
  <c r="H57" i="39" s="1"/>
  <c r="G55" i="39"/>
  <c r="G57" i="39" s="1"/>
  <c r="F55" i="39"/>
  <c r="F57" i="39" s="1"/>
  <c r="E55" i="39"/>
  <c r="E57" i="39" s="1"/>
  <c r="D55" i="39"/>
  <c r="D57" i="39" s="1"/>
  <c r="AG55" i="38"/>
  <c r="AG57" i="38" s="1"/>
  <c r="AF55" i="38"/>
  <c r="AF57" i="38" s="1"/>
  <c r="AE55" i="38"/>
  <c r="AE57" i="38" s="1"/>
  <c r="AD55" i="38"/>
  <c r="AD57" i="38" s="1"/>
  <c r="AC55" i="38"/>
  <c r="AC57" i="38" s="1"/>
  <c r="AB55" i="38"/>
  <c r="AB57" i="38" s="1"/>
  <c r="AA55" i="38"/>
  <c r="AA57" i="38" s="1"/>
  <c r="Z55" i="38"/>
  <c r="Z57" i="38" s="1"/>
  <c r="T17" i="11" s="1"/>
  <c r="Y55" i="38"/>
  <c r="Y57" i="38" s="1"/>
  <c r="S17" i="11" s="1"/>
  <c r="X55" i="38"/>
  <c r="X57" i="38" s="1"/>
  <c r="R17" i="11" s="1"/>
  <c r="W55" i="38"/>
  <c r="W57" i="38" s="1"/>
  <c r="Q17" i="11" s="1"/>
  <c r="V55" i="38"/>
  <c r="V57" i="38" s="1"/>
  <c r="P17" i="11" s="1"/>
  <c r="U55" i="38"/>
  <c r="T55" i="38"/>
  <c r="T57" i="38" s="1"/>
  <c r="F17" i="11" s="1"/>
  <c r="S55" i="38"/>
  <c r="S57" i="38" s="1"/>
  <c r="C17" i="11" s="1"/>
  <c r="R55" i="38"/>
  <c r="Q55" i="38"/>
  <c r="P55" i="38"/>
  <c r="P57" i="38" s="1"/>
  <c r="O55" i="38"/>
  <c r="O57" i="38" s="1"/>
  <c r="N55" i="38"/>
  <c r="N57" i="38" s="1"/>
  <c r="M55" i="38"/>
  <c r="M57" i="38" s="1"/>
  <c r="L55" i="38"/>
  <c r="L57" i="38" s="1"/>
  <c r="K55" i="38"/>
  <c r="K57" i="38" s="1"/>
  <c r="J55" i="38"/>
  <c r="J57" i="38" s="1"/>
  <c r="I55" i="38"/>
  <c r="H55" i="38"/>
  <c r="H57" i="38" s="1"/>
  <c r="G55" i="38"/>
  <c r="G57" i="38" s="1"/>
  <c r="F55" i="38"/>
  <c r="F57" i="38" s="1"/>
  <c r="E55" i="38"/>
  <c r="E57" i="38" s="1"/>
  <c r="D55" i="38"/>
  <c r="D57" i="38" s="1"/>
  <c r="AG55" i="37"/>
  <c r="AG57" i="37" s="1"/>
  <c r="AF55" i="37"/>
  <c r="AF57" i="37" s="1"/>
  <c r="AE55" i="37"/>
  <c r="AE57" i="37" s="1"/>
  <c r="AD55" i="37"/>
  <c r="AD57" i="37" s="1"/>
  <c r="AC55" i="37"/>
  <c r="AC57" i="37" s="1"/>
  <c r="AB55" i="37"/>
  <c r="AB57" i="37" s="1"/>
  <c r="AA55" i="37"/>
  <c r="AA57" i="37" s="1"/>
  <c r="Z55" i="37"/>
  <c r="Z57" i="37" s="1"/>
  <c r="T16" i="11" s="1"/>
  <c r="Y55" i="37"/>
  <c r="Y57" i="37" s="1"/>
  <c r="S16" i="11" s="1"/>
  <c r="X55" i="37"/>
  <c r="X57" i="37" s="1"/>
  <c r="R16" i="11" s="1"/>
  <c r="W55" i="37"/>
  <c r="W57" i="37" s="1"/>
  <c r="Q16" i="11" s="1"/>
  <c r="V55" i="37"/>
  <c r="V57" i="37" s="1"/>
  <c r="P16" i="11" s="1"/>
  <c r="U55" i="37"/>
  <c r="U57" i="37" s="1"/>
  <c r="O16" i="11" s="1"/>
  <c r="T55" i="37"/>
  <c r="T57" i="37" s="1"/>
  <c r="F16" i="11" s="1"/>
  <c r="S55" i="37"/>
  <c r="S57" i="37" s="1"/>
  <c r="C16" i="11" s="1"/>
  <c r="R55" i="37"/>
  <c r="Q55" i="37"/>
  <c r="P55" i="37"/>
  <c r="O55" i="37"/>
  <c r="N55" i="37"/>
  <c r="M55" i="37"/>
  <c r="L55" i="37"/>
  <c r="K55" i="37"/>
  <c r="K57" i="37" s="1"/>
  <c r="J55" i="37"/>
  <c r="J57" i="37" s="1"/>
  <c r="I55" i="37"/>
  <c r="I57" i="37" s="1"/>
  <c r="H55" i="37"/>
  <c r="H57" i="37" s="1"/>
  <c r="G55" i="37"/>
  <c r="F55" i="37"/>
  <c r="E55" i="37"/>
  <c r="D55" i="37"/>
  <c r="D57" i="37" s="1"/>
  <c r="AG55" i="36"/>
  <c r="AG57" i="36" s="1"/>
  <c r="AF55" i="36"/>
  <c r="AF57" i="36" s="1"/>
  <c r="AE55" i="36"/>
  <c r="AE57" i="36" s="1"/>
  <c r="AD55" i="36"/>
  <c r="AD57" i="36" s="1"/>
  <c r="AC55" i="36"/>
  <c r="AC57" i="36" s="1"/>
  <c r="AB55" i="36"/>
  <c r="AB57" i="36" s="1"/>
  <c r="AA55" i="36"/>
  <c r="AA57" i="36" s="1"/>
  <c r="Z55" i="36"/>
  <c r="Z57" i="36" s="1"/>
  <c r="T15" i="11" s="1"/>
  <c r="Y55" i="36"/>
  <c r="Y57" i="36" s="1"/>
  <c r="S15" i="11" s="1"/>
  <c r="X55" i="36"/>
  <c r="X57" i="36" s="1"/>
  <c r="R15" i="11" s="1"/>
  <c r="W55" i="36"/>
  <c r="W57" i="36" s="1"/>
  <c r="Q15" i="11" s="1"/>
  <c r="V55" i="36"/>
  <c r="V57" i="36" s="1"/>
  <c r="P15" i="11" s="1"/>
  <c r="U55" i="36"/>
  <c r="U57" i="36" s="1"/>
  <c r="O15" i="11" s="1"/>
  <c r="T55" i="36"/>
  <c r="T57" i="36" s="1"/>
  <c r="F15" i="11" s="1"/>
  <c r="S55" i="36"/>
  <c r="S57" i="36" s="1"/>
  <c r="C15" i="11" s="1"/>
  <c r="R55" i="36"/>
  <c r="R57" i="36" s="1"/>
  <c r="Q55" i="36"/>
  <c r="Q57" i="36" s="1"/>
  <c r="P55" i="36"/>
  <c r="P57" i="36" s="1"/>
  <c r="O55" i="36"/>
  <c r="O57" i="36" s="1"/>
  <c r="N55" i="36"/>
  <c r="N57" i="36" s="1"/>
  <c r="M55" i="36"/>
  <c r="M57" i="36" s="1"/>
  <c r="L55" i="36"/>
  <c r="L57" i="36" s="1"/>
  <c r="K55" i="36"/>
  <c r="K57" i="36" s="1"/>
  <c r="J55" i="36"/>
  <c r="J57" i="36" s="1"/>
  <c r="I55" i="36"/>
  <c r="H55" i="36"/>
  <c r="H57" i="36" s="1"/>
  <c r="G55" i="36"/>
  <c r="G57" i="36" s="1"/>
  <c r="F55" i="36"/>
  <c r="F57" i="36" s="1"/>
  <c r="E55" i="36"/>
  <c r="E57" i="36" s="1"/>
  <c r="D55" i="36"/>
  <c r="D57" i="36" s="1"/>
  <c r="AG55" i="35"/>
  <c r="AG57" i="35" s="1"/>
  <c r="AF55" i="35"/>
  <c r="AF57" i="35" s="1"/>
  <c r="AE55" i="35"/>
  <c r="AE57" i="35" s="1"/>
  <c r="AD55" i="35"/>
  <c r="AC55" i="35"/>
  <c r="AC57" i="35" s="1"/>
  <c r="AB55" i="35"/>
  <c r="AB57" i="35" s="1"/>
  <c r="AA55" i="35"/>
  <c r="AA57" i="35" s="1"/>
  <c r="Z55" i="35"/>
  <c r="Z57" i="35" s="1"/>
  <c r="T14" i="11" s="1"/>
  <c r="Y55" i="35"/>
  <c r="Y57" i="35" s="1"/>
  <c r="S14" i="11" s="1"/>
  <c r="X55" i="35"/>
  <c r="X57" i="35" s="1"/>
  <c r="R14" i="11" s="1"/>
  <c r="W55" i="35"/>
  <c r="W57" i="35" s="1"/>
  <c r="Q14" i="11" s="1"/>
  <c r="V55" i="35"/>
  <c r="V57" i="35" s="1"/>
  <c r="P14" i="11" s="1"/>
  <c r="U55" i="35"/>
  <c r="U57" i="35" s="1"/>
  <c r="O14" i="11" s="1"/>
  <c r="T55" i="35"/>
  <c r="T57" i="35" s="1"/>
  <c r="F14" i="11" s="1"/>
  <c r="S55" i="35"/>
  <c r="S57" i="35" s="1"/>
  <c r="C14" i="11" s="1"/>
  <c r="R55" i="35"/>
  <c r="Q55" i="35"/>
  <c r="P55" i="35"/>
  <c r="O55" i="35"/>
  <c r="O57" i="35" s="1"/>
  <c r="N55" i="35"/>
  <c r="N57" i="35" s="1"/>
  <c r="M55" i="35"/>
  <c r="M57" i="35" s="1"/>
  <c r="L55" i="35"/>
  <c r="L57" i="35" s="1"/>
  <c r="K55" i="35"/>
  <c r="K57" i="35" s="1"/>
  <c r="J55" i="35"/>
  <c r="J57" i="35" s="1"/>
  <c r="I55" i="35"/>
  <c r="H55" i="35"/>
  <c r="G55" i="35"/>
  <c r="F55" i="35"/>
  <c r="E55" i="35"/>
  <c r="E57" i="35" s="1"/>
  <c r="D55" i="35"/>
  <c r="D57" i="35" s="1"/>
  <c r="AG55" i="34"/>
  <c r="AG57" i="34" s="1"/>
  <c r="AF55" i="34"/>
  <c r="AF57" i="34" s="1"/>
  <c r="AE55" i="34"/>
  <c r="AE57" i="34" s="1"/>
  <c r="AD55" i="34"/>
  <c r="AD57" i="34" s="1"/>
  <c r="AC55" i="34"/>
  <c r="AC57" i="34" s="1"/>
  <c r="AB55" i="34"/>
  <c r="AB57" i="34" s="1"/>
  <c r="AA55" i="34"/>
  <c r="AA57" i="34" s="1"/>
  <c r="Z55" i="34"/>
  <c r="Z57" i="34" s="1"/>
  <c r="T13" i="11" s="1"/>
  <c r="Y55" i="34"/>
  <c r="Y57" i="34" s="1"/>
  <c r="S13" i="11" s="1"/>
  <c r="X55" i="34"/>
  <c r="X57" i="34" s="1"/>
  <c r="R13" i="11" s="1"/>
  <c r="W55" i="34"/>
  <c r="W57" i="34" s="1"/>
  <c r="Q13" i="11" s="1"/>
  <c r="V55" i="34"/>
  <c r="V57" i="34" s="1"/>
  <c r="P13" i="11" s="1"/>
  <c r="U55" i="34"/>
  <c r="U57" i="34" s="1"/>
  <c r="O13" i="11" s="1"/>
  <c r="T55" i="34"/>
  <c r="T57" i="34" s="1"/>
  <c r="F13" i="11" s="1"/>
  <c r="S55" i="34"/>
  <c r="S57" i="34" s="1"/>
  <c r="C13" i="11" s="1"/>
  <c r="R55" i="34"/>
  <c r="Q55" i="34"/>
  <c r="P55" i="34"/>
  <c r="P57" i="34" s="1"/>
  <c r="O55" i="34"/>
  <c r="N55" i="34"/>
  <c r="N57" i="34" s="1"/>
  <c r="M55" i="34"/>
  <c r="L55" i="34"/>
  <c r="L57" i="34" s="1"/>
  <c r="K55" i="34"/>
  <c r="J55" i="34"/>
  <c r="J57" i="34" s="1"/>
  <c r="I55" i="34"/>
  <c r="H55" i="34"/>
  <c r="G55" i="34"/>
  <c r="F55" i="34"/>
  <c r="E55" i="34"/>
  <c r="D55" i="34"/>
  <c r="D57" i="34" s="1"/>
  <c r="AG55" i="33"/>
  <c r="AG57" i="33" s="1"/>
  <c r="AF55" i="33"/>
  <c r="AF57" i="33" s="1"/>
  <c r="AE55" i="33"/>
  <c r="AE57" i="33" s="1"/>
  <c r="AD55" i="33"/>
  <c r="AD57" i="33" s="1"/>
  <c r="AC55" i="33"/>
  <c r="AC57" i="33" s="1"/>
  <c r="AB55" i="33"/>
  <c r="AB57" i="33" s="1"/>
  <c r="AA55" i="33"/>
  <c r="AA57" i="33" s="1"/>
  <c r="Z55" i="33"/>
  <c r="Z57" i="33" s="1"/>
  <c r="T12" i="11" s="1"/>
  <c r="Y55" i="33"/>
  <c r="Y57" i="33" s="1"/>
  <c r="S12" i="11" s="1"/>
  <c r="X55" i="33"/>
  <c r="X57" i="33" s="1"/>
  <c r="R12" i="11" s="1"/>
  <c r="W55" i="33"/>
  <c r="W57" i="33" s="1"/>
  <c r="Q12" i="11" s="1"/>
  <c r="V55" i="33"/>
  <c r="V57" i="33" s="1"/>
  <c r="P12" i="11" s="1"/>
  <c r="U55" i="33"/>
  <c r="U57" i="33" s="1"/>
  <c r="O12" i="11" s="1"/>
  <c r="T55" i="33"/>
  <c r="S55" i="33"/>
  <c r="R55" i="33"/>
  <c r="Q55" i="33"/>
  <c r="Q57" i="33" s="1"/>
  <c r="P55" i="33"/>
  <c r="P57" i="33" s="1"/>
  <c r="O55" i="33"/>
  <c r="O57" i="33" s="1"/>
  <c r="N55" i="33"/>
  <c r="N57" i="33" s="1"/>
  <c r="M55" i="33"/>
  <c r="M57" i="33" s="1"/>
  <c r="L55" i="33"/>
  <c r="L57" i="33" s="1"/>
  <c r="K55" i="33"/>
  <c r="K57" i="33" s="1"/>
  <c r="J55" i="33"/>
  <c r="J57" i="33" s="1"/>
  <c r="I55" i="33"/>
  <c r="H55" i="33"/>
  <c r="G55" i="33"/>
  <c r="F55" i="33"/>
  <c r="E55" i="33"/>
  <c r="E57" i="33" s="1"/>
  <c r="D55" i="33"/>
  <c r="D57" i="33" s="1"/>
  <c r="AG55" i="32"/>
  <c r="AG57" i="32" s="1"/>
  <c r="AF55" i="32"/>
  <c r="AF57" i="32" s="1"/>
  <c r="AE55" i="32"/>
  <c r="AE57" i="32" s="1"/>
  <c r="AD55" i="32"/>
  <c r="AD57" i="32" s="1"/>
  <c r="AC55" i="32"/>
  <c r="AC57" i="32" s="1"/>
  <c r="AB55" i="32"/>
  <c r="AB57" i="32" s="1"/>
  <c r="AA55" i="32"/>
  <c r="AA57" i="32" s="1"/>
  <c r="Z55" i="32"/>
  <c r="Z57" i="32" s="1"/>
  <c r="T11" i="11" s="1"/>
  <c r="Y55" i="32"/>
  <c r="Y57" i="32" s="1"/>
  <c r="S11" i="11" s="1"/>
  <c r="X55" i="32"/>
  <c r="X57" i="32" s="1"/>
  <c r="R11" i="11" s="1"/>
  <c r="W55" i="32"/>
  <c r="V55" i="32"/>
  <c r="U55" i="32"/>
  <c r="T55" i="32"/>
  <c r="T57" i="32" s="1"/>
  <c r="F11" i="11" s="1"/>
  <c r="S55" i="32"/>
  <c r="S57" i="32" s="1"/>
  <c r="C11" i="11" s="1"/>
  <c r="R55" i="32"/>
  <c r="R57" i="32" s="1"/>
  <c r="Q55" i="32"/>
  <c r="P55" i="32"/>
  <c r="O55" i="32"/>
  <c r="N55" i="32"/>
  <c r="M55" i="32"/>
  <c r="M57" i="32" s="1"/>
  <c r="L55" i="32"/>
  <c r="L57" i="32" s="1"/>
  <c r="K55" i="32"/>
  <c r="K57" i="32" s="1"/>
  <c r="J55" i="32"/>
  <c r="J57" i="32" s="1"/>
  <c r="I55" i="32"/>
  <c r="H55" i="32"/>
  <c r="G55" i="32"/>
  <c r="G57" i="32" s="1"/>
  <c r="F55" i="32"/>
  <c r="F57" i="32" s="1"/>
  <c r="E55" i="32"/>
  <c r="E57" i="32" s="1"/>
  <c r="D55" i="32"/>
  <c r="D57" i="32" s="1"/>
  <c r="AG55" i="31"/>
  <c r="AG57" i="31" s="1"/>
  <c r="AF55" i="31"/>
  <c r="AF57" i="31" s="1"/>
  <c r="AE55" i="31"/>
  <c r="AE57" i="31" s="1"/>
  <c r="AD55" i="31"/>
  <c r="AD57" i="31" s="1"/>
  <c r="AC55" i="31"/>
  <c r="AC57" i="31" s="1"/>
  <c r="AB55" i="31"/>
  <c r="AB57" i="31" s="1"/>
  <c r="AA55" i="31"/>
  <c r="AA57" i="31" s="1"/>
  <c r="Z55" i="31"/>
  <c r="Z57" i="31" s="1"/>
  <c r="T10" i="11" s="1"/>
  <c r="Y55" i="31"/>
  <c r="Y57" i="31" s="1"/>
  <c r="S10" i="11" s="1"/>
  <c r="X55" i="31"/>
  <c r="X57" i="31" s="1"/>
  <c r="R10" i="11" s="1"/>
  <c r="W55" i="31"/>
  <c r="W57" i="31" s="1"/>
  <c r="Q10" i="11" s="1"/>
  <c r="V55" i="31"/>
  <c r="V57" i="31" s="1"/>
  <c r="P10" i="11" s="1"/>
  <c r="U55" i="31"/>
  <c r="U57" i="31" s="1"/>
  <c r="O10" i="11" s="1"/>
  <c r="T55" i="31"/>
  <c r="T57" i="31" s="1"/>
  <c r="F10" i="11" s="1"/>
  <c r="S55" i="31"/>
  <c r="AK55" i="31" s="1"/>
  <c r="R55" i="31"/>
  <c r="R57" i="31" s="1"/>
  <c r="Q55" i="31"/>
  <c r="Q57" i="31" s="1"/>
  <c r="P55" i="31"/>
  <c r="P57" i="31" s="1"/>
  <c r="O55" i="31"/>
  <c r="O57" i="31" s="1"/>
  <c r="N55" i="31"/>
  <c r="N57" i="31" s="1"/>
  <c r="M55" i="31"/>
  <c r="M57" i="31" s="1"/>
  <c r="L55" i="31"/>
  <c r="L57" i="31" s="1"/>
  <c r="K55" i="31"/>
  <c r="K57" i="31" s="1"/>
  <c r="J55" i="31"/>
  <c r="J57" i="31" s="1"/>
  <c r="I55" i="31"/>
  <c r="AG55" i="30"/>
  <c r="AG57" i="30" s="1"/>
  <c r="AF55" i="30"/>
  <c r="AF57" i="30" s="1"/>
  <c r="AE55" i="30"/>
  <c r="AE57" i="30" s="1"/>
  <c r="AD55" i="30"/>
  <c r="AD57" i="30" s="1"/>
  <c r="AC55" i="30"/>
  <c r="AC57" i="30" s="1"/>
  <c r="AB55" i="30"/>
  <c r="AB57" i="30" s="1"/>
  <c r="AA55" i="30"/>
  <c r="AA57" i="30" s="1"/>
  <c r="Z55" i="30"/>
  <c r="Z57" i="30" s="1"/>
  <c r="T9" i="11" s="1"/>
  <c r="Y55" i="30"/>
  <c r="Y57" i="30" s="1"/>
  <c r="S9" i="11" s="1"/>
  <c r="X55" i="30"/>
  <c r="X57" i="30" s="1"/>
  <c r="R9" i="11" s="1"/>
  <c r="W55" i="30"/>
  <c r="V55" i="30"/>
  <c r="V57" i="30" s="1"/>
  <c r="P9" i="11" s="1"/>
  <c r="U55" i="30"/>
  <c r="U57" i="30" s="1"/>
  <c r="O9" i="11" s="1"/>
  <c r="T55" i="30"/>
  <c r="T57" i="30" s="1"/>
  <c r="F9" i="11" s="1"/>
  <c r="S55" i="30"/>
  <c r="S57" i="30" s="1"/>
  <c r="C9" i="11" s="1"/>
  <c r="R55" i="30"/>
  <c r="Q55" i="30"/>
  <c r="P55" i="30"/>
  <c r="P57" i="30" s="1"/>
  <c r="O55" i="30"/>
  <c r="O57" i="30" s="1"/>
  <c r="N55" i="30"/>
  <c r="N57" i="30" s="1"/>
  <c r="M55" i="30"/>
  <c r="M57" i="30" s="1"/>
  <c r="L55" i="30"/>
  <c r="L57" i="30" s="1"/>
  <c r="K55" i="30"/>
  <c r="K57" i="30" s="1"/>
  <c r="J55" i="30"/>
  <c r="J57" i="30" s="1"/>
  <c r="I55" i="30"/>
  <c r="H55" i="30"/>
  <c r="H57" i="30" s="1"/>
  <c r="G55" i="30"/>
  <c r="F55" i="30"/>
  <c r="E55" i="30"/>
  <c r="D55" i="30"/>
  <c r="D57" i="30" s="1"/>
  <c r="AG55" i="29"/>
  <c r="AG57" i="29" s="1"/>
  <c r="AF55" i="29"/>
  <c r="AF57" i="29" s="1"/>
  <c r="AE55" i="29"/>
  <c r="AE57" i="29" s="1"/>
  <c r="AD55" i="29"/>
  <c r="AD57" i="29" s="1"/>
  <c r="AC55" i="29"/>
  <c r="AC57" i="29" s="1"/>
  <c r="AB55" i="29"/>
  <c r="AB57" i="29" s="1"/>
  <c r="AA55" i="29"/>
  <c r="AA57" i="29" s="1"/>
  <c r="Z55" i="29"/>
  <c r="Z57" i="29" s="1"/>
  <c r="T8" i="11" s="1"/>
  <c r="Y55" i="29"/>
  <c r="Y57" i="29" s="1"/>
  <c r="S8" i="11" s="1"/>
  <c r="X55" i="29"/>
  <c r="X57" i="29" s="1"/>
  <c r="R8" i="11" s="1"/>
  <c r="W55" i="29"/>
  <c r="W57" i="29" s="1"/>
  <c r="Q8" i="11" s="1"/>
  <c r="V55" i="29"/>
  <c r="V57" i="29" s="1"/>
  <c r="P8" i="11" s="1"/>
  <c r="U55" i="29"/>
  <c r="U57" i="29" s="1"/>
  <c r="O8" i="11" s="1"/>
  <c r="T55" i="29"/>
  <c r="S55" i="29"/>
  <c r="S57" i="29" s="1"/>
  <c r="C8" i="11" s="1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AG55" i="28"/>
  <c r="AG57" i="28" s="1"/>
  <c r="AF55" i="28"/>
  <c r="AF57" i="28" s="1"/>
  <c r="AE55" i="28"/>
  <c r="AE57" i="28" s="1"/>
  <c r="AD55" i="28"/>
  <c r="AD57" i="28" s="1"/>
  <c r="AC55" i="28"/>
  <c r="AC57" i="28" s="1"/>
  <c r="AB55" i="28"/>
  <c r="AB57" i="28" s="1"/>
  <c r="AA55" i="28"/>
  <c r="AA57" i="28" s="1"/>
  <c r="Z55" i="28"/>
  <c r="Z57" i="28" s="1"/>
  <c r="T7" i="11" s="1"/>
  <c r="Y55" i="28"/>
  <c r="Y57" i="28" s="1"/>
  <c r="S7" i="11" s="1"/>
  <c r="X55" i="28"/>
  <c r="X57" i="28" s="1"/>
  <c r="R7" i="11" s="1"/>
  <c r="W55" i="28"/>
  <c r="W57" i="28" s="1"/>
  <c r="Q7" i="11" s="1"/>
  <c r="V55" i="28"/>
  <c r="V57" i="28" s="1"/>
  <c r="P7" i="11" s="1"/>
  <c r="U55" i="28"/>
  <c r="U57" i="28" s="1"/>
  <c r="O7" i="11" s="1"/>
  <c r="T55" i="28"/>
  <c r="T57" i="28" s="1"/>
  <c r="F7" i="11" s="1"/>
  <c r="S55" i="28"/>
  <c r="S57" i="28" s="1"/>
  <c r="C7" i="11" s="1"/>
  <c r="R55" i="28"/>
  <c r="Q55" i="28"/>
  <c r="P55" i="28"/>
  <c r="O55" i="28"/>
  <c r="O57" i="28" s="1"/>
  <c r="N55" i="28"/>
  <c r="N57" i="28" s="1"/>
  <c r="M55" i="28"/>
  <c r="M57" i="28" s="1"/>
  <c r="L55" i="28"/>
  <c r="L57" i="28" s="1"/>
  <c r="K55" i="28"/>
  <c r="K57" i="28" s="1"/>
  <c r="J55" i="28"/>
  <c r="J57" i="28" s="1"/>
  <c r="I55" i="28"/>
  <c r="H55" i="28"/>
  <c r="H57" i="28" s="1"/>
  <c r="G55" i="28"/>
  <c r="G57" i="28" s="1"/>
  <c r="F55" i="28"/>
  <c r="F57" i="28" s="1"/>
  <c r="E55" i="28"/>
  <c r="E57" i="28" s="1"/>
  <c r="D55" i="28"/>
  <c r="D57" i="28" s="1"/>
  <c r="AG55" i="27"/>
  <c r="AF55" i="27"/>
  <c r="AF57" i="27" s="1"/>
  <c r="AE55" i="27"/>
  <c r="AE57" i="27" s="1"/>
  <c r="AD55" i="27"/>
  <c r="AD57" i="27" s="1"/>
  <c r="AC55" i="27"/>
  <c r="AB55" i="27"/>
  <c r="AA55" i="27"/>
  <c r="Z55" i="27"/>
  <c r="Y55" i="27"/>
  <c r="X55" i="27"/>
  <c r="X57" i="27" s="1"/>
  <c r="R6" i="11" s="1"/>
  <c r="W55" i="27"/>
  <c r="W57" i="27" s="1"/>
  <c r="Q6" i="11" s="1"/>
  <c r="V55" i="27"/>
  <c r="V57" i="27" s="1"/>
  <c r="P6" i="11" s="1"/>
  <c r="U55" i="27"/>
  <c r="T55" i="27"/>
  <c r="T57" i="27" s="1"/>
  <c r="F6" i="11" s="1"/>
  <c r="S55" i="27"/>
  <c r="R55" i="27"/>
  <c r="Q55" i="27"/>
  <c r="P55" i="27"/>
  <c r="O55" i="27"/>
  <c r="N55" i="27"/>
  <c r="M55" i="27"/>
  <c r="L55" i="27"/>
  <c r="K55" i="27"/>
  <c r="J55" i="27"/>
  <c r="I55" i="27"/>
  <c r="H55" i="27"/>
  <c r="H57" i="27" s="1"/>
  <c r="G55" i="27"/>
  <c r="G57" i="27" s="1"/>
  <c r="F55" i="27"/>
  <c r="F57" i="27" s="1"/>
  <c r="E55" i="27"/>
  <c r="E57" i="27" s="1"/>
  <c r="D55" i="27"/>
  <c r="D57" i="27" s="1"/>
  <c r="E55" i="1"/>
  <c r="E57" i="1" s="1"/>
  <c r="F55" i="1"/>
  <c r="F57" i="1" s="1"/>
  <c r="G55" i="1"/>
  <c r="G57" i="1" s="1"/>
  <c r="H55" i="1"/>
  <c r="I55" i="1"/>
  <c r="J55" i="1"/>
  <c r="K55" i="1"/>
  <c r="L55" i="1"/>
  <c r="L57" i="1" s="1"/>
  <c r="M55" i="1"/>
  <c r="M57" i="1" s="1"/>
  <c r="N55" i="1"/>
  <c r="N57" i="1" s="1"/>
  <c r="O55" i="1"/>
  <c r="O57" i="1" s="1"/>
  <c r="P55" i="1"/>
  <c r="P57" i="1" s="1"/>
  <c r="Q55" i="1"/>
  <c r="R55" i="1"/>
  <c r="R57" i="1" s="1"/>
  <c r="S55" i="1"/>
  <c r="T55" i="1"/>
  <c r="T57" i="1" s="1"/>
  <c r="F5" i="11" s="1"/>
  <c r="U55" i="1"/>
  <c r="U57" i="1" s="1"/>
  <c r="O5" i="11" s="1"/>
  <c r="V55" i="1"/>
  <c r="V57" i="1" s="1"/>
  <c r="P5" i="11" s="1"/>
  <c r="W55" i="1"/>
  <c r="W57" i="1" s="1"/>
  <c r="Q5" i="11" s="1"/>
  <c r="X55" i="1"/>
  <c r="X57" i="1" s="1"/>
  <c r="R5" i="11" s="1"/>
  <c r="Y55" i="1"/>
  <c r="Y57" i="1" s="1"/>
  <c r="S5" i="11" s="1"/>
  <c r="Z55" i="1"/>
  <c r="Z57" i="1" s="1"/>
  <c r="T5" i="11" s="1"/>
  <c r="AA57" i="1"/>
  <c r="AB55" i="1"/>
  <c r="AB57" i="1" s="1"/>
  <c r="AC55" i="1"/>
  <c r="AC57" i="1" s="1"/>
  <c r="AD55" i="1"/>
  <c r="AD57" i="1" s="1"/>
  <c r="AE55" i="1"/>
  <c r="AE57" i="1" s="1"/>
  <c r="AF55" i="1"/>
  <c r="AF57" i="1" s="1"/>
  <c r="AG55" i="1"/>
  <c r="AG57" i="1" s="1"/>
  <c r="F5" i="42"/>
  <c r="I57" i="39"/>
  <c r="R57" i="38"/>
  <c r="Q57" i="38"/>
  <c r="I57" i="38"/>
  <c r="R57" i="37"/>
  <c r="Q57" i="37"/>
  <c r="P57" i="37"/>
  <c r="O57" i="37"/>
  <c r="N57" i="37"/>
  <c r="M57" i="37"/>
  <c r="L57" i="37"/>
  <c r="G57" i="37"/>
  <c r="F57" i="37"/>
  <c r="E57" i="37"/>
  <c r="I57" i="36"/>
  <c r="AD57" i="35"/>
  <c r="R57" i="35"/>
  <c r="Q57" i="35"/>
  <c r="P57" i="35"/>
  <c r="I57" i="35"/>
  <c r="H57" i="35"/>
  <c r="G57" i="35"/>
  <c r="F57" i="35"/>
  <c r="R57" i="34"/>
  <c r="Q57" i="34"/>
  <c r="O57" i="34"/>
  <c r="M57" i="34"/>
  <c r="K57" i="34"/>
  <c r="I57" i="34"/>
  <c r="H57" i="34"/>
  <c r="G57" i="34"/>
  <c r="F57" i="34"/>
  <c r="E57" i="34"/>
  <c r="R57" i="33"/>
  <c r="I57" i="33"/>
  <c r="H57" i="33"/>
  <c r="G57" i="33"/>
  <c r="F57" i="33"/>
  <c r="Q57" i="32"/>
  <c r="P57" i="32"/>
  <c r="O57" i="32"/>
  <c r="N57" i="32"/>
  <c r="I57" i="32"/>
  <c r="H57" i="32"/>
  <c r="I57" i="31"/>
  <c r="R57" i="30"/>
  <c r="Q57" i="30"/>
  <c r="I57" i="30"/>
  <c r="G57" i="30"/>
  <c r="F57" i="30"/>
  <c r="E57" i="30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R57" i="28"/>
  <c r="Q57" i="28"/>
  <c r="P57" i="28"/>
  <c r="I57" i="28"/>
  <c r="AG57" i="27"/>
  <c r="AC57" i="27"/>
  <c r="AB57" i="27"/>
  <c r="AA57" i="27"/>
  <c r="Z57" i="27"/>
  <c r="T6" i="11" s="1"/>
  <c r="Y57" i="27"/>
  <c r="S6" i="11" s="1"/>
  <c r="U57" i="27"/>
  <c r="O6" i="11" s="1"/>
  <c r="S57" i="27"/>
  <c r="C6" i="11" s="1"/>
  <c r="R57" i="27"/>
  <c r="Q57" i="27"/>
  <c r="P57" i="27"/>
  <c r="O57" i="27"/>
  <c r="N57" i="27"/>
  <c r="M57" i="27"/>
  <c r="L57" i="27"/>
  <c r="K57" i="27"/>
  <c r="J57" i="27"/>
  <c r="I57" i="27"/>
  <c r="S57" i="1"/>
  <c r="C5" i="11" s="1"/>
  <c r="Q57" i="1"/>
  <c r="K57" i="1"/>
  <c r="J57" i="1"/>
  <c r="I57" i="1"/>
  <c r="H57" i="1"/>
  <c r="M8" i="42"/>
  <c r="D6" i="42"/>
  <c r="E6" i="42"/>
  <c r="F6" i="42"/>
  <c r="G6" i="42"/>
  <c r="H6" i="42"/>
  <c r="I6" i="42"/>
  <c r="J6" i="42"/>
  <c r="K6" i="42"/>
  <c r="L6" i="42"/>
  <c r="M6" i="42"/>
  <c r="N6" i="42"/>
  <c r="O6" i="42"/>
  <c r="P6" i="42"/>
  <c r="Q6" i="42"/>
  <c r="R6" i="42"/>
  <c r="S6" i="42"/>
  <c r="T6" i="42"/>
  <c r="U6" i="42"/>
  <c r="V6" i="42"/>
  <c r="W6" i="42"/>
  <c r="X6" i="42"/>
  <c r="Y6" i="42"/>
  <c r="Z6" i="42"/>
  <c r="AA6" i="42"/>
  <c r="AB6" i="42"/>
  <c r="AC6" i="42"/>
  <c r="AD6" i="42"/>
  <c r="AE6" i="42"/>
  <c r="AF6" i="42"/>
  <c r="AG6" i="42"/>
  <c r="D7" i="42"/>
  <c r="E7" i="42"/>
  <c r="F7" i="42"/>
  <c r="G7" i="42"/>
  <c r="H7" i="42"/>
  <c r="I7" i="42"/>
  <c r="J7" i="42"/>
  <c r="K7" i="42"/>
  <c r="L7" i="42"/>
  <c r="M7" i="42"/>
  <c r="N7" i="42"/>
  <c r="O7" i="42"/>
  <c r="P7" i="42"/>
  <c r="Q7" i="42"/>
  <c r="R7" i="42"/>
  <c r="S7" i="42"/>
  <c r="T7" i="42"/>
  <c r="U7" i="42"/>
  <c r="V7" i="42"/>
  <c r="W7" i="42"/>
  <c r="X7" i="42"/>
  <c r="Y7" i="42"/>
  <c r="Z7" i="42"/>
  <c r="AA7" i="42"/>
  <c r="AB7" i="42"/>
  <c r="AC7" i="42"/>
  <c r="AD7" i="42"/>
  <c r="AE7" i="42"/>
  <c r="AF7" i="42"/>
  <c r="AG7" i="42"/>
  <c r="D8" i="42"/>
  <c r="E8" i="42"/>
  <c r="F8" i="42"/>
  <c r="G8" i="42"/>
  <c r="H8" i="42"/>
  <c r="I8" i="42"/>
  <c r="J8" i="42"/>
  <c r="K8" i="42"/>
  <c r="L8" i="42"/>
  <c r="N8" i="42"/>
  <c r="O8" i="42"/>
  <c r="P8" i="42"/>
  <c r="Q8" i="42"/>
  <c r="R8" i="42"/>
  <c r="S8" i="42"/>
  <c r="T8" i="42"/>
  <c r="U8" i="42"/>
  <c r="V8" i="42"/>
  <c r="W8" i="42"/>
  <c r="X8" i="42"/>
  <c r="Y8" i="42"/>
  <c r="Z8" i="42"/>
  <c r="AA8" i="42"/>
  <c r="AB8" i="42"/>
  <c r="AC8" i="42"/>
  <c r="AD8" i="42"/>
  <c r="AE8" i="42"/>
  <c r="AF8" i="42"/>
  <c r="AG8" i="42"/>
  <c r="D9" i="42"/>
  <c r="E9" i="42"/>
  <c r="F9" i="42"/>
  <c r="G9" i="42"/>
  <c r="H9" i="42"/>
  <c r="I9" i="42"/>
  <c r="J9" i="42"/>
  <c r="K9" i="42"/>
  <c r="L9" i="42"/>
  <c r="M9" i="42"/>
  <c r="N9" i="42"/>
  <c r="O9" i="42"/>
  <c r="P9" i="42"/>
  <c r="Q9" i="42"/>
  <c r="R9" i="42"/>
  <c r="S9" i="42"/>
  <c r="T9" i="42"/>
  <c r="U9" i="42"/>
  <c r="V9" i="42"/>
  <c r="W9" i="42"/>
  <c r="X9" i="42"/>
  <c r="Y9" i="42"/>
  <c r="Z9" i="42"/>
  <c r="AA9" i="42"/>
  <c r="AB9" i="42"/>
  <c r="AC9" i="42"/>
  <c r="AD9" i="42"/>
  <c r="AE9" i="42"/>
  <c r="AF9" i="42"/>
  <c r="AG9" i="42"/>
  <c r="D10" i="42"/>
  <c r="E10" i="42"/>
  <c r="F10" i="42"/>
  <c r="G10" i="42"/>
  <c r="H10" i="42"/>
  <c r="I10" i="42"/>
  <c r="J10" i="42"/>
  <c r="K10" i="42"/>
  <c r="L10" i="42"/>
  <c r="M10" i="42"/>
  <c r="N10" i="42"/>
  <c r="O10" i="42"/>
  <c r="P10" i="42"/>
  <c r="Q10" i="42"/>
  <c r="R10" i="42"/>
  <c r="S10" i="42"/>
  <c r="T10" i="42"/>
  <c r="U10" i="42"/>
  <c r="V10" i="42"/>
  <c r="W10" i="42"/>
  <c r="X10" i="42"/>
  <c r="Y10" i="42"/>
  <c r="Z10" i="42"/>
  <c r="AA10" i="42"/>
  <c r="AB10" i="42"/>
  <c r="AC10" i="42"/>
  <c r="AD10" i="42"/>
  <c r="AE10" i="42"/>
  <c r="AF10" i="42"/>
  <c r="AG10" i="42"/>
  <c r="D11" i="42"/>
  <c r="E11" i="42"/>
  <c r="F11" i="42"/>
  <c r="G11" i="42"/>
  <c r="H11" i="42"/>
  <c r="I11" i="42"/>
  <c r="J11" i="42"/>
  <c r="K11" i="42"/>
  <c r="L11" i="42"/>
  <c r="M11" i="42"/>
  <c r="N11" i="42"/>
  <c r="O11" i="42"/>
  <c r="P11" i="42"/>
  <c r="Q11" i="42"/>
  <c r="R11" i="42"/>
  <c r="S11" i="42"/>
  <c r="T11" i="42"/>
  <c r="U11" i="42"/>
  <c r="V11" i="42"/>
  <c r="W11" i="42"/>
  <c r="X11" i="42"/>
  <c r="Y11" i="42"/>
  <c r="Z11" i="42"/>
  <c r="AA11" i="42"/>
  <c r="AB11" i="42"/>
  <c r="AC11" i="42"/>
  <c r="AD11" i="42"/>
  <c r="AE11" i="42"/>
  <c r="AF11" i="42"/>
  <c r="AG11" i="42"/>
  <c r="D12" i="42"/>
  <c r="E12" i="42"/>
  <c r="F12" i="42"/>
  <c r="G12" i="42"/>
  <c r="H12" i="42"/>
  <c r="I12" i="42"/>
  <c r="J12" i="42"/>
  <c r="K12" i="42"/>
  <c r="L12" i="42"/>
  <c r="M12" i="42"/>
  <c r="N12" i="42"/>
  <c r="O12" i="42"/>
  <c r="P12" i="42"/>
  <c r="Q12" i="42"/>
  <c r="R12" i="42"/>
  <c r="S12" i="42"/>
  <c r="T12" i="42"/>
  <c r="U12" i="42"/>
  <c r="V12" i="42"/>
  <c r="W12" i="42"/>
  <c r="X12" i="42"/>
  <c r="Y12" i="42"/>
  <c r="Z12" i="42"/>
  <c r="AA12" i="42"/>
  <c r="AS12" i="42" s="1"/>
  <c r="AB12" i="42"/>
  <c r="AC12" i="42"/>
  <c r="AD12" i="42"/>
  <c r="AE12" i="42"/>
  <c r="AF12" i="42"/>
  <c r="AG12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R13" i="42"/>
  <c r="S13" i="42"/>
  <c r="T13" i="42"/>
  <c r="U13" i="42"/>
  <c r="V13" i="42"/>
  <c r="W13" i="42"/>
  <c r="X13" i="42"/>
  <c r="Y13" i="42"/>
  <c r="Z13" i="42"/>
  <c r="AA13" i="42"/>
  <c r="AB13" i="42"/>
  <c r="AC13" i="42"/>
  <c r="AD13" i="42"/>
  <c r="AE13" i="42"/>
  <c r="AF13" i="42"/>
  <c r="AG13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R14" i="42"/>
  <c r="S14" i="42"/>
  <c r="T14" i="42"/>
  <c r="U14" i="42"/>
  <c r="V14" i="42"/>
  <c r="W14" i="42"/>
  <c r="X14" i="42"/>
  <c r="Y14" i="42"/>
  <c r="Z14" i="42"/>
  <c r="AA14" i="42"/>
  <c r="AB14" i="42"/>
  <c r="AC14" i="42"/>
  <c r="AD14" i="42"/>
  <c r="AE14" i="42"/>
  <c r="AF14" i="42"/>
  <c r="AG14" i="42"/>
  <c r="D15" i="42"/>
  <c r="E15" i="42"/>
  <c r="F15" i="42"/>
  <c r="G15" i="42"/>
  <c r="H15" i="42"/>
  <c r="I15" i="42"/>
  <c r="J15" i="42"/>
  <c r="K15" i="42"/>
  <c r="L15" i="42"/>
  <c r="M15" i="42"/>
  <c r="N15" i="42"/>
  <c r="O15" i="42"/>
  <c r="P15" i="42"/>
  <c r="Q15" i="42"/>
  <c r="R15" i="42"/>
  <c r="S15" i="42"/>
  <c r="T15" i="42"/>
  <c r="U15" i="42"/>
  <c r="V15" i="42"/>
  <c r="W15" i="42"/>
  <c r="X15" i="42"/>
  <c r="Y15" i="42"/>
  <c r="Z15" i="42"/>
  <c r="AA15" i="42"/>
  <c r="AB15" i="42"/>
  <c r="AC15" i="42"/>
  <c r="AD15" i="42"/>
  <c r="AE15" i="42"/>
  <c r="AF15" i="42"/>
  <c r="AG15" i="42"/>
  <c r="D16" i="42"/>
  <c r="E16" i="42"/>
  <c r="F16" i="42"/>
  <c r="G16" i="42"/>
  <c r="H16" i="42"/>
  <c r="I16" i="42"/>
  <c r="J16" i="42"/>
  <c r="K16" i="42"/>
  <c r="L16" i="42"/>
  <c r="M16" i="42"/>
  <c r="N16" i="42"/>
  <c r="O16" i="42"/>
  <c r="P16" i="42"/>
  <c r="Q16" i="42"/>
  <c r="R16" i="42"/>
  <c r="S16" i="42"/>
  <c r="T16" i="42"/>
  <c r="U16" i="42"/>
  <c r="V16" i="42"/>
  <c r="W16" i="42"/>
  <c r="X16" i="42"/>
  <c r="Y16" i="42"/>
  <c r="Z16" i="42"/>
  <c r="AA16" i="42"/>
  <c r="AS16" i="42" s="1"/>
  <c r="AB16" i="42"/>
  <c r="AC16" i="42"/>
  <c r="AD16" i="42"/>
  <c r="AE16" i="42"/>
  <c r="AF16" i="42"/>
  <c r="AG16" i="42"/>
  <c r="D17" i="42"/>
  <c r="E17" i="42"/>
  <c r="F17" i="42"/>
  <c r="G17" i="42"/>
  <c r="H17" i="42"/>
  <c r="I17" i="42"/>
  <c r="J17" i="42"/>
  <c r="K17" i="42"/>
  <c r="L17" i="42"/>
  <c r="M17" i="42"/>
  <c r="N17" i="42"/>
  <c r="O17" i="42"/>
  <c r="P17" i="42"/>
  <c r="Q17" i="42"/>
  <c r="R17" i="42"/>
  <c r="S17" i="42"/>
  <c r="T17" i="42"/>
  <c r="U17" i="42"/>
  <c r="V17" i="42"/>
  <c r="W17" i="42"/>
  <c r="X17" i="42"/>
  <c r="Y17" i="42"/>
  <c r="Z17" i="42"/>
  <c r="AA17" i="42"/>
  <c r="AB17" i="42"/>
  <c r="AC17" i="42"/>
  <c r="AD17" i="42"/>
  <c r="AE17" i="42"/>
  <c r="AF17" i="42"/>
  <c r="AG17" i="42"/>
  <c r="D18" i="42"/>
  <c r="E18" i="42"/>
  <c r="F18" i="42"/>
  <c r="G18" i="42"/>
  <c r="H18" i="42"/>
  <c r="I18" i="42"/>
  <c r="J18" i="42"/>
  <c r="K18" i="42"/>
  <c r="L18" i="42"/>
  <c r="M18" i="42"/>
  <c r="N18" i="42"/>
  <c r="O18" i="42"/>
  <c r="P18" i="42"/>
  <c r="Q18" i="42"/>
  <c r="R18" i="42"/>
  <c r="S18" i="42"/>
  <c r="T18" i="42"/>
  <c r="U18" i="42"/>
  <c r="V18" i="42"/>
  <c r="W18" i="42"/>
  <c r="X18" i="42"/>
  <c r="Y18" i="42"/>
  <c r="Z18" i="42"/>
  <c r="AA18" i="42"/>
  <c r="AB18" i="42"/>
  <c r="AC18" i="42"/>
  <c r="AD18" i="42"/>
  <c r="AE18" i="42"/>
  <c r="AF18" i="42"/>
  <c r="AG18" i="42"/>
  <c r="D19" i="42"/>
  <c r="E19" i="42"/>
  <c r="F19" i="42"/>
  <c r="G19" i="42"/>
  <c r="H19" i="42"/>
  <c r="I19" i="42"/>
  <c r="J19" i="42"/>
  <c r="K19" i="42"/>
  <c r="L19" i="42"/>
  <c r="M19" i="42"/>
  <c r="N19" i="42"/>
  <c r="O19" i="42"/>
  <c r="P19" i="42"/>
  <c r="Q19" i="42"/>
  <c r="R19" i="42"/>
  <c r="S19" i="42"/>
  <c r="T19" i="42"/>
  <c r="U19" i="42"/>
  <c r="V19" i="42"/>
  <c r="W19" i="42"/>
  <c r="X19" i="42"/>
  <c r="Y19" i="42"/>
  <c r="Z19" i="42"/>
  <c r="AA19" i="42"/>
  <c r="AB19" i="42"/>
  <c r="AC19" i="42"/>
  <c r="AD19" i="42"/>
  <c r="AE19" i="42"/>
  <c r="AF19" i="42"/>
  <c r="AG19" i="42"/>
  <c r="D20" i="42"/>
  <c r="E20" i="42"/>
  <c r="F20" i="42"/>
  <c r="G20" i="42"/>
  <c r="H20" i="42"/>
  <c r="I20" i="42"/>
  <c r="J20" i="42"/>
  <c r="K20" i="42"/>
  <c r="L20" i="42"/>
  <c r="M20" i="42"/>
  <c r="N20" i="42"/>
  <c r="O20" i="42"/>
  <c r="P20" i="42"/>
  <c r="Q20" i="42"/>
  <c r="R20" i="42"/>
  <c r="S20" i="42"/>
  <c r="T20" i="42"/>
  <c r="U20" i="42"/>
  <c r="V20" i="42"/>
  <c r="W20" i="42"/>
  <c r="X20" i="42"/>
  <c r="Y20" i="42"/>
  <c r="Z20" i="42"/>
  <c r="AA20" i="42"/>
  <c r="AS20" i="42" s="1"/>
  <c r="AB20" i="42"/>
  <c r="AC20" i="42"/>
  <c r="AD20" i="42"/>
  <c r="AE20" i="42"/>
  <c r="AF20" i="42"/>
  <c r="AG20" i="42"/>
  <c r="D21" i="42"/>
  <c r="E21" i="42"/>
  <c r="F21" i="42"/>
  <c r="G21" i="42"/>
  <c r="H21" i="42"/>
  <c r="I21" i="42"/>
  <c r="J21" i="42"/>
  <c r="K21" i="42"/>
  <c r="L21" i="42"/>
  <c r="M21" i="42"/>
  <c r="N21" i="42"/>
  <c r="O21" i="42"/>
  <c r="P21" i="42"/>
  <c r="Q21" i="42"/>
  <c r="R21" i="42"/>
  <c r="S21" i="42"/>
  <c r="T21" i="42"/>
  <c r="U21" i="42"/>
  <c r="V21" i="42"/>
  <c r="W21" i="42"/>
  <c r="X21" i="42"/>
  <c r="Y21" i="42"/>
  <c r="Z21" i="42"/>
  <c r="AA21" i="42"/>
  <c r="AB21" i="42"/>
  <c r="AC21" i="42"/>
  <c r="AD21" i="42"/>
  <c r="AE21" i="42"/>
  <c r="AF21" i="42"/>
  <c r="AG21" i="42"/>
  <c r="D22" i="42"/>
  <c r="E22" i="42"/>
  <c r="F22" i="42"/>
  <c r="G22" i="42"/>
  <c r="H22" i="42"/>
  <c r="I22" i="42"/>
  <c r="J22" i="42"/>
  <c r="K22" i="42"/>
  <c r="L22" i="42"/>
  <c r="M22" i="42"/>
  <c r="N22" i="42"/>
  <c r="O22" i="42"/>
  <c r="P22" i="42"/>
  <c r="Q22" i="42"/>
  <c r="R22" i="42"/>
  <c r="S22" i="42"/>
  <c r="T22" i="42"/>
  <c r="U22" i="42"/>
  <c r="V22" i="42"/>
  <c r="W22" i="42"/>
  <c r="X22" i="42"/>
  <c r="Y22" i="42"/>
  <c r="Z22" i="42"/>
  <c r="AA22" i="42"/>
  <c r="AB22" i="42"/>
  <c r="AC22" i="42"/>
  <c r="AD22" i="42"/>
  <c r="AE22" i="42"/>
  <c r="AF22" i="42"/>
  <c r="AG22" i="42"/>
  <c r="D23" i="42"/>
  <c r="E23" i="42"/>
  <c r="F23" i="42"/>
  <c r="G23" i="42"/>
  <c r="H23" i="42"/>
  <c r="I23" i="42"/>
  <c r="J23" i="42"/>
  <c r="K23" i="42"/>
  <c r="L23" i="42"/>
  <c r="M23" i="42"/>
  <c r="N23" i="42"/>
  <c r="O23" i="42"/>
  <c r="P23" i="42"/>
  <c r="Q23" i="42"/>
  <c r="R23" i="42"/>
  <c r="S23" i="42"/>
  <c r="T23" i="42"/>
  <c r="U23" i="42"/>
  <c r="V23" i="42"/>
  <c r="W23" i="42"/>
  <c r="X23" i="42"/>
  <c r="Y23" i="42"/>
  <c r="Z23" i="42"/>
  <c r="AA23" i="42"/>
  <c r="AB23" i="42"/>
  <c r="AC23" i="42"/>
  <c r="AD23" i="42"/>
  <c r="AE23" i="42"/>
  <c r="AF23" i="42"/>
  <c r="AG23" i="42"/>
  <c r="D24" i="42"/>
  <c r="E24" i="42"/>
  <c r="F24" i="42"/>
  <c r="G24" i="42"/>
  <c r="H24" i="42"/>
  <c r="I24" i="42"/>
  <c r="J24" i="42"/>
  <c r="K24" i="42"/>
  <c r="L24" i="42"/>
  <c r="M24" i="42"/>
  <c r="N24" i="42"/>
  <c r="O24" i="42"/>
  <c r="P24" i="42"/>
  <c r="Q24" i="42"/>
  <c r="R24" i="42"/>
  <c r="S24" i="42"/>
  <c r="T24" i="42"/>
  <c r="U24" i="42"/>
  <c r="V24" i="42"/>
  <c r="W24" i="42"/>
  <c r="X24" i="42"/>
  <c r="Y24" i="42"/>
  <c r="Z24" i="42"/>
  <c r="AA24" i="42"/>
  <c r="AS24" i="42" s="1"/>
  <c r="AB24" i="42"/>
  <c r="AC24" i="42"/>
  <c r="AD24" i="42"/>
  <c r="AE24" i="42"/>
  <c r="AF24" i="42"/>
  <c r="AG24" i="42"/>
  <c r="D25" i="42"/>
  <c r="E25" i="42"/>
  <c r="F25" i="42"/>
  <c r="G25" i="42"/>
  <c r="H25" i="42"/>
  <c r="I25" i="42"/>
  <c r="J25" i="42"/>
  <c r="K25" i="42"/>
  <c r="L25" i="42"/>
  <c r="M25" i="42"/>
  <c r="N25" i="42"/>
  <c r="O25" i="42"/>
  <c r="P25" i="42"/>
  <c r="Q25" i="42"/>
  <c r="R25" i="42"/>
  <c r="S25" i="42"/>
  <c r="T25" i="42"/>
  <c r="U25" i="42"/>
  <c r="V25" i="42"/>
  <c r="W25" i="42"/>
  <c r="X25" i="42"/>
  <c r="Y25" i="42"/>
  <c r="Z25" i="42"/>
  <c r="AA25" i="42"/>
  <c r="AB25" i="42"/>
  <c r="AC25" i="42"/>
  <c r="AD25" i="42"/>
  <c r="AE25" i="42"/>
  <c r="AF25" i="42"/>
  <c r="AG25" i="42"/>
  <c r="D26" i="42"/>
  <c r="E26" i="42"/>
  <c r="F26" i="42"/>
  <c r="G26" i="42"/>
  <c r="H26" i="42"/>
  <c r="I26" i="42"/>
  <c r="J26" i="42"/>
  <c r="K26" i="42"/>
  <c r="L26" i="42"/>
  <c r="M26" i="42"/>
  <c r="N26" i="42"/>
  <c r="O26" i="42"/>
  <c r="P26" i="42"/>
  <c r="Q26" i="42"/>
  <c r="R26" i="42"/>
  <c r="S26" i="42"/>
  <c r="T26" i="42"/>
  <c r="U26" i="42"/>
  <c r="V26" i="42"/>
  <c r="W26" i="42"/>
  <c r="X26" i="42"/>
  <c r="Y26" i="42"/>
  <c r="Z26" i="42"/>
  <c r="AA26" i="42"/>
  <c r="AB26" i="42"/>
  <c r="AC26" i="42"/>
  <c r="AD26" i="42"/>
  <c r="AE26" i="42"/>
  <c r="AF26" i="42"/>
  <c r="AG26" i="42"/>
  <c r="D27" i="42"/>
  <c r="E27" i="42"/>
  <c r="F27" i="42"/>
  <c r="G27" i="42"/>
  <c r="H27" i="42"/>
  <c r="I27" i="42"/>
  <c r="J27" i="42"/>
  <c r="K27" i="42"/>
  <c r="L27" i="42"/>
  <c r="M27" i="42"/>
  <c r="N27" i="42"/>
  <c r="O27" i="42"/>
  <c r="P27" i="42"/>
  <c r="Q27" i="42"/>
  <c r="R27" i="42"/>
  <c r="S27" i="42"/>
  <c r="T27" i="42"/>
  <c r="U27" i="42"/>
  <c r="V27" i="42"/>
  <c r="W27" i="42"/>
  <c r="X27" i="42"/>
  <c r="Y27" i="42"/>
  <c r="Z27" i="42"/>
  <c r="AA27" i="42"/>
  <c r="AB27" i="42"/>
  <c r="AC27" i="42"/>
  <c r="AD27" i="42"/>
  <c r="AE27" i="42"/>
  <c r="AF27" i="42"/>
  <c r="AG27" i="42"/>
  <c r="D28" i="42"/>
  <c r="E28" i="42"/>
  <c r="F28" i="42"/>
  <c r="G28" i="42"/>
  <c r="H28" i="42"/>
  <c r="I28" i="42"/>
  <c r="J28" i="42"/>
  <c r="K28" i="42"/>
  <c r="L28" i="42"/>
  <c r="M28" i="42"/>
  <c r="N28" i="42"/>
  <c r="O28" i="42"/>
  <c r="P28" i="42"/>
  <c r="Q28" i="42"/>
  <c r="R28" i="42"/>
  <c r="S28" i="42"/>
  <c r="T28" i="42"/>
  <c r="U28" i="42"/>
  <c r="V28" i="42"/>
  <c r="W28" i="42"/>
  <c r="X28" i="42"/>
  <c r="Y28" i="42"/>
  <c r="Z28" i="42"/>
  <c r="AA28" i="42"/>
  <c r="AS28" i="42" s="1"/>
  <c r="AB28" i="42"/>
  <c r="AC28" i="42"/>
  <c r="AD28" i="42"/>
  <c r="AE28" i="42"/>
  <c r="AF28" i="42"/>
  <c r="AG28" i="42"/>
  <c r="D29" i="42"/>
  <c r="E29" i="42"/>
  <c r="F29" i="42"/>
  <c r="G29" i="42"/>
  <c r="H29" i="42"/>
  <c r="I29" i="42"/>
  <c r="J29" i="42"/>
  <c r="K29" i="42"/>
  <c r="L29" i="42"/>
  <c r="M29" i="42"/>
  <c r="N29" i="42"/>
  <c r="O29" i="42"/>
  <c r="P29" i="42"/>
  <c r="Q29" i="42"/>
  <c r="R29" i="42"/>
  <c r="S29" i="42"/>
  <c r="T29" i="42"/>
  <c r="U29" i="42"/>
  <c r="V29" i="42"/>
  <c r="W29" i="42"/>
  <c r="X29" i="42"/>
  <c r="Y29" i="42"/>
  <c r="Z29" i="42"/>
  <c r="AA29" i="42"/>
  <c r="AB29" i="42"/>
  <c r="AC29" i="42"/>
  <c r="AD29" i="42"/>
  <c r="AE29" i="42"/>
  <c r="AF29" i="42"/>
  <c r="AG29" i="42"/>
  <c r="D30" i="42"/>
  <c r="E30" i="42"/>
  <c r="F30" i="42"/>
  <c r="G30" i="42"/>
  <c r="H30" i="42"/>
  <c r="I30" i="42"/>
  <c r="J30" i="42"/>
  <c r="K30" i="42"/>
  <c r="L30" i="42"/>
  <c r="M30" i="42"/>
  <c r="N30" i="42"/>
  <c r="O30" i="42"/>
  <c r="P30" i="42"/>
  <c r="Q30" i="42"/>
  <c r="R30" i="42"/>
  <c r="S30" i="42"/>
  <c r="T30" i="42"/>
  <c r="U30" i="42"/>
  <c r="V30" i="42"/>
  <c r="W30" i="42"/>
  <c r="X30" i="42"/>
  <c r="Y30" i="42"/>
  <c r="Z30" i="42"/>
  <c r="AA30" i="42"/>
  <c r="AB30" i="42"/>
  <c r="AC30" i="42"/>
  <c r="AD30" i="42"/>
  <c r="AE30" i="42"/>
  <c r="AF30" i="42"/>
  <c r="AG30" i="42"/>
  <c r="D31" i="42"/>
  <c r="E31" i="42"/>
  <c r="F31" i="42"/>
  <c r="G31" i="42"/>
  <c r="H31" i="42"/>
  <c r="I31" i="42"/>
  <c r="J31" i="42"/>
  <c r="K31" i="42"/>
  <c r="L31" i="42"/>
  <c r="M31" i="42"/>
  <c r="N31" i="42"/>
  <c r="O31" i="42"/>
  <c r="P31" i="42"/>
  <c r="Q31" i="42"/>
  <c r="R31" i="42"/>
  <c r="S31" i="42"/>
  <c r="T31" i="42"/>
  <c r="U31" i="42"/>
  <c r="V31" i="42"/>
  <c r="W31" i="42"/>
  <c r="X31" i="42"/>
  <c r="Y31" i="42"/>
  <c r="Z31" i="42"/>
  <c r="AA31" i="42"/>
  <c r="AB31" i="42"/>
  <c r="AC31" i="42"/>
  <c r="AD31" i="42"/>
  <c r="AE31" i="42"/>
  <c r="AF31" i="42"/>
  <c r="AG31" i="42"/>
  <c r="D32" i="42"/>
  <c r="E32" i="42"/>
  <c r="F32" i="42"/>
  <c r="G32" i="42"/>
  <c r="H32" i="42"/>
  <c r="I32" i="42"/>
  <c r="J32" i="42"/>
  <c r="K32" i="42"/>
  <c r="L32" i="42"/>
  <c r="M32" i="42"/>
  <c r="N32" i="42"/>
  <c r="O32" i="42"/>
  <c r="P32" i="42"/>
  <c r="Q32" i="42"/>
  <c r="R32" i="42"/>
  <c r="S32" i="42"/>
  <c r="T32" i="42"/>
  <c r="U32" i="42"/>
  <c r="V32" i="42"/>
  <c r="W32" i="42"/>
  <c r="X32" i="42"/>
  <c r="Y32" i="42"/>
  <c r="Z32" i="42"/>
  <c r="AA32" i="42"/>
  <c r="AS32" i="42" s="1"/>
  <c r="AB32" i="42"/>
  <c r="AC32" i="42"/>
  <c r="AD32" i="42"/>
  <c r="AE32" i="42"/>
  <c r="AF32" i="42"/>
  <c r="AG32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R33" i="42"/>
  <c r="S33" i="42"/>
  <c r="T33" i="42"/>
  <c r="U33" i="42"/>
  <c r="V33" i="42"/>
  <c r="W33" i="42"/>
  <c r="X33" i="42"/>
  <c r="Y33" i="42"/>
  <c r="Z33" i="42"/>
  <c r="AA33" i="42"/>
  <c r="AB33" i="42"/>
  <c r="AC33" i="42"/>
  <c r="AD33" i="42"/>
  <c r="AE33" i="42"/>
  <c r="AF33" i="42"/>
  <c r="AG33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R34" i="42"/>
  <c r="S34" i="42"/>
  <c r="T34" i="42"/>
  <c r="U34" i="42"/>
  <c r="V34" i="42"/>
  <c r="W34" i="42"/>
  <c r="X34" i="42"/>
  <c r="Y34" i="42"/>
  <c r="Z34" i="42"/>
  <c r="AA34" i="42"/>
  <c r="AB34" i="42"/>
  <c r="AC34" i="42"/>
  <c r="AD34" i="42"/>
  <c r="AE34" i="42"/>
  <c r="AF34" i="42"/>
  <c r="AG34" i="42"/>
  <c r="D35" i="42"/>
  <c r="E35" i="42"/>
  <c r="F35" i="42"/>
  <c r="G35" i="42"/>
  <c r="H35" i="42"/>
  <c r="I35" i="42"/>
  <c r="J35" i="42"/>
  <c r="K35" i="42"/>
  <c r="L35" i="42"/>
  <c r="M35" i="42"/>
  <c r="N35" i="42"/>
  <c r="O35" i="42"/>
  <c r="P35" i="42"/>
  <c r="Q35" i="42"/>
  <c r="R35" i="42"/>
  <c r="S35" i="42"/>
  <c r="T35" i="42"/>
  <c r="U35" i="42"/>
  <c r="V35" i="42"/>
  <c r="W35" i="42"/>
  <c r="X35" i="42"/>
  <c r="Y35" i="42"/>
  <c r="Z35" i="42"/>
  <c r="AA35" i="42"/>
  <c r="AB35" i="42"/>
  <c r="AC35" i="42"/>
  <c r="AD35" i="42"/>
  <c r="AE35" i="42"/>
  <c r="AF35" i="42"/>
  <c r="AG35" i="42"/>
  <c r="D36" i="42"/>
  <c r="E36" i="42"/>
  <c r="F36" i="42"/>
  <c r="G36" i="42"/>
  <c r="H36" i="42"/>
  <c r="I36" i="42"/>
  <c r="J36" i="42"/>
  <c r="K36" i="42"/>
  <c r="L36" i="42"/>
  <c r="M36" i="42"/>
  <c r="N36" i="42"/>
  <c r="O36" i="42"/>
  <c r="P36" i="42"/>
  <c r="Q36" i="42"/>
  <c r="R36" i="42"/>
  <c r="S36" i="42"/>
  <c r="T36" i="42"/>
  <c r="U36" i="42"/>
  <c r="V36" i="42"/>
  <c r="W36" i="42"/>
  <c r="X36" i="42"/>
  <c r="Y36" i="42"/>
  <c r="Z36" i="42"/>
  <c r="AA36" i="42"/>
  <c r="AS36" i="42" s="1"/>
  <c r="AB36" i="42"/>
  <c r="AC36" i="42"/>
  <c r="AD36" i="42"/>
  <c r="AE36" i="42"/>
  <c r="AF36" i="42"/>
  <c r="AG36" i="42"/>
  <c r="D37" i="42"/>
  <c r="E37" i="42"/>
  <c r="F37" i="42"/>
  <c r="G37" i="42"/>
  <c r="H37" i="42"/>
  <c r="I37" i="42"/>
  <c r="J37" i="42"/>
  <c r="K37" i="42"/>
  <c r="L37" i="42"/>
  <c r="M37" i="42"/>
  <c r="N37" i="42"/>
  <c r="O37" i="42"/>
  <c r="P37" i="42"/>
  <c r="Q37" i="42"/>
  <c r="R37" i="42"/>
  <c r="S37" i="42"/>
  <c r="T37" i="42"/>
  <c r="U37" i="42"/>
  <c r="V37" i="42"/>
  <c r="W37" i="42"/>
  <c r="X37" i="42"/>
  <c r="Y37" i="42"/>
  <c r="Z37" i="42"/>
  <c r="AA37" i="42"/>
  <c r="AB37" i="42"/>
  <c r="AC37" i="42"/>
  <c r="AD37" i="42"/>
  <c r="AE37" i="42"/>
  <c r="AF37" i="42"/>
  <c r="AG37" i="42"/>
  <c r="D38" i="42"/>
  <c r="E38" i="42"/>
  <c r="F38" i="42"/>
  <c r="G38" i="42"/>
  <c r="H38" i="42"/>
  <c r="I38" i="42"/>
  <c r="J38" i="42"/>
  <c r="K38" i="42"/>
  <c r="L38" i="42"/>
  <c r="M38" i="42"/>
  <c r="N38" i="42"/>
  <c r="O38" i="42"/>
  <c r="P38" i="42"/>
  <c r="Q38" i="42"/>
  <c r="R38" i="42"/>
  <c r="S38" i="42"/>
  <c r="T38" i="42"/>
  <c r="U38" i="42"/>
  <c r="V38" i="42"/>
  <c r="W38" i="42"/>
  <c r="X38" i="42"/>
  <c r="Y38" i="42"/>
  <c r="Z38" i="42"/>
  <c r="AA38" i="42"/>
  <c r="AB38" i="42"/>
  <c r="AC38" i="42"/>
  <c r="AD38" i="42"/>
  <c r="AE38" i="42"/>
  <c r="AF38" i="42"/>
  <c r="AG38" i="42"/>
  <c r="D39" i="42"/>
  <c r="E39" i="42"/>
  <c r="F39" i="42"/>
  <c r="G39" i="42"/>
  <c r="H39" i="42"/>
  <c r="I39" i="42"/>
  <c r="J39" i="42"/>
  <c r="K39" i="42"/>
  <c r="L39" i="42"/>
  <c r="M39" i="42"/>
  <c r="N39" i="42"/>
  <c r="O39" i="42"/>
  <c r="P39" i="42"/>
  <c r="Q39" i="42"/>
  <c r="R39" i="42"/>
  <c r="S39" i="42"/>
  <c r="T39" i="42"/>
  <c r="U39" i="42"/>
  <c r="V39" i="42"/>
  <c r="W39" i="42"/>
  <c r="X39" i="42"/>
  <c r="Y39" i="42"/>
  <c r="Z39" i="42"/>
  <c r="AA39" i="42"/>
  <c r="AB39" i="42"/>
  <c r="AC39" i="42"/>
  <c r="AD39" i="42"/>
  <c r="AE39" i="42"/>
  <c r="AF39" i="42"/>
  <c r="AG39" i="42"/>
  <c r="D40" i="42"/>
  <c r="E40" i="42"/>
  <c r="F40" i="42"/>
  <c r="G40" i="42"/>
  <c r="H40" i="42"/>
  <c r="I40" i="42"/>
  <c r="J40" i="42"/>
  <c r="K40" i="42"/>
  <c r="L40" i="42"/>
  <c r="M40" i="42"/>
  <c r="N40" i="42"/>
  <c r="O40" i="42"/>
  <c r="P40" i="42"/>
  <c r="Q40" i="42"/>
  <c r="R40" i="42"/>
  <c r="S40" i="42"/>
  <c r="T40" i="42"/>
  <c r="U40" i="42"/>
  <c r="V40" i="42"/>
  <c r="W40" i="42"/>
  <c r="X40" i="42"/>
  <c r="Y40" i="42"/>
  <c r="Z40" i="42"/>
  <c r="AA40" i="42"/>
  <c r="AS40" i="42" s="1"/>
  <c r="AB40" i="42"/>
  <c r="AC40" i="42"/>
  <c r="AD40" i="42"/>
  <c r="AE40" i="42"/>
  <c r="AF40" i="42"/>
  <c r="AG40" i="42"/>
  <c r="D41" i="42"/>
  <c r="E41" i="42"/>
  <c r="F41" i="42"/>
  <c r="G41" i="42"/>
  <c r="H41" i="42"/>
  <c r="I41" i="42"/>
  <c r="J41" i="42"/>
  <c r="K41" i="42"/>
  <c r="L41" i="42"/>
  <c r="M41" i="42"/>
  <c r="N41" i="42"/>
  <c r="O41" i="42"/>
  <c r="P41" i="42"/>
  <c r="Q41" i="42"/>
  <c r="R41" i="42"/>
  <c r="S41" i="42"/>
  <c r="T41" i="42"/>
  <c r="U41" i="42"/>
  <c r="V41" i="42"/>
  <c r="W41" i="42"/>
  <c r="X41" i="42"/>
  <c r="Y41" i="42"/>
  <c r="Z41" i="42"/>
  <c r="AA41" i="42"/>
  <c r="AB41" i="42"/>
  <c r="AC41" i="42"/>
  <c r="AD41" i="42"/>
  <c r="AE41" i="42"/>
  <c r="AF41" i="42"/>
  <c r="AG41" i="42"/>
  <c r="D42" i="42"/>
  <c r="E42" i="42"/>
  <c r="F42" i="42"/>
  <c r="G42" i="42"/>
  <c r="H42" i="42"/>
  <c r="I42" i="42"/>
  <c r="J42" i="42"/>
  <c r="K42" i="42"/>
  <c r="L42" i="42"/>
  <c r="M42" i="42"/>
  <c r="N42" i="42"/>
  <c r="O42" i="42"/>
  <c r="P42" i="42"/>
  <c r="Q42" i="42"/>
  <c r="R42" i="42"/>
  <c r="S42" i="42"/>
  <c r="T42" i="42"/>
  <c r="U42" i="42"/>
  <c r="V42" i="42"/>
  <c r="W42" i="42"/>
  <c r="X42" i="42"/>
  <c r="Y42" i="42"/>
  <c r="Z42" i="42"/>
  <c r="AA42" i="42"/>
  <c r="AB42" i="42"/>
  <c r="AC42" i="42"/>
  <c r="AD42" i="42"/>
  <c r="AE42" i="42"/>
  <c r="AF42" i="42"/>
  <c r="AG42" i="42"/>
  <c r="D43" i="42"/>
  <c r="E43" i="42"/>
  <c r="F43" i="42"/>
  <c r="G43" i="42"/>
  <c r="H43" i="42"/>
  <c r="I43" i="42"/>
  <c r="J43" i="42"/>
  <c r="K43" i="42"/>
  <c r="L43" i="42"/>
  <c r="M43" i="42"/>
  <c r="N43" i="42"/>
  <c r="O43" i="42"/>
  <c r="P43" i="42"/>
  <c r="Q43" i="42"/>
  <c r="R43" i="42"/>
  <c r="S43" i="42"/>
  <c r="T43" i="42"/>
  <c r="U43" i="42"/>
  <c r="V43" i="42"/>
  <c r="W43" i="42"/>
  <c r="X43" i="42"/>
  <c r="Y43" i="42"/>
  <c r="Z43" i="42"/>
  <c r="AA43" i="42"/>
  <c r="AB43" i="42"/>
  <c r="AC43" i="42"/>
  <c r="AD43" i="42"/>
  <c r="AE43" i="42"/>
  <c r="AF43" i="42"/>
  <c r="AG43" i="42"/>
  <c r="D44" i="42"/>
  <c r="E44" i="42"/>
  <c r="F44" i="42"/>
  <c r="G44" i="42"/>
  <c r="H44" i="42"/>
  <c r="I44" i="42"/>
  <c r="J44" i="42"/>
  <c r="K44" i="42"/>
  <c r="L44" i="42"/>
  <c r="M44" i="42"/>
  <c r="N44" i="42"/>
  <c r="O44" i="42"/>
  <c r="P44" i="42"/>
  <c r="Q44" i="42"/>
  <c r="R44" i="42"/>
  <c r="S44" i="42"/>
  <c r="T44" i="42"/>
  <c r="U44" i="42"/>
  <c r="V44" i="42"/>
  <c r="W44" i="42"/>
  <c r="X44" i="42"/>
  <c r="Y44" i="42"/>
  <c r="Z44" i="42"/>
  <c r="AA44" i="42"/>
  <c r="AS44" i="42" s="1"/>
  <c r="AB44" i="42"/>
  <c r="AC44" i="42"/>
  <c r="AD44" i="42"/>
  <c r="AE44" i="42"/>
  <c r="AF44" i="42"/>
  <c r="AG44" i="42"/>
  <c r="D45" i="42"/>
  <c r="E45" i="42"/>
  <c r="F45" i="42"/>
  <c r="G45" i="42"/>
  <c r="H45" i="42"/>
  <c r="I45" i="42"/>
  <c r="J45" i="42"/>
  <c r="K45" i="42"/>
  <c r="L45" i="42"/>
  <c r="M45" i="42"/>
  <c r="N45" i="42"/>
  <c r="O45" i="42"/>
  <c r="P45" i="42"/>
  <c r="Q45" i="42"/>
  <c r="R45" i="42"/>
  <c r="S45" i="42"/>
  <c r="T45" i="42"/>
  <c r="U45" i="42"/>
  <c r="V45" i="42"/>
  <c r="W45" i="42"/>
  <c r="X45" i="42"/>
  <c r="Y45" i="42"/>
  <c r="Z45" i="42"/>
  <c r="AA45" i="42"/>
  <c r="AB45" i="42"/>
  <c r="AC45" i="42"/>
  <c r="AD45" i="42"/>
  <c r="AE45" i="42"/>
  <c r="AF45" i="42"/>
  <c r="AG45" i="42"/>
  <c r="D46" i="42"/>
  <c r="E46" i="42"/>
  <c r="F46" i="42"/>
  <c r="G46" i="42"/>
  <c r="H46" i="42"/>
  <c r="I46" i="42"/>
  <c r="J46" i="42"/>
  <c r="K46" i="42"/>
  <c r="L46" i="42"/>
  <c r="M46" i="42"/>
  <c r="N46" i="42"/>
  <c r="O46" i="42"/>
  <c r="P46" i="42"/>
  <c r="Q46" i="42"/>
  <c r="R46" i="42"/>
  <c r="S46" i="42"/>
  <c r="T46" i="42"/>
  <c r="U46" i="42"/>
  <c r="V46" i="42"/>
  <c r="W46" i="42"/>
  <c r="X46" i="42"/>
  <c r="Y46" i="42"/>
  <c r="Z46" i="42"/>
  <c r="AA46" i="42"/>
  <c r="AB46" i="42"/>
  <c r="AC46" i="42"/>
  <c r="AD46" i="42"/>
  <c r="AE46" i="42"/>
  <c r="AF46" i="42"/>
  <c r="AG46" i="42"/>
  <c r="D47" i="42"/>
  <c r="E47" i="42"/>
  <c r="F47" i="42"/>
  <c r="G47" i="42"/>
  <c r="H47" i="42"/>
  <c r="I47" i="42"/>
  <c r="J47" i="42"/>
  <c r="K47" i="42"/>
  <c r="L47" i="42"/>
  <c r="M47" i="42"/>
  <c r="N47" i="42"/>
  <c r="O47" i="42"/>
  <c r="P47" i="42"/>
  <c r="Q47" i="42"/>
  <c r="R47" i="42"/>
  <c r="S47" i="42"/>
  <c r="T47" i="42"/>
  <c r="U47" i="42"/>
  <c r="V47" i="42"/>
  <c r="W47" i="42"/>
  <c r="X47" i="42"/>
  <c r="Y47" i="42"/>
  <c r="Z47" i="42"/>
  <c r="AA47" i="42"/>
  <c r="AB47" i="42"/>
  <c r="AC47" i="42"/>
  <c r="AD47" i="42"/>
  <c r="AE47" i="42"/>
  <c r="AF47" i="42"/>
  <c r="AG47" i="42"/>
  <c r="D48" i="42"/>
  <c r="E48" i="42"/>
  <c r="F48" i="42"/>
  <c r="G48" i="42"/>
  <c r="H48" i="42"/>
  <c r="I48" i="42"/>
  <c r="J48" i="42"/>
  <c r="K48" i="42"/>
  <c r="L48" i="42"/>
  <c r="M48" i="42"/>
  <c r="N48" i="42"/>
  <c r="O48" i="42"/>
  <c r="P48" i="42"/>
  <c r="Q48" i="42"/>
  <c r="R48" i="42"/>
  <c r="S48" i="42"/>
  <c r="T48" i="42"/>
  <c r="U48" i="42"/>
  <c r="V48" i="42"/>
  <c r="W48" i="42"/>
  <c r="X48" i="42"/>
  <c r="Y48" i="42"/>
  <c r="Z48" i="42"/>
  <c r="AA48" i="42"/>
  <c r="AS48" i="42" s="1"/>
  <c r="AB48" i="42"/>
  <c r="AC48" i="42"/>
  <c r="AD48" i="42"/>
  <c r="AE48" i="42"/>
  <c r="AF48" i="42"/>
  <c r="AG48" i="42"/>
  <c r="D49" i="42"/>
  <c r="E49" i="42"/>
  <c r="F49" i="42"/>
  <c r="G49" i="42"/>
  <c r="H49" i="42"/>
  <c r="I49" i="42"/>
  <c r="J49" i="42"/>
  <c r="K49" i="42"/>
  <c r="L49" i="42"/>
  <c r="M49" i="42"/>
  <c r="N49" i="42"/>
  <c r="O49" i="42"/>
  <c r="P49" i="42"/>
  <c r="Q49" i="42"/>
  <c r="R49" i="42"/>
  <c r="S49" i="42"/>
  <c r="T49" i="42"/>
  <c r="U49" i="42"/>
  <c r="V49" i="42"/>
  <c r="W49" i="42"/>
  <c r="X49" i="42"/>
  <c r="Y49" i="42"/>
  <c r="Z49" i="42"/>
  <c r="AA49" i="42"/>
  <c r="AB49" i="42"/>
  <c r="AC49" i="42"/>
  <c r="AD49" i="42"/>
  <c r="AE49" i="42"/>
  <c r="AF49" i="42"/>
  <c r="AG49" i="42"/>
  <c r="D50" i="42"/>
  <c r="E50" i="42"/>
  <c r="F50" i="42"/>
  <c r="G50" i="42"/>
  <c r="H50" i="42"/>
  <c r="I50" i="42"/>
  <c r="J50" i="42"/>
  <c r="K50" i="42"/>
  <c r="L50" i="42"/>
  <c r="M50" i="42"/>
  <c r="N50" i="42"/>
  <c r="O50" i="42"/>
  <c r="P50" i="42"/>
  <c r="Q50" i="42"/>
  <c r="R50" i="42"/>
  <c r="S50" i="42"/>
  <c r="T50" i="42"/>
  <c r="U50" i="42"/>
  <c r="V50" i="42"/>
  <c r="W50" i="42"/>
  <c r="X50" i="42"/>
  <c r="Y50" i="42"/>
  <c r="Z50" i="42"/>
  <c r="AA50" i="42"/>
  <c r="AB50" i="42"/>
  <c r="AC50" i="42"/>
  <c r="AD50" i="42"/>
  <c r="AE50" i="42"/>
  <c r="AF50" i="42"/>
  <c r="AG50" i="42"/>
  <c r="D51" i="42"/>
  <c r="E51" i="42"/>
  <c r="F51" i="42"/>
  <c r="G51" i="42"/>
  <c r="H51" i="42"/>
  <c r="I51" i="42"/>
  <c r="J51" i="42"/>
  <c r="K51" i="42"/>
  <c r="L51" i="42"/>
  <c r="M51" i="42"/>
  <c r="N51" i="42"/>
  <c r="O51" i="42"/>
  <c r="P51" i="42"/>
  <c r="Q51" i="42"/>
  <c r="R51" i="42"/>
  <c r="S51" i="42"/>
  <c r="T51" i="42"/>
  <c r="U51" i="42"/>
  <c r="V51" i="42"/>
  <c r="W51" i="42"/>
  <c r="X51" i="42"/>
  <c r="Y51" i="42"/>
  <c r="Z51" i="42"/>
  <c r="AA51" i="42"/>
  <c r="AB51" i="42"/>
  <c r="AC51" i="42"/>
  <c r="AD51" i="42"/>
  <c r="AE51" i="42"/>
  <c r="AF51" i="42"/>
  <c r="AG51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R52" i="42"/>
  <c r="S52" i="42"/>
  <c r="T52" i="42"/>
  <c r="U52" i="42"/>
  <c r="V52" i="42"/>
  <c r="W52" i="42"/>
  <c r="X52" i="42"/>
  <c r="Y52" i="42"/>
  <c r="Z52" i="42"/>
  <c r="AA52" i="42"/>
  <c r="AB52" i="42"/>
  <c r="AC52" i="42"/>
  <c r="AD52" i="42"/>
  <c r="AE52" i="42"/>
  <c r="AF52" i="42"/>
  <c r="AG52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R53" i="42"/>
  <c r="S53" i="42"/>
  <c r="T53" i="42"/>
  <c r="U53" i="42"/>
  <c r="V53" i="42"/>
  <c r="W53" i="42"/>
  <c r="X53" i="42"/>
  <c r="Y53" i="42"/>
  <c r="Z53" i="42"/>
  <c r="AA53" i="42"/>
  <c r="AB53" i="42"/>
  <c r="AC53" i="42"/>
  <c r="AD53" i="42"/>
  <c r="AE53" i="42"/>
  <c r="AF53" i="42"/>
  <c r="AG53" i="42"/>
  <c r="D54" i="42"/>
  <c r="E54" i="42"/>
  <c r="F54" i="42"/>
  <c r="G54" i="42"/>
  <c r="H54" i="42"/>
  <c r="I54" i="42"/>
  <c r="J54" i="42"/>
  <c r="K54" i="42"/>
  <c r="L54" i="42"/>
  <c r="M54" i="42"/>
  <c r="N54" i="42"/>
  <c r="O54" i="42"/>
  <c r="P54" i="42"/>
  <c r="Q54" i="42"/>
  <c r="R54" i="42"/>
  <c r="S54" i="42"/>
  <c r="T54" i="42"/>
  <c r="U54" i="42"/>
  <c r="V54" i="42"/>
  <c r="W54" i="42"/>
  <c r="X54" i="42"/>
  <c r="Y54" i="42"/>
  <c r="Z54" i="42"/>
  <c r="AA54" i="42"/>
  <c r="AB54" i="42"/>
  <c r="AC54" i="42"/>
  <c r="AD54" i="42"/>
  <c r="AE54" i="42"/>
  <c r="AF54" i="42"/>
  <c r="AG54" i="42"/>
  <c r="E5" i="42"/>
  <c r="G5" i="42"/>
  <c r="H5" i="42"/>
  <c r="I5" i="42"/>
  <c r="J5" i="42"/>
  <c r="J55" i="42" s="1"/>
  <c r="J57" i="42" s="1"/>
  <c r="K5" i="42"/>
  <c r="L5" i="42"/>
  <c r="M5" i="42"/>
  <c r="N5" i="42"/>
  <c r="O5" i="42"/>
  <c r="P5" i="42"/>
  <c r="Q5" i="42"/>
  <c r="Q55" i="42" s="1"/>
  <c r="Q57" i="42" s="1"/>
  <c r="R5" i="42"/>
  <c r="R55" i="42" s="1"/>
  <c r="R57" i="42" s="1"/>
  <c r="S5" i="42"/>
  <c r="T5" i="42"/>
  <c r="U5" i="42"/>
  <c r="V5" i="42"/>
  <c r="W5" i="42"/>
  <c r="X5" i="42"/>
  <c r="Y5" i="42"/>
  <c r="Z5" i="42"/>
  <c r="AA5" i="42"/>
  <c r="AB5" i="42"/>
  <c r="AC5" i="42"/>
  <c r="AD5" i="42"/>
  <c r="AE5" i="42"/>
  <c r="AF5" i="42"/>
  <c r="AG5" i="42"/>
  <c r="D5" i="42"/>
  <c r="D55" i="42" s="1"/>
  <c r="AI55" i="42"/>
  <c r="AH55" i="42"/>
  <c r="AG4" i="42"/>
  <c r="AF4" i="42"/>
  <c r="AE4" i="42"/>
  <c r="AD4" i="42"/>
  <c r="E4" i="42"/>
  <c r="D4" i="42"/>
  <c r="AS3" i="42"/>
  <c r="AA3" i="42"/>
  <c r="E3" i="42"/>
  <c r="AY57" i="39"/>
  <c r="AX57" i="39"/>
  <c r="AW57" i="39"/>
  <c r="AV57" i="39"/>
  <c r="AU57" i="39"/>
  <c r="AR57" i="39"/>
  <c r="AP57" i="39"/>
  <c r="AI55" i="39"/>
  <c r="AH55" i="39"/>
  <c r="AO54" i="39"/>
  <c r="AN54" i="39"/>
  <c r="AM54" i="39"/>
  <c r="AL54" i="39"/>
  <c r="AK54" i="39"/>
  <c r="L54" i="39"/>
  <c r="AS54" i="39" s="1"/>
  <c r="AS53" i="39"/>
  <c r="AO53" i="39"/>
  <c r="AN53" i="39"/>
  <c r="AM53" i="39"/>
  <c r="AL53" i="39"/>
  <c r="AK53" i="39"/>
  <c r="L53" i="39"/>
  <c r="AS52" i="39"/>
  <c r="AO52" i="39"/>
  <c r="AN52" i="39"/>
  <c r="AM52" i="39"/>
  <c r="AL52" i="39"/>
  <c r="AK52" i="39"/>
  <c r="L52" i="39"/>
  <c r="AO51" i="39"/>
  <c r="AN51" i="39"/>
  <c r="AM51" i="39"/>
  <c r="AL51" i="39"/>
  <c r="AK51" i="39"/>
  <c r="L51" i="39"/>
  <c r="AS51" i="39" s="1"/>
  <c r="AS50" i="39"/>
  <c r="AO50" i="39"/>
  <c r="AN50" i="39"/>
  <c r="AM50" i="39"/>
  <c r="AL50" i="39"/>
  <c r="AK50" i="39"/>
  <c r="L50" i="39"/>
  <c r="AS49" i="39"/>
  <c r="AO49" i="39"/>
  <c r="AN49" i="39"/>
  <c r="AM49" i="39"/>
  <c r="AL49" i="39"/>
  <c r="AK49" i="39"/>
  <c r="L49" i="39"/>
  <c r="AS48" i="39"/>
  <c r="AO48" i="39"/>
  <c r="AN48" i="39"/>
  <c r="AM48" i="39"/>
  <c r="AL48" i="39"/>
  <c r="AK48" i="39"/>
  <c r="L48" i="39"/>
  <c r="AO47" i="39"/>
  <c r="AN47" i="39"/>
  <c r="AM47" i="39"/>
  <c r="AL47" i="39"/>
  <c r="AK47" i="39"/>
  <c r="L47" i="39"/>
  <c r="AS47" i="39" s="1"/>
  <c r="AO46" i="39"/>
  <c r="AN46" i="39"/>
  <c r="AM46" i="39"/>
  <c r="AL46" i="39"/>
  <c r="AK46" i="39"/>
  <c r="L46" i="39"/>
  <c r="AS46" i="39" s="1"/>
  <c r="AS45" i="39"/>
  <c r="AO45" i="39"/>
  <c r="AN45" i="39"/>
  <c r="AM45" i="39"/>
  <c r="AL45" i="39"/>
  <c r="AK45" i="39"/>
  <c r="L45" i="39"/>
  <c r="AO44" i="39"/>
  <c r="AN44" i="39"/>
  <c r="AM44" i="39"/>
  <c r="AL44" i="39"/>
  <c r="AK44" i="39"/>
  <c r="L44" i="39"/>
  <c r="AS44" i="39" s="1"/>
  <c r="AO43" i="39"/>
  <c r="AN43" i="39"/>
  <c r="AM43" i="39"/>
  <c r="AL43" i="39"/>
  <c r="AK43" i="39"/>
  <c r="L43" i="39"/>
  <c r="AS43" i="39" s="1"/>
  <c r="AO42" i="39"/>
  <c r="AN42" i="39"/>
  <c r="AM42" i="39"/>
  <c r="AL42" i="39"/>
  <c r="AK42" i="39"/>
  <c r="L42" i="39"/>
  <c r="AS42" i="39" s="1"/>
  <c r="AS41" i="39"/>
  <c r="AO41" i="39"/>
  <c r="AN41" i="39"/>
  <c r="AM41" i="39"/>
  <c r="AL41" i="39"/>
  <c r="AK41" i="39"/>
  <c r="L41" i="39"/>
  <c r="AS40" i="39"/>
  <c r="AO40" i="39"/>
  <c r="AN40" i="39"/>
  <c r="AM40" i="39"/>
  <c r="AL40" i="39"/>
  <c r="AK40" i="39"/>
  <c r="L40" i="39"/>
  <c r="AO39" i="39"/>
  <c r="AN39" i="39"/>
  <c r="AM39" i="39"/>
  <c r="AL39" i="39"/>
  <c r="AK39" i="39"/>
  <c r="L39" i="39"/>
  <c r="AS39" i="39" s="1"/>
  <c r="AS38" i="39"/>
  <c r="AO38" i="39"/>
  <c r="AN38" i="39"/>
  <c r="AM38" i="39"/>
  <c r="AL38" i="39"/>
  <c r="AK38" i="39"/>
  <c r="L38" i="39"/>
  <c r="AS37" i="39"/>
  <c r="AO37" i="39"/>
  <c r="AN37" i="39"/>
  <c r="AM37" i="39"/>
  <c r="AL37" i="39"/>
  <c r="AK37" i="39"/>
  <c r="L37" i="39"/>
  <c r="AS36" i="39"/>
  <c r="AO36" i="39"/>
  <c r="AN36" i="39"/>
  <c r="AM36" i="39"/>
  <c r="AL36" i="39"/>
  <c r="AK36" i="39"/>
  <c r="L36" i="39"/>
  <c r="AO35" i="39"/>
  <c r="AN35" i="39"/>
  <c r="AM35" i="39"/>
  <c r="AL35" i="39"/>
  <c r="AK35" i="39"/>
  <c r="L35" i="39"/>
  <c r="AS35" i="39" s="1"/>
  <c r="AO34" i="39"/>
  <c r="AN34" i="39"/>
  <c r="AM34" i="39"/>
  <c r="AL34" i="39"/>
  <c r="AK34" i="39"/>
  <c r="L34" i="39"/>
  <c r="AS34" i="39" s="1"/>
  <c r="AS33" i="39"/>
  <c r="AO33" i="39"/>
  <c r="AN33" i="39"/>
  <c r="AM33" i="39"/>
  <c r="AL33" i="39"/>
  <c r="AK33" i="39"/>
  <c r="L33" i="39"/>
  <c r="AO32" i="39"/>
  <c r="AN32" i="39"/>
  <c r="AM32" i="39"/>
  <c r="AL32" i="39"/>
  <c r="AK32" i="39"/>
  <c r="L32" i="39"/>
  <c r="AS32" i="39" s="1"/>
  <c r="AO31" i="39"/>
  <c r="AN31" i="39"/>
  <c r="AM31" i="39"/>
  <c r="AL31" i="39"/>
  <c r="AK31" i="39"/>
  <c r="L31" i="39"/>
  <c r="AS31" i="39" s="1"/>
  <c r="AO30" i="39"/>
  <c r="AN30" i="39"/>
  <c r="AM30" i="39"/>
  <c r="AL30" i="39"/>
  <c r="AK30" i="39"/>
  <c r="L30" i="39"/>
  <c r="AS30" i="39" s="1"/>
  <c r="AS29" i="39"/>
  <c r="AO29" i="39"/>
  <c r="AN29" i="39"/>
  <c r="AM29" i="39"/>
  <c r="AL29" i="39"/>
  <c r="AK29" i="39"/>
  <c r="L29" i="39"/>
  <c r="AS28" i="39"/>
  <c r="AO28" i="39"/>
  <c r="AN28" i="39"/>
  <c r="AM28" i="39"/>
  <c r="AL28" i="39"/>
  <c r="AK28" i="39"/>
  <c r="L28" i="39"/>
  <c r="AO27" i="39"/>
  <c r="AN27" i="39"/>
  <c r="AM27" i="39"/>
  <c r="AL27" i="39"/>
  <c r="AK27" i="39"/>
  <c r="L27" i="39"/>
  <c r="AS27" i="39" s="1"/>
  <c r="AS26" i="39"/>
  <c r="AO26" i="39"/>
  <c r="AN26" i="39"/>
  <c r="AM26" i="39"/>
  <c r="AL26" i="39"/>
  <c r="AK26" i="39"/>
  <c r="L26" i="39"/>
  <c r="AS25" i="39"/>
  <c r="AO25" i="39"/>
  <c r="AN25" i="39"/>
  <c r="AM25" i="39"/>
  <c r="AL25" i="39"/>
  <c r="AK25" i="39"/>
  <c r="L25" i="39"/>
  <c r="AS24" i="39"/>
  <c r="AO24" i="39"/>
  <c r="AN24" i="39"/>
  <c r="AM24" i="39"/>
  <c r="AL24" i="39"/>
  <c r="AK24" i="39"/>
  <c r="L24" i="39"/>
  <c r="AO23" i="39"/>
  <c r="AN23" i="39"/>
  <c r="AM23" i="39"/>
  <c r="AL23" i="39"/>
  <c r="AK23" i="39"/>
  <c r="L23" i="39"/>
  <c r="AS23" i="39" s="1"/>
  <c r="AO22" i="39"/>
  <c r="AN22" i="39"/>
  <c r="AM22" i="39"/>
  <c r="AL22" i="39"/>
  <c r="AK22" i="39"/>
  <c r="L22" i="39"/>
  <c r="AS22" i="39" s="1"/>
  <c r="AS21" i="39"/>
  <c r="AO21" i="39"/>
  <c r="AN21" i="39"/>
  <c r="AM21" i="39"/>
  <c r="AL21" i="39"/>
  <c r="AK21" i="39"/>
  <c r="L21" i="39"/>
  <c r="AO20" i="39"/>
  <c r="AN20" i="39"/>
  <c r="AM20" i="39"/>
  <c r="AL20" i="39"/>
  <c r="AK20" i="39"/>
  <c r="L20" i="39"/>
  <c r="AS20" i="39" s="1"/>
  <c r="AO19" i="39"/>
  <c r="AN19" i="39"/>
  <c r="AM19" i="39"/>
  <c r="AL19" i="39"/>
  <c r="AK19" i="39"/>
  <c r="L19" i="39"/>
  <c r="AS19" i="39" s="1"/>
  <c r="AO18" i="39"/>
  <c r="AN18" i="39"/>
  <c r="AM18" i="39"/>
  <c r="AL18" i="39"/>
  <c r="AK18" i="39"/>
  <c r="L18" i="39"/>
  <c r="AS18" i="39" s="1"/>
  <c r="AS17" i="39"/>
  <c r="AO17" i="39"/>
  <c r="AN17" i="39"/>
  <c r="AM17" i="39"/>
  <c r="AL17" i="39"/>
  <c r="AK17" i="39"/>
  <c r="L17" i="39"/>
  <c r="AS16" i="39"/>
  <c r="AO16" i="39"/>
  <c r="AN16" i="39"/>
  <c r="AM16" i="39"/>
  <c r="AL16" i="39"/>
  <c r="AK16" i="39"/>
  <c r="L16" i="39"/>
  <c r="AO15" i="39"/>
  <c r="AN15" i="39"/>
  <c r="AM15" i="39"/>
  <c r="AL15" i="39"/>
  <c r="AK15" i="39"/>
  <c r="L15" i="39"/>
  <c r="AS15" i="39" s="1"/>
  <c r="AS14" i="39"/>
  <c r="AO14" i="39"/>
  <c r="AN14" i="39"/>
  <c r="AM14" i="39"/>
  <c r="AL14" i="39"/>
  <c r="AK14" i="39"/>
  <c r="L14" i="39"/>
  <c r="AS13" i="39"/>
  <c r="AO13" i="39"/>
  <c r="AN13" i="39"/>
  <c r="AM13" i="39"/>
  <c r="AL13" i="39"/>
  <c r="AK13" i="39"/>
  <c r="L13" i="39"/>
  <c r="AS12" i="39"/>
  <c r="AO12" i="39"/>
  <c r="AN12" i="39"/>
  <c r="AM12" i="39"/>
  <c r="AL12" i="39"/>
  <c r="AK12" i="39"/>
  <c r="L12" i="39"/>
  <c r="AO11" i="39"/>
  <c r="AN11" i="39"/>
  <c r="AM11" i="39"/>
  <c r="AL11" i="39"/>
  <c r="AK11" i="39"/>
  <c r="L11" i="39"/>
  <c r="AS11" i="39" s="1"/>
  <c r="AO10" i="39"/>
  <c r="AN10" i="39"/>
  <c r="AM10" i="39"/>
  <c r="AL10" i="39"/>
  <c r="AK10" i="39"/>
  <c r="L10" i="39"/>
  <c r="AS10" i="39" s="1"/>
  <c r="AS9" i="39"/>
  <c r="AO9" i="39"/>
  <c r="AN9" i="39"/>
  <c r="AM9" i="39"/>
  <c r="AL9" i="39"/>
  <c r="AK9" i="39"/>
  <c r="L9" i="39"/>
  <c r="AO8" i="39"/>
  <c r="AN8" i="39"/>
  <c r="AM8" i="39"/>
  <c r="AL8" i="39"/>
  <c r="AK8" i="39"/>
  <c r="L8" i="39"/>
  <c r="AO7" i="39"/>
  <c r="AN7" i="39"/>
  <c r="AM7" i="39"/>
  <c r="AL7" i="39"/>
  <c r="AK7" i="39"/>
  <c r="L7" i="39"/>
  <c r="AS7" i="39" s="1"/>
  <c r="AO6" i="39"/>
  <c r="AN6" i="39"/>
  <c r="AM6" i="39"/>
  <c r="AL6" i="39"/>
  <c r="AK6" i="39"/>
  <c r="L6" i="39"/>
  <c r="AS6" i="39" s="1"/>
  <c r="AS5" i="39"/>
  <c r="AO5" i="39"/>
  <c r="AN5" i="39"/>
  <c r="AM5" i="39"/>
  <c r="AL5" i="39"/>
  <c r="AK5" i="39"/>
  <c r="L5" i="39"/>
  <c r="AG4" i="39"/>
  <c r="AF4" i="39"/>
  <c r="AE4" i="39"/>
  <c r="AD4" i="39"/>
  <c r="E4" i="39"/>
  <c r="D4" i="39"/>
  <c r="AS3" i="39"/>
  <c r="AA3" i="39"/>
  <c r="E3" i="39"/>
  <c r="AY57" i="38"/>
  <c r="AX57" i="38"/>
  <c r="AW57" i="38"/>
  <c r="AV57" i="38"/>
  <c r="AU57" i="38"/>
  <c r="AR57" i="38"/>
  <c r="AP57" i="38"/>
  <c r="AI55" i="38"/>
  <c r="AH55" i="38"/>
  <c r="AO54" i="38"/>
  <c r="AN54" i="38"/>
  <c r="AM54" i="38"/>
  <c r="AL54" i="38"/>
  <c r="AK54" i="38"/>
  <c r="L54" i="38"/>
  <c r="AS54" i="38" s="1"/>
  <c r="AO53" i="38"/>
  <c r="AN53" i="38"/>
  <c r="AM53" i="38"/>
  <c r="AL53" i="38"/>
  <c r="AK53" i="38"/>
  <c r="L53" i="38"/>
  <c r="AS53" i="38" s="1"/>
  <c r="AS52" i="38"/>
  <c r="AO52" i="38"/>
  <c r="AN52" i="38"/>
  <c r="AM52" i="38"/>
  <c r="AL52" i="38"/>
  <c r="AK52" i="38"/>
  <c r="L52" i="38"/>
  <c r="AO51" i="38"/>
  <c r="AN51" i="38"/>
  <c r="AM51" i="38"/>
  <c r="AL51" i="38"/>
  <c r="AK51" i="38"/>
  <c r="L51" i="38"/>
  <c r="AS51" i="38" s="1"/>
  <c r="AO50" i="38"/>
  <c r="AN50" i="38"/>
  <c r="AM50" i="38"/>
  <c r="AL50" i="38"/>
  <c r="AK50" i="38"/>
  <c r="L50" i="38"/>
  <c r="AS50" i="38" s="1"/>
  <c r="AO49" i="38"/>
  <c r="AN49" i="38"/>
  <c r="AM49" i="38"/>
  <c r="AL49" i="38"/>
  <c r="AK49" i="38"/>
  <c r="L49" i="38"/>
  <c r="AS49" i="38" s="1"/>
  <c r="AS48" i="38"/>
  <c r="AO48" i="38"/>
  <c r="AN48" i="38"/>
  <c r="AM48" i="38"/>
  <c r="AL48" i="38"/>
  <c r="AK48" i="38"/>
  <c r="L48" i="38"/>
  <c r="AS47" i="38"/>
  <c r="AO47" i="38"/>
  <c r="AN47" i="38"/>
  <c r="AM47" i="38"/>
  <c r="AL47" i="38"/>
  <c r="AK47" i="38"/>
  <c r="L47" i="38"/>
  <c r="AO46" i="38"/>
  <c r="AN46" i="38"/>
  <c r="AM46" i="38"/>
  <c r="AL46" i="38"/>
  <c r="AK46" i="38"/>
  <c r="L46" i="38"/>
  <c r="AS46" i="38" s="1"/>
  <c r="AS45" i="38"/>
  <c r="AO45" i="38"/>
  <c r="AN45" i="38"/>
  <c r="AM45" i="38"/>
  <c r="AL45" i="38"/>
  <c r="AK45" i="38"/>
  <c r="L45" i="38"/>
  <c r="AS44" i="38"/>
  <c r="AO44" i="38"/>
  <c r="AN44" i="38"/>
  <c r="AM44" i="38"/>
  <c r="AL44" i="38"/>
  <c r="AK44" i="38"/>
  <c r="L44" i="38"/>
  <c r="AS43" i="38"/>
  <c r="AO43" i="38"/>
  <c r="AN43" i="38"/>
  <c r="AM43" i="38"/>
  <c r="AL43" i="38"/>
  <c r="AK43" i="38"/>
  <c r="L43" i="38"/>
  <c r="AO42" i="38"/>
  <c r="AN42" i="38"/>
  <c r="AM42" i="38"/>
  <c r="AL42" i="38"/>
  <c r="AK42" i="38"/>
  <c r="L42" i="38"/>
  <c r="AS42" i="38" s="1"/>
  <c r="AO41" i="38"/>
  <c r="AN41" i="38"/>
  <c r="AM41" i="38"/>
  <c r="AL41" i="38"/>
  <c r="AK41" i="38"/>
  <c r="L41" i="38"/>
  <c r="AS41" i="38" s="1"/>
  <c r="AS40" i="38"/>
  <c r="AO40" i="38"/>
  <c r="AN40" i="38"/>
  <c r="AM40" i="38"/>
  <c r="AL40" i="38"/>
  <c r="AK40" i="38"/>
  <c r="L40" i="38"/>
  <c r="AO39" i="38"/>
  <c r="AN39" i="38"/>
  <c r="AM39" i="38"/>
  <c r="AL39" i="38"/>
  <c r="AK39" i="38"/>
  <c r="L39" i="38"/>
  <c r="AS39" i="38" s="1"/>
  <c r="AO38" i="38"/>
  <c r="AN38" i="38"/>
  <c r="AM38" i="38"/>
  <c r="AL38" i="38"/>
  <c r="AK38" i="38"/>
  <c r="L38" i="38"/>
  <c r="AS38" i="38" s="1"/>
  <c r="AO37" i="38"/>
  <c r="AN37" i="38"/>
  <c r="AM37" i="38"/>
  <c r="AL37" i="38"/>
  <c r="AK37" i="38"/>
  <c r="L37" i="38"/>
  <c r="AS37" i="38" s="1"/>
  <c r="AS36" i="38"/>
  <c r="AO36" i="38"/>
  <c r="AN36" i="38"/>
  <c r="AM36" i="38"/>
  <c r="AL36" i="38"/>
  <c r="AK36" i="38"/>
  <c r="L36" i="38"/>
  <c r="AS35" i="38"/>
  <c r="AO35" i="38"/>
  <c r="AN35" i="38"/>
  <c r="AM35" i="38"/>
  <c r="AL35" i="38"/>
  <c r="AK35" i="38"/>
  <c r="L35" i="38"/>
  <c r="AO34" i="38"/>
  <c r="AN34" i="38"/>
  <c r="AM34" i="38"/>
  <c r="AL34" i="38"/>
  <c r="AK34" i="38"/>
  <c r="L34" i="38"/>
  <c r="AS34" i="38" s="1"/>
  <c r="AS33" i="38"/>
  <c r="AO33" i="38"/>
  <c r="AN33" i="38"/>
  <c r="AM33" i="38"/>
  <c r="AL33" i="38"/>
  <c r="AK33" i="38"/>
  <c r="L33" i="38"/>
  <c r="AS32" i="38"/>
  <c r="AO32" i="38"/>
  <c r="AN32" i="38"/>
  <c r="AM32" i="38"/>
  <c r="AL32" i="38"/>
  <c r="AK32" i="38"/>
  <c r="L32" i="38"/>
  <c r="AS31" i="38"/>
  <c r="AO31" i="38"/>
  <c r="AN31" i="38"/>
  <c r="AM31" i="38"/>
  <c r="AL31" i="38"/>
  <c r="AK31" i="38"/>
  <c r="L31" i="38"/>
  <c r="AO30" i="38"/>
  <c r="AN30" i="38"/>
  <c r="AM30" i="38"/>
  <c r="AL30" i="38"/>
  <c r="AK30" i="38"/>
  <c r="L30" i="38"/>
  <c r="AS30" i="38" s="1"/>
  <c r="AO29" i="38"/>
  <c r="AN29" i="38"/>
  <c r="AM29" i="38"/>
  <c r="AL29" i="38"/>
  <c r="AK29" i="38"/>
  <c r="L29" i="38"/>
  <c r="AS29" i="38" s="1"/>
  <c r="AS28" i="38"/>
  <c r="AO28" i="38"/>
  <c r="AN28" i="38"/>
  <c r="AM28" i="38"/>
  <c r="AL28" i="38"/>
  <c r="AK28" i="38"/>
  <c r="L28" i="38"/>
  <c r="AO27" i="38"/>
  <c r="AN27" i="38"/>
  <c r="AM27" i="38"/>
  <c r="AL27" i="38"/>
  <c r="AK27" i="38"/>
  <c r="L27" i="38"/>
  <c r="AS27" i="38" s="1"/>
  <c r="AO26" i="38"/>
  <c r="AN26" i="38"/>
  <c r="AM26" i="38"/>
  <c r="AL26" i="38"/>
  <c r="AK26" i="38"/>
  <c r="L26" i="38"/>
  <c r="AS26" i="38" s="1"/>
  <c r="AO25" i="38"/>
  <c r="AN25" i="38"/>
  <c r="AM25" i="38"/>
  <c r="AL25" i="38"/>
  <c r="AK25" i="38"/>
  <c r="L25" i="38"/>
  <c r="AS25" i="38" s="1"/>
  <c r="AS24" i="38"/>
  <c r="AO24" i="38"/>
  <c r="AN24" i="38"/>
  <c r="AM24" i="38"/>
  <c r="AL24" i="38"/>
  <c r="AK24" i="38"/>
  <c r="L24" i="38"/>
  <c r="AS23" i="38"/>
  <c r="AO23" i="38"/>
  <c r="AN23" i="38"/>
  <c r="AM23" i="38"/>
  <c r="AL23" i="38"/>
  <c r="AK23" i="38"/>
  <c r="L23" i="38"/>
  <c r="AO22" i="38"/>
  <c r="AN22" i="38"/>
  <c r="AM22" i="38"/>
  <c r="AL22" i="38"/>
  <c r="AK22" i="38"/>
  <c r="L22" i="38"/>
  <c r="AS22" i="38" s="1"/>
  <c r="AS21" i="38"/>
  <c r="AO21" i="38"/>
  <c r="AN21" i="38"/>
  <c r="AM21" i="38"/>
  <c r="AL21" i="38"/>
  <c r="AK21" i="38"/>
  <c r="L21" i="38"/>
  <c r="AS20" i="38"/>
  <c r="AO20" i="38"/>
  <c r="AN20" i="38"/>
  <c r="AM20" i="38"/>
  <c r="AL20" i="38"/>
  <c r="AK20" i="38"/>
  <c r="L20" i="38"/>
  <c r="AS19" i="38"/>
  <c r="AO19" i="38"/>
  <c r="AN19" i="38"/>
  <c r="AM19" i="38"/>
  <c r="AL19" i="38"/>
  <c r="AK19" i="38"/>
  <c r="L19" i="38"/>
  <c r="AO18" i="38"/>
  <c r="AN18" i="38"/>
  <c r="AM18" i="38"/>
  <c r="AL18" i="38"/>
  <c r="AK18" i="38"/>
  <c r="L18" i="38"/>
  <c r="AS18" i="38" s="1"/>
  <c r="AO17" i="38"/>
  <c r="AN17" i="38"/>
  <c r="AM17" i="38"/>
  <c r="AL17" i="38"/>
  <c r="AK17" i="38"/>
  <c r="L17" i="38"/>
  <c r="AS17" i="38" s="1"/>
  <c r="AS16" i="38"/>
  <c r="AO16" i="38"/>
  <c r="AN16" i="38"/>
  <c r="AM16" i="38"/>
  <c r="AL16" i="38"/>
  <c r="AK16" i="38"/>
  <c r="L16" i="38"/>
  <c r="AO15" i="38"/>
  <c r="AN15" i="38"/>
  <c r="AM15" i="38"/>
  <c r="AL15" i="38"/>
  <c r="AK15" i="38"/>
  <c r="L15" i="38"/>
  <c r="AS15" i="38" s="1"/>
  <c r="AO14" i="38"/>
  <c r="AN14" i="38"/>
  <c r="AM14" i="38"/>
  <c r="AL14" i="38"/>
  <c r="AK14" i="38"/>
  <c r="L14" i="38"/>
  <c r="AS14" i="38" s="1"/>
  <c r="AO13" i="38"/>
  <c r="AN13" i="38"/>
  <c r="AM13" i="38"/>
  <c r="AL13" i="38"/>
  <c r="AK13" i="38"/>
  <c r="L13" i="38"/>
  <c r="AS13" i="38" s="1"/>
  <c r="AS12" i="38"/>
  <c r="AO12" i="38"/>
  <c r="AN12" i="38"/>
  <c r="AM12" i="38"/>
  <c r="AL12" i="38"/>
  <c r="AK12" i="38"/>
  <c r="L12" i="38"/>
  <c r="AS11" i="38"/>
  <c r="AO11" i="38"/>
  <c r="AN11" i="38"/>
  <c r="AM11" i="38"/>
  <c r="AL11" i="38"/>
  <c r="AK11" i="38"/>
  <c r="L11" i="38"/>
  <c r="AO10" i="38"/>
  <c r="AN10" i="38"/>
  <c r="AM10" i="38"/>
  <c r="AL10" i="38"/>
  <c r="AK10" i="38"/>
  <c r="L10" i="38"/>
  <c r="AS10" i="38" s="1"/>
  <c r="AS9" i="38"/>
  <c r="AO9" i="38"/>
  <c r="AN9" i="38"/>
  <c r="AM9" i="38"/>
  <c r="AL9" i="38"/>
  <c r="AK9" i="38"/>
  <c r="L9" i="38"/>
  <c r="AS8" i="38"/>
  <c r="AO8" i="38"/>
  <c r="AN8" i="38"/>
  <c r="AM8" i="38"/>
  <c r="AL8" i="38"/>
  <c r="AK8" i="38"/>
  <c r="L8" i="38"/>
  <c r="AS7" i="38"/>
  <c r="AO7" i="38"/>
  <c r="AN7" i="38"/>
  <c r="AM7" i="38"/>
  <c r="AL7" i="38"/>
  <c r="AK7" i="38"/>
  <c r="L7" i="38"/>
  <c r="AO6" i="38"/>
  <c r="AN6" i="38"/>
  <c r="AM6" i="38"/>
  <c r="AL6" i="38"/>
  <c r="AK6" i="38"/>
  <c r="L6" i="38"/>
  <c r="AS6" i="38" s="1"/>
  <c r="AO5" i="38"/>
  <c r="AN5" i="38"/>
  <c r="AM5" i="38"/>
  <c r="AL5" i="38"/>
  <c r="AK5" i="38"/>
  <c r="L5" i="38"/>
  <c r="AS5" i="38" s="1"/>
  <c r="AG4" i="38"/>
  <c r="AF4" i="38"/>
  <c r="AE4" i="38"/>
  <c r="AD4" i="38"/>
  <c r="E4" i="38"/>
  <c r="D4" i="38"/>
  <c r="AS3" i="38"/>
  <c r="AA3" i="38"/>
  <c r="E3" i="38"/>
  <c r="AY57" i="37"/>
  <c r="AX57" i="37"/>
  <c r="AW57" i="37"/>
  <c r="AV57" i="37"/>
  <c r="AU57" i="37"/>
  <c r="AR57" i="37"/>
  <c r="AP57" i="37"/>
  <c r="AI55" i="37"/>
  <c r="AH55" i="37"/>
  <c r="AS54" i="37"/>
  <c r="AO54" i="37"/>
  <c r="AN54" i="37"/>
  <c r="AM54" i="37"/>
  <c r="AL54" i="37"/>
  <c r="AK54" i="37"/>
  <c r="L54" i="37"/>
  <c r="AO53" i="37"/>
  <c r="AN53" i="37"/>
  <c r="AM53" i="37"/>
  <c r="AL53" i="37"/>
  <c r="AK53" i="37"/>
  <c r="L53" i="37"/>
  <c r="AS53" i="37" s="1"/>
  <c r="AS52" i="37"/>
  <c r="AO52" i="37"/>
  <c r="AN52" i="37"/>
  <c r="AM52" i="37"/>
  <c r="AL52" i="37"/>
  <c r="AK52" i="37"/>
  <c r="L52" i="37"/>
  <c r="AS51" i="37"/>
  <c r="AO51" i="37"/>
  <c r="AN51" i="37"/>
  <c r="AM51" i="37"/>
  <c r="AL51" i="37"/>
  <c r="AK51" i="37"/>
  <c r="L51" i="37"/>
  <c r="AS50" i="37"/>
  <c r="AO50" i="37"/>
  <c r="AN50" i="37"/>
  <c r="AM50" i="37"/>
  <c r="AL50" i="37"/>
  <c r="AK50" i="37"/>
  <c r="L50" i="37"/>
  <c r="AO49" i="37"/>
  <c r="AN49" i="37"/>
  <c r="AM49" i="37"/>
  <c r="AL49" i="37"/>
  <c r="AK49" i="37"/>
  <c r="L49" i="37"/>
  <c r="AS49" i="37" s="1"/>
  <c r="AO48" i="37"/>
  <c r="AN48" i="37"/>
  <c r="AM48" i="37"/>
  <c r="AL48" i="37"/>
  <c r="AK48" i="37"/>
  <c r="L48" i="37"/>
  <c r="AS48" i="37" s="1"/>
  <c r="AS47" i="37"/>
  <c r="AO47" i="37"/>
  <c r="AN47" i="37"/>
  <c r="AM47" i="37"/>
  <c r="AL47" i="37"/>
  <c r="AK47" i="37"/>
  <c r="L47" i="37"/>
  <c r="AO46" i="37"/>
  <c r="AN46" i="37"/>
  <c r="AM46" i="37"/>
  <c r="AL46" i="37"/>
  <c r="AK46" i="37"/>
  <c r="L46" i="37"/>
  <c r="AS46" i="37" s="1"/>
  <c r="AO45" i="37"/>
  <c r="AN45" i="37"/>
  <c r="AM45" i="37"/>
  <c r="AL45" i="37"/>
  <c r="AK45" i="37"/>
  <c r="L45" i="37"/>
  <c r="AS45" i="37" s="1"/>
  <c r="AO44" i="37"/>
  <c r="AN44" i="37"/>
  <c r="AM44" i="37"/>
  <c r="AL44" i="37"/>
  <c r="AK44" i="37"/>
  <c r="L44" i="37"/>
  <c r="AS44" i="37" s="1"/>
  <c r="AS43" i="37"/>
  <c r="AO43" i="37"/>
  <c r="AN43" i="37"/>
  <c r="AM43" i="37"/>
  <c r="AL43" i="37"/>
  <c r="AK43" i="37"/>
  <c r="L43" i="37"/>
  <c r="AS42" i="37"/>
  <c r="AO42" i="37"/>
  <c r="AN42" i="37"/>
  <c r="AM42" i="37"/>
  <c r="AL42" i="37"/>
  <c r="AK42" i="37"/>
  <c r="L42" i="37"/>
  <c r="AO41" i="37"/>
  <c r="AN41" i="37"/>
  <c r="AM41" i="37"/>
  <c r="AL41" i="37"/>
  <c r="AK41" i="37"/>
  <c r="L41" i="37"/>
  <c r="AS41" i="37" s="1"/>
  <c r="AS40" i="37"/>
  <c r="AO40" i="37"/>
  <c r="AN40" i="37"/>
  <c r="AM40" i="37"/>
  <c r="AL40" i="37"/>
  <c r="AK40" i="37"/>
  <c r="L40" i="37"/>
  <c r="AS39" i="37"/>
  <c r="AO39" i="37"/>
  <c r="AN39" i="37"/>
  <c r="AM39" i="37"/>
  <c r="AL39" i="37"/>
  <c r="AK39" i="37"/>
  <c r="L39" i="37"/>
  <c r="AS38" i="37"/>
  <c r="AO38" i="37"/>
  <c r="AN38" i="37"/>
  <c r="AM38" i="37"/>
  <c r="AL38" i="37"/>
  <c r="AK38" i="37"/>
  <c r="L38" i="37"/>
  <c r="AO37" i="37"/>
  <c r="AN37" i="37"/>
  <c r="AM37" i="37"/>
  <c r="AL37" i="37"/>
  <c r="AK37" i="37"/>
  <c r="L37" i="37"/>
  <c r="AS37" i="37" s="1"/>
  <c r="AO36" i="37"/>
  <c r="AN36" i="37"/>
  <c r="AM36" i="37"/>
  <c r="AL36" i="37"/>
  <c r="AK36" i="37"/>
  <c r="L36" i="37"/>
  <c r="AS36" i="37" s="1"/>
  <c r="AS35" i="37"/>
  <c r="AO35" i="37"/>
  <c r="AN35" i="37"/>
  <c r="AM35" i="37"/>
  <c r="AL35" i="37"/>
  <c r="AK35" i="37"/>
  <c r="L35" i="37"/>
  <c r="AO34" i="37"/>
  <c r="AN34" i="37"/>
  <c r="AM34" i="37"/>
  <c r="AL34" i="37"/>
  <c r="AK34" i="37"/>
  <c r="L34" i="37"/>
  <c r="AS34" i="37" s="1"/>
  <c r="AO33" i="37"/>
  <c r="AN33" i="37"/>
  <c r="AM33" i="37"/>
  <c r="AL33" i="37"/>
  <c r="AK33" i="37"/>
  <c r="L33" i="37"/>
  <c r="AS33" i="37" s="1"/>
  <c r="AO32" i="37"/>
  <c r="AN32" i="37"/>
  <c r="AM32" i="37"/>
  <c r="AL32" i="37"/>
  <c r="AK32" i="37"/>
  <c r="L32" i="37"/>
  <c r="AS32" i="37" s="1"/>
  <c r="AS31" i="37"/>
  <c r="AO31" i="37"/>
  <c r="AN31" i="37"/>
  <c r="AM31" i="37"/>
  <c r="AL31" i="37"/>
  <c r="AK31" i="37"/>
  <c r="L31" i="37"/>
  <c r="AS30" i="37"/>
  <c r="AO30" i="37"/>
  <c r="AN30" i="37"/>
  <c r="AM30" i="37"/>
  <c r="AL30" i="37"/>
  <c r="AK30" i="37"/>
  <c r="L30" i="37"/>
  <c r="AO29" i="37"/>
  <c r="AN29" i="37"/>
  <c r="AM29" i="37"/>
  <c r="AL29" i="37"/>
  <c r="AK29" i="37"/>
  <c r="L29" i="37"/>
  <c r="AS29" i="37" s="1"/>
  <c r="AS28" i="37"/>
  <c r="AO28" i="37"/>
  <c r="AN28" i="37"/>
  <c r="AM28" i="37"/>
  <c r="AL28" i="37"/>
  <c r="AK28" i="37"/>
  <c r="L28" i="37"/>
  <c r="AS27" i="37"/>
  <c r="AO27" i="37"/>
  <c r="AN27" i="37"/>
  <c r="AM27" i="37"/>
  <c r="AL27" i="37"/>
  <c r="AK27" i="37"/>
  <c r="L27" i="37"/>
  <c r="AS26" i="37"/>
  <c r="AO26" i="37"/>
  <c r="AN26" i="37"/>
  <c r="AM26" i="37"/>
  <c r="AL26" i="37"/>
  <c r="AK26" i="37"/>
  <c r="L26" i="37"/>
  <c r="AO25" i="37"/>
  <c r="AN25" i="37"/>
  <c r="AM25" i="37"/>
  <c r="AL25" i="37"/>
  <c r="AK25" i="37"/>
  <c r="L25" i="37"/>
  <c r="AS25" i="37" s="1"/>
  <c r="AO24" i="37"/>
  <c r="AN24" i="37"/>
  <c r="AM24" i="37"/>
  <c r="AL24" i="37"/>
  <c r="AK24" i="37"/>
  <c r="L24" i="37"/>
  <c r="AS24" i="37" s="1"/>
  <c r="AS23" i="37"/>
  <c r="AO23" i="37"/>
  <c r="AN23" i="37"/>
  <c r="AM23" i="37"/>
  <c r="AL23" i="37"/>
  <c r="AK23" i="37"/>
  <c r="L23" i="37"/>
  <c r="AO22" i="37"/>
  <c r="AN22" i="37"/>
  <c r="AM22" i="37"/>
  <c r="AL22" i="37"/>
  <c r="AK22" i="37"/>
  <c r="L22" i="37"/>
  <c r="AS22" i="37" s="1"/>
  <c r="AO21" i="37"/>
  <c r="AN21" i="37"/>
  <c r="AM21" i="37"/>
  <c r="AL21" i="37"/>
  <c r="AK21" i="37"/>
  <c r="L21" i="37"/>
  <c r="AS21" i="37" s="1"/>
  <c r="AO20" i="37"/>
  <c r="AN20" i="37"/>
  <c r="AM20" i="37"/>
  <c r="AL20" i="37"/>
  <c r="AK20" i="37"/>
  <c r="L20" i="37"/>
  <c r="AS20" i="37" s="1"/>
  <c r="AS19" i="37"/>
  <c r="AO19" i="37"/>
  <c r="AN19" i="37"/>
  <c r="AM19" i="37"/>
  <c r="AL19" i="37"/>
  <c r="AK19" i="37"/>
  <c r="L19" i="37"/>
  <c r="AS18" i="37"/>
  <c r="AO18" i="37"/>
  <c r="AN18" i="37"/>
  <c r="AM18" i="37"/>
  <c r="AL18" i="37"/>
  <c r="AK18" i="37"/>
  <c r="L18" i="37"/>
  <c r="AO17" i="37"/>
  <c r="AN17" i="37"/>
  <c r="AM17" i="37"/>
  <c r="AL17" i="37"/>
  <c r="AK17" i="37"/>
  <c r="L17" i="37"/>
  <c r="AS17" i="37" s="1"/>
  <c r="AS16" i="37"/>
  <c r="AO16" i="37"/>
  <c r="AN16" i="37"/>
  <c r="AM16" i="37"/>
  <c r="AL16" i="37"/>
  <c r="AK16" i="37"/>
  <c r="L16" i="37"/>
  <c r="AS15" i="37"/>
  <c r="AO15" i="37"/>
  <c r="AN15" i="37"/>
  <c r="AM15" i="37"/>
  <c r="AL15" i="37"/>
  <c r="AK15" i="37"/>
  <c r="L15" i="37"/>
  <c r="AS14" i="37"/>
  <c r="AO14" i="37"/>
  <c r="AN14" i="37"/>
  <c r="AM14" i="37"/>
  <c r="AL14" i="37"/>
  <c r="AK14" i="37"/>
  <c r="L14" i="37"/>
  <c r="AO13" i="37"/>
  <c r="AN13" i="37"/>
  <c r="AM13" i="37"/>
  <c r="AL13" i="37"/>
  <c r="AK13" i="37"/>
  <c r="L13" i="37"/>
  <c r="AS13" i="37" s="1"/>
  <c r="AO12" i="37"/>
  <c r="AN12" i="37"/>
  <c r="AM12" i="37"/>
  <c r="AL12" i="37"/>
  <c r="AK12" i="37"/>
  <c r="L12" i="37"/>
  <c r="AS12" i="37" s="1"/>
  <c r="AS11" i="37"/>
  <c r="AO11" i="37"/>
  <c r="AN11" i="37"/>
  <c r="AM11" i="37"/>
  <c r="AL11" i="37"/>
  <c r="AK11" i="37"/>
  <c r="L11" i="37"/>
  <c r="AO10" i="37"/>
  <c r="AN10" i="37"/>
  <c r="AM10" i="37"/>
  <c r="AL10" i="37"/>
  <c r="AK10" i="37"/>
  <c r="L10" i="37"/>
  <c r="AS10" i="37" s="1"/>
  <c r="AO9" i="37"/>
  <c r="AN9" i="37"/>
  <c r="AM9" i="37"/>
  <c r="AL9" i="37"/>
  <c r="AK9" i="37"/>
  <c r="L9" i="37"/>
  <c r="AS9" i="37" s="1"/>
  <c r="AO8" i="37"/>
  <c r="AN8" i="37"/>
  <c r="AM8" i="37"/>
  <c r="AL8" i="37"/>
  <c r="AK8" i="37"/>
  <c r="L8" i="37"/>
  <c r="AS8" i="37" s="1"/>
  <c r="AS7" i="37"/>
  <c r="AO7" i="37"/>
  <c r="AN7" i="37"/>
  <c r="AM7" i="37"/>
  <c r="AL7" i="37"/>
  <c r="AK7" i="37"/>
  <c r="L7" i="37"/>
  <c r="AS6" i="37"/>
  <c r="AO6" i="37"/>
  <c r="AN6" i="37"/>
  <c r="AM6" i="37"/>
  <c r="AL6" i="37"/>
  <c r="AK6" i="37"/>
  <c r="L6" i="37"/>
  <c r="AO5" i="37"/>
  <c r="AN5" i="37"/>
  <c r="AM5" i="37"/>
  <c r="AL5" i="37"/>
  <c r="AK5" i="37"/>
  <c r="L5" i="37"/>
  <c r="AS5" i="37" s="1"/>
  <c r="AG4" i="37"/>
  <c r="AF4" i="37"/>
  <c r="AE4" i="37"/>
  <c r="AD4" i="37"/>
  <c r="E4" i="37"/>
  <c r="D4" i="37"/>
  <c r="AS3" i="37"/>
  <c r="AA3" i="37"/>
  <c r="E3" i="37"/>
  <c r="AY57" i="36"/>
  <c r="AX57" i="36"/>
  <c r="AW57" i="36"/>
  <c r="AV57" i="36"/>
  <c r="AU57" i="36"/>
  <c r="AR57" i="36"/>
  <c r="AP57" i="36"/>
  <c r="AI55" i="36"/>
  <c r="AH55" i="36"/>
  <c r="AS54" i="36"/>
  <c r="AO54" i="36"/>
  <c r="AN54" i="36"/>
  <c r="AM54" i="36"/>
  <c r="AL54" i="36"/>
  <c r="AK54" i="36"/>
  <c r="L54" i="36"/>
  <c r="AO53" i="36"/>
  <c r="AN53" i="36"/>
  <c r="AM53" i="36"/>
  <c r="AL53" i="36"/>
  <c r="AK53" i="36"/>
  <c r="L53" i="36"/>
  <c r="AS53" i="36" s="1"/>
  <c r="AO52" i="36"/>
  <c r="AN52" i="36"/>
  <c r="AM52" i="36"/>
  <c r="AL52" i="36"/>
  <c r="AK52" i="36"/>
  <c r="L52" i="36"/>
  <c r="AS52" i="36" s="1"/>
  <c r="AO51" i="36"/>
  <c r="AN51" i="36"/>
  <c r="AM51" i="36"/>
  <c r="AL51" i="36"/>
  <c r="AK51" i="36"/>
  <c r="L51" i="36"/>
  <c r="AS51" i="36" s="1"/>
  <c r="AS50" i="36"/>
  <c r="AO50" i="36"/>
  <c r="AN50" i="36"/>
  <c r="AM50" i="36"/>
  <c r="AL50" i="36"/>
  <c r="AK50" i="36"/>
  <c r="L50" i="36"/>
  <c r="AS49" i="36"/>
  <c r="AO49" i="36"/>
  <c r="AN49" i="36"/>
  <c r="AM49" i="36"/>
  <c r="AL49" i="36"/>
  <c r="AK49" i="36"/>
  <c r="L49" i="36"/>
  <c r="AO48" i="36"/>
  <c r="AN48" i="36"/>
  <c r="AM48" i="36"/>
  <c r="AL48" i="36"/>
  <c r="AK48" i="36"/>
  <c r="L48" i="36"/>
  <c r="AS48" i="36" s="1"/>
  <c r="AS47" i="36"/>
  <c r="AO47" i="36"/>
  <c r="AN47" i="36"/>
  <c r="AM47" i="36"/>
  <c r="AL47" i="36"/>
  <c r="AK47" i="36"/>
  <c r="L47" i="36"/>
  <c r="AS46" i="36"/>
  <c r="AO46" i="36"/>
  <c r="AN46" i="36"/>
  <c r="AM46" i="36"/>
  <c r="AL46" i="36"/>
  <c r="AK46" i="36"/>
  <c r="L46" i="36"/>
  <c r="AS45" i="36"/>
  <c r="AO45" i="36"/>
  <c r="AN45" i="36"/>
  <c r="AM45" i="36"/>
  <c r="AL45" i="36"/>
  <c r="AK45" i="36"/>
  <c r="L45" i="36"/>
  <c r="AO44" i="36"/>
  <c r="AN44" i="36"/>
  <c r="AM44" i="36"/>
  <c r="AL44" i="36"/>
  <c r="AK44" i="36"/>
  <c r="L44" i="36"/>
  <c r="AS44" i="36" s="1"/>
  <c r="AO43" i="36"/>
  <c r="AN43" i="36"/>
  <c r="AM43" i="36"/>
  <c r="AL43" i="36"/>
  <c r="AK43" i="36"/>
  <c r="L43" i="36"/>
  <c r="AS43" i="36" s="1"/>
  <c r="AS42" i="36"/>
  <c r="AO42" i="36"/>
  <c r="AN42" i="36"/>
  <c r="AM42" i="36"/>
  <c r="AL42" i="36"/>
  <c r="AK42" i="36"/>
  <c r="L42" i="36"/>
  <c r="AO41" i="36"/>
  <c r="AN41" i="36"/>
  <c r="AM41" i="36"/>
  <c r="AL41" i="36"/>
  <c r="AK41" i="36"/>
  <c r="L41" i="36"/>
  <c r="AS41" i="36" s="1"/>
  <c r="AO40" i="36"/>
  <c r="AN40" i="36"/>
  <c r="AM40" i="36"/>
  <c r="AL40" i="36"/>
  <c r="AK40" i="36"/>
  <c r="L40" i="36"/>
  <c r="AS40" i="36" s="1"/>
  <c r="AO39" i="36"/>
  <c r="AN39" i="36"/>
  <c r="AM39" i="36"/>
  <c r="AL39" i="36"/>
  <c r="AK39" i="36"/>
  <c r="L39" i="36"/>
  <c r="AS39" i="36" s="1"/>
  <c r="AS38" i="36"/>
  <c r="AO38" i="36"/>
  <c r="AN38" i="36"/>
  <c r="AM38" i="36"/>
  <c r="AL38" i="36"/>
  <c r="AK38" i="36"/>
  <c r="L38" i="36"/>
  <c r="AS37" i="36"/>
  <c r="AO37" i="36"/>
  <c r="AN37" i="36"/>
  <c r="AM37" i="36"/>
  <c r="AL37" i="36"/>
  <c r="AK37" i="36"/>
  <c r="L37" i="36"/>
  <c r="AO36" i="36"/>
  <c r="AN36" i="36"/>
  <c r="AM36" i="36"/>
  <c r="AL36" i="36"/>
  <c r="AK36" i="36"/>
  <c r="L36" i="36"/>
  <c r="AS36" i="36" s="1"/>
  <c r="AS35" i="36"/>
  <c r="AO35" i="36"/>
  <c r="AN35" i="36"/>
  <c r="AM35" i="36"/>
  <c r="AL35" i="36"/>
  <c r="AK35" i="36"/>
  <c r="L35" i="36"/>
  <c r="AS34" i="36"/>
  <c r="AO34" i="36"/>
  <c r="AN34" i="36"/>
  <c r="AM34" i="36"/>
  <c r="AL34" i="36"/>
  <c r="AK34" i="36"/>
  <c r="L34" i="36"/>
  <c r="AS33" i="36"/>
  <c r="AO33" i="36"/>
  <c r="AN33" i="36"/>
  <c r="AM33" i="36"/>
  <c r="AL33" i="36"/>
  <c r="AK33" i="36"/>
  <c r="L33" i="36"/>
  <c r="AO32" i="36"/>
  <c r="AN32" i="36"/>
  <c r="AM32" i="36"/>
  <c r="AL32" i="36"/>
  <c r="AK32" i="36"/>
  <c r="L32" i="36"/>
  <c r="AS32" i="36" s="1"/>
  <c r="AO31" i="36"/>
  <c r="AN31" i="36"/>
  <c r="AM31" i="36"/>
  <c r="AL31" i="36"/>
  <c r="AK31" i="36"/>
  <c r="L31" i="36"/>
  <c r="AS31" i="36" s="1"/>
  <c r="AS30" i="36"/>
  <c r="AO30" i="36"/>
  <c r="AN30" i="36"/>
  <c r="AM30" i="36"/>
  <c r="AL30" i="36"/>
  <c r="AK30" i="36"/>
  <c r="L30" i="36"/>
  <c r="AO29" i="36"/>
  <c r="AN29" i="36"/>
  <c r="AM29" i="36"/>
  <c r="AL29" i="36"/>
  <c r="AK29" i="36"/>
  <c r="L29" i="36"/>
  <c r="AS29" i="36" s="1"/>
  <c r="AO28" i="36"/>
  <c r="AN28" i="36"/>
  <c r="AM28" i="36"/>
  <c r="AL28" i="36"/>
  <c r="AK28" i="36"/>
  <c r="L28" i="36"/>
  <c r="AS28" i="36" s="1"/>
  <c r="AO27" i="36"/>
  <c r="AN27" i="36"/>
  <c r="AM27" i="36"/>
  <c r="AL27" i="36"/>
  <c r="AK27" i="36"/>
  <c r="L27" i="36"/>
  <c r="AS27" i="36" s="1"/>
  <c r="AS26" i="36"/>
  <c r="AO26" i="36"/>
  <c r="AN26" i="36"/>
  <c r="AM26" i="36"/>
  <c r="AL26" i="36"/>
  <c r="AK26" i="36"/>
  <c r="L26" i="36"/>
  <c r="AS25" i="36"/>
  <c r="AO25" i="36"/>
  <c r="AN25" i="36"/>
  <c r="AM25" i="36"/>
  <c r="AL25" i="36"/>
  <c r="AK25" i="36"/>
  <c r="L25" i="36"/>
  <c r="AO24" i="36"/>
  <c r="AN24" i="36"/>
  <c r="AM24" i="36"/>
  <c r="AL24" i="36"/>
  <c r="AK24" i="36"/>
  <c r="L24" i="36"/>
  <c r="AS24" i="36" s="1"/>
  <c r="AS23" i="36"/>
  <c r="AO23" i="36"/>
  <c r="AN23" i="36"/>
  <c r="AM23" i="36"/>
  <c r="AL23" i="36"/>
  <c r="AK23" i="36"/>
  <c r="L23" i="36"/>
  <c r="AS22" i="36"/>
  <c r="AO22" i="36"/>
  <c r="AN22" i="36"/>
  <c r="AM22" i="36"/>
  <c r="AL22" i="36"/>
  <c r="AK22" i="36"/>
  <c r="L22" i="36"/>
  <c r="AS21" i="36"/>
  <c r="AO21" i="36"/>
  <c r="AN21" i="36"/>
  <c r="AM21" i="36"/>
  <c r="AL21" i="36"/>
  <c r="AK21" i="36"/>
  <c r="L21" i="36"/>
  <c r="AO20" i="36"/>
  <c r="AN20" i="36"/>
  <c r="AM20" i="36"/>
  <c r="AL20" i="36"/>
  <c r="AK20" i="36"/>
  <c r="L20" i="36"/>
  <c r="AS20" i="36" s="1"/>
  <c r="AO19" i="36"/>
  <c r="AN19" i="36"/>
  <c r="AM19" i="36"/>
  <c r="AL19" i="36"/>
  <c r="AK19" i="36"/>
  <c r="L19" i="36"/>
  <c r="AS19" i="36" s="1"/>
  <c r="AS18" i="36"/>
  <c r="AO18" i="36"/>
  <c r="AN18" i="36"/>
  <c r="AM18" i="36"/>
  <c r="AL18" i="36"/>
  <c r="AK18" i="36"/>
  <c r="L18" i="36"/>
  <c r="AO17" i="36"/>
  <c r="AN17" i="36"/>
  <c r="AM17" i="36"/>
  <c r="AL17" i="36"/>
  <c r="AK17" i="36"/>
  <c r="L17" i="36"/>
  <c r="AS17" i="36" s="1"/>
  <c r="AO16" i="36"/>
  <c r="AN16" i="36"/>
  <c r="AM16" i="36"/>
  <c r="AL16" i="36"/>
  <c r="AK16" i="36"/>
  <c r="L16" i="36"/>
  <c r="AS16" i="36" s="1"/>
  <c r="AO15" i="36"/>
  <c r="AN15" i="36"/>
  <c r="AM15" i="36"/>
  <c r="AL15" i="36"/>
  <c r="AK15" i="36"/>
  <c r="L15" i="36"/>
  <c r="AS15" i="36" s="1"/>
  <c r="AS14" i="36"/>
  <c r="AO14" i="36"/>
  <c r="AN14" i="36"/>
  <c r="AM14" i="36"/>
  <c r="AL14" i="36"/>
  <c r="AK14" i="36"/>
  <c r="L14" i="36"/>
  <c r="AS13" i="36"/>
  <c r="AO13" i="36"/>
  <c r="AN13" i="36"/>
  <c r="AM13" i="36"/>
  <c r="AL13" i="36"/>
  <c r="AK13" i="36"/>
  <c r="L13" i="36"/>
  <c r="AO12" i="36"/>
  <c r="AN12" i="36"/>
  <c r="AM12" i="36"/>
  <c r="AL12" i="36"/>
  <c r="AK12" i="36"/>
  <c r="L12" i="36"/>
  <c r="AS12" i="36" s="1"/>
  <c r="AS11" i="36"/>
  <c r="AO11" i="36"/>
  <c r="AN11" i="36"/>
  <c r="AM11" i="36"/>
  <c r="AL11" i="36"/>
  <c r="AK11" i="36"/>
  <c r="L11" i="36"/>
  <c r="AS10" i="36"/>
  <c r="AO10" i="36"/>
  <c r="AN10" i="36"/>
  <c r="AM10" i="36"/>
  <c r="AL10" i="36"/>
  <c r="AK10" i="36"/>
  <c r="L10" i="36"/>
  <c r="AS9" i="36"/>
  <c r="AO9" i="36"/>
  <c r="AN9" i="36"/>
  <c r="AM9" i="36"/>
  <c r="AL9" i="36"/>
  <c r="AK9" i="36"/>
  <c r="L9" i="36"/>
  <c r="AO8" i="36"/>
  <c r="AN8" i="36"/>
  <c r="AM8" i="36"/>
  <c r="AL8" i="36"/>
  <c r="AK8" i="36"/>
  <c r="L8" i="36"/>
  <c r="AS8" i="36" s="1"/>
  <c r="AO7" i="36"/>
  <c r="AN7" i="36"/>
  <c r="AM7" i="36"/>
  <c r="AL7" i="36"/>
  <c r="AK7" i="36"/>
  <c r="L7" i="36"/>
  <c r="AS7" i="36" s="1"/>
  <c r="AS6" i="36"/>
  <c r="AO6" i="36"/>
  <c r="AN6" i="36"/>
  <c r="AM6" i="36"/>
  <c r="AL6" i="36"/>
  <c r="AK6" i="36"/>
  <c r="L6" i="36"/>
  <c r="AO5" i="36"/>
  <c r="AN5" i="36"/>
  <c r="AM5" i="36"/>
  <c r="AL5" i="36"/>
  <c r="AK5" i="36"/>
  <c r="L5" i="36"/>
  <c r="AG4" i="36"/>
  <c r="AF4" i="36"/>
  <c r="AE4" i="36"/>
  <c r="AD4" i="36"/>
  <c r="E4" i="36"/>
  <c r="D4" i="36"/>
  <c r="AS3" i="36"/>
  <c r="AA3" i="36"/>
  <c r="E3" i="36"/>
  <c r="AY57" i="35"/>
  <c r="AX57" i="35"/>
  <c r="AW57" i="35"/>
  <c r="AV57" i="35"/>
  <c r="AU57" i="35"/>
  <c r="AR57" i="35"/>
  <c r="AP57" i="35"/>
  <c r="AI55" i="35"/>
  <c r="AH55" i="35"/>
  <c r="AL55" i="35"/>
  <c r="AS54" i="35"/>
  <c r="AO54" i="35"/>
  <c r="AN54" i="35"/>
  <c r="AM54" i="35"/>
  <c r="AL54" i="35"/>
  <c r="AK54" i="35"/>
  <c r="L54" i="35"/>
  <c r="AS53" i="35"/>
  <c r="AO53" i="35"/>
  <c r="AN53" i="35"/>
  <c r="AM53" i="35"/>
  <c r="AL53" i="35"/>
  <c r="AK53" i="35"/>
  <c r="L53" i="35"/>
  <c r="AS52" i="35"/>
  <c r="AO52" i="35"/>
  <c r="AN52" i="35"/>
  <c r="AM52" i="35"/>
  <c r="AL52" i="35"/>
  <c r="AK52" i="35"/>
  <c r="L52" i="35"/>
  <c r="AO51" i="35"/>
  <c r="AN51" i="35"/>
  <c r="AM51" i="35"/>
  <c r="AL51" i="35"/>
  <c r="AK51" i="35"/>
  <c r="L51" i="35"/>
  <c r="AS51" i="35" s="1"/>
  <c r="AO50" i="35"/>
  <c r="AN50" i="35"/>
  <c r="AM50" i="35"/>
  <c r="AL50" i="35"/>
  <c r="AK50" i="35"/>
  <c r="L50" i="35"/>
  <c r="AS50" i="35" s="1"/>
  <c r="AS49" i="35"/>
  <c r="AO49" i="35"/>
  <c r="AN49" i="35"/>
  <c r="AM49" i="35"/>
  <c r="AL49" i="35"/>
  <c r="AK49" i="35"/>
  <c r="L49" i="35"/>
  <c r="AO48" i="35"/>
  <c r="AN48" i="35"/>
  <c r="AM48" i="35"/>
  <c r="AL48" i="35"/>
  <c r="AK48" i="35"/>
  <c r="L48" i="35"/>
  <c r="AS48" i="35" s="1"/>
  <c r="AO47" i="35"/>
  <c r="AN47" i="35"/>
  <c r="AM47" i="35"/>
  <c r="AL47" i="35"/>
  <c r="AK47" i="35"/>
  <c r="L47" i="35"/>
  <c r="AS47" i="35" s="1"/>
  <c r="AO46" i="35"/>
  <c r="AN46" i="35"/>
  <c r="AM46" i="35"/>
  <c r="AL46" i="35"/>
  <c r="AK46" i="35"/>
  <c r="L46" i="35"/>
  <c r="AS46" i="35" s="1"/>
  <c r="AS45" i="35"/>
  <c r="AO45" i="35"/>
  <c r="AN45" i="35"/>
  <c r="AM45" i="35"/>
  <c r="AL45" i="35"/>
  <c r="AK45" i="35"/>
  <c r="L45" i="35"/>
  <c r="AS44" i="35"/>
  <c r="AO44" i="35"/>
  <c r="AN44" i="35"/>
  <c r="AM44" i="35"/>
  <c r="AL44" i="35"/>
  <c r="AK44" i="35"/>
  <c r="L44" i="35"/>
  <c r="AO43" i="35"/>
  <c r="AN43" i="35"/>
  <c r="AM43" i="35"/>
  <c r="AL43" i="35"/>
  <c r="AK43" i="35"/>
  <c r="L43" i="35"/>
  <c r="AS43" i="35" s="1"/>
  <c r="AS42" i="35"/>
  <c r="AO42" i="35"/>
  <c r="AN42" i="35"/>
  <c r="AM42" i="35"/>
  <c r="AL42" i="35"/>
  <c r="AK42" i="35"/>
  <c r="L42" i="35"/>
  <c r="AS41" i="35"/>
  <c r="AO41" i="35"/>
  <c r="AN41" i="35"/>
  <c r="AM41" i="35"/>
  <c r="AL41" i="35"/>
  <c r="AK41" i="35"/>
  <c r="L41" i="35"/>
  <c r="AS40" i="35"/>
  <c r="AO40" i="35"/>
  <c r="AN40" i="35"/>
  <c r="AM40" i="35"/>
  <c r="AL40" i="35"/>
  <c r="AK40" i="35"/>
  <c r="L40" i="35"/>
  <c r="AO39" i="35"/>
  <c r="AN39" i="35"/>
  <c r="AM39" i="35"/>
  <c r="AL39" i="35"/>
  <c r="AK39" i="35"/>
  <c r="L39" i="35"/>
  <c r="AS39" i="35" s="1"/>
  <c r="AO38" i="35"/>
  <c r="AN38" i="35"/>
  <c r="AM38" i="35"/>
  <c r="AL38" i="35"/>
  <c r="AK38" i="35"/>
  <c r="L38" i="35"/>
  <c r="AS38" i="35" s="1"/>
  <c r="AS37" i="35"/>
  <c r="AO37" i="35"/>
  <c r="AN37" i="35"/>
  <c r="AM37" i="35"/>
  <c r="AL37" i="35"/>
  <c r="AK37" i="35"/>
  <c r="L37" i="35"/>
  <c r="AO36" i="35"/>
  <c r="AN36" i="35"/>
  <c r="AM36" i="35"/>
  <c r="AL36" i="35"/>
  <c r="AK36" i="35"/>
  <c r="L36" i="35"/>
  <c r="AS36" i="35" s="1"/>
  <c r="AO35" i="35"/>
  <c r="AN35" i="35"/>
  <c r="AM35" i="35"/>
  <c r="AL35" i="35"/>
  <c r="AK35" i="35"/>
  <c r="L35" i="35"/>
  <c r="AS35" i="35" s="1"/>
  <c r="AO34" i="35"/>
  <c r="AN34" i="35"/>
  <c r="AM34" i="35"/>
  <c r="AL34" i="35"/>
  <c r="AK34" i="35"/>
  <c r="L34" i="35"/>
  <c r="AS34" i="35" s="1"/>
  <c r="AS33" i="35"/>
  <c r="AO33" i="35"/>
  <c r="AN33" i="35"/>
  <c r="AM33" i="35"/>
  <c r="AL33" i="35"/>
  <c r="AK33" i="35"/>
  <c r="L33" i="35"/>
  <c r="AS32" i="35"/>
  <c r="AO32" i="35"/>
  <c r="AN32" i="35"/>
  <c r="AM32" i="35"/>
  <c r="AL32" i="35"/>
  <c r="AK32" i="35"/>
  <c r="L32" i="35"/>
  <c r="AO31" i="35"/>
  <c r="AN31" i="35"/>
  <c r="AM31" i="35"/>
  <c r="AL31" i="35"/>
  <c r="AK31" i="35"/>
  <c r="L31" i="35"/>
  <c r="AS31" i="35" s="1"/>
  <c r="AS30" i="35"/>
  <c r="AO30" i="35"/>
  <c r="AN30" i="35"/>
  <c r="AM30" i="35"/>
  <c r="AL30" i="35"/>
  <c r="AK30" i="35"/>
  <c r="L30" i="35"/>
  <c r="AS29" i="35"/>
  <c r="AO29" i="35"/>
  <c r="AN29" i="35"/>
  <c r="AM29" i="35"/>
  <c r="AL29" i="35"/>
  <c r="AK29" i="35"/>
  <c r="L29" i="35"/>
  <c r="AS28" i="35"/>
  <c r="AO28" i="35"/>
  <c r="AN28" i="35"/>
  <c r="AM28" i="35"/>
  <c r="AL28" i="35"/>
  <c r="AK28" i="35"/>
  <c r="L28" i="35"/>
  <c r="AO27" i="35"/>
  <c r="AN27" i="35"/>
  <c r="AM27" i="35"/>
  <c r="AL27" i="35"/>
  <c r="AK27" i="35"/>
  <c r="L27" i="35"/>
  <c r="AS27" i="35" s="1"/>
  <c r="AO26" i="35"/>
  <c r="AN26" i="35"/>
  <c r="AM26" i="35"/>
  <c r="AL26" i="35"/>
  <c r="AK26" i="35"/>
  <c r="L26" i="35"/>
  <c r="AS26" i="35" s="1"/>
  <c r="AS25" i="35"/>
  <c r="AO25" i="35"/>
  <c r="AN25" i="35"/>
  <c r="AM25" i="35"/>
  <c r="AL25" i="35"/>
  <c r="AK25" i="35"/>
  <c r="L25" i="35"/>
  <c r="AO24" i="35"/>
  <c r="AN24" i="35"/>
  <c r="AM24" i="35"/>
  <c r="AL24" i="35"/>
  <c r="AK24" i="35"/>
  <c r="L24" i="35"/>
  <c r="AS24" i="35" s="1"/>
  <c r="AO23" i="35"/>
  <c r="AN23" i="35"/>
  <c r="AM23" i="35"/>
  <c r="AL23" i="35"/>
  <c r="AK23" i="35"/>
  <c r="L23" i="35"/>
  <c r="AS23" i="35" s="1"/>
  <c r="AO22" i="35"/>
  <c r="AN22" i="35"/>
  <c r="AM22" i="35"/>
  <c r="AL22" i="35"/>
  <c r="AK22" i="35"/>
  <c r="L22" i="35"/>
  <c r="AS22" i="35" s="1"/>
  <c r="AS21" i="35"/>
  <c r="AO21" i="35"/>
  <c r="AN21" i="35"/>
  <c r="AM21" i="35"/>
  <c r="AL21" i="35"/>
  <c r="AK21" i="35"/>
  <c r="L21" i="35"/>
  <c r="AS20" i="35"/>
  <c r="AO20" i="35"/>
  <c r="AN20" i="35"/>
  <c r="AM20" i="35"/>
  <c r="AL20" i="35"/>
  <c r="AK20" i="35"/>
  <c r="L20" i="35"/>
  <c r="AO19" i="35"/>
  <c r="AN19" i="35"/>
  <c r="AM19" i="35"/>
  <c r="AL19" i="35"/>
  <c r="AK19" i="35"/>
  <c r="L19" i="35"/>
  <c r="AS19" i="35" s="1"/>
  <c r="AS18" i="35"/>
  <c r="AO18" i="35"/>
  <c r="AN18" i="35"/>
  <c r="AM18" i="35"/>
  <c r="AL18" i="35"/>
  <c r="AK18" i="35"/>
  <c r="L18" i="35"/>
  <c r="AS17" i="35"/>
  <c r="AO17" i="35"/>
  <c r="AN17" i="35"/>
  <c r="AM17" i="35"/>
  <c r="AL17" i="35"/>
  <c r="AK17" i="35"/>
  <c r="L17" i="35"/>
  <c r="AS16" i="35"/>
  <c r="AO16" i="35"/>
  <c r="AN16" i="35"/>
  <c r="AM16" i="35"/>
  <c r="AL16" i="35"/>
  <c r="AK16" i="35"/>
  <c r="L16" i="35"/>
  <c r="AO15" i="35"/>
  <c r="AN15" i="35"/>
  <c r="AM15" i="35"/>
  <c r="AL15" i="35"/>
  <c r="AK15" i="35"/>
  <c r="L15" i="35"/>
  <c r="AS15" i="35" s="1"/>
  <c r="AO14" i="35"/>
  <c r="AN14" i="35"/>
  <c r="AM14" i="35"/>
  <c r="AL14" i="35"/>
  <c r="AK14" i="35"/>
  <c r="L14" i="35"/>
  <c r="AS14" i="35" s="1"/>
  <c r="AS13" i="35"/>
  <c r="AO13" i="35"/>
  <c r="AN13" i="35"/>
  <c r="AM13" i="35"/>
  <c r="AL13" i="35"/>
  <c r="AK13" i="35"/>
  <c r="L13" i="35"/>
  <c r="AO12" i="35"/>
  <c r="AN12" i="35"/>
  <c r="AM12" i="35"/>
  <c r="AL12" i="35"/>
  <c r="AK12" i="35"/>
  <c r="L12" i="35"/>
  <c r="AS12" i="35" s="1"/>
  <c r="AO11" i="35"/>
  <c r="AN11" i="35"/>
  <c r="AM11" i="35"/>
  <c r="AL11" i="35"/>
  <c r="AK11" i="35"/>
  <c r="L11" i="35"/>
  <c r="AS11" i="35" s="1"/>
  <c r="AO10" i="35"/>
  <c r="AN10" i="35"/>
  <c r="AM10" i="35"/>
  <c r="AL10" i="35"/>
  <c r="AK10" i="35"/>
  <c r="L10" i="35"/>
  <c r="AS10" i="35" s="1"/>
  <c r="AS9" i="35"/>
  <c r="AO9" i="35"/>
  <c r="AN9" i="35"/>
  <c r="AM9" i="35"/>
  <c r="AL9" i="35"/>
  <c r="AK9" i="35"/>
  <c r="L9" i="35"/>
  <c r="AS8" i="35"/>
  <c r="AO8" i="35"/>
  <c r="AN8" i="35"/>
  <c r="AM8" i="35"/>
  <c r="AL8" i="35"/>
  <c r="AK8" i="35"/>
  <c r="L8" i="35"/>
  <c r="AO7" i="35"/>
  <c r="AN7" i="35"/>
  <c r="AM7" i="35"/>
  <c r="AL7" i="35"/>
  <c r="AK7" i="35"/>
  <c r="L7" i="35"/>
  <c r="AS7" i="35" s="1"/>
  <c r="AS6" i="35"/>
  <c r="AO6" i="35"/>
  <c r="AN6" i="35"/>
  <c r="AM6" i="35"/>
  <c r="AL6" i="35"/>
  <c r="AK6" i="35"/>
  <c r="L6" i="35"/>
  <c r="AS5" i="35"/>
  <c r="AO5" i="35"/>
  <c r="AN5" i="35"/>
  <c r="AM5" i="35"/>
  <c r="AL5" i="35"/>
  <c r="AK5" i="35"/>
  <c r="L5" i="35"/>
  <c r="AG4" i="35"/>
  <c r="AF4" i="35"/>
  <c r="AE4" i="35"/>
  <c r="AD4" i="35"/>
  <c r="E4" i="35"/>
  <c r="D4" i="35"/>
  <c r="AS3" i="35"/>
  <c r="AA3" i="35"/>
  <c r="E3" i="35"/>
  <c r="AY57" i="34"/>
  <c r="AX57" i="34"/>
  <c r="AW57" i="34"/>
  <c r="AV57" i="34"/>
  <c r="AU57" i="34"/>
  <c r="AR57" i="34"/>
  <c r="AP57" i="34"/>
  <c r="AI55" i="34"/>
  <c r="AH55" i="34"/>
  <c r="AO54" i="34"/>
  <c r="AN54" i="34"/>
  <c r="AM54" i="34"/>
  <c r="AL54" i="34"/>
  <c r="AK54" i="34"/>
  <c r="L54" i="34"/>
  <c r="AS54" i="34" s="1"/>
  <c r="AO53" i="34"/>
  <c r="AN53" i="34"/>
  <c r="AM53" i="34"/>
  <c r="AL53" i="34"/>
  <c r="AK53" i="34"/>
  <c r="L53" i="34"/>
  <c r="AS53" i="34" s="1"/>
  <c r="AS52" i="34"/>
  <c r="AO52" i="34"/>
  <c r="AN52" i="34"/>
  <c r="AM52" i="34"/>
  <c r="AL52" i="34"/>
  <c r="AK52" i="34"/>
  <c r="L52" i="34"/>
  <c r="AS51" i="34"/>
  <c r="AO51" i="34"/>
  <c r="AN51" i="34"/>
  <c r="AM51" i="34"/>
  <c r="AL51" i="34"/>
  <c r="AK51" i="34"/>
  <c r="L51" i="34"/>
  <c r="AO50" i="34"/>
  <c r="AN50" i="34"/>
  <c r="AM50" i="34"/>
  <c r="AL50" i="34"/>
  <c r="AK50" i="34"/>
  <c r="L50" i="34"/>
  <c r="AS50" i="34" s="1"/>
  <c r="AS49" i="34"/>
  <c r="AO49" i="34"/>
  <c r="AN49" i="34"/>
  <c r="AM49" i="34"/>
  <c r="AL49" i="34"/>
  <c r="AK49" i="34"/>
  <c r="L49" i="34"/>
  <c r="AS48" i="34"/>
  <c r="AO48" i="34"/>
  <c r="AN48" i="34"/>
  <c r="AM48" i="34"/>
  <c r="AL48" i="34"/>
  <c r="AK48" i="34"/>
  <c r="L48" i="34"/>
  <c r="AS47" i="34"/>
  <c r="AO47" i="34"/>
  <c r="AN47" i="34"/>
  <c r="AM47" i="34"/>
  <c r="AL47" i="34"/>
  <c r="AK47" i="34"/>
  <c r="L47" i="34"/>
  <c r="AO46" i="34"/>
  <c r="AN46" i="34"/>
  <c r="AM46" i="34"/>
  <c r="AL46" i="34"/>
  <c r="AK46" i="34"/>
  <c r="L46" i="34"/>
  <c r="AS46" i="34" s="1"/>
  <c r="AO45" i="34"/>
  <c r="AN45" i="34"/>
  <c r="AM45" i="34"/>
  <c r="AL45" i="34"/>
  <c r="AK45" i="34"/>
  <c r="L45" i="34"/>
  <c r="AS45" i="34" s="1"/>
  <c r="AS44" i="34"/>
  <c r="AO44" i="34"/>
  <c r="AN44" i="34"/>
  <c r="AM44" i="34"/>
  <c r="AL44" i="34"/>
  <c r="AK44" i="34"/>
  <c r="L44" i="34"/>
  <c r="AO43" i="34"/>
  <c r="AN43" i="34"/>
  <c r="AM43" i="34"/>
  <c r="AL43" i="34"/>
  <c r="AK43" i="34"/>
  <c r="L43" i="34"/>
  <c r="AS43" i="34" s="1"/>
  <c r="AO42" i="34"/>
  <c r="AN42" i="34"/>
  <c r="AM42" i="34"/>
  <c r="AL42" i="34"/>
  <c r="AK42" i="34"/>
  <c r="L42" i="34"/>
  <c r="AS42" i="34" s="1"/>
  <c r="AO41" i="34"/>
  <c r="AN41" i="34"/>
  <c r="AM41" i="34"/>
  <c r="AL41" i="34"/>
  <c r="AK41" i="34"/>
  <c r="L41" i="34"/>
  <c r="AS41" i="34" s="1"/>
  <c r="AS40" i="34"/>
  <c r="AO40" i="34"/>
  <c r="AN40" i="34"/>
  <c r="AM40" i="34"/>
  <c r="AL40" i="34"/>
  <c r="AK40" i="34"/>
  <c r="L40" i="34"/>
  <c r="AS39" i="34"/>
  <c r="AO39" i="34"/>
  <c r="AN39" i="34"/>
  <c r="AM39" i="34"/>
  <c r="AL39" i="34"/>
  <c r="AK39" i="34"/>
  <c r="L39" i="34"/>
  <c r="AO38" i="34"/>
  <c r="AN38" i="34"/>
  <c r="AM38" i="34"/>
  <c r="AL38" i="34"/>
  <c r="AK38" i="34"/>
  <c r="L38" i="34"/>
  <c r="AS38" i="34" s="1"/>
  <c r="AS37" i="34"/>
  <c r="AO37" i="34"/>
  <c r="AN37" i="34"/>
  <c r="AM37" i="34"/>
  <c r="AL37" i="34"/>
  <c r="AK37" i="34"/>
  <c r="L37" i="34"/>
  <c r="AS36" i="34"/>
  <c r="AO36" i="34"/>
  <c r="AN36" i="34"/>
  <c r="AM36" i="34"/>
  <c r="AL36" i="34"/>
  <c r="AK36" i="34"/>
  <c r="L36" i="34"/>
  <c r="AS35" i="34"/>
  <c r="AO35" i="34"/>
  <c r="AN35" i="34"/>
  <c r="AM35" i="34"/>
  <c r="AL35" i="34"/>
  <c r="AK35" i="34"/>
  <c r="L35" i="34"/>
  <c r="AO34" i="34"/>
  <c r="AN34" i="34"/>
  <c r="AM34" i="34"/>
  <c r="AL34" i="34"/>
  <c r="AK34" i="34"/>
  <c r="L34" i="34"/>
  <c r="AS34" i="34" s="1"/>
  <c r="AO33" i="34"/>
  <c r="AN33" i="34"/>
  <c r="AM33" i="34"/>
  <c r="AL33" i="34"/>
  <c r="AK33" i="34"/>
  <c r="L33" i="34"/>
  <c r="AS33" i="34" s="1"/>
  <c r="AS32" i="34"/>
  <c r="AO32" i="34"/>
  <c r="AN32" i="34"/>
  <c r="AM32" i="34"/>
  <c r="AL32" i="34"/>
  <c r="AK32" i="34"/>
  <c r="L32" i="34"/>
  <c r="AO31" i="34"/>
  <c r="AN31" i="34"/>
  <c r="AM31" i="34"/>
  <c r="AL31" i="34"/>
  <c r="AK31" i="34"/>
  <c r="L31" i="34"/>
  <c r="AS31" i="34" s="1"/>
  <c r="AO30" i="34"/>
  <c r="AN30" i="34"/>
  <c r="AM30" i="34"/>
  <c r="AL30" i="34"/>
  <c r="AK30" i="34"/>
  <c r="L30" i="34"/>
  <c r="AS30" i="34" s="1"/>
  <c r="AO29" i="34"/>
  <c r="AN29" i="34"/>
  <c r="AM29" i="34"/>
  <c r="AL29" i="34"/>
  <c r="AK29" i="34"/>
  <c r="L29" i="34"/>
  <c r="AS29" i="34" s="1"/>
  <c r="AS28" i="34"/>
  <c r="AO28" i="34"/>
  <c r="AN28" i="34"/>
  <c r="AM28" i="34"/>
  <c r="AL28" i="34"/>
  <c r="AK28" i="34"/>
  <c r="L28" i="34"/>
  <c r="AS27" i="34"/>
  <c r="AO27" i="34"/>
  <c r="AN27" i="34"/>
  <c r="AM27" i="34"/>
  <c r="AL27" i="34"/>
  <c r="AK27" i="34"/>
  <c r="L27" i="34"/>
  <c r="AO26" i="34"/>
  <c r="AN26" i="34"/>
  <c r="AM26" i="34"/>
  <c r="AL26" i="34"/>
  <c r="AK26" i="34"/>
  <c r="L26" i="34"/>
  <c r="AS26" i="34" s="1"/>
  <c r="AS25" i="34"/>
  <c r="AO25" i="34"/>
  <c r="AN25" i="34"/>
  <c r="AM25" i="34"/>
  <c r="AL25" i="34"/>
  <c r="AK25" i="34"/>
  <c r="L25" i="34"/>
  <c r="AS24" i="34"/>
  <c r="AO24" i="34"/>
  <c r="AN24" i="34"/>
  <c r="AM24" i="34"/>
  <c r="AL24" i="34"/>
  <c r="AK24" i="34"/>
  <c r="L24" i="34"/>
  <c r="AS23" i="34"/>
  <c r="AO23" i="34"/>
  <c r="AN23" i="34"/>
  <c r="AM23" i="34"/>
  <c r="AL23" i="34"/>
  <c r="AK23" i="34"/>
  <c r="L23" i="34"/>
  <c r="AO22" i="34"/>
  <c r="AN22" i="34"/>
  <c r="AM22" i="34"/>
  <c r="AL22" i="34"/>
  <c r="AK22" i="34"/>
  <c r="L22" i="34"/>
  <c r="AS22" i="34" s="1"/>
  <c r="AO21" i="34"/>
  <c r="AN21" i="34"/>
  <c r="AM21" i="34"/>
  <c r="AL21" i="34"/>
  <c r="AK21" i="34"/>
  <c r="L21" i="34"/>
  <c r="AS21" i="34" s="1"/>
  <c r="AS20" i="34"/>
  <c r="AO20" i="34"/>
  <c r="AN20" i="34"/>
  <c r="AM20" i="34"/>
  <c r="AL20" i="34"/>
  <c r="AK20" i="34"/>
  <c r="L20" i="34"/>
  <c r="AO19" i="34"/>
  <c r="AN19" i="34"/>
  <c r="AM19" i="34"/>
  <c r="AL19" i="34"/>
  <c r="AK19" i="34"/>
  <c r="L19" i="34"/>
  <c r="AS19" i="34" s="1"/>
  <c r="AO18" i="34"/>
  <c r="AN18" i="34"/>
  <c r="AM18" i="34"/>
  <c r="AL18" i="34"/>
  <c r="AK18" i="34"/>
  <c r="L18" i="34"/>
  <c r="AS18" i="34" s="1"/>
  <c r="AO17" i="34"/>
  <c r="AN17" i="34"/>
  <c r="AM17" i="34"/>
  <c r="AL17" i="34"/>
  <c r="AK17" i="34"/>
  <c r="L17" i="34"/>
  <c r="AS17" i="34" s="1"/>
  <c r="AS16" i="34"/>
  <c r="AO16" i="34"/>
  <c r="AN16" i="34"/>
  <c r="AM16" i="34"/>
  <c r="AL16" i="34"/>
  <c r="AK16" i="34"/>
  <c r="L16" i="34"/>
  <c r="AS15" i="34"/>
  <c r="AO15" i="34"/>
  <c r="AN15" i="34"/>
  <c r="AM15" i="34"/>
  <c r="AL15" i="34"/>
  <c r="AK15" i="34"/>
  <c r="L15" i="34"/>
  <c r="AO14" i="34"/>
  <c r="AN14" i="34"/>
  <c r="AM14" i="34"/>
  <c r="AL14" i="34"/>
  <c r="AK14" i="34"/>
  <c r="L14" i="34"/>
  <c r="AS14" i="34" s="1"/>
  <c r="AS13" i="34"/>
  <c r="AO13" i="34"/>
  <c r="AN13" i="34"/>
  <c r="AM13" i="34"/>
  <c r="AL13" i="34"/>
  <c r="AK13" i="34"/>
  <c r="L13" i="34"/>
  <c r="AS12" i="34"/>
  <c r="AO12" i="34"/>
  <c r="AN12" i="34"/>
  <c r="AM12" i="34"/>
  <c r="AL12" i="34"/>
  <c r="AK12" i="34"/>
  <c r="L12" i="34"/>
  <c r="AS11" i="34"/>
  <c r="AO11" i="34"/>
  <c r="AN11" i="34"/>
  <c r="AM11" i="34"/>
  <c r="AL11" i="34"/>
  <c r="AK11" i="34"/>
  <c r="L11" i="34"/>
  <c r="AO10" i="34"/>
  <c r="AN10" i="34"/>
  <c r="AM10" i="34"/>
  <c r="AL10" i="34"/>
  <c r="AK10" i="34"/>
  <c r="L10" i="34"/>
  <c r="AS10" i="34" s="1"/>
  <c r="AO9" i="34"/>
  <c r="AN9" i="34"/>
  <c r="AM9" i="34"/>
  <c r="AL9" i="34"/>
  <c r="AK9" i="34"/>
  <c r="L9" i="34"/>
  <c r="AS9" i="34" s="1"/>
  <c r="AS8" i="34"/>
  <c r="AO8" i="34"/>
  <c r="AN8" i="34"/>
  <c r="AM8" i="34"/>
  <c r="AL8" i="34"/>
  <c r="AK8" i="34"/>
  <c r="L8" i="34"/>
  <c r="AO7" i="34"/>
  <c r="AN7" i="34"/>
  <c r="AM7" i="34"/>
  <c r="AL7" i="34"/>
  <c r="AK7" i="34"/>
  <c r="L7" i="34"/>
  <c r="AO6" i="34"/>
  <c r="AN6" i="34"/>
  <c r="AM6" i="34"/>
  <c r="AL6" i="34"/>
  <c r="AK6" i="34"/>
  <c r="L6" i="34"/>
  <c r="AS6" i="34" s="1"/>
  <c r="AO5" i="34"/>
  <c r="AN5" i="34"/>
  <c r="AM5" i="34"/>
  <c r="AL5" i="34"/>
  <c r="AK5" i="34"/>
  <c r="L5" i="34"/>
  <c r="AS5" i="34" s="1"/>
  <c r="AG4" i="34"/>
  <c r="AF4" i="34"/>
  <c r="AE4" i="34"/>
  <c r="AD4" i="34"/>
  <c r="E4" i="34"/>
  <c r="D4" i="34"/>
  <c r="AS3" i="34"/>
  <c r="AA3" i="34"/>
  <c r="E3" i="34"/>
  <c r="AY57" i="33"/>
  <c r="AX57" i="33"/>
  <c r="AW57" i="33"/>
  <c r="AV57" i="33"/>
  <c r="AU57" i="33"/>
  <c r="AR57" i="33"/>
  <c r="AP57" i="33"/>
  <c r="AI55" i="33"/>
  <c r="AH55" i="33"/>
  <c r="AO54" i="33"/>
  <c r="AN54" i="33"/>
  <c r="AM54" i="33"/>
  <c r="AL54" i="33"/>
  <c r="AK54" i="33"/>
  <c r="L54" i="33"/>
  <c r="AS54" i="33" s="1"/>
  <c r="AS53" i="33"/>
  <c r="AO53" i="33"/>
  <c r="AN53" i="33"/>
  <c r="AM53" i="33"/>
  <c r="AL53" i="33"/>
  <c r="AK53" i="33"/>
  <c r="L53" i="33"/>
  <c r="AO52" i="33"/>
  <c r="AN52" i="33"/>
  <c r="AM52" i="33"/>
  <c r="AL52" i="33"/>
  <c r="AK52" i="33"/>
  <c r="L52" i="33"/>
  <c r="AS52" i="33" s="1"/>
  <c r="AS51" i="33"/>
  <c r="AO51" i="33"/>
  <c r="AN51" i="33"/>
  <c r="AM51" i="33"/>
  <c r="AL51" i="33"/>
  <c r="AK51" i="33"/>
  <c r="L51" i="33"/>
  <c r="AS50" i="33"/>
  <c r="AO50" i="33"/>
  <c r="AN50" i="33"/>
  <c r="AM50" i="33"/>
  <c r="AL50" i="33"/>
  <c r="AK50" i="33"/>
  <c r="L50" i="33"/>
  <c r="AO49" i="33"/>
  <c r="AN49" i="33"/>
  <c r="AM49" i="33"/>
  <c r="AL49" i="33"/>
  <c r="AK49" i="33"/>
  <c r="L49" i="33"/>
  <c r="AS49" i="33" s="1"/>
  <c r="AS48" i="33"/>
  <c r="AO48" i="33"/>
  <c r="AN48" i="33"/>
  <c r="AM48" i="33"/>
  <c r="AL48" i="33"/>
  <c r="AK48" i="33"/>
  <c r="L48" i="33"/>
  <c r="AO47" i="33"/>
  <c r="AN47" i="33"/>
  <c r="AM47" i="33"/>
  <c r="AL47" i="33"/>
  <c r="AK47" i="33"/>
  <c r="L47" i="33"/>
  <c r="AS47" i="33" s="1"/>
  <c r="AS46" i="33"/>
  <c r="AO46" i="33"/>
  <c r="AN46" i="33"/>
  <c r="AM46" i="33"/>
  <c r="AL46" i="33"/>
  <c r="AK46" i="33"/>
  <c r="L46" i="33"/>
  <c r="AO45" i="33"/>
  <c r="AN45" i="33"/>
  <c r="AM45" i="33"/>
  <c r="AL45" i="33"/>
  <c r="AK45" i="33"/>
  <c r="L45" i="33"/>
  <c r="AS45" i="33" s="1"/>
  <c r="AO44" i="33"/>
  <c r="AN44" i="33"/>
  <c r="AM44" i="33"/>
  <c r="AL44" i="33"/>
  <c r="AK44" i="33"/>
  <c r="L44" i="33"/>
  <c r="AS44" i="33" s="1"/>
  <c r="AS43" i="33"/>
  <c r="AO43" i="33"/>
  <c r="AN43" i="33"/>
  <c r="AM43" i="33"/>
  <c r="AL43" i="33"/>
  <c r="AK43" i="33"/>
  <c r="L43" i="33"/>
  <c r="AO42" i="33"/>
  <c r="AN42" i="33"/>
  <c r="AM42" i="33"/>
  <c r="AL42" i="33"/>
  <c r="AK42" i="33"/>
  <c r="L42" i="33"/>
  <c r="AS42" i="33" s="1"/>
  <c r="AS41" i="33"/>
  <c r="AO41" i="33"/>
  <c r="AN41" i="33"/>
  <c r="AM41" i="33"/>
  <c r="AL41" i="33"/>
  <c r="AK41" i="33"/>
  <c r="L41" i="33"/>
  <c r="AO40" i="33"/>
  <c r="AN40" i="33"/>
  <c r="AM40" i="33"/>
  <c r="AL40" i="33"/>
  <c r="AK40" i="33"/>
  <c r="L40" i="33"/>
  <c r="AS40" i="33" s="1"/>
  <c r="AS39" i="33"/>
  <c r="AO39" i="33"/>
  <c r="AN39" i="33"/>
  <c r="AM39" i="33"/>
  <c r="AL39" i="33"/>
  <c r="AK39" i="33"/>
  <c r="L39" i="33"/>
  <c r="AS38" i="33"/>
  <c r="AO38" i="33"/>
  <c r="AN38" i="33"/>
  <c r="AM38" i="33"/>
  <c r="AL38" i="33"/>
  <c r="AK38" i="33"/>
  <c r="L38" i="33"/>
  <c r="AO37" i="33"/>
  <c r="AN37" i="33"/>
  <c r="AM37" i="33"/>
  <c r="AL37" i="33"/>
  <c r="AK37" i="33"/>
  <c r="L37" i="33"/>
  <c r="AS37" i="33" s="1"/>
  <c r="AS36" i="33"/>
  <c r="AO36" i="33"/>
  <c r="AN36" i="33"/>
  <c r="AM36" i="33"/>
  <c r="AL36" i="33"/>
  <c r="AK36" i="33"/>
  <c r="L36" i="33"/>
  <c r="AO35" i="33"/>
  <c r="AN35" i="33"/>
  <c r="AM35" i="33"/>
  <c r="AL35" i="33"/>
  <c r="AK35" i="33"/>
  <c r="L35" i="33"/>
  <c r="AS35" i="33" s="1"/>
  <c r="AS34" i="33"/>
  <c r="AO34" i="33"/>
  <c r="AN34" i="33"/>
  <c r="AM34" i="33"/>
  <c r="AL34" i="33"/>
  <c r="AK34" i="33"/>
  <c r="L34" i="33"/>
  <c r="AO33" i="33"/>
  <c r="AN33" i="33"/>
  <c r="AM33" i="33"/>
  <c r="AL33" i="33"/>
  <c r="AK33" i="33"/>
  <c r="L33" i="33"/>
  <c r="AS33" i="33" s="1"/>
  <c r="AO32" i="33"/>
  <c r="AN32" i="33"/>
  <c r="AM32" i="33"/>
  <c r="AL32" i="33"/>
  <c r="AK32" i="33"/>
  <c r="L32" i="33"/>
  <c r="AS32" i="33" s="1"/>
  <c r="AS31" i="33"/>
  <c r="AO31" i="33"/>
  <c r="AN31" i="33"/>
  <c r="AM31" i="33"/>
  <c r="AL31" i="33"/>
  <c r="AK31" i="33"/>
  <c r="L31" i="33"/>
  <c r="AO30" i="33"/>
  <c r="AN30" i="33"/>
  <c r="AM30" i="33"/>
  <c r="AL30" i="33"/>
  <c r="AK30" i="33"/>
  <c r="L30" i="33"/>
  <c r="AS30" i="33" s="1"/>
  <c r="AS29" i="33"/>
  <c r="AO29" i="33"/>
  <c r="AN29" i="33"/>
  <c r="AM29" i="33"/>
  <c r="AL29" i="33"/>
  <c r="AK29" i="33"/>
  <c r="L29" i="33"/>
  <c r="AO28" i="33"/>
  <c r="AN28" i="33"/>
  <c r="AM28" i="33"/>
  <c r="AL28" i="33"/>
  <c r="AK28" i="33"/>
  <c r="L28" i="33"/>
  <c r="AS28" i="33" s="1"/>
  <c r="AS27" i="33"/>
  <c r="AO27" i="33"/>
  <c r="AN27" i="33"/>
  <c r="AM27" i="33"/>
  <c r="AL27" i="33"/>
  <c r="AK27" i="33"/>
  <c r="L27" i="33"/>
  <c r="AS26" i="33"/>
  <c r="AO26" i="33"/>
  <c r="AN26" i="33"/>
  <c r="AM26" i="33"/>
  <c r="AL26" i="33"/>
  <c r="AK26" i="33"/>
  <c r="L26" i="33"/>
  <c r="AO25" i="33"/>
  <c r="AN25" i="33"/>
  <c r="AM25" i="33"/>
  <c r="AL25" i="33"/>
  <c r="AK25" i="33"/>
  <c r="L25" i="33"/>
  <c r="AS25" i="33" s="1"/>
  <c r="AS24" i="33"/>
  <c r="AO24" i="33"/>
  <c r="AN24" i="33"/>
  <c r="AM24" i="33"/>
  <c r="AL24" i="33"/>
  <c r="AK24" i="33"/>
  <c r="L24" i="33"/>
  <c r="AO23" i="33"/>
  <c r="AN23" i="33"/>
  <c r="AM23" i="33"/>
  <c r="AL23" i="33"/>
  <c r="AK23" i="33"/>
  <c r="L23" i="33"/>
  <c r="AS23" i="33" s="1"/>
  <c r="AS22" i="33"/>
  <c r="AO22" i="33"/>
  <c r="AN22" i="33"/>
  <c r="AM22" i="33"/>
  <c r="AL22" i="33"/>
  <c r="AK22" i="33"/>
  <c r="L22" i="33"/>
  <c r="AO21" i="33"/>
  <c r="AN21" i="33"/>
  <c r="AM21" i="33"/>
  <c r="AL21" i="33"/>
  <c r="AK21" i="33"/>
  <c r="L21" i="33"/>
  <c r="AS21" i="33" s="1"/>
  <c r="AO20" i="33"/>
  <c r="AN20" i="33"/>
  <c r="AM20" i="33"/>
  <c r="AL20" i="33"/>
  <c r="AK20" i="33"/>
  <c r="L20" i="33"/>
  <c r="AS20" i="33" s="1"/>
  <c r="AS19" i="33"/>
  <c r="AO19" i="33"/>
  <c r="AN19" i="33"/>
  <c r="AM19" i="33"/>
  <c r="AL19" i="33"/>
  <c r="AK19" i="33"/>
  <c r="L19" i="33"/>
  <c r="AO18" i="33"/>
  <c r="AN18" i="33"/>
  <c r="AM18" i="33"/>
  <c r="AL18" i="33"/>
  <c r="AK18" i="33"/>
  <c r="L18" i="33"/>
  <c r="AS18" i="33" s="1"/>
  <c r="AS17" i="33"/>
  <c r="AO17" i="33"/>
  <c r="AN17" i="33"/>
  <c r="AM17" i="33"/>
  <c r="AL17" i="33"/>
  <c r="AK17" i="33"/>
  <c r="L17" i="33"/>
  <c r="AO16" i="33"/>
  <c r="AN16" i="33"/>
  <c r="AM16" i="33"/>
  <c r="AL16" i="33"/>
  <c r="AK16" i="33"/>
  <c r="L16" i="33"/>
  <c r="AS16" i="33" s="1"/>
  <c r="AS15" i="33"/>
  <c r="AO15" i="33"/>
  <c r="AN15" i="33"/>
  <c r="AM15" i="33"/>
  <c r="AL15" i="33"/>
  <c r="AK15" i="33"/>
  <c r="L15" i="33"/>
  <c r="AS14" i="33"/>
  <c r="AO14" i="33"/>
  <c r="AN14" i="33"/>
  <c r="AM14" i="33"/>
  <c r="AL14" i="33"/>
  <c r="AK14" i="33"/>
  <c r="L14" i="33"/>
  <c r="AO13" i="33"/>
  <c r="AN13" i="33"/>
  <c r="AM13" i="33"/>
  <c r="AL13" i="33"/>
  <c r="AK13" i="33"/>
  <c r="L13" i="33"/>
  <c r="AS13" i="33" s="1"/>
  <c r="AS12" i="33"/>
  <c r="AO12" i="33"/>
  <c r="AN12" i="33"/>
  <c r="AM12" i="33"/>
  <c r="AL12" i="33"/>
  <c r="AK12" i="33"/>
  <c r="L12" i="33"/>
  <c r="AO11" i="33"/>
  <c r="AN11" i="33"/>
  <c r="AM11" i="33"/>
  <c r="AL11" i="33"/>
  <c r="AK11" i="33"/>
  <c r="L11" i="33"/>
  <c r="AS11" i="33" s="1"/>
  <c r="AS10" i="33"/>
  <c r="AO10" i="33"/>
  <c r="AN10" i="33"/>
  <c r="AM10" i="33"/>
  <c r="AL10" i="33"/>
  <c r="AK10" i="33"/>
  <c r="L10" i="33"/>
  <c r="AO9" i="33"/>
  <c r="AN9" i="33"/>
  <c r="AM9" i="33"/>
  <c r="AL9" i="33"/>
  <c r="AK9" i="33"/>
  <c r="L9" i="33"/>
  <c r="AS9" i="33" s="1"/>
  <c r="AO8" i="33"/>
  <c r="AN8" i="33"/>
  <c r="AM8" i="33"/>
  <c r="AL8" i="33"/>
  <c r="AK8" i="33"/>
  <c r="L8" i="33"/>
  <c r="AS8" i="33" s="1"/>
  <c r="AS7" i="33"/>
  <c r="AO7" i="33"/>
  <c r="AN7" i="33"/>
  <c r="AM7" i="33"/>
  <c r="AL7" i="33"/>
  <c r="AK7" i="33"/>
  <c r="L7" i="33"/>
  <c r="AO6" i="33"/>
  <c r="AN6" i="33"/>
  <c r="AM6" i="33"/>
  <c r="AL6" i="33"/>
  <c r="AK6" i="33"/>
  <c r="L6" i="33"/>
  <c r="AS6" i="33" s="1"/>
  <c r="AS5" i="33"/>
  <c r="AO5" i="33"/>
  <c r="AN5" i="33"/>
  <c r="AM5" i="33"/>
  <c r="AL5" i="33"/>
  <c r="AK5" i="33"/>
  <c r="L5" i="33"/>
  <c r="AG4" i="33"/>
  <c r="AF4" i="33"/>
  <c r="AE4" i="33"/>
  <c r="AD4" i="33"/>
  <c r="E4" i="33"/>
  <c r="D4" i="33"/>
  <c r="AS3" i="33"/>
  <c r="AA3" i="33"/>
  <c r="E3" i="33"/>
  <c r="AY57" i="32"/>
  <c r="AX57" i="32"/>
  <c r="AW57" i="32"/>
  <c r="AV57" i="32"/>
  <c r="AU57" i="32"/>
  <c r="AR57" i="32"/>
  <c r="AP57" i="32"/>
  <c r="AI55" i="32"/>
  <c r="AH55" i="32"/>
  <c r="AO54" i="32"/>
  <c r="AN54" i="32"/>
  <c r="AM54" i="32"/>
  <c r="AL54" i="32"/>
  <c r="AK54" i="32"/>
  <c r="L54" i="32"/>
  <c r="AS54" i="32" s="1"/>
  <c r="AS53" i="32"/>
  <c r="AO53" i="32"/>
  <c r="AN53" i="32"/>
  <c r="AM53" i="32"/>
  <c r="AL53" i="32"/>
  <c r="AK53" i="32"/>
  <c r="L53" i="32"/>
  <c r="AO52" i="32"/>
  <c r="AN52" i="32"/>
  <c r="AM52" i="32"/>
  <c r="AL52" i="32"/>
  <c r="AK52" i="32"/>
  <c r="L52" i="32"/>
  <c r="AS52" i="32" s="1"/>
  <c r="AO51" i="32"/>
  <c r="AN51" i="32"/>
  <c r="AM51" i="32"/>
  <c r="AL51" i="32"/>
  <c r="AK51" i="32"/>
  <c r="L51" i="32"/>
  <c r="AS51" i="32" s="1"/>
  <c r="AS50" i="32"/>
  <c r="AO50" i="32"/>
  <c r="AN50" i="32"/>
  <c r="AM50" i="32"/>
  <c r="AL50" i="32"/>
  <c r="AK50" i="32"/>
  <c r="L50" i="32"/>
  <c r="AO49" i="32"/>
  <c r="AN49" i="32"/>
  <c r="AM49" i="32"/>
  <c r="AL49" i="32"/>
  <c r="AK49" i="32"/>
  <c r="L49" i="32"/>
  <c r="AS49" i="32" s="1"/>
  <c r="AS48" i="32"/>
  <c r="AO48" i="32"/>
  <c r="AN48" i="32"/>
  <c r="AM48" i="32"/>
  <c r="AL48" i="32"/>
  <c r="AK48" i="32"/>
  <c r="L48" i="32"/>
  <c r="AO47" i="32"/>
  <c r="AN47" i="32"/>
  <c r="AM47" i="32"/>
  <c r="AL47" i="32"/>
  <c r="AK47" i="32"/>
  <c r="L47" i="32"/>
  <c r="AS47" i="32" s="1"/>
  <c r="AS46" i="32"/>
  <c r="AO46" i="32"/>
  <c r="AN46" i="32"/>
  <c r="AM46" i="32"/>
  <c r="AL46" i="32"/>
  <c r="AK46" i="32"/>
  <c r="L46" i="32"/>
  <c r="AS45" i="32"/>
  <c r="AO45" i="32"/>
  <c r="AN45" i="32"/>
  <c r="AM45" i="32"/>
  <c r="AL45" i="32"/>
  <c r="AK45" i="32"/>
  <c r="L45" i="32"/>
  <c r="AO44" i="32"/>
  <c r="AN44" i="32"/>
  <c r="AM44" i="32"/>
  <c r="AL44" i="32"/>
  <c r="AK44" i="32"/>
  <c r="L44" i="32"/>
  <c r="AS44" i="32" s="1"/>
  <c r="AS43" i="32"/>
  <c r="AO43" i="32"/>
  <c r="AN43" i="32"/>
  <c r="AM43" i="32"/>
  <c r="AL43" i="32"/>
  <c r="AK43" i="32"/>
  <c r="L43" i="32"/>
  <c r="AO42" i="32"/>
  <c r="AN42" i="32"/>
  <c r="AM42" i="32"/>
  <c r="AL42" i="32"/>
  <c r="AK42" i="32"/>
  <c r="L42" i="32"/>
  <c r="AS42" i="32" s="1"/>
  <c r="AS41" i="32"/>
  <c r="AO41" i="32"/>
  <c r="AN41" i="32"/>
  <c r="AM41" i="32"/>
  <c r="AL41" i="32"/>
  <c r="AK41" i="32"/>
  <c r="L41" i="32"/>
  <c r="AO40" i="32"/>
  <c r="AN40" i="32"/>
  <c r="AM40" i="32"/>
  <c r="AL40" i="32"/>
  <c r="AK40" i="32"/>
  <c r="L40" i="32"/>
  <c r="AS40" i="32" s="1"/>
  <c r="AO39" i="32"/>
  <c r="AN39" i="32"/>
  <c r="AM39" i="32"/>
  <c r="AL39" i="32"/>
  <c r="AK39" i="32"/>
  <c r="L39" i="32"/>
  <c r="AS39" i="32" s="1"/>
  <c r="AS38" i="32"/>
  <c r="AO38" i="32"/>
  <c r="AN38" i="32"/>
  <c r="AM38" i="32"/>
  <c r="AL38" i="32"/>
  <c r="AK38" i="32"/>
  <c r="L38" i="32"/>
  <c r="AO37" i="32"/>
  <c r="AN37" i="32"/>
  <c r="AM37" i="32"/>
  <c r="AL37" i="32"/>
  <c r="AK37" i="32"/>
  <c r="L37" i="32"/>
  <c r="AS37" i="32" s="1"/>
  <c r="AS36" i="32"/>
  <c r="AO36" i="32"/>
  <c r="AN36" i="32"/>
  <c r="AM36" i="32"/>
  <c r="AL36" i="32"/>
  <c r="AK36" i="32"/>
  <c r="L36" i="32"/>
  <c r="AO35" i="32"/>
  <c r="AN35" i="32"/>
  <c r="AM35" i="32"/>
  <c r="AL35" i="32"/>
  <c r="AK35" i="32"/>
  <c r="L35" i="32"/>
  <c r="AS35" i="32" s="1"/>
  <c r="AS34" i="32"/>
  <c r="AO34" i="32"/>
  <c r="AN34" i="32"/>
  <c r="AM34" i="32"/>
  <c r="AL34" i="32"/>
  <c r="AK34" i="32"/>
  <c r="L34" i="32"/>
  <c r="AS33" i="32"/>
  <c r="AO33" i="32"/>
  <c r="AN33" i="32"/>
  <c r="AM33" i="32"/>
  <c r="AL33" i="32"/>
  <c r="AK33" i="32"/>
  <c r="L33" i="32"/>
  <c r="AO32" i="32"/>
  <c r="AN32" i="32"/>
  <c r="AM32" i="32"/>
  <c r="AL32" i="32"/>
  <c r="AK32" i="32"/>
  <c r="L32" i="32"/>
  <c r="AS32" i="32" s="1"/>
  <c r="AS31" i="32"/>
  <c r="AO31" i="32"/>
  <c r="AN31" i="32"/>
  <c r="AM31" i="32"/>
  <c r="AL31" i="32"/>
  <c r="AK31" i="32"/>
  <c r="L31" i="32"/>
  <c r="AO30" i="32"/>
  <c r="AN30" i="32"/>
  <c r="AM30" i="32"/>
  <c r="AL30" i="32"/>
  <c r="AK30" i="32"/>
  <c r="L30" i="32"/>
  <c r="AS30" i="32" s="1"/>
  <c r="AS29" i="32"/>
  <c r="AO29" i="32"/>
  <c r="AN29" i="32"/>
  <c r="AM29" i="32"/>
  <c r="AL29" i="32"/>
  <c r="AK29" i="32"/>
  <c r="L29" i="32"/>
  <c r="AO28" i="32"/>
  <c r="AN28" i="32"/>
  <c r="AM28" i="32"/>
  <c r="AL28" i="32"/>
  <c r="AK28" i="32"/>
  <c r="L28" i="32"/>
  <c r="AS28" i="32" s="1"/>
  <c r="AO27" i="32"/>
  <c r="AN27" i="32"/>
  <c r="AM27" i="32"/>
  <c r="AL27" i="32"/>
  <c r="AK27" i="32"/>
  <c r="L27" i="32"/>
  <c r="AS27" i="32" s="1"/>
  <c r="AS26" i="32"/>
  <c r="AO26" i="32"/>
  <c r="AN26" i="32"/>
  <c r="AM26" i="32"/>
  <c r="AL26" i="32"/>
  <c r="AK26" i="32"/>
  <c r="L26" i="32"/>
  <c r="AO25" i="32"/>
  <c r="AN25" i="32"/>
  <c r="AM25" i="32"/>
  <c r="AL25" i="32"/>
  <c r="AK25" i="32"/>
  <c r="L25" i="32"/>
  <c r="AS25" i="32" s="1"/>
  <c r="AS24" i="32"/>
  <c r="AO24" i="32"/>
  <c r="AN24" i="32"/>
  <c r="AM24" i="32"/>
  <c r="AL24" i="32"/>
  <c r="AK24" i="32"/>
  <c r="L24" i="32"/>
  <c r="AO23" i="32"/>
  <c r="AN23" i="32"/>
  <c r="AM23" i="32"/>
  <c r="AL23" i="32"/>
  <c r="AK23" i="32"/>
  <c r="L23" i="32"/>
  <c r="AS23" i="32" s="1"/>
  <c r="AS22" i="32"/>
  <c r="AO22" i="32"/>
  <c r="AN22" i="32"/>
  <c r="AM22" i="32"/>
  <c r="AL22" i="32"/>
  <c r="AK22" i="32"/>
  <c r="L22" i="32"/>
  <c r="AS21" i="32"/>
  <c r="AO21" i="32"/>
  <c r="AN21" i="32"/>
  <c r="AM21" i="32"/>
  <c r="AL21" i="32"/>
  <c r="AK21" i="32"/>
  <c r="L21" i="32"/>
  <c r="AO20" i="32"/>
  <c r="AN20" i="32"/>
  <c r="AM20" i="32"/>
  <c r="AL20" i="32"/>
  <c r="AK20" i="32"/>
  <c r="L20" i="32"/>
  <c r="AS20" i="32" s="1"/>
  <c r="AS19" i="32"/>
  <c r="AO19" i="32"/>
  <c r="AN19" i="32"/>
  <c r="AM19" i="32"/>
  <c r="AL19" i="32"/>
  <c r="AK19" i="32"/>
  <c r="L19" i="32"/>
  <c r="AO18" i="32"/>
  <c r="AN18" i="32"/>
  <c r="AM18" i="32"/>
  <c r="AL18" i="32"/>
  <c r="AK18" i="32"/>
  <c r="L18" i="32"/>
  <c r="AS18" i="32" s="1"/>
  <c r="AS17" i="32"/>
  <c r="AO17" i="32"/>
  <c r="AN17" i="32"/>
  <c r="AM17" i="32"/>
  <c r="AL17" i="32"/>
  <c r="AK17" i="32"/>
  <c r="L17" i="32"/>
  <c r="AO16" i="32"/>
  <c r="AN16" i="32"/>
  <c r="AM16" i="32"/>
  <c r="AL16" i="32"/>
  <c r="AK16" i="32"/>
  <c r="L16" i="32"/>
  <c r="AS16" i="32" s="1"/>
  <c r="AO15" i="32"/>
  <c r="AN15" i="32"/>
  <c r="AM15" i="32"/>
  <c r="AL15" i="32"/>
  <c r="AK15" i="32"/>
  <c r="L15" i="32"/>
  <c r="AS15" i="32" s="1"/>
  <c r="AS14" i="32"/>
  <c r="AO14" i="32"/>
  <c r="AN14" i="32"/>
  <c r="AM14" i="32"/>
  <c r="AL14" i="32"/>
  <c r="AK14" i="32"/>
  <c r="L14" i="32"/>
  <c r="AO13" i="32"/>
  <c r="AN13" i="32"/>
  <c r="AM13" i="32"/>
  <c r="AL13" i="32"/>
  <c r="AK13" i="32"/>
  <c r="L13" i="32"/>
  <c r="AS13" i="32" s="1"/>
  <c r="AS12" i="32"/>
  <c r="AO12" i="32"/>
  <c r="AN12" i="32"/>
  <c r="AM12" i="32"/>
  <c r="AL12" i="32"/>
  <c r="AK12" i="32"/>
  <c r="L12" i="32"/>
  <c r="AO11" i="32"/>
  <c r="AN11" i="32"/>
  <c r="AM11" i="32"/>
  <c r="AL11" i="32"/>
  <c r="AK11" i="32"/>
  <c r="L11" i="32"/>
  <c r="AS11" i="32" s="1"/>
  <c r="AS10" i="32"/>
  <c r="AO10" i="32"/>
  <c r="AN10" i="32"/>
  <c r="AM10" i="32"/>
  <c r="AL10" i="32"/>
  <c r="AK10" i="32"/>
  <c r="L10" i="32"/>
  <c r="AS9" i="32"/>
  <c r="AO9" i="32"/>
  <c r="AN9" i="32"/>
  <c r="AM9" i="32"/>
  <c r="AL9" i="32"/>
  <c r="AK9" i="32"/>
  <c r="L9" i="32"/>
  <c r="AO8" i="32"/>
  <c r="AN8" i="32"/>
  <c r="AM8" i="32"/>
  <c r="AL8" i="32"/>
  <c r="AK8" i="32"/>
  <c r="L8" i="32"/>
  <c r="AS8" i="32" s="1"/>
  <c r="AS7" i="32"/>
  <c r="AO7" i="32"/>
  <c r="AN7" i="32"/>
  <c r="AM7" i="32"/>
  <c r="AL7" i="32"/>
  <c r="AK7" i="32"/>
  <c r="L7" i="32"/>
  <c r="AO6" i="32"/>
  <c r="AN6" i="32"/>
  <c r="AM6" i="32"/>
  <c r="AL6" i="32"/>
  <c r="AK6" i="32"/>
  <c r="L6" i="32"/>
  <c r="AS6" i="32" s="1"/>
  <c r="AS5" i="32"/>
  <c r="AO5" i="32"/>
  <c r="AN5" i="32"/>
  <c r="AM5" i="32"/>
  <c r="AL5" i="32"/>
  <c r="AK5" i="32"/>
  <c r="L5" i="32"/>
  <c r="AG4" i="32"/>
  <c r="AF4" i="32"/>
  <c r="AE4" i="32"/>
  <c r="AD4" i="32"/>
  <c r="E4" i="32"/>
  <c r="D4" i="32"/>
  <c r="AS3" i="32"/>
  <c r="AA3" i="32"/>
  <c r="E3" i="32"/>
  <c r="AY57" i="31"/>
  <c r="AX57" i="31"/>
  <c r="AW57" i="31"/>
  <c r="AV57" i="31"/>
  <c r="AU57" i="31"/>
  <c r="AR57" i="31"/>
  <c r="AP57" i="31"/>
  <c r="AI55" i="31"/>
  <c r="AH55" i="31"/>
  <c r="AO54" i="31"/>
  <c r="AN54" i="31"/>
  <c r="AM54" i="31"/>
  <c r="AL54" i="31"/>
  <c r="AK54" i="31"/>
  <c r="L54" i="31"/>
  <c r="AS54" i="31" s="1"/>
  <c r="AS53" i="31"/>
  <c r="AO53" i="31"/>
  <c r="AN53" i="31"/>
  <c r="AM53" i="31"/>
  <c r="AL53" i="31"/>
  <c r="AK53" i="31"/>
  <c r="L53" i="31"/>
  <c r="AS52" i="31"/>
  <c r="AO52" i="31"/>
  <c r="AN52" i="31"/>
  <c r="AM52" i="31"/>
  <c r="AL52" i="31"/>
  <c r="AK52" i="31"/>
  <c r="L52" i="31"/>
  <c r="AO51" i="31"/>
  <c r="AN51" i="31"/>
  <c r="AM51" i="31"/>
  <c r="AL51" i="31"/>
  <c r="AK51" i="31"/>
  <c r="L51" i="31"/>
  <c r="AS51" i="31" s="1"/>
  <c r="AS50" i="31"/>
  <c r="AO50" i="31"/>
  <c r="AN50" i="31"/>
  <c r="AM50" i="31"/>
  <c r="AL50" i="31"/>
  <c r="AK50" i="31"/>
  <c r="L50" i="31"/>
  <c r="AO49" i="31"/>
  <c r="AN49" i="31"/>
  <c r="AM49" i="31"/>
  <c r="AL49" i="31"/>
  <c r="AK49" i="31"/>
  <c r="L49" i="31"/>
  <c r="AS49" i="31" s="1"/>
  <c r="AS48" i="31"/>
  <c r="AO48" i="31"/>
  <c r="AN48" i="31"/>
  <c r="AM48" i="31"/>
  <c r="AL48" i="31"/>
  <c r="AK48" i="31"/>
  <c r="L48" i="31"/>
  <c r="AO47" i="31"/>
  <c r="AN47" i="31"/>
  <c r="AM47" i="31"/>
  <c r="AL47" i="31"/>
  <c r="AK47" i="31"/>
  <c r="L47" i="31"/>
  <c r="AS47" i="31" s="1"/>
  <c r="AO46" i="31"/>
  <c r="AN46" i="31"/>
  <c r="AM46" i="31"/>
  <c r="AL46" i="31"/>
  <c r="AK46" i="31"/>
  <c r="L46" i="31"/>
  <c r="AS46" i="31" s="1"/>
  <c r="AS45" i="31"/>
  <c r="AO45" i="31"/>
  <c r="AN45" i="31"/>
  <c r="AM45" i="31"/>
  <c r="AL45" i="31"/>
  <c r="AK45" i="31"/>
  <c r="L45" i="31"/>
  <c r="AO44" i="31"/>
  <c r="AN44" i="31"/>
  <c r="AM44" i="31"/>
  <c r="AL44" i="31"/>
  <c r="AK44" i="31"/>
  <c r="L44" i="31"/>
  <c r="AS44" i="31" s="1"/>
  <c r="AS43" i="31"/>
  <c r="AO43" i="31"/>
  <c r="AN43" i="31"/>
  <c r="AM43" i="31"/>
  <c r="AL43" i="31"/>
  <c r="AK43" i="31"/>
  <c r="L43" i="31"/>
  <c r="AO42" i="31"/>
  <c r="AN42" i="31"/>
  <c r="AM42" i="31"/>
  <c r="AL42" i="31"/>
  <c r="AK42" i="31"/>
  <c r="L42" i="31"/>
  <c r="AS42" i="31" s="1"/>
  <c r="AS41" i="31"/>
  <c r="AO41" i="31"/>
  <c r="AN41" i="31"/>
  <c r="AM41" i="31"/>
  <c r="AL41" i="31"/>
  <c r="AK41" i="31"/>
  <c r="L41" i="31"/>
  <c r="AS40" i="31"/>
  <c r="AO40" i="31"/>
  <c r="AN40" i="31"/>
  <c r="AM40" i="31"/>
  <c r="AL40" i="31"/>
  <c r="AK40" i="31"/>
  <c r="L40" i="31"/>
  <c r="AO39" i="31"/>
  <c r="AN39" i="31"/>
  <c r="AM39" i="31"/>
  <c r="AL39" i="31"/>
  <c r="AK39" i="31"/>
  <c r="L39" i="31"/>
  <c r="AS39" i="31" s="1"/>
  <c r="AS38" i="31"/>
  <c r="AO38" i="31"/>
  <c r="AN38" i="31"/>
  <c r="AM38" i="31"/>
  <c r="AL38" i="31"/>
  <c r="AK38" i="31"/>
  <c r="L38" i="31"/>
  <c r="AO37" i="31"/>
  <c r="AN37" i="31"/>
  <c r="AM37" i="31"/>
  <c r="AL37" i="31"/>
  <c r="AK37" i="31"/>
  <c r="L37" i="31"/>
  <c r="AS37" i="31" s="1"/>
  <c r="AS36" i="31"/>
  <c r="AO36" i="31"/>
  <c r="AN36" i="31"/>
  <c r="AM36" i="31"/>
  <c r="AL36" i="31"/>
  <c r="AK36" i="31"/>
  <c r="L36" i="31"/>
  <c r="AO35" i="31"/>
  <c r="AN35" i="31"/>
  <c r="AM35" i="31"/>
  <c r="AL35" i="31"/>
  <c r="AK35" i="31"/>
  <c r="L35" i="31"/>
  <c r="AS35" i="31" s="1"/>
  <c r="AO34" i="31"/>
  <c r="AN34" i="31"/>
  <c r="AM34" i="31"/>
  <c r="AL34" i="31"/>
  <c r="AK34" i="31"/>
  <c r="L34" i="31"/>
  <c r="AS34" i="31" s="1"/>
  <c r="AS33" i="31"/>
  <c r="AO33" i="31"/>
  <c r="AN33" i="31"/>
  <c r="AM33" i="31"/>
  <c r="AL33" i="31"/>
  <c r="AK33" i="31"/>
  <c r="L33" i="31"/>
  <c r="AO32" i="31"/>
  <c r="AN32" i="31"/>
  <c r="AM32" i="31"/>
  <c r="AL32" i="31"/>
  <c r="AK32" i="31"/>
  <c r="L32" i="31"/>
  <c r="AS32" i="31" s="1"/>
  <c r="AS31" i="31"/>
  <c r="AO31" i="31"/>
  <c r="AN31" i="31"/>
  <c r="AM31" i="31"/>
  <c r="AL31" i="31"/>
  <c r="AK31" i="31"/>
  <c r="L31" i="31"/>
  <c r="AO30" i="31"/>
  <c r="AN30" i="31"/>
  <c r="AM30" i="31"/>
  <c r="AL30" i="31"/>
  <c r="AK30" i="31"/>
  <c r="L30" i="31"/>
  <c r="AS30" i="31" s="1"/>
  <c r="AS29" i="31"/>
  <c r="AO29" i="31"/>
  <c r="AN29" i="31"/>
  <c r="AM29" i="31"/>
  <c r="AL29" i="31"/>
  <c r="AK29" i="31"/>
  <c r="L29" i="31"/>
  <c r="AS28" i="31"/>
  <c r="AO28" i="31"/>
  <c r="AN28" i="31"/>
  <c r="AM28" i="31"/>
  <c r="AL28" i="31"/>
  <c r="AK28" i="31"/>
  <c r="L28" i="31"/>
  <c r="AO27" i="31"/>
  <c r="AN27" i="31"/>
  <c r="AM27" i="31"/>
  <c r="AL27" i="31"/>
  <c r="AK27" i="31"/>
  <c r="L27" i="31"/>
  <c r="AS27" i="31" s="1"/>
  <c r="AS26" i="31"/>
  <c r="AO26" i="31"/>
  <c r="AN26" i="31"/>
  <c r="AM26" i="31"/>
  <c r="AL26" i="31"/>
  <c r="AK26" i="31"/>
  <c r="L26" i="31"/>
  <c r="AO25" i="31"/>
  <c r="AN25" i="31"/>
  <c r="AM25" i="31"/>
  <c r="AL25" i="31"/>
  <c r="AK25" i="31"/>
  <c r="L25" i="31"/>
  <c r="AS25" i="31" s="1"/>
  <c r="AS24" i="31"/>
  <c r="AO24" i="31"/>
  <c r="AN24" i="31"/>
  <c r="AM24" i="31"/>
  <c r="AL24" i="31"/>
  <c r="AK24" i="31"/>
  <c r="L24" i="31"/>
  <c r="AO23" i="31"/>
  <c r="AN23" i="31"/>
  <c r="AM23" i="31"/>
  <c r="AL23" i="31"/>
  <c r="AK23" i="31"/>
  <c r="L23" i="31"/>
  <c r="AS23" i="31" s="1"/>
  <c r="AO22" i="31"/>
  <c r="AN22" i="31"/>
  <c r="AM22" i="31"/>
  <c r="AL22" i="31"/>
  <c r="AK22" i="31"/>
  <c r="L22" i="31"/>
  <c r="AS22" i="31" s="1"/>
  <c r="AS21" i="31"/>
  <c r="AO21" i="31"/>
  <c r="AN21" i="31"/>
  <c r="AM21" i="31"/>
  <c r="AL21" i="31"/>
  <c r="AK21" i="31"/>
  <c r="L21" i="31"/>
  <c r="AO20" i="31"/>
  <c r="AN20" i="31"/>
  <c r="AM20" i="31"/>
  <c r="AL20" i="31"/>
  <c r="AK20" i="31"/>
  <c r="L20" i="31"/>
  <c r="AS20" i="31" s="1"/>
  <c r="AS19" i="31"/>
  <c r="AO19" i="31"/>
  <c r="AN19" i="31"/>
  <c r="AM19" i="31"/>
  <c r="AL19" i="31"/>
  <c r="AK19" i="31"/>
  <c r="L19" i="31"/>
  <c r="AO18" i="31"/>
  <c r="AN18" i="31"/>
  <c r="AM18" i="31"/>
  <c r="AL18" i="31"/>
  <c r="AK18" i="31"/>
  <c r="L18" i="31"/>
  <c r="AS18" i="31" s="1"/>
  <c r="AS17" i="31"/>
  <c r="AO17" i="31"/>
  <c r="AN17" i="31"/>
  <c r="AM17" i="31"/>
  <c r="AL17" i="31"/>
  <c r="AK17" i="31"/>
  <c r="L17" i="31"/>
  <c r="AS16" i="31"/>
  <c r="AO16" i="31"/>
  <c r="AN16" i="31"/>
  <c r="AM16" i="31"/>
  <c r="AL16" i="31"/>
  <c r="AK16" i="31"/>
  <c r="L16" i="31"/>
  <c r="AO15" i="31"/>
  <c r="AN15" i="31"/>
  <c r="AM15" i="31"/>
  <c r="AL15" i="31"/>
  <c r="AK15" i="31"/>
  <c r="L15" i="31"/>
  <c r="AS15" i="31" s="1"/>
  <c r="AS14" i="31"/>
  <c r="AO14" i="31"/>
  <c r="AN14" i="31"/>
  <c r="AM14" i="31"/>
  <c r="AL14" i="31"/>
  <c r="AK14" i="31"/>
  <c r="L14" i="31"/>
  <c r="AO13" i="31"/>
  <c r="AN13" i="31"/>
  <c r="AM13" i="31"/>
  <c r="AL13" i="31"/>
  <c r="AK13" i="31"/>
  <c r="L13" i="31"/>
  <c r="AS13" i="31" s="1"/>
  <c r="AS12" i="31"/>
  <c r="AO12" i="31"/>
  <c r="AN12" i="31"/>
  <c r="AM12" i="31"/>
  <c r="AL12" i="31"/>
  <c r="AK12" i="31"/>
  <c r="L12" i="31"/>
  <c r="AO11" i="31"/>
  <c r="AN11" i="31"/>
  <c r="AM11" i="31"/>
  <c r="AL11" i="31"/>
  <c r="AK11" i="31"/>
  <c r="L11" i="31"/>
  <c r="AS11" i="31" s="1"/>
  <c r="AO10" i="31"/>
  <c r="AN10" i="31"/>
  <c r="AM10" i="31"/>
  <c r="AL10" i="31"/>
  <c r="AK10" i="31"/>
  <c r="L10" i="31"/>
  <c r="AS10" i="31" s="1"/>
  <c r="AS9" i="31"/>
  <c r="AO9" i="31"/>
  <c r="AN9" i="31"/>
  <c r="AM9" i="31"/>
  <c r="AL9" i="31"/>
  <c r="AK9" i="31"/>
  <c r="L9" i="31"/>
  <c r="AO8" i="31"/>
  <c r="AN8" i="31"/>
  <c r="AM8" i="31"/>
  <c r="AL8" i="31"/>
  <c r="AK8" i="31"/>
  <c r="L8" i="31"/>
  <c r="AS8" i="31" s="1"/>
  <c r="AS7" i="31"/>
  <c r="AO7" i="31"/>
  <c r="AN7" i="31"/>
  <c r="AM7" i="31"/>
  <c r="AL7" i="31"/>
  <c r="AK7" i="31"/>
  <c r="L7" i="31"/>
  <c r="AO6" i="31"/>
  <c r="AN6" i="31"/>
  <c r="AM6" i="31"/>
  <c r="AL6" i="31"/>
  <c r="AK6" i="31"/>
  <c r="L6" i="31"/>
  <c r="AS5" i="31"/>
  <c r="AO5" i="31"/>
  <c r="AN5" i="31"/>
  <c r="AM5" i="31"/>
  <c r="AL5" i="31"/>
  <c r="AK5" i="31"/>
  <c r="L5" i="31"/>
  <c r="AG4" i="31"/>
  <c r="AF4" i="31"/>
  <c r="AE4" i="31"/>
  <c r="AD4" i="31"/>
  <c r="E4" i="31"/>
  <c r="D4" i="31"/>
  <c r="AS3" i="31"/>
  <c r="AA3" i="31"/>
  <c r="E3" i="31"/>
  <c r="AY57" i="30"/>
  <c r="AX57" i="30"/>
  <c r="AW57" i="30"/>
  <c r="AV57" i="30"/>
  <c r="AU57" i="30"/>
  <c r="AR57" i="30"/>
  <c r="AP57" i="30"/>
  <c r="AI55" i="30"/>
  <c r="AH55" i="30"/>
  <c r="AO54" i="30"/>
  <c r="AN54" i="30"/>
  <c r="AM54" i="30"/>
  <c r="AL54" i="30"/>
  <c r="AK54" i="30"/>
  <c r="L54" i="30"/>
  <c r="AS54" i="30" s="1"/>
  <c r="AO53" i="30"/>
  <c r="AN53" i="30"/>
  <c r="AM53" i="30"/>
  <c r="AL53" i="30"/>
  <c r="AK53" i="30"/>
  <c r="L53" i="30"/>
  <c r="AS53" i="30" s="1"/>
  <c r="AS52" i="30"/>
  <c r="AO52" i="30"/>
  <c r="AN52" i="30"/>
  <c r="AM52" i="30"/>
  <c r="AL52" i="30"/>
  <c r="AK52" i="30"/>
  <c r="L52" i="30"/>
  <c r="AO51" i="30"/>
  <c r="AN51" i="30"/>
  <c r="AM51" i="30"/>
  <c r="AL51" i="30"/>
  <c r="AK51" i="30"/>
  <c r="L51" i="30"/>
  <c r="AS51" i="30" s="1"/>
  <c r="AS50" i="30"/>
  <c r="AO50" i="30"/>
  <c r="AN50" i="30"/>
  <c r="AM50" i="30"/>
  <c r="AL50" i="30"/>
  <c r="AK50" i="30"/>
  <c r="L50" i="30"/>
  <c r="AO49" i="30"/>
  <c r="AN49" i="30"/>
  <c r="AM49" i="30"/>
  <c r="AL49" i="30"/>
  <c r="AK49" i="30"/>
  <c r="L49" i="30"/>
  <c r="AS49" i="30" s="1"/>
  <c r="AS48" i="30"/>
  <c r="AO48" i="30"/>
  <c r="AN48" i="30"/>
  <c r="AM48" i="30"/>
  <c r="AL48" i="30"/>
  <c r="AK48" i="30"/>
  <c r="L48" i="30"/>
  <c r="AS47" i="30"/>
  <c r="AO47" i="30"/>
  <c r="AN47" i="30"/>
  <c r="AM47" i="30"/>
  <c r="AL47" i="30"/>
  <c r="AK47" i="30"/>
  <c r="L47" i="30"/>
  <c r="AO46" i="30"/>
  <c r="AN46" i="30"/>
  <c r="AM46" i="30"/>
  <c r="AL46" i="30"/>
  <c r="AK46" i="30"/>
  <c r="L46" i="30"/>
  <c r="AS46" i="30" s="1"/>
  <c r="AS45" i="30"/>
  <c r="AO45" i="30"/>
  <c r="AN45" i="30"/>
  <c r="AM45" i="30"/>
  <c r="AL45" i="30"/>
  <c r="AK45" i="30"/>
  <c r="L45" i="30"/>
  <c r="AO44" i="30"/>
  <c r="AN44" i="30"/>
  <c r="AM44" i="30"/>
  <c r="AL44" i="30"/>
  <c r="AK44" i="30"/>
  <c r="L44" i="30"/>
  <c r="AS44" i="30" s="1"/>
  <c r="AS43" i="30"/>
  <c r="AO43" i="30"/>
  <c r="AN43" i="30"/>
  <c r="AM43" i="30"/>
  <c r="AL43" i="30"/>
  <c r="AK43" i="30"/>
  <c r="L43" i="30"/>
  <c r="AO42" i="30"/>
  <c r="AN42" i="30"/>
  <c r="AM42" i="30"/>
  <c r="AL42" i="30"/>
  <c r="AK42" i="30"/>
  <c r="L42" i="30"/>
  <c r="AS42" i="30" s="1"/>
  <c r="AO41" i="30"/>
  <c r="AN41" i="30"/>
  <c r="AM41" i="30"/>
  <c r="AL41" i="30"/>
  <c r="AK41" i="30"/>
  <c r="L41" i="30"/>
  <c r="AS41" i="30" s="1"/>
  <c r="AS40" i="30"/>
  <c r="AO40" i="30"/>
  <c r="AN40" i="30"/>
  <c r="AM40" i="30"/>
  <c r="AL40" i="30"/>
  <c r="AK40" i="30"/>
  <c r="L40" i="30"/>
  <c r="AO39" i="30"/>
  <c r="AN39" i="30"/>
  <c r="AM39" i="30"/>
  <c r="AL39" i="30"/>
  <c r="AK39" i="30"/>
  <c r="L39" i="30"/>
  <c r="AS39" i="30" s="1"/>
  <c r="AS38" i="30"/>
  <c r="AO38" i="30"/>
  <c r="AN38" i="30"/>
  <c r="AM38" i="30"/>
  <c r="AL38" i="30"/>
  <c r="AK38" i="30"/>
  <c r="L38" i="30"/>
  <c r="AO37" i="30"/>
  <c r="AN37" i="30"/>
  <c r="AM37" i="30"/>
  <c r="AL37" i="30"/>
  <c r="AK37" i="30"/>
  <c r="L37" i="30"/>
  <c r="AS37" i="30" s="1"/>
  <c r="AS36" i="30"/>
  <c r="AO36" i="30"/>
  <c r="AN36" i="30"/>
  <c r="AM36" i="30"/>
  <c r="AL36" i="30"/>
  <c r="AK36" i="30"/>
  <c r="L36" i="30"/>
  <c r="AS35" i="30"/>
  <c r="AO35" i="30"/>
  <c r="AN35" i="30"/>
  <c r="AM35" i="30"/>
  <c r="AL35" i="30"/>
  <c r="AK35" i="30"/>
  <c r="L35" i="30"/>
  <c r="AO34" i="30"/>
  <c r="AN34" i="30"/>
  <c r="AM34" i="30"/>
  <c r="AL34" i="30"/>
  <c r="AK34" i="30"/>
  <c r="L34" i="30"/>
  <c r="AS34" i="30" s="1"/>
  <c r="AS33" i="30"/>
  <c r="AO33" i="30"/>
  <c r="AN33" i="30"/>
  <c r="AM33" i="30"/>
  <c r="AL33" i="30"/>
  <c r="AK33" i="30"/>
  <c r="L33" i="30"/>
  <c r="AO32" i="30"/>
  <c r="AN32" i="30"/>
  <c r="AM32" i="30"/>
  <c r="AL32" i="30"/>
  <c r="AK32" i="30"/>
  <c r="L32" i="30"/>
  <c r="AS32" i="30" s="1"/>
  <c r="AS31" i="30"/>
  <c r="AO31" i="30"/>
  <c r="AN31" i="30"/>
  <c r="AM31" i="30"/>
  <c r="AL31" i="30"/>
  <c r="AK31" i="30"/>
  <c r="L31" i="30"/>
  <c r="AO30" i="30"/>
  <c r="AN30" i="30"/>
  <c r="AM30" i="30"/>
  <c r="AL30" i="30"/>
  <c r="AK30" i="30"/>
  <c r="L30" i="30"/>
  <c r="AS30" i="30" s="1"/>
  <c r="AO29" i="30"/>
  <c r="AN29" i="30"/>
  <c r="AM29" i="30"/>
  <c r="AL29" i="30"/>
  <c r="AK29" i="30"/>
  <c r="L29" i="30"/>
  <c r="AS29" i="30" s="1"/>
  <c r="AS28" i="30"/>
  <c r="AO28" i="30"/>
  <c r="AN28" i="30"/>
  <c r="AM28" i="30"/>
  <c r="AL28" i="30"/>
  <c r="AK28" i="30"/>
  <c r="L28" i="30"/>
  <c r="AO27" i="30"/>
  <c r="AN27" i="30"/>
  <c r="AM27" i="30"/>
  <c r="AL27" i="30"/>
  <c r="AK27" i="30"/>
  <c r="L27" i="30"/>
  <c r="AS27" i="30" s="1"/>
  <c r="AS26" i="30"/>
  <c r="AO26" i="30"/>
  <c r="AN26" i="30"/>
  <c r="AM26" i="30"/>
  <c r="AL26" i="30"/>
  <c r="AK26" i="30"/>
  <c r="L26" i="30"/>
  <c r="AO25" i="30"/>
  <c r="AN25" i="30"/>
  <c r="AM25" i="30"/>
  <c r="AL25" i="30"/>
  <c r="AK25" i="30"/>
  <c r="L25" i="30"/>
  <c r="AS25" i="30" s="1"/>
  <c r="AS24" i="30"/>
  <c r="AO24" i="30"/>
  <c r="AN24" i="30"/>
  <c r="AM24" i="30"/>
  <c r="AL24" i="30"/>
  <c r="AK24" i="30"/>
  <c r="L24" i="30"/>
  <c r="AS23" i="30"/>
  <c r="AO23" i="30"/>
  <c r="AN23" i="30"/>
  <c r="AM23" i="30"/>
  <c r="AL23" i="30"/>
  <c r="AK23" i="30"/>
  <c r="L23" i="30"/>
  <c r="AO22" i="30"/>
  <c r="AN22" i="30"/>
  <c r="AM22" i="30"/>
  <c r="AL22" i="30"/>
  <c r="AK22" i="30"/>
  <c r="L22" i="30"/>
  <c r="AS22" i="30" s="1"/>
  <c r="AS21" i="30"/>
  <c r="AO21" i="30"/>
  <c r="AN21" i="30"/>
  <c r="AM21" i="30"/>
  <c r="AL21" i="30"/>
  <c r="AK21" i="30"/>
  <c r="L21" i="30"/>
  <c r="AO20" i="30"/>
  <c r="AN20" i="30"/>
  <c r="AM20" i="30"/>
  <c r="AL20" i="30"/>
  <c r="AK20" i="30"/>
  <c r="L20" i="30"/>
  <c r="AS20" i="30" s="1"/>
  <c r="AS19" i="30"/>
  <c r="AO19" i="30"/>
  <c r="AN19" i="30"/>
  <c r="AM19" i="30"/>
  <c r="AL19" i="30"/>
  <c r="AK19" i="30"/>
  <c r="L19" i="30"/>
  <c r="AO18" i="30"/>
  <c r="AN18" i="30"/>
  <c r="AM18" i="30"/>
  <c r="AL18" i="30"/>
  <c r="AK18" i="30"/>
  <c r="L18" i="30"/>
  <c r="AS18" i="30" s="1"/>
  <c r="AO17" i="30"/>
  <c r="AN17" i="30"/>
  <c r="AM17" i="30"/>
  <c r="AL17" i="30"/>
  <c r="AK17" i="30"/>
  <c r="L17" i="30"/>
  <c r="AS17" i="30" s="1"/>
  <c r="AS16" i="30"/>
  <c r="AO16" i="30"/>
  <c r="AN16" i="30"/>
  <c r="AM16" i="30"/>
  <c r="AL16" i="30"/>
  <c r="AK16" i="30"/>
  <c r="L16" i="30"/>
  <c r="AO15" i="30"/>
  <c r="AN15" i="30"/>
  <c r="AM15" i="30"/>
  <c r="AL15" i="30"/>
  <c r="AK15" i="30"/>
  <c r="L15" i="30"/>
  <c r="AS15" i="30" s="1"/>
  <c r="AS14" i="30"/>
  <c r="AO14" i="30"/>
  <c r="AN14" i="30"/>
  <c r="AM14" i="30"/>
  <c r="AL14" i="30"/>
  <c r="AK14" i="30"/>
  <c r="L14" i="30"/>
  <c r="AO13" i="30"/>
  <c r="AN13" i="30"/>
  <c r="AM13" i="30"/>
  <c r="AL13" i="30"/>
  <c r="AK13" i="30"/>
  <c r="L13" i="30"/>
  <c r="AS13" i="30" s="1"/>
  <c r="AS12" i="30"/>
  <c r="AO12" i="30"/>
  <c r="AN12" i="30"/>
  <c r="AM12" i="30"/>
  <c r="AL12" i="30"/>
  <c r="AK12" i="30"/>
  <c r="L12" i="30"/>
  <c r="AS11" i="30"/>
  <c r="AO11" i="30"/>
  <c r="AN11" i="30"/>
  <c r="AM11" i="30"/>
  <c r="AL11" i="30"/>
  <c r="AK11" i="30"/>
  <c r="L11" i="30"/>
  <c r="AO10" i="30"/>
  <c r="AN10" i="30"/>
  <c r="AM10" i="30"/>
  <c r="AL10" i="30"/>
  <c r="AK10" i="30"/>
  <c r="L10" i="30"/>
  <c r="AS10" i="30" s="1"/>
  <c r="AS9" i="30"/>
  <c r="AO9" i="30"/>
  <c r="AN9" i="30"/>
  <c r="AM9" i="30"/>
  <c r="AL9" i="30"/>
  <c r="AK9" i="30"/>
  <c r="L9" i="30"/>
  <c r="AO8" i="30"/>
  <c r="AN8" i="30"/>
  <c r="AM8" i="30"/>
  <c r="AL8" i="30"/>
  <c r="AK8" i="30"/>
  <c r="L8" i="30"/>
  <c r="AS8" i="30" s="1"/>
  <c r="AS7" i="30"/>
  <c r="AO7" i="30"/>
  <c r="AN7" i="30"/>
  <c r="AM7" i="30"/>
  <c r="AL7" i="30"/>
  <c r="AK7" i="30"/>
  <c r="L7" i="30"/>
  <c r="AO6" i="30"/>
  <c r="AN6" i="30"/>
  <c r="AM6" i="30"/>
  <c r="AL6" i="30"/>
  <c r="AK6" i="30"/>
  <c r="L6" i="30"/>
  <c r="AO5" i="30"/>
  <c r="AN5" i="30"/>
  <c r="AM5" i="30"/>
  <c r="AL5" i="30"/>
  <c r="AK5" i="30"/>
  <c r="L5" i="30"/>
  <c r="AS5" i="30" s="1"/>
  <c r="AG4" i="30"/>
  <c r="AF4" i="30"/>
  <c r="AE4" i="30"/>
  <c r="AD4" i="30"/>
  <c r="E4" i="30"/>
  <c r="D4" i="30"/>
  <c r="AS3" i="30"/>
  <c r="AA3" i="30"/>
  <c r="E3" i="30"/>
  <c r="AY57" i="29"/>
  <c r="AX57" i="29"/>
  <c r="AW57" i="29"/>
  <c r="AV57" i="29"/>
  <c r="AU57" i="29"/>
  <c r="AR57" i="29"/>
  <c r="AP57" i="29"/>
  <c r="AI55" i="29"/>
  <c r="AH55" i="29"/>
  <c r="AO54" i="29"/>
  <c r="AN54" i="29"/>
  <c r="AM54" i="29"/>
  <c r="AL54" i="29"/>
  <c r="AK54" i="29"/>
  <c r="L54" i="29"/>
  <c r="AS54" i="29" s="1"/>
  <c r="AS53" i="29"/>
  <c r="AO53" i="29"/>
  <c r="AN53" i="29"/>
  <c r="AM53" i="29"/>
  <c r="AL53" i="29"/>
  <c r="AK53" i="29"/>
  <c r="L53" i="29"/>
  <c r="AO52" i="29"/>
  <c r="AN52" i="29"/>
  <c r="AM52" i="29"/>
  <c r="AL52" i="29"/>
  <c r="AK52" i="29"/>
  <c r="L52" i="29"/>
  <c r="AS52" i="29" s="1"/>
  <c r="AS51" i="29"/>
  <c r="AO51" i="29"/>
  <c r="AN51" i="29"/>
  <c r="AM51" i="29"/>
  <c r="AL51" i="29"/>
  <c r="AK51" i="29"/>
  <c r="L51" i="29"/>
  <c r="AS50" i="29"/>
  <c r="AO50" i="29"/>
  <c r="AN50" i="29"/>
  <c r="AM50" i="29"/>
  <c r="AL50" i="29"/>
  <c r="AK50" i="29"/>
  <c r="L50" i="29"/>
  <c r="AO49" i="29"/>
  <c r="AN49" i="29"/>
  <c r="AM49" i="29"/>
  <c r="AL49" i="29"/>
  <c r="AK49" i="29"/>
  <c r="L49" i="29"/>
  <c r="AS49" i="29" s="1"/>
  <c r="AS48" i="29"/>
  <c r="AO48" i="29"/>
  <c r="AN48" i="29"/>
  <c r="AM48" i="29"/>
  <c r="AL48" i="29"/>
  <c r="AK48" i="29"/>
  <c r="L48" i="29"/>
  <c r="AO47" i="29"/>
  <c r="AN47" i="29"/>
  <c r="AM47" i="29"/>
  <c r="AL47" i="29"/>
  <c r="AK47" i="29"/>
  <c r="L47" i="29"/>
  <c r="AS47" i="29" s="1"/>
  <c r="AS46" i="29"/>
  <c r="AO46" i="29"/>
  <c r="AN46" i="29"/>
  <c r="AM46" i="29"/>
  <c r="AL46" i="29"/>
  <c r="AK46" i="29"/>
  <c r="L46" i="29"/>
  <c r="AO45" i="29"/>
  <c r="AN45" i="29"/>
  <c r="AM45" i="29"/>
  <c r="AL45" i="29"/>
  <c r="AK45" i="29"/>
  <c r="L45" i="29"/>
  <c r="AS45" i="29" s="1"/>
  <c r="AO44" i="29"/>
  <c r="AN44" i="29"/>
  <c r="AM44" i="29"/>
  <c r="AL44" i="29"/>
  <c r="AK44" i="29"/>
  <c r="L44" i="29"/>
  <c r="AS44" i="29" s="1"/>
  <c r="AS43" i="29"/>
  <c r="AO43" i="29"/>
  <c r="AN43" i="29"/>
  <c r="AM43" i="29"/>
  <c r="AL43" i="29"/>
  <c r="AK43" i="29"/>
  <c r="L43" i="29"/>
  <c r="AO42" i="29"/>
  <c r="AN42" i="29"/>
  <c r="AM42" i="29"/>
  <c r="AL42" i="29"/>
  <c r="AK42" i="29"/>
  <c r="L42" i="29"/>
  <c r="AS42" i="29" s="1"/>
  <c r="AS41" i="29"/>
  <c r="AO41" i="29"/>
  <c r="AN41" i="29"/>
  <c r="AM41" i="29"/>
  <c r="AL41" i="29"/>
  <c r="AK41" i="29"/>
  <c r="L41" i="29"/>
  <c r="AO40" i="29"/>
  <c r="AN40" i="29"/>
  <c r="AM40" i="29"/>
  <c r="AL40" i="29"/>
  <c r="AK40" i="29"/>
  <c r="L40" i="29"/>
  <c r="AS40" i="29" s="1"/>
  <c r="AS39" i="29"/>
  <c r="AO39" i="29"/>
  <c r="AN39" i="29"/>
  <c r="AM39" i="29"/>
  <c r="AL39" i="29"/>
  <c r="AK39" i="29"/>
  <c r="L39" i="29"/>
  <c r="AS38" i="29"/>
  <c r="AO38" i="29"/>
  <c r="AN38" i="29"/>
  <c r="AM38" i="29"/>
  <c r="AL38" i="29"/>
  <c r="AK38" i="29"/>
  <c r="L38" i="29"/>
  <c r="AO37" i="29"/>
  <c r="AN37" i="29"/>
  <c r="AM37" i="29"/>
  <c r="AL37" i="29"/>
  <c r="AK37" i="29"/>
  <c r="L37" i="29"/>
  <c r="AS37" i="29" s="1"/>
  <c r="AS36" i="29"/>
  <c r="AO36" i="29"/>
  <c r="AN36" i="29"/>
  <c r="AM36" i="29"/>
  <c r="AL36" i="29"/>
  <c r="AK36" i="29"/>
  <c r="L36" i="29"/>
  <c r="AO35" i="29"/>
  <c r="AN35" i="29"/>
  <c r="AM35" i="29"/>
  <c r="AL35" i="29"/>
  <c r="AK35" i="29"/>
  <c r="L35" i="29"/>
  <c r="AS35" i="29" s="1"/>
  <c r="AS34" i="29"/>
  <c r="AO34" i="29"/>
  <c r="AN34" i="29"/>
  <c r="AM34" i="29"/>
  <c r="AL34" i="29"/>
  <c r="AK34" i="29"/>
  <c r="L34" i="29"/>
  <c r="AO33" i="29"/>
  <c r="AN33" i="29"/>
  <c r="AM33" i="29"/>
  <c r="AL33" i="29"/>
  <c r="AK33" i="29"/>
  <c r="L33" i="29"/>
  <c r="AS33" i="29" s="1"/>
  <c r="AO32" i="29"/>
  <c r="AN32" i="29"/>
  <c r="AM32" i="29"/>
  <c r="AL32" i="29"/>
  <c r="AK32" i="29"/>
  <c r="L32" i="29"/>
  <c r="AS32" i="29" s="1"/>
  <c r="AS31" i="29"/>
  <c r="AO31" i="29"/>
  <c r="AN31" i="29"/>
  <c r="AM31" i="29"/>
  <c r="AL31" i="29"/>
  <c r="AK31" i="29"/>
  <c r="L31" i="29"/>
  <c r="AO30" i="29"/>
  <c r="AN30" i="29"/>
  <c r="AM30" i="29"/>
  <c r="AL30" i="29"/>
  <c r="AK30" i="29"/>
  <c r="L30" i="29"/>
  <c r="AS30" i="29" s="1"/>
  <c r="AS29" i="29"/>
  <c r="AO29" i="29"/>
  <c r="AN29" i="29"/>
  <c r="AM29" i="29"/>
  <c r="AL29" i="29"/>
  <c r="AK29" i="29"/>
  <c r="L29" i="29"/>
  <c r="AO28" i="29"/>
  <c r="AN28" i="29"/>
  <c r="AM28" i="29"/>
  <c r="AL28" i="29"/>
  <c r="AK28" i="29"/>
  <c r="L28" i="29"/>
  <c r="AS28" i="29" s="1"/>
  <c r="AS27" i="29"/>
  <c r="AO27" i="29"/>
  <c r="AN27" i="29"/>
  <c r="AM27" i="29"/>
  <c r="AL27" i="29"/>
  <c r="AK27" i="29"/>
  <c r="L27" i="29"/>
  <c r="AS26" i="29"/>
  <c r="AO26" i="29"/>
  <c r="AN26" i="29"/>
  <c r="AM26" i="29"/>
  <c r="AL26" i="29"/>
  <c r="AK26" i="29"/>
  <c r="L26" i="29"/>
  <c r="AO25" i="29"/>
  <c r="AN25" i="29"/>
  <c r="AM25" i="29"/>
  <c r="AL25" i="29"/>
  <c r="AK25" i="29"/>
  <c r="L25" i="29"/>
  <c r="AS25" i="29" s="1"/>
  <c r="AS24" i="29"/>
  <c r="AO24" i="29"/>
  <c r="AN24" i="29"/>
  <c r="AM24" i="29"/>
  <c r="AL24" i="29"/>
  <c r="AK24" i="29"/>
  <c r="L24" i="29"/>
  <c r="AO23" i="29"/>
  <c r="AN23" i="29"/>
  <c r="AM23" i="29"/>
  <c r="AL23" i="29"/>
  <c r="AK23" i="29"/>
  <c r="L23" i="29"/>
  <c r="AS23" i="29" s="1"/>
  <c r="AS22" i="29"/>
  <c r="AO22" i="29"/>
  <c r="AN22" i="29"/>
  <c r="AM22" i="29"/>
  <c r="AL22" i="29"/>
  <c r="AK22" i="29"/>
  <c r="L22" i="29"/>
  <c r="AO21" i="29"/>
  <c r="AN21" i="29"/>
  <c r="AM21" i="29"/>
  <c r="AL21" i="29"/>
  <c r="AK21" i="29"/>
  <c r="L21" i="29"/>
  <c r="AS21" i="29" s="1"/>
  <c r="AO20" i="29"/>
  <c r="AN20" i="29"/>
  <c r="AM20" i="29"/>
  <c r="AL20" i="29"/>
  <c r="AK20" i="29"/>
  <c r="L20" i="29"/>
  <c r="AS20" i="29" s="1"/>
  <c r="AS19" i="29"/>
  <c r="AO19" i="29"/>
  <c r="AN19" i="29"/>
  <c r="AM19" i="29"/>
  <c r="AL19" i="29"/>
  <c r="AK19" i="29"/>
  <c r="L19" i="29"/>
  <c r="AO18" i="29"/>
  <c r="AN18" i="29"/>
  <c r="AM18" i="29"/>
  <c r="AL18" i="29"/>
  <c r="AK18" i="29"/>
  <c r="L18" i="29"/>
  <c r="AS18" i="29" s="1"/>
  <c r="AS17" i="29"/>
  <c r="AO17" i="29"/>
  <c r="AN17" i="29"/>
  <c r="AM17" i="29"/>
  <c r="AL17" i="29"/>
  <c r="AK17" i="29"/>
  <c r="L17" i="29"/>
  <c r="AO16" i="29"/>
  <c r="AN16" i="29"/>
  <c r="AM16" i="29"/>
  <c r="AL16" i="29"/>
  <c r="AK16" i="29"/>
  <c r="L16" i="29"/>
  <c r="AS16" i="29" s="1"/>
  <c r="AS15" i="29"/>
  <c r="AO15" i="29"/>
  <c r="AN15" i="29"/>
  <c r="AM15" i="29"/>
  <c r="AL15" i="29"/>
  <c r="AK15" i="29"/>
  <c r="L15" i="29"/>
  <c r="AS14" i="29"/>
  <c r="AO14" i="29"/>
  <c r="AN14" i="29"/>
  <c r="AM14" i="29"/>
  <c r="AL14" i="29"/>
  <c r="AK14" i="29"/>
  <c r="L14" i="29"/>
  <c r="AO13" i="29"/>
  <c r="AN13" i="29"/>
  <c r="AM13" i="29"/>
  <c r="AL13" i="29"/>
  <c r="AK13" i="29"/>
  <c r="L13" i="29"/>
  <c r="AS13" i="29" s="1"/>
  <c r="AS12" i="29"/>
  <c r="AO12" i="29"/>
  <c r="AN12" i="29"/>
  <c r="AM12" i="29"/>
  <c r="AL12" i="29"/>
  <c r="AK12" i="29"/>
  <c r="L12" i="29"/>
  <c r="AO11" i="29"/>
  <c r="AN11" i="29"/>
  <c r="AM11" i="29"/>
  <c r="AL11" i="29"/>
  <c r="AK11" i="29"/>
  <c r="L11" i="29"/>
  <c r="AS11" i="29" s="1"/>
  <c r="AS10" i="29"/>
  <c r="AO10" i="29"/>
  <c r="AN10" i="29"/>
  <c r="AM10" i="29"/>
  <c r="AL10" i="29"/>
  <c r="AK10" i="29"/>
  <c r="L10" i="29"/>
  <c r="AO9" i="29"/>
  <c r="AN9" i="29"/>
  <c r="AM9" i="29"/>
  <c r="AL9" i="29"/>
  <c r="AK9" i="29"/>
  <c r="L9" i="29"/>
  <c r="AS9" i="29" s="1"/>
  <c r="AO8" i="29"/>
  <c r="AN8" i="29"/>
  <c r="AM8" i="29"/>
  <c r="AL8" i="29"/>
  <c r="AK8" i="29"/>
  <c r="L8" i="29"/>
  <c r="AS8" i="29" s="1"/>
  <c r="AS7" i="29"/>
  <c r="AO7" i="29"/>
  <c r="AN7" i="29"/>
  <c r="AM7" i="29"/>
  <c r="AL7" i="29"/>
  <c r="AK7" i="29"/>
  <c r="L7" i="29"/>
  <c r="AO6" i="29"/>
  <c r="AN6" i="29"/>
  <c r="AM6" i="29"/>
  <c r="AL6" i="29"/>
  <c r="AK6" i="29"/>
  <c r="L6" i="29"/>
  <c r="AS6" i="29" s="1"/>
  <c r="AS5" i="29"/>
  <c r="AO5" i="29"/>
  <c r="AN5" i="29"/>
  <c r="AM5" i="29"/>
  <c r="AL5" i="29"/>
  <c r="AK5" i="29"/>
  <c r="L5" i="29"/>
  <c r="AG4" i="29"/>
  <c r="AF4" i="29"/>
  <c r="AE4" i="29"/>
  <c r="AD4" i="29"/>
  <c r="E4" i="29"/>
  <c r="D4" i="29"/>
  <c r="AS3" i="29"/>
  <c r="AA3" i="29"/>
  <c r="E3" i="29"/>
  <c r="AY57" i="28"/>
  <c r="AX57" i="28"/>
  <c r="AW57" i="28"/>
  <c r="AV57" i="28"/>
  <c r="AU57" i="28"/>
  <c r="AR57" i="28"/>
  <c r="AP57" i="28"/>
  <c r="AI55" i="28"/>
  <c r="AH55" i="28"/>
  <c r="AO54" i="28"/>
  <c r="AN54" i="28"/>
  <c r="AM54" i="28"/>
  <c r="AL54" i="28"/>
  <c r="AK54" i="28"/>
  <c r="L54" i="28"/>
  <c r="AS54" i="28" s="1"/>
  <c r="AS53" i="28"/>
  <c r="AO53" i="28"/>
  <c r="AN53" i="28"/>
  <c r="AM53" i="28"/>
  <c r="AL53" i="28"/>
  <c r="AK53" i="28"/>
  <c r="L53" i="28"/>
  <c r="AO52" i="28"/>
  <c r="AN52" i="28"/>
  <c r="AM52" i="28"/>
  <c r="AL52" i="28"/>
  <c r="AK52" i="28"/>
  <c r="L52" i="28"/>
  <c r="AS52" i="28" s="1"/>
  <c r="AO51" i="28"/>
  <c r="AN51" i="28"/>
  <c r="AM51" i="28"/>
  <c r="AL51" i="28"/>
  <c r="AK51" i="28"/>
  <c r="L51" i="28"/>
  <c r="AS51" i="28" s="1"/>
  <c r="AS50" i="28"/>
  <c r="AO50" i="28"/>
  <c r="AN50" i="28"/>
  <c r="AM50" i="28"/>
  <c r="AL50" i="28"/>
  <c r="AK50" i="28"/>
  <c r="L50" i="28"/>
  <c r="AO49" i="28"/>
  <c r="AN49" i="28"/>
  <c r="AM49" i="28"/>
  <c r="AL49" i="28"/>
  <c r="AK49" i="28"/>
  <c r="L49" i="28"/>
  <c r="AS49" i="28" s="1"/>
  <c r="AS48" i="28"/>
  <c r="AO48" i="28"/>
  <c r="AN48" i="28"/>
  <c r="AM48" i="28"/>
  <c r="AL48" i="28"/>
  <c r="AK48" i="28"/>
  <c r="L48" i="28"/>
  <c r="AO47" i="28"/>
  <c r="AN47" i="28"/>
  <c r="AM47" i="28"/>
  <c r="AL47" i="28"/>
  <c r="AK47" i="28"/>
  <c r="L47" i="28"/>
  <c r="AS47" i="28" s="1"/>
  <c r="AS46" i="28"/>
  <c r="AO46" i="28"/>
  <c r="AN46" i="28"/>
  <c r="AM46" i="28"/>
  <c r="AL46" i="28"/>
  <c r="AK46" i="28"/>
  <c r="L46" i="28"/>
  <c r="AS45" i="28"/>
  <c r="AO45" i="28"/>
  <c r="AN45" i="28"/>
  <c r="AM45" i="28"/>
  <c r="AL45" i="28"/>
  <c r="AK45" i="28"/>
  <c r="L45" i="28"/>
  <c r="AO44" i="28"/>
  <c r="AN44" i="28"/>
  <c r="AM44" i="28"/>
  <c r="AL44" i="28"/>
  <c r="AK44" i="28"/>
  <c r="L44" i="28"/>
  <c r="AS44" i="28" s="1"/>
  <c r="AS43" i="28"/>
  <c r="AO43" i="28"/>
  <c r="AN43" i="28"/>
  <c r="AM43" i="28"/>
  <c r="AL43" i="28"/>
  <c r="AK43" i="28"/>
  <c r="L43" i="28"/>
  <c r="AO42" i="28"/>
  <c r="AN42" i="28"/>
  <c r="AM42" i="28"/>
  <c r="AL42" i="28"/>
  <c r="AK42" i="28"/>
  <c r="L42" i="28"/>
  <c r="AS42" i="28" s="1"/>
  <c r="AS41" i="28"/>
  <c r="AO41" i="28"/>
  <c r="AN41" i="28"/>
  <c r="AM41" i="28"/>
  <c r="AL41" i="28"/>
  <c r="AK41" i="28"/>
  <c r="L41" i="28"/>
  <c r="AO40" i="28"/>
  <c r="AN40" i="28"/>
  <c r="AM40" i="28"/>
  <c r="AL40" i="28"/>
  <c r="AK40" i="28"/>
  <c r="L40" i="28"/>
  <c r="AS40" i="28" s="1"/>
  <c r="AO39" i="28"/>
  <c r="AN39" i="28"/>
  <c r="AM39" i="28"/>
  <c r="AL39" i="28"/>
  <c r="AK39" i="28"/>
  <c r="L39" i="28"/>
  <c r="AS39" i="28" s="1"/>
  <c r="AS38" i="28"/>
  <c r="AO38" i="28"/>
  <c r="AN38" i="28"/>
  <c r="AM38" i="28"/>
  <c r="AL38" i="28"/>
  <c r="AK38" i="28"/>
  <c r="L38" i="28"/>
  <c r="AO37" i="28"/>
  <c r="AN37" i="28"/>
  <c r="AM37" i="28"/>
  <c r="AL37" i="28"/>
  <c r="AK37" i="28"/>
  <c r="L37" i="28"/>
  <c r="AS37" i="28" s="1"/>
  <c r="AS36" i="28"/>
  <c r="AO36" i="28"/>
  <c r="AN36" i="28"/>
  <c r="AM36" i="28"/>
  <c r="AL36" i="28"/>
  <c r="AK36" i="28"/>
  <c r="L36" i="28"/>
  <c r="AO35" i="28"/>
  <c r="AN35" i="28"/>
  <c r="AM35" i="28"/>
  <c r="AL35" i="28"/>
  <c r="AK35" i="28"/>
  <c r="L35" i="28"/>
  <c r="AS35" i="28" s="1"/>
  <c r="AS34" i="28"/>
  <c r="AO34" i="28"/>
  <c r="AN34" i="28"/>
  <c r="AM34" i="28"/>
  <c r="AL34" i="28"/>
  <c r="AK34" i="28"/>
  <c r="L34" i="28"/>
  <c r="AS33" i="28"/>
  <c r="AO33" i="28"/>
  <c r="AN33" i="28"/>
  <c r="AM33" i="28"/>
  <c r="AL33" i="28"/>
  <c r="AK33" i="28"/>
  <c r="L33" i="28"/>
  <c r="AO32" i="28"/>
  <c r="AN32" i="28"/>
  <c r="AM32" i="28"/>
  <c r="AL32" i="28"/>
  <c r="AK32" i="28"/>
  <c r="L32" i="28"/>
  <c r="AS32" i="28" s="1"/>
  <c r="AS31" i="28"/>
  <c r="AO31" i="28"/>
  <c r="AN31" i="28"/>
  <c r="AM31" i="28"/>
  <c r="AL31" i="28"/>
  <c r="AK31" i="28"/>
  <c r="L31" i="28"/>
  <c r="AO30" i="28"/>
  <c r="AN30" i="28"/>
  <c r="AM30" i="28"/>
  <c r="AL30" i="28"/>
  <c r="AK30" i="28"/>
  <c r="L30" i="28"/>
  <c r="AS30" i="28" s="1"/>
  <c r="AS29" i="28"/>
  <c r="AO29" i="28"/>
  <c r="AN29" i="28"/>
  <c r="AM29" i="28"/>
  <c r="AL29" i="28"/>
  <c r="AK29" i="28"/>
  <c r="L29" i="28"/>
  <c r="AO28" i="28"/>
  <c r="AN28" i="28"/>
  <c r="AM28" i="28"/>
  <c r="AL28" i="28"/>
  <c r="AK28" i="28"/>
  <c r="L28" i="28"/>
  <c r="AS28" i="28" s="1"/>
  <c r="AO27" i="28"/>
  <c r="AN27" i="28"/>
  <c r="AM27" i="28"/>
  <c r="AL27" i="28"/>
  <c r="AK27" i="28"/>
  <c r="L27" i="28"/>
  <c r="AS27" i="28" s="1"/>
  <c r="AS26" i="28"/>
  <c r="AO26" i="28"/>
  <c r="AN26" i="28"/>
  <c r="AM26" i="28"/>
  <c r="AL26" i="28"/>
  <c r="AK26" i="28"/>
  <c r="L26" i="28"/>
  <c r="AO25" i="28"/>
  <c r="AN25" i="28"/>
  <c r="AM25" i="28"/>
  <c r="AL25" i="28"/>
  <c r="AK25" i="28"/>
  <c r="L25" i="28"/>
  <c r="AS25" i="28" s="1"/>
  <c r="AS24" i="28"/>
  <c r="AO24" i="28"/>
  <c r="AN24" i="28"/>
  <c r="AM24" i="28"/>
  <c r="AL24" i="28"/>
  <c r="AK24" i="28"/>
  <c r="L24" i="28"/>
  <c r="AO23" i="28"/>
  <c r="AN23" i="28"/>
  <c r="AM23" i="28"/>
  <c r="AL23" i="28"/>
  <c r="AK23" i="28"/>
  <c r="L23" i="28"/>
  <c r="AS23" i="28" s="1"/>
  <c r="AS22" i="28"/>
  <c r="AO22" i="28"/>
  <c r="AN22" i="28"/>
  <c r="AM22" i="28"/>
  <c r="AL22" i="28"/>
  <c r="AK22" i="28"/>
  <c r="L22" i="28"/>
  <c r="AS21" i="28"/>
  <c r="AO21" i="28"/>
  <c r="AN21" i="28"/>
  <c r="AM21" i="28"/>
  <c r="AL21" i="28"/>
  <c r="AK21" i="28"/>
  <c r="L21" i="28"/>
  <c r="AO20" i="28"/>
  <c r="AN20" i="28"/>
  <c r="AM20" i="28"/>
  <c r="AL20" i="28"/>
  <c r="AK20" i="28"/>
  <c r="L20" i="28"/>
  <c r="AS20" i="28" s="1"/>
  <c r="AS19" i="28"/>
  <c r="AO19" i="28"/>
  <c r="AN19" i="28"/>
  <c r="AM19" i="28"/>
  <c r="AL19" i="28"/>
  <c r="AK19" i="28"/>
  <c r="L19" i="28"/>
  <c r="AO18" i="28"/>
  <c r="AN18" i="28"/>
  <c r="AM18" i="28"/>
  <c r="AL18" i="28"/>
  <c r="AK18" i="28"/>
  <c r="L18" i="28"/>
  <c r="AS18" i="28" s="1"/>
  <c r="AS17" i="28"/>
  <c r="AO17" i="28"/>
  <c r="AN17" i="28"/>
  <c r="AM17" i="28"/>
  <c r="AL17" i="28"/>
  <c r="AK17" i="28"/>
  <c r="L17" i="28"/>
  <c r="AO16" i="28"/>
  <c r="AN16" i="28"/>
  <c r="AM16" i="28"/>
  <c r="AL16" i="28"/>
  <c r="AK16" i="28"/>
  <c r="L16" i="28"/>
  <c r="AS16" i="28" s="1"/>
  <c r="AO15" i="28"/>
  <c r="AN15" i="28"/>
  <c r="AM15" i="28"/>
  <c r="AL15" i="28"/>
  <c r="AK15" i="28"/>
  <c r="L15" i="28"/>
  <c r="AS15" i="28" s="1"/>
  <c r="AS14" i="28"/>
  <c r="AO14" i="28"/>
  <c r="AN14" i="28"/>
  <c r="AM14" i="28"/>
  <c r="AL14" i="28"/>
  <c r="AK14" i="28"/>
  <c r="L14" i="28"/>
  <c r="AO13" i="28"/>
  <c r="AN13" i="28"/>
  <c r="AM13" i="28"/>
  <c r="AL13" i="28"/>
  <c r="AK13" i="28"/>
  <c r="L13" i="28"/>
  <c r="AS13" i="28" s="1"/>
  <c r="AS12" i="28"/>
  <c r="AO12" i="28"/>
  <c r="AN12" i="28"/>
  <c r="AM12" i="28"/>
  <c r="AL12" i="28"/>
  <c r="AK12" i="28"/>
  <c r="L12" i="28"/>
  <c r="AO11" i="28"/>
  <c r="AN11" i="28"/>
  <c r="AM11" i="28"/>
  <c r="AL11" i="28"/>
  <c r="AK11" i="28"/>
  <c r="L11" i="28"/>
  <c r="AS11" i="28" s="1"/>
  <c r="AS10" i="28"/>
  <c r="AO10" i="28"/>
  <c r="AN10" i="28"/>
  <c r="AM10" i="28"/>
  <c r="AL10" i="28"/>
  <c r="AK10" i="28"/>
  <c r="L10" i="28"/>
  <c r="AS9" i="28"/>
  <c r="AO9" i="28"/>
  <c r="AN9" i="28"/>
  <c r="AM9" i="28"/>
  <c r="AL9" i="28"/>
  <c r="AK9" i="28"/>
  <c r="L9" i="28"/>
  <c r="AO8" i="28"/>
  <c r="AN8" i="28"/>
  <c r="AM8" i="28"/>
  <c r="AL8" i="28"/>
  <c r="AK8" i="28"/>
  <c r="L8" i="28"/>
  <c r="AS8" i="28" s="1"/>
  <c r="AS7" i="28"/>
  <c r="AO7" i="28"/>
  <c r="AN7" i="28"/>
  <c r="AM7" i="28"/>
  <c r="AL7" i="28"/>
  <c r="AK7" i="28"/>
  <c r="L7" i="28"/>
  <c r="AO6" i="28"/>
  <c r="AN6" i="28"/>
  <c r="AM6" i="28"/>
  <c r="AL6" i="28"/>
  <c r="AK6" i="28"/>
  <c r="L6" i="28"/>
  <c r="AS6" i="28" s="1"/>
  <c r="AS5" i="28"/>
  <c r="AO5" i="28"/>
  <c r="AN5" i="28"/>
  <c r="AM5" i="28"/>
  <c r="AL5" i="28"/>
  <c r="AK5" i="28"/>
  <c r="L5" i="28"/>
  <c r="AG4" i="28"/>
  <c r="AF4" i="28"/>
  <c r="AE4" i="28"/>
  <c r="AD4" i="28"/>
  <c r="E4" i="28"/>
  <c r="D4" i="28"/>
  <c r="AS3" i="28"/>
  <c r="AA3" i="28"/>
  <c r="E3" i="28"/>
  <c r="AY57" i="27"/>
  <c r="AX57" i="27"/>
  <c r="AW57" i="27"/>
  <c r="AV57" i="27"/>
  <c r="AU57" i="27"/>
  <c r="AR57" i="27"/>
  <c r="AP57" i="27"/>
  <c r="AI55" i="27"/>
  <c r="AH55" i="27"/>
  <c r="AK55" i="27"/>
  <c r="AO54" i="27"/>
  <c r="AN54" i="27"/>
  <c r="AM54" i="27"/>
  <c r="AL54" i="27"/>
  <c r="AK54" i="27"/>
  <c r="L54" i="27"/>
  <c r="AS54" i="27" s="1"/>
  <c r="AS53" i="27"/>
  <c r="AO53" i="27"/>
  <c r="AN53" i="27"/>
  <c r="AM53" i="27"/>
  <c r="AL53" i="27"/>
  <c r="AK53" i="27"/>
  <c r="L53" i="27"/>
  <c r="AO52" i="27"/>
  <c r="AN52" i="27"/>
  <c r="AM52" i="27"/>
  <c r="AL52" i="27"/>
  <c r="AK52" i="27"/>
  <c r="L52" i="27"/>
  <c r="AS52" i="27" s="1"/>
  <c r="AS51" i="27"/>
  <c r="AO51" i="27"/>
  <c r="AN51" i="27"/>
  <c r="AM51" i="27"/>
  <c r="AL51" i="27"/>
  <c r="AK51" i="27"/>
  <c r="L51" i="27"/>
  <c r="AO50" i="27"/>
  <c r="AN50" i="27"/>
  <c r="AM50" i="27"/>
  <c r="AL50" i="27"/>
  <c r="AK50" i="27"/>
  <c r="L50" i="27"/>
  <c r="AS50" i="27" s="1"/>
  <c r="AS49" i="27"/>
  <c r="AO49" i="27"/>
  <c r="AN49" i="27"/>
  <c r="AM49" i="27"/>
  <c r="AL49" i="27"/>
  <c r="AK49" i="27"/>
  <c r="L49" i="27"/>
  <c r="AS48" i="27"/>
  <c r="AO48" i="27"/>
  <c r="AN48" i="27"/>
  <c r="AM48" i="27"/>
  <c r="AL48" i="27"/>
  <c r="AK48" i="27"/>
  <c r="L48" i="27"/>
  <c r="AO47" i="27"/>
  <c r="AN47" i="27"/>
  <c r="AM47" i="27"/>
  <c r="AL47" i="27"/>
  <c r="AK47" i="27"/>
  <c r="L47" i="27"/>
  <c r="AS47" i="27" s="1"/>
  <c r="AS46" i="27"/>
  <c r="AO46" i="27"/>
  <c r="AN46" i="27"/>
  <c r="AM46" i="27"/>
  <c r="AL46" i="27"/>
  <c r="AK46" i="27"/>
  <c r="L46" i="27"/>
  <c r="AO45" i="27"/>
  <c r="AN45" i="27"/>
  <c r="AM45" i="27"/>
  <c r="AL45" i="27"/>
  <c r="AK45" i="27"/>
  <c r="L45" i="27"/>
  <c r="AS45" i="27" s="1"/>
  <c r="AS44" i="27"/>
  <c r="AO44" i="27"/>
  <c r="AN44" i="27"/>
  <c r="AM44" i="27"/>
  <c r="AL44" i="27"/>
  <c r="AK44" i="27"/>
  <c r="L44" i="27"/>
  <c r="AO43" i="27"/>
  <c r="AN43" i="27"/>
  <c r="AM43" i="27"/>
  <c r="AL43" i="27"/>
  <c r="AK43" i="27"/>
  <c r="L43" i="27"/>
  <c r="AS43" i="27" s="1"/>
  <c r="AO42" i="27"/>
  <c r="AN42" i="27"/>
  <c r="AM42" i="27"/>
  <c r="AL42" i="27"/>
  <c r="AK42" i="27"/>
  <c r="L42" i="27"/>
  <c r="AS42" i="27" s="1"/>
  <c r="AS41" i="27"/>
  <c r="AO41" i="27"/>
  <c r="AN41" i="27"/>
  <c r="AM41" i="27"/>
  <c r="AL41" i="27"/>
  <c r="AK41" i="27"/>
  <c r="L41" i="27"/>
  <c r="AO40" i="27"/>
  <c r="AN40" i="27"/>
  <c r="AM40" i="27"/>
  <c r="AL40" i="27"/>
  <c r="AK40" i="27"/>
  <c r="L40" i="27"/>
  <c r="AS40" i="27" s="1"/>
  <c r="AS39" i="27"/>
  <c r="AO39" i="27"/>
  <c r="AN39" i="27"/>
  <c r="AM39" i="27"/>
  <c r="AL39" i="27"/>
  <c r="AK39" i="27"/>
  <c r="L39" i="27"/>
  <c r="AO38" i="27"/>
  <c r="AN38" i="27"/>
  <c r="AM38" i="27"/>
  <c r="AL38" i="27"/>
  <c r="AK38" i="27"/>
  <c r="L38" i="27"/>
  <c r="AS38" i="27" s="1"/>
  <c r="AS37" i="27"/>
  <c r="AO37" i="27"/>
  <c r="AN37" i="27"/>
  <c r="AM37" i="27"/>
  <c r="AL37" i="27"/>
  <c r="AK37" i="27"/>
  <c r="L37" i="27"/>
  <c r="AS36" i="27"/>
  <c r="AO36" i="27"/>
  <c r="AN36" i="27"/>
  <c r="AM36" i="27"/>
  <c r="AL36" i="27"/>
  <c r="AK36" i="27"/>
  <c r="L36" i="27"/>
  <c r="AO35" i="27"/>
  <c r="AN35" i="27"/>
  <c r="AM35" i="27"/>
  <c r="AL35" i="27"/>
  <c r="AK35" i="27"/>
  <c r="L35" i="27"/>
  <c r="AS35" i="27" s="1"/>
  <c r="AS34" i="27"/>
  <c r="AO34" i="27"/>
  <c r="AN34" i="27"/>
  <c r="AM34" i="27"/>
  <c r="AL34" i="27"/>
  <c r="AK34" i="27"/>
  <c r="L34" i="27"/>
  <c r="AO33" i="27"/>
  <c r="AN33" i="27"/>
  <c r="AM33" i="27"/>
  <c r="AL33" i="27"/>
  <c r="AK33" i="27"/>
  <c r="L33" i="27"/>
  <c r="AS33" i="27" s="1"/>
  <c r="AS32" i="27"/>
  <c r="AO32" i="27"/>
  <c r="AN32" i="27"/>
  <c r="AM32" i="27"/>
  <c r="AL32" i="27"/>
  <c r="AK32" i="27"/>
  <c r="L32" i="27"/>
  <c r="AO31" i="27"/>
  <c r="AN31" i="27"/>
  <c r="AM31" i="27"/>
  <c r="AL31" i="27"/>
  <c r="AK31" i="27"/>
  <c r="L31" i="27"/>
  <c r="AS31" i="27" s="1"/>
  <c r="AO30" i="27"/>
  <c r="AN30" i="27"/>
  <c r="AM30" i="27"/>
  <c r="AL30" i="27"/>
  <c r="AK30" i="27"/>
  <c r="L30" i="27"/>
  <c r="AS30" i="27" s="1"/>
  <c r="AS29" i="27"/>
  <c r="AO29" i="27"/>
  <c r="AN29" i="27"/>
  <c r="AM29" i="27"/>
  <c r="AL29" i="27"/>
  <c r="AK29" i="27"/>
  <c r="L29" i="27"/>
  <c r="AO28" i="27"/>
  <c r="AN28" i="27"/>
  <c r="AM28" i="27"/>
  <c r="AL28" i="27"/>
  <c r="AK28" i="27"/>
  <c r="L28" i="27"/>
  <c r="AS28" i="27" s="1"/>
  <c r="AS27" i="27"/>
  <c r="AO27" i="27"/>
  <c r="AN27" i="27"/>
  <c r="AM27" i="27"/>
  <c r="AL27" i="27"/>
  <c r="AK27" i="27"/>
  <c r="L27" i="27"/>
  <c r="AO26" i="27"/>
  <c r="AN26" i="27"/>
  <c r="AM26" i="27"/>
  <c r="AL26" i="27"/>
  <c r="AK26" i="27"/>
  <c r="L26" i="27"/>
  <c r="AS26" i="27" s="1"/>
  <c r="AS25" i="27"/>
  <c r="AO25" i="27"/>
  <c r="AN25" i="27"/>
  <c r="AM25" i="27"/>
  <c r="AL25" i="27"/>
  <c r="AK25" i="27"/>
  <c r="L25" i="27"/>
  <c r="AS24" i="27"/>
  <c r="AO24" i="27"/>
  <c r="AN24" i="27"/>
  <c r="AM24" i="27"/>
  <c r="AL24" i="27"/>
  <c r="AK24" i="27"/>
  <c r="L24" i="27"/>
  <c r="AO23" i="27"/>
  <c r="AN23" i="27"/>
  <c r="AM23" i="27"/>
  <c r="AL23" i="27"/>
  <c r="AK23" i="27"/>
  <c r="L23" i="27"/>
  <c r="AS23" i="27" s="1"/>
  <c r="AS22" i="27"/>
  <c r="AO22" i="27"/>
  <c r="AN22" i="27"/>
  <c r="AM22" i="27"/>
  <c r="AL22" i="27"/>
  <c r="AK22" i="27"/>
  <c r="L22" i="27"/>
  <c r="AO21" i="27"/>
  <c r="AN21" i="27"/>
  <c r="AM21" i="27"/>
  <c r="AL21" i="27"/>
  <c r="AK21" i="27"/>
  <c r="L21" i="27"/>
  <c r="AS21" i="27" s="1"/>
  <c r="AS20" i="27"/>
  <c r="AO20" i="27"/>
  <c r="AN20" i="27"/>
  <c r="AM20" i="27"/>
  <c r="AL20" i="27"/>
  <c r="AK20" i="27"/>
  <c r="L20" i="27"/>
  <c r="AO19" i="27"/>
  <c r="AN19" i="27"/>
  <c r="AM19" i="27"/>
  <c r="AL19" i="27"/>
  <c r="AK19" i="27"/>
  <c r="L19" i="27"/>
  <c r="AS19" i="27" s="1"/>
  <c r="AO18" i="27"/>
  <c r="AN18" i="27"/>
  <c r="AM18" i="27"/>
  <c r="AL18" i="27"/>
  <c r="AK18" i="27"/>
  <c r="L18" i="27"/>
  <c r="AS18" i="27" s="1"/>
  <c r="AS17" i="27"/>
  <c r="AO17" i="27"/>
  <c r="AN17" i="27"/>
  <c r="AM17" i="27"/>
  <c r="AL17" i="27"/>
  <c r="AK17" i="27"/>
  <c r="L17" i="27"/>
  <c r="AO16" i="27"/>
  <c r="AN16" i="27"/>
  <c r="AM16" i="27"/>
  <c r="AL16" i="27"/>
  <c r="AK16" i="27"/>
  <c r="L16" i="27"/>
  <c r="AS16" i="27" s="1"/>
  <c r="AS15" i="27"/>
  <c r="AO15" i="27"/>
  <c r="AN15" i="27"/>
  <c r="AM15" i="27"/>
  <c r="AL15" i="27"/>
  <c r="AK15" i="27"/>
  <c r="L15" i="27"/>
  <c r="AO14" i="27"/>
  <c r="AN14" i="27"/>
  <c r="AM14" i="27"/>
  <c r="AL14" i="27"/>
  <c r="AK14" i="27"/>
  <c r="L14" i="27"/>
  <c r="AS14" i="27" s="1"/>
  <c r="AS13" i="27"/>
  <c r="AO13" i="27"/>
  <c r="AN13" i="27"/>
  <c r="AM13" i="27"/>
  <c r="AL13" i="27"/>
  <c r="AK13" i="27"/>
  <c r="L13" i="27"/>
  <c r="AS12" i="27"/>
  <c r="AO12" i="27"/>
  <c r="AN12" i="27"/>
  <c r="AM12" i="27"/>
  <c r="AL12" i="27"/>
  <c r="AK12" i="27"/>
  <c r="L12" i="27"/>
  <c r="AO11" i="27"/>
  <c r="AN11" i="27"/>
  <c r="AM11" i="27"/>
  <c r="AL11" i="27"/>
  <c r="AK11" i="27"/>
  <c r="L11" i="27"/>
  <c r="AS11" i="27" s="1"/>
  <c r="AS10" i="27"/>
  <c r="AO10" i="27"/>
  <c r="AN10" i="27"/>
  <c r="AM10" i="27"/>
  <c r="AL10" i="27"/>
  <c r="AK10" i="27"/>
  <c r="L10" i="27"/>
  <c r="AO9" i="27"/>
  <c r="AN9" i="27"/>
  <c r="AM9" i="27"/>
  <c r="AL9" i="27"/>
  <c r="AK9" i="27"/>
  <c r="L9" i="27"/>
  <c r="AS9" i="27" s="1"/>
  <c r="AS8" i="27"/>
  <c r="AO8" i="27"/>
  <c r="AN8" i="27"/>
  <c r="AM8" i="27"/>
  <c r="AL8" i="27"/>
  <c r="AK8" i="27"/>
  <c r="L8" i="27"/>
  <c r="AO7" i="27"/>
  <c r="AN7" i="27"/>
  <c r="AM7" i="27"/>
  <c r="AL7" i="27"/>
  <c r="AK7" i="27"/>
  <c r="L7" i="27"/>
  <c r="AS7" i="27" s="1"/>
  <c r="AO6" i="27"/>
  <c r="AN6" i="27"/>
  <c r="AM6" i="27"/>
  <c r="AL6" i="27"/>
  <c r="AK6" i="27"/>
  <c r="L6" i="27"/>
  <c r="AS6" i="27" s="1"/>
  <c r="AS5" i="27"/>
  <c r="AO5" i="27"/>
  <c r="AN5" i="27"/>
  <c r="AM5" i="27"/>
  <c r="AL5" i="27"/>
  <c r="AK5" i="27"/>
  <c r="L5" i="27"/>
  <c r="AG4" i="27"/>
  <c r="AF4" i="27"/>
  <c r="AE4" i="27"/>
  <c r="AD4" i="27"/>
  <c r="E4" i="27"/>
  <c r="D4" i="27"/>
  <c r="AS3" i="27"/>
  <c r="AA3" i="27"/>
  <c r="E3" i="27"/>
  <c r="B21" i="11"/>
  <c r="AK6" i="1"/>
  <c r="AL6" i="1"/>
  <c r="AM6" i="1"/>
  <c r="AN6" i="1"/>
  <c r="AO6" i="1"/>
  <c r="AS6" i="1"/>
  <c r="AK7" i="1"/>
  <c r="AL7" i="1"/>
  <c r="AM7" i="1"/>
  <c r="AN7" i="1"/>
  <c r="AO7" i="1"/>
  <c r="AS7" i="1"/>
  <c r="AK8" i="1"/>
  <c r="AL8" i="1"/>
  <c r="AM8" i="1"/>
  <c r="AN8" i="1"/>
  <c r="AO8" i="1"/>
  <c r="AS8" i="1"/>
  <c r="AK9" i="1"/>
  <c r="AL9" i="1"/>
  <c r="AM9" i="1"/>
  <c r="AN9" i="1"/>
  <c r="AO9" i="1"/>
  <c r="AS9" i="1"/>
  <c r="AK10" i="1"/>
  <c r="AL10" i="1"/>
  <c r="AM10" i="1"/>
  <c r="AN10" i="1"/>
  <c r="AO10" i="1"/>
  <c r="AS10" i="1"/>
  <c r="AK11" i="1"/>
  <c r="AL11" i="1"/>
  <c r="AM11" i="1"/>
  <c r="AN11" i="1"/>
  <c r="AO11" i="1"/>
  <c r="AS11" i="1"/>
  <c r="AK12" i="1"/>
  <c r="AL12" i="1"/>
  <c r="AM12" i="1"/>
  <c r="AN12" i="1"/>
  <c r="AO12" i="1"/>
  <c r="AS12" i="1"/>
  <c r="AK13" i="1"/>
  <c r="AL13" i="1"/>
  <c r="AM13" i="1"/>
  <c r="AN13" i="1"/>
  <c r="AO13" i="1"/>
  <c r="AS13" i="1"/>
  <c r="AK14" i="1"/>
  <c r="AL14" i="1"/>
  <c r="AM14" i="1"/>
  <c r="AN14" i="1"/>
  <c r="AO14" i="1"/>
  <c r="AS14" i="1"/>
  <c r="AK15" i="1"/>
  <c r="AL15" i="1"/>
  <c r="AM15" i="1"/>
  <c r="AN15" i="1"/>
  <c r="AO15" i="1"/>
  <c r="AS15" i="1"/>
  <c r="AK16" i="1"/>
  <c r="AL16" i="1"/>
  <c r="AM16" i="1"/>
  <c r="AN16" i="1"/>
  <c r="AO16" i="1"/>
  <c r="AS16" i="1"/>
  <c r="AK17" i="1"/>
  <c r="AL17" i="1"/>
  <c r="AM17" i="1"/>
  <c r="AN17" i="1"/>
  <c r="AO17" i="1"/>
  <c r="AS17" i="1"/>
  <c r="AK18" i="1"/>
  <c r="AL18" i="1"/>
  <c r="AM18" i="1"/>
  <c r="AN18" i="1"/>
  <c r="AO18" i="1"/>
  <c r="AS18" i="1"/>
  <c r="AK19" i="1"/>
  <c r="AL19" i="1"/>
  <c r="AM19" i="1"/>
  <c r="AN19" i="1"/>
  <c r="AO19" i="1"/>
  <c r="AS19" i="1"/>
  <c r="AK20" i="1"/>
  <c r="AL20" i="1"/>
  <c r="AM20" i="1"/>
  <c r="AN20" i="1"/>
  <c r="AO20" i="1"/>
  <c r="AS20" i="1"/>
  <c r="AK21" i="1"/>
  <c r="AL21" i="1"/>
  <c r="AM21" i="1"/>
  <c r="AN21" i="1"/>
  <c r="AO21" i="1"/>
  <c r="AS21" i="1"/>
  <c r="AK22" i="1"/>
  <c r="AL22" i="1"/>
  <c r="AM22" i="1"/>
  <c r="AN22" i="1"/>
  <c r="AO22" i="1"/>
  <c r="AS22" i="1"/>
  <c r="AK23" i="1"/>
  <c r="AL23" i="1"/>
  <c r="AM23" i="1"/>
  <c r="AN23" i="1"/>
  <c r="AO23" i="1"/>
  <c r="AS23" i="1"/>
  <c r="AK24" i="1"/>
  <c r="AL24" i="1"/>
  <c r="AM24" i="1"/>
  <c r="AN24" i="1"/>
  <c r="AO24" i="1"/>
  <c r="AS24" i="1"/>
  <c r="AK25" i="1"/>
  <c r="AL25" i="1"/>
  <c r="AM25" i="1"/>
  <c r="AN25" i="1"/>
  <c r="AO25" i="1"/>
  <c r="AS25" i="1"/>
  <c r="AK26" i="1"/>
  <c r="AL26" i="1"/>
  <c r="AM26" i="1"/>
  <c r="AN26" i="1"/>
  <c r="AO26" i="1"/>
  <c r="AS26" i="1"/>
  <c r="AK27" i="1"/>
  <c r="AL27" i="1"/>
  <c r="AM27" i="1"/>
  <c r="AN27" i="1"/>
  <c r="AO27" i="1"/>
  <c r="AS27" i="1"/>
  <c r="AK28" i="1"/>
  <c r="AL28" i="1"/>
  <c r="AM28" i="1"/>
  <c r="AN28" i="1"/>
  <c r="AO28" i="1"/>
  <c r="AS28" i="1"/>
  <c r="AK29" i="1"/>
  <c r="AL29" i="1"/>
  <c r="AM29" i="1"/>
  <c r="AN29" i="1"/>
  <c r="AO29" i="1"/>
  <c r="AS29" i="1"/>
  <c r="AK30" i="1"/>
  <c r="AL30" i="1"/>
  <c r="AM30" i="1"/>
  <c r="AN30" i="1"/>
  <c r="AO30" i="1"/>
  <c r="AS30" i="1"/>
  <c r="AK31" i="1"/>
  <c r="AL31" i="1"/>
  <c r="AM31" i="1"/>
  <c r="AN31" i="1"/>
  <c r="AO31" i="1"/>
  <c r="AS31" i="1"/>
  <c r="AK32" i="1"/>
  <c r="AL32" i="1"/>
  <c r="AM32" i="1"/>
  <c r="AN32" i="1"/>
  <c r="AO32" i="1"/>
  <c r="AS32" i="1"/>
  <c r="AK33" i="1"/>
  <c r="AL33" i="1"/>
  <c r="AM33" i="1"/>
  <c r="AN33" i="1"/>
  <c r="AO33" i="1"/>
  <c r="AS33" i="1"/>
  <c r="AK34" i="1"/>
  <c r="AL34" i="1"/>
  <c r="AM34" i="1"/>
  <c r="AN34" i="1"/>
  <c r="AO34" i="1"/>
  <c r="AS34" i="1"/>
  <c r="AK35" i="1"/>
  <c r="AL35" i="1"/>
  <c r="AM35" i="1"/>
  <c r="AN35" i="1"/>
  <c r="AO35" i="1"/>
  <c r="AS35" i="1"/>
  <c r="AK36" i="1"/>
  <c r="AL36" i="1"/>
  <c r="AM36" i="1"/>
  <c r="AN36" i="1"/>
  <c r="AO36" i="1"/>
  <c r="AS36" i="1"/>
  <c r="AK37" i="1"/>
  <c r="AL37" i="1"/>
  <c r="AM37" i="1"/>
  <c r="AN37" i="1"/>
  <c r="AO37" i="1"/>
  <c r="AS37" i="1"/>
  <c r="AK38" i="1"/>
  <c r="AL38" i="1"/>
  <c r="AM38" i="1"/>
  <c r="AN38" i="1"/>
  <c r="AO38" i="1"/>
  <c r="AS38" i="1"/>
  <c r="AK39" i="1"/>
  <c r="AL39" i="1"/>
  <c r="AM39" i="1"/>
  <c r="AN39" i="1"/>
  <c r="AO39" i="1"/>
  <c r="AS39" i="1"/>
  <c r="AK40" i="1"/>
  <c r="AL40" i="1"/>
  <c r="AM40" i="1"/>
  <c r="AN40" i="1"/>
  <c r="AO40" i="1"/>
  <c r="AS40" i="1"/>
  <c r="AK41" i="1"/>
  <c r="AL41" i="1"/>
  <c r="AM41" i="1"/>
  <c r="AN41" i="1"/>
  <c r="AO41" i="1"/>
  <c r="AS41" i="1"/>
  <c r="AK42" i="1"/>
  <c r="AL42" i="1"/>
  <c r="AM42" i="1"/>
  <c r="AN42" i="1"/>
  <c r="AO42" i="1"/>
  <c r="AS42" i="1"/>
  <c r="AK43" i="1"/>
  <c r="AL43" i="1"/>
  <c r="AM43" i="1"/>
  <c r="AN43" i="1"/>
  <c r="AO43" i="1"/>
  <c r="AS43" i="1"/>
  <c r="AK44" i="1"/>
  <c r="AL44" i="1"/>
  <c r="AM44" i="1"/>
  <c r="AN44" i="1"/>
  <c r="AO44" i="1"/>
  <c r="AS44" i="1"/>
  <c r="AK45" i="1"/>
  <c r="AL45" i="1"/>
  <c r="AM45" i="1"/>
  <c r="AN45" i="1"/>
  <c r="AO45" i="1"/>
  <c r="AS45" i="1"/>
  <c r="AK46" i="1"/>
  <c r="AL46" i="1"/>
  <c r="AM46" i="1"/>
  <c r="AN46" i="1"/>
  <c r="AO46" i="1"/>
  <c r="AS46" i="1"/>
  <c r="AK47" i="1"/>
  <c r="AL47" i="1"/>
  <c r="AM47" i="1"/>
  <c r="AN47" i="1"/>
  <c r="AO47" i="1"/>
  <c r="AS47" i="1"/>
  <c r="AK48" i="1"/>
  <c r="AL48" i="1"/>
  <c r="AM48" i="1"/>
  <c r="AN48" i="1"/>
  <c r="AO48" i="1"/>
  <c r="AS48" i="1"/>
  <c r="AK49" i="1"/>
  <c r="AL49" i="1"/>
  <c r="AM49" i="1"/>
  <c r="AN49" i="1"/>
  <c r="AO49" i="1"/>
  <c r="AS49" i="1"/>
  <c r="AK50" i="1"/>
  <c r="AL50" i="1"/>
  <c r="AM50" i="1"/>
  <c r="AN50" i="1"/>
  <c r="AO50" i="1"/>
  <c r="AS50" i="1"/>
  <c r="AK51" i="1"/>
  <c r="AL51" i="1"/>
  <c r="AM51" i="1"/>
  <c r="AN51" i="1"/>
  <c r="AO51" i="1"/>
  <c r="AS51" i="1"/>
  <c r="AK52" i="1"/>
  <c r="AL52" i="1"/>
  <c r="AM52" i="1"/>
  <c r="AN52" i="1"/>
  <c r="AO52" i="1"/>
  <c r="AS52" i="1"/>
  <c r="AK53" i="1"/>
  <c r="AL53" i="1"/>
  <c r="AM53" i="1"/>
  <c r="AN53" i="1"/>
  <c r="AO53" i="1"/>
  <c r="AS53" i="1"/>
  <c r="AK54" i="1"/>
  <c r="AL54" i="1"/>
  <c r="AM54" i="1"/>
  <c r="AN54" i="1"/>
  <c r="AO54" i="1"/>
  <c r="AS54" i="1"/>
  <c r="AO55" i="1"/>
  <c r="AO57" i="1" s="1"/>
  <c r="AP57" i="1"/>
  <c r="AY57" i="1"/>
  <c r="AL5" i="1"/>
  <c r="AM5" i="1"/>
  <c r="AN5" i="1"/>
  <c r="AO5" i="1"/>
  <c r="AS5" i="1"/>
  <c r="AU57" i="1"/>
  <c r="AV57" i="1"/>
  <c r="AW57" i="1"/>
  <c r="AK5" i="1"/>
  <c r="AX57" i="1"/>
  <c r="AR57" i="1"/>
  <c r="AS3" i="1"/>
  <c r="AG4" i="1"/>
  <c r="AF4" i="1"/>
  <c r="AE4" i="1"/>
  <c r="AD4" i="1"/>
  <c r="V4" i="11"/>
  <c r="W4" i="11"/>
  <c r="X4" i="11"/>
  <c r="Y4" i="11"/>
  <c r="Z4" i="11"/>
  <c r="U4" i="1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" i="1"/>
  <c r="D55" i="1"/>
  <c r="AM55" i="38" l="1"/>
  <c r="AM57" i="38" s="1"/>
  <c r="AK55" i="33"/>
  <c r="AL55" i="33"/>
  <c r="AM55" i="32"/>
  <c r="AM57" i="32" s="1"/>
  <c r="AN55" i="32"/>
  <c r="AN57" i="32" s="1"/>
  <c r="AO55" i="32"/>
  <c r="AO57" i="32" s="1"/>
  <c r="AK35" i="42"/>
  <c r="AO55" i="30"/>
  <c r="AO57" i="30" s="1"/>
  <c r="AL55" i="29"/>
  <c r="AM45" i="42"/>
  <c r="AM41" i="42"/>
  <c r="AM37" i="42"/>
  <c r="AM33" i="42"/>
  <c r="AM29" i="42"/>
  <c r="AM25" i="42"/>
  <c r="AM21" i="42"/>
  <c r="AM17" i="42"/>
  <c r="AM13" i="42"/>
  <c r="AO14" i="42"/>
  <c r="AO46" i="42"/>
  <c r="AO42" i="42"/>
  <c r="AO38" i="42"/>
  <c r="AO34" i="42"/>
  <c r="AO30" i="42"/>
  <c r="AO26" i="42"/>
  <c r="AO22" i="42"/>
  <c r="AO18" i="42"/>
  <c r="AO10" i="42"/>
  <c r="AK40" i="42"/>
  <c r="AK28" i="42"/>
  <c r="AK20" i="42"/>
  <c r="AK16" i="42"/>
  <c r="AK44" i="42"/>
  <c r="AK32" i="42"/>
  <c r="AL55" i="1"/>
  <c r="AL55" i="31"/>
  <c r="AM55" i="39"/>
  <c r="AM57" i="39" s="1"/>
  <c r="AM55" i="33"/>
  <c r="AM57" i="33" s="1"/>
  <c r="S57" i="33"/>
  <c r="C12" i="11" s="1"/>
  <c r="AK55" i="30"/>
  <c r="AL55" i="30"/>
  <c r="T57" i="33"/>
  <c r="F12" i="11" s="1"/>
  <c r="T57" i="29"/>
  <c r="F8" i="11" s="1"/>
  <c r="AL51" i="42"/>
  <c r="AM9" i="42"/>
  <c r="AK55" i="28"/>
  <c r="AL55" i="37"/>
  <c r="AK55" i="29"/>
  <c r="AM52" i="42"/>
  <c r="AM40" i="42"/>
  <c r="AM36" i="42"/>
  <c r="AS35" i="42"/>
  <c r="AM24" i="42"/>
  <c r="AS23" i="42"/>
  <c r="AM12" i="42"/>
  <c r="AS5" i="42"/>
  <c r="AO54" i="42"/>
  <c r="AM53" i="42"/>
  <c r="AK52" i="42"/>
  <c r="AO50" i="42"/>
  <c r="AM49" i="42"/>
  <c r="AN54" i="42"/>
  <c r="AM54" i="42"/>
  <c r="AL53" i="42"/>
  <c r="AN50" i="42"/>
  <c r="AL49" i="42"/>
  <c r="AN46" i="42"/>
  <c r="AL45" i="42"/>
  <c r="AN42" i="42"/>
  <c r="AL41" i="42"/>
  <c r="AN38" i="42"/>
  <c r="AL37" i="42"/>
  <c r="AN34" i="42"/>
  <c r="AL33" i="42"/>
  <c r="AN30" i="42"/>
  <c r="AL29" i="42"/>
  <c r="AN26" i="42"/>
  <c r="AL25" i="42"/>
  <c r="AN22" i="42"/>
  <c r="AL21" i="42"/>
  <c r="AN18" i="42"/>
  <c r="AL17" i="42"/>
  <c r="AN14" i="42"/>
  <c r="AL13" i="42"/>
  <c r="AN10" i="42"/>
  <c r="AL9" i="42"/>
  <c r="AM6" i="42"/>
  <c r="AL42" i="42"/>
  <c r="AN31" i="42"/>
  <c r="AN36" i="42"/>
  <c r="AL5" i="42"/>
  <c r="AS11" i="42"/>
  <c r="AL8" i="42"/>
  <c r="AN51" i="42"/>
  <c r="AM20" i="42"/>
  <c r="AM55" i="31"/>
  <c r="AM57" i="31" s="1"/>
  <c r="AK55" i="37"/>
  <c r="U57" i="38"/>
  <c r="O17" i="11" s="1"/>
  <c r="AM26" i="42"/>
  <c r="AS25" i="42"/>
  <c r="AM48" i="42"/>
  <c r="AL40" i="42"/>
  <c r="AN32" i="42"/>
  <c r="AK5" i="42"/>
  <c r="AL47" i="42"/>
  <c r="AM46" i="42"/>
  <c r="AM22" i="42"/>
  <c r="AM14" i="42"/>
  <c r="AS34" i="42"/>
  <c r="AO28" i="42"/>
  <c r="AO24" i="42"/>
  <c r="AM10" i="42"/>
  <c r="AS47" i="42"/>
  <c r="AK43" i="42"/>
  <c r="AM32" i="42"/>
  <c r="AM28" i="42"/>
  <c r="AM16" i="42"/>
  <c r="AL52" i="42"/>
  <c r="AL44" i="42"/>
  <c r="AL32" i="42"/>
  <c r="AN17" i="42"/>
  <c r="AL16" i="42"/>
  <c r="AN9" i="42"/>
  <c r="AM42" i="42"/>
  <c r="AL30" i="42"/>
  <c r="AN28" i="42"/>
  <c r="AN24" i="42"/>
  <c r="AO20" i="42"/>
  <c r="AN16" i="42"/>
  <c r="AM8" i="42"/>
  <c r="AM55" i="1"/>
  <c r="AM57" i="1" s="1"/>
  <c r="AM30" i="42"/>
  <c r="AS33" i="42"/>
  <c r="U57" i="32"/>
  <c r="O11" i="11" s="1"/>
  <c r="AS21" i="42"/>
  <c r="AK21" i="42"/>
  <c r="AK55" i="32"/>
  <c r="AN44" i="42"/>
  <c r="AM44" i="42"/>
  <c r="AN55" i="1"/>
  <c r="AN57" i="1" s="1"/>
  <c r="AL18" i="42"/>
  <c r="S57" i="31"/>
  <c r="C10" i="11" s="1"/>
  <c r="AK39" i="42"/>
  <c r="AL55" i="32"/>
  <c r="AL55" i="38"/>
  <c r="AM55" i="28"/>
  <c r="AM57" i="28" s="1"/>
  <c r="AL55" i="28"/>
  <c r="AL6" i="42"/>
  <c r="AS13" i="42"/>
  <c r="AK13" i="42"/>
  <c r="AM50" i="42"/>
  <c r="AM34" i="42"/>
  <c r="AN48" i="42"/>
  <c r="AL54" i="42"/>
  <c r="AS45" i="42"/>
  <c r="AM18" i="42"/>
  <c r="AM38" i="42"/>
  <c r="AS49" i="42"/>
  <c r="AS9" i="42"/>
  <c r="AS37" i="42"/>
  <c r="AK29" i="42"/>
  <c r="AL38" i="42"/>
  <c r="AL26" i="42"/>
  <c r="O55" i="42"/>
  <c r="O57" i="42" s="1"/>
  <c r="AS54" i="42"/>
  <c r="AK54" i="42"/>
  <c r="AS50" i="42"/>
  <c r="AM47" i="42"/>
  <c r="AS46" i="42"/>
  <c r="AK42" i="42"/>
  <c r="AS38" i="42"/>
  <c r="AM27" i="42"/>
  <c r="AS22" i="42"/>
  <c r="AK18" i="42"/>
  <c r="AO12" i="42"/>
  <c r="AM11" i="42"/>
  <c r="N55" i="42"/>
  <c r="N57" i="42" s="1"/>
  <c r="AN52" i="42"/>
  <c r="AL35" i="42"/>
  <c r="AL27" i="42"/>
  <c r="AL15" i="42"/>
  <c r="AN12" i="42"/>
  <c r="AS7" i="42"/>
  <c r="AK47" i="42"/>
  <c r="AS43" i="42"/>
  <c r="AS31" i="42"/>
  <c r="AK31" i="42"/>
  <c r="AK27" i="42"/>
  <c r="AK23" i="42"/>
  <c r="AS19" i="42"/>
  <c r="AK19" i="42"/>
  <c r="AS15" i="42"/>
  <c r="AK11" i="42"/>
  <c r="L55" i="42"/>
  <c r="L57" i="42" s="1"/>
  <c r="AL48" i="42"/>
  <c r="AL36" i="42"/>
  <c r="AL24" i="42"/>
  <c r="AL12" i="42"/>
  <c r="AO6" i="42"/>
  <c r="I55" i="42"/>
  <c r="I57" i="42" s="1"/>
  <c r="AS53" i="42"/>
  <c r="AK53" i="42"/>
  <c r="AK49" i="42"/>
  <c r="AK45" i="42"/>
  <c r="AS41" i="42"/>
  <c r="AK41" i="42"/>
  <c r="AK37" i="42"/>
  <c r="AK33" i="42"/>
  <c r="AS29" i="42"/>
  <c r="AK25" i="42"/>
  <c r="AS17" i="42"/>
  <c r="AK17" i="42"/>
  <c r="AK9" i="42"/>
  <c r="P55" i="42"/>
  <c r="P57" i="42" s="1"/>
  <c r="AL50" i="42"/>
  <c r="AL46" i="42"/>
  <c r="AL34" i="42"/>
  <c r="AL22" i="42"/>
  <c r="AL14" i="42"/>
  <c r="AL10" i="42"/>
  <c r="AM7" i="42"/>
  <c r="AS6" i="42"/>
  <c r="AK6" i="42"/>
  <c r="AO5" i="42"/>
  <c r="AO52" i="42"/>
  <c r="AM51" i="42"/>
  <c r="AO48" i="42"/>
  <c r="AO44" i="42"/>
  <c r="AM43" i="42"/>
  <c r="AS42" i="42"/>
  <c r="AO40" i="42"/>
  <c r="AO36" i="42"/>
  <c r="AM35" i="42"/>
  <c r="AO32" i="42"/>
  <c r="AM31" i="42"/>
  <c r="AS30" i="42"/>
  <c r="AK30" i="42"/>
  <c r="AS26" i="42"/>
  <c r="AM23" i="42"/>
  <c r="AM19" i="42"/>
  <c r="AS18" i="42"/>
  <c r="AO16" i="42"/>
  <c r="AM15" i="42"/>
  <c r="AS14" i="42"/>
  <c r="AS10" i="42"/>
  <c r="AO8" i="42"/>
  <c r="AL7" i="42"/>
  <c r="AN5" i="42"/>
  <c r="AL43" i="42"/>
  <c r="AN40" i="42"/>
  <c r="AL31" i="42"/>
  <c r="AL23" i="42"/>
  <c r="AN20" i="42"/>
  <c r="AL19" i="42"/>
  <c r="AL11" i="42"/>
  <c r="AN8" i="42"/>
  <c r="M55" i="42"/>
  <c r="M57" i="42" s="1"/>
  <c r="AS51" i="42"/>
  <c r="AK51" i="42"/>
  <c r="AS27" i="42"/>
  <c r="AK15" i="42"/>
  <c r="K55" i="42"/>
  <c r="K57" i="42" s="1"/>
  <c r="AS52" i="42"/>
  <c r="AS8" i="42"/>
  <c r="AK8" i="42"/>
  <c r="D57" i="1"/>
  <c r="AK55" i="1"/>
  <c r="E55" i="42"/>
  <c r="E57" i="42" s="1"/>
  <c r="AN53" i="42"/>
  <c r="AK50" i="42"/>
  <c r="AK48" i="42"/>
  <c r="AK46" i="42"/>
  <c r="AN43" i="42"/>
  <c r="AO41" i="42"/>
  <c r="AN41" i="42"/>
  <c r="AG55" i="42"/>
  <c r="AG57" i="42" s="1"/>
  <c r="AF55" i="42"/>
  <c r="AF57" i="42" s="1"/>
  <c r="AE55" i="42"/>
  <c r="AE57" i="42" s="1"/>
  <c r="AD55" i="42"/>
  <c r="AD57" i="42" s="1"/>
  <c r="AC55" i="42"/>
  <c r="AC57" i="42" s="1"/>
  <c r="AB55" i="42"/>
  <c r="AB57" i="42" s="1"/>
  <c r="Z55" i="42"/>
  <c r="Z57" i="42" s="1"/>
  <c r="Y55" i="42"/>
  <c r="Y57" i="42" s="1"/>
  <c r="X55" i="42"/>
  <c r="X57" i="42" s="1"/>
  <c r="W55" i="42"/>
  <c r="W57" i="42" s="1"/>
  <c r="V55" i="42"/>
  <c r="V57" i="42" s="1"/>
  <c r="S55" i="42"/>
  <c r="S57" i="42" s="1"/>
  <c r="AK38" i="42"/>
  <c r="AN37" i="42"/>
  <c r="AK36" i="42"/>
  <c r="AN35" i="42"/>
  <c r="AK34" i="42"/>
  <c r="AN33" i="42"/>
  <c r="AO31" i="42"/>
  <c r="AO29" i="42"/>
  <c r="AN29" i="42"/>
  <c r="AL28" i="42"/>
  <c r="AO27" i="42"/>
  <c r="AN27" i="42"/>
  <c r="AK26" i="42"/>
  <c r="AN25" i="42"/>
  <c r="AK24" i="42"/>
  <c r="AN23" i="42"/>
  <c r="AK22" i="42"/>
  <c r="AN21" i="42"/>
  <c r="AL20" i="42"/>
  <c r="AO19" i="42"/>
  <c r="AN19" i="42"/>
  <c r="AO17" i="42"/>
  <c r="AO15" i="42"/>
  <c r="AN15" i="42"/>
  <c r="AK14" i="42"/>
  <c r="AN13" i="42"/>
  <c r="AK12" i="42"/>
  <c r="AN11" i="42"/>
  <c r="AK10" i="42"/>
  <c r="AO7" i="42"/>
  <c r="AS39" i="42"/>
  <c r="AA55" i="42"/>
  <c r="AA57" i="42" s="1"/>
  <c r="AO39" i="42"/>
  <c r="AN39" i="42"/>
  <c r="AM39" i="42"/>
  <c r="U55" i="42"/>
  <c r="U57" i="42" s="1"/>
  <c r="AL39" i="42"/>
  <c r="T55" i="42"/>
  <c r="T57" i="42" s="1"/>
  <c r="V57" i="39"/>
  <c r="P18" i="11" s="1"/>
  <c r="AK55" i="39"/>
  <c r="AL55" i="39"/>
  <c r="AN55" i="38"/>
  <c r="AN57" i="38" s="1"/>
  <c r="AO55" i="38"/>
  <c r="AO57" i="38" s="1"/>
  <c r="AK55" i="38"/>
  <c r="AO55" i="37"/>
  <c r="AO57" i="37" s="1"/>
  <c r="AN55" i="37"/>
  <c r="AN57" i="37" s="1"/>
  <c r="AO55" i="36"/>
  <c r="AO57" i="36" s="1"/>
  <c r="AK55" i="36"/>
  <c r="AL55" i="36"/>
  <c r="V57" i="32"/>
  <c r="P11" i="11" s="1"/>
  <c r="W57" i="32"/>
  <c r="Q11" i="11" s="1"/>
  <c r="AN55" i="31"/>
  <c r="AN57" i="31" s="1"/>
  <c r="AO55" i="31"/>
  <c r="AO57" i="31" s="1"/>
  <c r="AN55" i="30"/>
  <c r="AN57" i="30" s="1"/>
  <c r="AS55" i="30"/>
  <c r="AS57" i="30" s="1"/>
  <c r="W57" i="30"/>
  <c r="Q9" i="11" s="1"/>
  <c r="AS55" i="1"/>
  <c r="AS57" i="1" s="1"/>
  <c r="AM5" i="42"/>
  <c r="G55" i="42"/>
  <c r="G57" i="42" s="1"/>
  <c r="AN6" i="42"/>
  <c r="H55" i="42"/>
  <c r="H57" i="42" s="1"/>
  <c r="AK7" i="42"/>
  <c r="F55" i="42"/>
  <c r="F57" i="42" s="1"/>
  <c r="AN7" i="42"/>
  <c r="AO53" i="42"/>
  <c r="AO51" i="42"/>
  <c r="AO49" i="42"/>
  <c r="AO47" i="42"/>
  <c r="AO45" i="42"/>
  <c r="AO43" i="42"/>
  <c r="AO37" i="42"/>
  <c r="AO35" i="42"/>
  <c r="AO33" i="42"/>
  <c r="AO25" i="42"/>
  <c r="AO23" i="42"/>
  <c r="AO21" i="42"/>
  <c r="AO13" i="42"/>
  <c r="AO11" i="42"/>
  <c r="AO9" i="42"/>
  <c r="AN49" i="42"/>
  <c r="AN47" i="42"/>
  <c r="AN45" i="42"/>
  <c r="D57" i="42"/>
  <c r="AS55" i="39"/>
  <c r="AS57" i="39" s="1"/>
  <c r="AS5" i="36"/>
  <c r="AS8" i="39"/>
  <c r="AM55" i="34"/>
  <c r="AM57" i="34" s="1"/>
  <c r="AS7" i="34"/>
  <c r="AK55" i="34"/>
  <c r="AN55" i="34"/>
  <c r="AN57" i="34" s="1"/>
  <c r="AL55" i="34"/>
  <c r="AS55" i="38"/>
  <c r="AS57" i="38" s="1"/>
  <c r="AK55" i="35"/>
  <c r="AO55" i="39"/>
  <c r="AO57" i="39" s="1"/>
  <c r="AM55" i="35"/>
  <c r="AM57" i="35" s="1"/>
  <c r="AO55" i="34"/>
  <c r="AO57" i="34" s="1"/>
  <c r="AN55" i="35"/>
  <c r="AN57" i="35" s="1"/>
  <c r="AM55" i="36"/>
  <c r="AM57" i="36" s="1"/>
  <c r="AO55" i="35"/>
  <c r="AO57" i="35" s="1"/>
  <c r="AN55" i="36"/>
  <c r="AN57" i="36" s="1"/>
  <c r="AM55" i="37"/>
  <c r="AM57" i="37" s="1"/>
  <c r="AS55" i="31"/>
  <c r="AS57" i="31" s="1"/>
  <c r="AS6" i="30"/>
  <c r="AS55" i="33"/>
  <c r="AS57" i="33" s="1"/>
  <c r="AS6" i="31"/>
  <c r="AO55" i="33"/>
  <c r="AO57" i="33" s="1"/>
  <c r="AM55" i="30"/>
  <c r="AM57" i="30" s="1"/>
  <c r="AN55" i="33"/>
  <c r="AN57" i="33" s="1"/>
  <c r="AS55" i="29"/>
  <c r="AS57" i="29" s="1"/>
  <c r="AO55" i="28"/>
  <c r="AO57" i="28" s="1"/>
  <c r="AN55" i="28"/>
  <c r="AN57" i="28" s="1"/>
  <c r="AM55" i="29"/>
  <c r="AM57" i="29" s="1"/>
  <c r="AN55" i="29"/>
  <c r="AN57" i="29" s="1"/>
  <c r="AS55" i="28"/>
  <c r="AS57" i="28" s="1"/>
  <c r="AO55" i="29"/>
  <c r="AO57" i="29" s="1"/>
  <c r="AL55" i="27"/>
  <c r="AM55" i="27"/>
  <c r="AM57" i="27" s="1"/>
  <c r="AN55" i="27"/>
  <c r="AN57" i="27" s="1"/>
  <c r="AO55" i="27"/>
  <c r="AO57" i="27" s="1"/>
  <c r="C21" i="11" l="1"/>
  <c r="O21" i="11"/>
  <c r="AM55" i="42"/>
  <c r="AL55" i="42"/>
  <c r="AK55" i="42"/>
  <c r="AN55" i="42"/>
  <c r="AO55" i="42"/>
  <c r="AS55" i="42"/>
  <c r="AS55" i="35"/>
  <c r="AS57" i="35" s="1"/>
  <c r="AS55" i="37"/>
  <c r="AS57" i="37" s="1"/>
  <c r="AS55" i="36"/>
  <c r="AS57" i="36" s="1"/>
  <c r="AS55" i="34"/>
  <c r="AS57" i="34" s="1"/>
  <c r="AS55" i="32"/>
  <c r="AS57" i="32" s="1"/>
  <c r="AS55" i="27"/>
  <c r="AS57" i="27" s="1"/>
  <c r="E21" i="11"/>
  <c r="D18" i="11" l="1"/>
  <c r="G16" i="11"/>
  <c r="D6" i="11"/>
  <c r="D11" i="11"/>
  <c r="D16" i="11"/>
  <c r="G15" i="11"/>
  <c r="G13" i="11"/>
  <c r="D13" i="11"/>
  <c r="G9" i="11"/>
  <c r="J6" i="11"/>
  <c r="V6" i="11" s="1"/>
  <c r="I6" i="11"/>
  <c r="I7" i="11" s="1"/>
  <c r="I8" i="11" s="1"/>
  <c r="I9" i="11" s="1"/>
  <c r="K6" i="11"/>
  <c r="J7" i="11" l="1"/>
  <c r="J8" i="11" s="1"/>
  <c r="J9" i="11" s="1"/>
  <c r="V9" i="11" s="1"/>
  <c r="U6" i="11"/>
  <c r="U7" i="11"/>
  <c r="G8" i="11"/>
  <c r="G14" i="11"/>
  <c r="G12" i="11"/>
  <c r="D12" i="11"/>
  <c r="G10" i="11"/>
  <c r="U9" i="11"/>
  <c r="I10" i="11"/>
  <c r="I11" i="11" s="1"/>
  <c r="D17" i="11"/>
  <c r="D7" i="11"/>
  <c r="G7" i="11"/>
  <c r="G17" i="11"/>
  <c r="G11" i="11"/>
  <c r="D9" i="11"/>
  <c r="D14" i="11"/>
  <c r="G6" i="11"/>
  <c r="U8" i="11"/>
  <c r="D15" i="11"/>
  <c r="G18" i="11"/>
  <c r="K7" i="11"/>
  <c r="W6" i="11"/>
  <c r="D8" i="11"/>
  <c r="D5" i="11"/>
  <c r="AI55" i="1"/>
  <c r="AH55" i="1"/>
  <c r="E4" i="1"/>
  <c r="D4" i="1"/>
  <c r="AA3" i="1"/>
  <c r="E3" i="1"/>
  <c r="V7" i="11" l="1"/>
  <c r="V8" i="11"/>
  <c r="J10" i="11"/>
  <c r="V10" i="11" s="1"/>
  <c r="S21" i="11"/>
  <c r="R21" i="11"/>
  <c r="Q21" i="11"/>
  <c r="W5" i="11"/>
  <c r="V5" i="11"/>
  <c r="P21" i="11"/>
  <c r="U5" i="11"/>
  <c r="F21" i="11"/>
  <c r="G21" i="11" s="1"/>
  <c r="G5" i="11"/>
  <c r="D10" i="11"/>
  <c r="D21" i="11"/>
  <c r="J11" i="11"/>
  <c r="J12" i="11" s="1"/>
  <c r="U10" i="11"/>
  <c r="K8" i="11"/>
  <c r="W7" i="11"/>
  <c r="I12" i="11"/>
  <c r="U11" i="11"/>
  <c r="V11" i="11" l="1"/>
  <c r="I13" i="11"/>
  <c r="U12" i="11"/>
  <c r="K9" i="11"/>
  <c r="W8" i="11"/>
  <c r="J13" i="11"/>
  <c r="V12" i="11"/>
  <c r="I14" i="11" l="1"/>
  <c r="U13" i="11"/>
  <c r="J14" i="11"/>
  <c r="V13" i="11"/>
  <c r="K10" i="11"/>
  <c r="W9" i="11"/>
  <c r="K11" i="11" l="1"/>
  <c r="W10" i="11"/>
  <c r="V14" i="11"/>
  <c r="J15" i="11"/>
  <c r="I15" i="11"/>
  <c r="U14" i="11"/>
  <c r="W11" i="11" l="1"/>
  <c r="K12" i="11"/>
  <c r="I16" i="11"/>
  <c r="U15" i="11"/>
  <c r="J16" i="11"/>
  <c r="V15" i="11"/>
  <c r="J17" i="11" l="1"/>
  <c r="V16" i="11"/>
  <c r="U16" i="11"/>
  <c r="I17" i="11"/>
  <c r="K13" i="11"/>
  <c r="W12" i="11"/>
  <c r="K14" i="11" l="1"/>
  <c r="W13" i="11"/>
  <c r="I18" i="11"/>
  <c r="U17" i="11"/>
  <c r="V17" i="11"/>
  <c r="J18" i="11"/>
  <c r="V18" i="11" l="1"/>
  <c r="U18" i="11"/>
  <c r="K15" i="11"/>
  <c r="W14" i="11"/>
  <c r="W15" i="11" l="1"/>
  <c r="K16" i="11"/>
  <c r="K17" i="11" l="1"/>
  <c r="W16" i="11"/>
  <c r="K18" i="11" l="1"/>
  <c r="W17" i="11"/>
  <c r="W18" i="11" l="1"/>
  <c r="J21" i="11" l="1"/>
  <c r="V21" i="11" s="1"/>
  <c r="I21" i="11"/>
  <c r="U21" i="11" s="1"/>
  <c r="M21" i="11" l="1"/>
  <c r="L21" i="11" l="1"/>
  <c r="K21" i="11" l="1"/>
  <c r="W21" i="11" s="1"/>
</calcChain>
</file>

<file path=xl/sharedStrings.xml><?xml version="1.0" encoding="utf-8"?>
<sst xmlns="http://schemas.openxmlformats.org/spreadsheetml/2006/main" count="2568" uniqueCount="134">
  <si>
    <t>Date</t>
  </si>
  <si>
    <t>Enseigne</t>
  </si>
  <si>
    <t>Nom du PDV en promotion</t>
  </si>
  <si>
    <t>Contacts</t>
  </si>
  <si>
    <t>Produits (en unités)</t>
  </si>
  <si>
    <t>Gratuités pour achats 
(en unités)</t>
  </si>
  <si>
    <t>Acheteurs</t>
  </si>
  <si>
    <t>Produits</t>
  </si>
  <si>
    <t>Commentaires</t>
  </si>
  <si>
    <t>Impressions des PDV et des clients</t>
  </si>
  <si>
    <t>Biblos Lait Premium 16g</t>
  </si>
  <si>
    <t>Biblos Lait Premium 360g</t>
  </si>
  <si>
    <t>Biblos Lait Excellence</t>
  </si>
  <si>
    <t>Biblos Flocon d'avoine 50g</t>
  </si>
  <si>
    <t>Biblos Flocon d'avoine 400g</t>
  </si>
  <si>
    <t>Nombre de personnes ayant été contactées au rayon</t>
  </si>
  <si>
    <t>Nombre de personnes ayant acheté</t>
  </si>
  <si>
    <t xml:space="preserve">TOTAL </t>
  </si>
  <si>
    <t>TOTAL EN CARTONS</t>
  </si>
  <si>
    <t>GOODIES</t>
  </si>
  <si>
    <t>CONTACTS</t>
  </si>
  <si>
    <t>ACHETEURS</t>
  </si>
  <si>
    <t>OBJECTIF VOLUME PRODUITS</t>
  </si>
  <si>
    <t>REALISATION VOLUME PRODUITS</t>
  </si>
  <si>
    <t>Objectif</t>
  </si>
  <si>
    <t>Réalisé</t>
  </si>
  <si>
    <t>Tx Réal.</t>
  </si>
  <si>
    <t>JOUR 1</t>
  </si>
  <si>
    <t>JOUR 2</t>
  </si>
  <si>
    <t>JOUR 3</t>
  </si>
  <si>
    <t>JOUR 4</t>
  </si>
  <si>
    <t>JOUR 5</t>
  </si>
  <si>
    <t>JOUR 6</t>
  </si>
  <si>
    <t>JOUR 7</t>
  </si>
  <si>
    <t>JOUR 8</t>
  </si>
  <si>
    <t>JOUR 9</t>
  </si>
  <si>
    <t>JOUR 10</t>
  </si>
  <si>
    <t>JOUR 11</t>
  </si>
  <si>
    <t>JOUR 12</t>
  </si>
  <si>
    <t>JOUR 13</t>
  </si>
  <si>
    <t>JOUR 14</t>
  </si>
  <si>
    <t>JOUR 15</t>
  </si>
  <si>
    <t>JOUR 16</t>
  </si>
  <si>
    <t>TOTAL</t>
  </si>
  <si>
    <t>CDCI</t>
  </si>
  <si>
    <t>KING CASH</t>
  </si>
  <si>
    <t>KING CASH PALAIS YOP</t>
  </si>
  <si>
    <t>KING CASH PORT BOUET 2</t>
  </si>
  <si>
    <t>KING CASH ABOBO MAIRIE</t>
  </si>
  <si>
    <t>KING CASH SIPOREX</t>
  </si>
  <si>
    <t>KING CASH PRINCES.</t>
  </si>
  <si>
    <t>KING CASH WAKOUBOUE</t>
  </si>
  <si>
    <t>KING CASH ABOBO KAZA</t>
  </si>
  <si>
    <t>KING CASH ABOBO PALAIS 2</t>
  </si>
  <si>
    <t>KING CASH DABOU</t>
  </si>
  <si>
    <t>KING CASH 07 DECEMBRE</t>
  </si>
  <si>
    <t>KING CASH REMBLAIS</t>
  </si>
  <si>
    <t>KING CASH WILLIAMSVILLE</t>
  </si>
  <si>
    <t>KING CASH WASSAKARA</t>
  </si>
  <si>
    <t>KING CASH SOGEPHIA YOP</t>
  </si>
  <si>
    <t>KING CASH CAMP MILITAIRE</t>
  </si>
  <si>
    <t>KING CASH CAFEIERS</t>
  </si>
  <si>
    <t>KING CASH BLVD CAMEROUN</t>
  </si>
  <si>
    <t>KING CASH BINGERVILLE</t>
  </si>
  <si>
    <t>ING CASH JULES VERNE</t>
  </si>
  <si>
    <t>ING CASH BASSAM</t>
  </si>
  <si>
    <t>KING CASH KOUMASSI 05</t>
  </si>
  <si>
    <t>KING CASH PORT BOUET</t>
  </si>
  <si>
    <t>KING CASH AVENUE 16</t>
  </si>
  <si>
    <t>IKING CASH ANOUMANBO</t>
  </si>
  <si>
    <t>KING CASH MARA</t>
  </si>
  <si>
    <t>KING CASH BONOUA,</t>
  </si>
  <si>
    <t>KING CASH ADIAKE</t>
  </si>
  <si>
    <t>KING CASH BLVD GABON</t>
  </si>
  <si>
    <t>CDCI DEMI GROS SAMAKE</t>
  </si>
  <si>
    <t>CDCI DEMI GROS KOUTE</t>
  </si>
  <si>
    <t>CDCI DEMI GROS NIANGON</t>
  </si>
  <si>
    <t>CDCI DEMI GROS ABOBO BAOULE</t>
  </si>
  <si>
    <t>CDCI DEMI GROS AKEIKOr</t>
  </si>
  <si>
    <t>CDCI DEMI GROS 4 ETAGES</t>
  </si>
  <si>
    <t>CDCI DEMI GROS PK 18</t>
  </si>
  <si>
    <t>CDCI DEMI GROS ANYAMA</t>
  </si>
  <si>
    <t>CDCI DEMI GROS ANANERAIE</t>
  </si>
  <si>
    <t>CDCI DEMI GROS EBENEZER</t>
  </si>
  <si>
    <t>CDCI DEMI GROS TOIT ROUGE</t>
  </si>
  <si>
    <t>CDCI DEMI GROS BANCO 2</t>
  </si>
  <si>
    <t>CDCI DEMI GROS RIVIERA 3</t>
  </si>
  <si>
    <t>CDCI DEMI GROS VGE</t>
  </si>
  <si>
    <t>CDCI DEMI GROS ANGRE</t>
  </si>
  <si>
    <t>CDCI DEMI GROS PALMERAIE 4</t>
  </si>
  <si>
    <t>CDCI DEMI GROS ADO</t>
  </si>
  <si>
    <t>CDCI DEMI GROS ANONO</t>
  </si>
  <si>
    <t>CDCI DEMI GROS 2 PLATEAUX</t>
  </si>
  <si>
    <t>CDCI DEMI GROS PORT</t>
  </si>
  <si>
    <t>CDCI DEMI GROS GONZAGUEVILLE</t>
  </si>
  <si>
    <t>KING CASH KENEYA</t>
  </si>
  <si>
    <t>Biblos 3 en Café au Lait</t>
  </si>
  <si>
    <t>Biblos 3 en 1 Café au lait</t>
  </si>
  <si>
    <t>Goodies 1</t>
  </si>
  <si>
    <t>Goodies 2</t>
  </si>
  <si>
    <t>Goodies 3</t>
  </si>
  <si>
    <t>Goodie 4</t>
  </si>
  <si>
    <t>Biblos Lait Excellence 900g</t>
  </si>
  <si>
    <t>Biblos Avoine 50g</t>
  </si>
  <si>
    <t>Biblos Avoine 400g</t>
  </si>
  <si>
    <t>Biblos 3 en 1 Café au lait 32g</t>
  </si>
  <si>
    <t>Goodies 4</t>
  </si>
  <si>
    <t>OBJECTIFS</t>
  </si>
  <si>
    <t>REALISATIONS</t>
  </si>
  <si>
    <t>TAUX DE REALISATION</t>
  </si>
  <si>
    <t>TOTAL PROMO</t>
  </si>
  <si>
    <t xml:space="preserve">Les clients aiment les produits Biblos </t>
  </si>
  <si>
    <t>CDCI DEMI GROS AKEIKOI</t>
  </si>
  <si>
    <t xml:space="preserve">PAS RECU DE PRODUITS </t>
  </si>
  <si>
    <t>PAS RECU DE PRODUITS</t>
  </si>
  <si>
    <t>Très bons produits</t>
  </si>
  <si>
    <t>PAS RECU LES PRODUITS</t>
  </si>
  <si>
    <t>RUPTURE DU LAIT 900G ET FLOCON D'AVOINE 400G</t>
  </si>
  <si>
    <t>RUPTURE 16G</t>
  </si>
  <si>
    <t>PAS DE PRODUITS</t>
  </si>
  <si>
    <t>PAS ASSEZ DE PRODUITS</t>
  </si>
  <si>
    <t>RUPTURE FLOCON D'AVOINE 400G ET 360H</t>
  </si>
  <si>
    <t xml:space="preserve">RUPTURE DU 360G ET FLOCON D'AVOINE 50 ET 400G </t>
  </si>
  <si>
    <t xml:space="preserve">RUPTURE DES PRODUITS SAUF LE FLOCON D'AVOINE 50G </t>
  </si>
  <si>
    <t>RUPTURE DES PRODUITS</t>
  </si>
  <si>
    <t xml:space="preserve">LE CODE NE PASSE PAS </t>
  </si>
  <si>
    <t>RUPTURE</t>
  </si>
  <si>
    <t>PAS D'AFFLUENCE DANS LE SUPERMARCHE</t>
  </si>
  <si>
    <t>RECU L'ORDRE D'ATTENDRE CHEZ NOUS QUE LES PRODUITS SOIENT LIVRER DANS LES MAGASINS</t>
  </si>
  <si>
    <t>RATTRAPER LE 17/04</t>
  </si>
  <si>
    <t>RUPTURE 400G</t>
  </si>
  <si>
    <t>RUPTURE DE STOCK</t>
  </si>
  <si>
    <t xml:space="preserve">PAS RECU LE SPRODUITS DANS LE MAGASIN </t>
  </si>
  <si>
    <t>PAS RECU LES PRODUITS DANS LE MAGASIN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</si>
</sst>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#,##0.0"/>
    <numFmt numFmtId="165" formatCode="0.0"/>
    <numFmt numFmtId="166" formatCode="_-* #,##0.00_-;\-* #,##0.00_-;_-* &quot;-&quot;_-;_-@_-"/>
    <numFmt numFmtId="167" formatCode="_-* #,##0.00\ _F_ _C_F_A_-;\-* #,##0.00\ _F_ _C_F_A_-;_-* &quot;-&quot;??\ _F_ _C_F_A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Verdana"/>
      <family val="2"/>
    </font>
    <font>
      <b/>
      <sz val="20"/>
      <color theme="1"/>
      <name val="Verdana"/>
      <family val="2"/>
    </font>
    <font>
      <b/>
      <sz val="14"/>
      <color theme="1"/>
      <name val="Verdana"/>
      <family val="2"/>
    </font>
    <font>
      <b/>
      <sz val="14"/>
      <name val="Verdana"/>
      <family val="2"/>
    </font>
    <font>
      <sz val="14"/>
      <name val="Verdana"/>
      <family val="2"/>
    </font>
    <font>
      <b/>
      <sz val="16"/>
      <name val="Verdana"/>
      <family val="2"/>
    </font>
    <font>
      <sz val="16"/>
      <name val="Verdana"/>
      <family val="2"/>
    </font>
    <font>
      <b/>
      <sz val="11"/>
      <color theme="1"/>
      <name val="Verdana"/>
      <family val="2"/>
    </font>
    <font>
      <b/>
      <sz val="16"/>
      <color theme="1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dashed">
        <color indexed="64"/>
      </left>
      <right/>
      <top/>
      <bottom style="medium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dashed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textRotation="90" wrapText="1"/>
    </xf>
    <xf numFmtId="0" fontId="6" fillId="3" borderId="11" xfId="0" applyFont="1" applyFill="1" applyBorder="1" applyAlignment="1">
      <alignment horizontal="center" vertical="center" textRotation="90" wrapText="1"/>
    </xf>
    <xf numFmtId="0" fontId="6" fillId="3" borderId="12" xfId="0" applyFont="1" applyFill="1" applyBorder="1" applyAlignment="1">
      <alignment horizontal="center" vertical="center" textRotation="90" wrapText="1"/>
    </xf>
    <xf numFmtId="0" fontId="6" fillId="3" borderId="13" xfId="0" applyFont="1" applyFill="1" applyBorder="1" applyAlignment="1">
      <alignment horizontal="center" vertical="center" textRotation="90" wrapText="1"/>
    </xf>
    <xf numFmtId="0" fontId="6" fillId="3" borderId="14" xfId="0" applyFont="1" applyFill="1" applyBorder="1" applyAlignment="1">
      <alignment horizontal="center" vertical="center" textRotation="90" wrapText="1"/>
    </xf>
    <xf numFmtId="0" fontId="6" fillId="4" borderId="12" xfId="0" applyFont="1" applyFill="1" applyBorder="1" applyAlignment="1">
      <alignment horizontal="center" vertical="center" textRotation="90" wrapText="1"/>
    </xf>
    <xf numFmtId="0" fontId="6" fillId="4" borderId="13" xfId="0" applyFont="1" applyFill="1" applyBorder="1" applyAlignment="1">
      <alignment horizontal="center" vertical="center" textRotation="90" wrapText="1"/>
    </xf>
    <xf numFmtId="0" fontId="6" fillId="4" borderId="14" xfId="0" applyFont="1" applyFill="1" applyBorder="1" applyAlignment="1">
      <alignment horizontal="center" vertical="center" textRotation="90" wrapText="1"/>
    </xf>
    <xf numFmtId="0" fontId="6" fillId="5" borderId="16" xfId="0" applyFont="1" applyFill="1" applyBorder="1" applyAlignment="1">
      <alignment horizontal="center" vertical="center"/>
    </xf>
    <xf numFmtId="41" fontId="7" fillId="6" borderId="17" xfId="1" applyFont="1" applyFill="1" applyBorder="1" applyAlignment="1">
      <alignment horizontal="center" vertical="center"/>
    </xf>
    <xf numFmtId="41" fontId="7" fillId="6" borderId="18" xfId="1" applyFont="1" applyFill="1" applyBorder="1" applyAlignment="1">
      <alignment horizontal="center" vertical="center"/>
    </xf>
    <xf numFmtId="41" fontId="7" fillId="6" borderId="19" xfId="1" applyFont="1" applyFill="1" applyBorder="1" applyAlignment="1">
      <alignment horizontal="center" vertical="center"/>
    </xf>
    <xf numFmtId="41" fontId="7" fillId="6" borderId="20" xfId="1" applyFont="1" applyFill="1" applyBorder="1" applyAlignment="1">
      <alignment horizontal="center" vertical="center"/>
    </xf>
    <xf numFmtId="41" fontId="7" fillId="6" borderId="17" xfId="1" applyFont="1" applyFill="1" applyBorder="1" applyAlignment="1">
      <alignment horizontal="center" vertical="center" wrapText="1"/>
    </xf>
    <xf numFmtId="41" fontId="7" fillId="6" borderId="16" xfId="1" applyFont="1" applyFill="1" applyBorder="1" applyAlignment="1">
      <alignment horizontal="center" vertical="center" wrapText="1"/>
    </xf>
    <xf numFmtId="3" fontId="9" fillId="7" borderId="21" xfId="0" applyNumberFormat="1" applyFont="1" applyFill="1" applyBorder="1" applyAlignment="1">
      <alignment horizontal="center" vertical="center"/>
    </xf>
    <xf numFmtId="164" fontId="9" fillId="7" borderId="21" xfId="0" applyNumberFormat="1" applyFont="1" applyFill="1" applyBorder="1" applyAlignment="1">
      <alignment horizontal="center" vertical="center"/>
    </xf>
    <xf numFmtId="164" fontId="9" fillId="7" borderId="23" xfId="0" applyNumberFormat="1" applyFont="1" applyFill="1" applyBorder="1" applyAlignment="1">
      <alignment horizontal="center" vertical="center"/>
    </xf>
    <xf numFmtId="164" fontId="9" fillId="7" borderId="22" xfId="0" applyNumberFormat="1" applyFont="1" applyFill="1" applyBorder="1" applyAlignment="1">
      <alignment horizontal="center" vertical="center"/>
    </xf>
    <xf numFmtId="164" fontId="9" fillId="7" borderId="2" xfId="0" applyNumberFormat="1" applyFont="1" applyFill="1" applyBorder="1" applyAlignment="1">
      <alignment horizontal="center" vertical="center"/>
    </xf>
    <xf numFmtId="3" fontId="9" fillId="7" borderId="6" xfId="0" applyNumberFormat="1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textRotation="90" wrapText="1"/>
    </xf>
    <xf numFmtId="0" fontId="6" fillId="4" borderId="11" xfId="0" applyFont="1" applyFill="1" applyBorder="1" applyAlignment="1">
      <alignment horizontal="center" vertical="center" textRotation="90" wrapText="1"/>
    </xf>
    <xf numFmtId="41" fontId="7" fillId="4" borderId="17" xfId="1" applyFont="1" applyFill="1" applyBorder="1" applyAlignment="1">
      <alignment horizontal="center" vertical="center"/>
    </xf>
    <xf numFmtId="41" fontId="7" fillId="4" borderId="19" xfId="1" applyFont="1" applyFill="1" applyBorder="1" applyAlignment="1">
      <alignment horizontal="center" vertical="center"/>
    </xf>
    <xf numFmtId="41" fontId="7" fillId="4" borderId="18" xfId="1" applyFont="1" applyFill="1" applyBorder="1" applyAlignment="1">
      <alignment horizontal="center" vertical="center"/>
    </xf>
    <xf numFmtId="41" fontId="7" fillId="4" borderId="20" xfId="1" applyFont="1" applyFill="1" applyBorder="1" applyAlignment="1">
      <alignment horizontal="center" vertical="center"/>
    </xf>
    <xf numFmtId="41" fontId="7" fillId="4" borderId="16" xfId="1" applyFont="1" applyFill="1" applyBorder="1" applyAlignment="1">
      <alignment horizontal="center" vertical="center"/>
    </xf>
    <xf numFmtId="41" fontId="6" fillId="6" borderId="17" xfId="1" applyFont="1" applyFill="1" applyBorder="1" applyAlignment="1">
      <alignment horizontal="center" vertical="center" wrapText="1"/>
    </xf>
    <xf numFmtId="41" fontId="3" fillId="0" borderId="24" xfId="1" applyFont="1" applyBorder="1" applyAlignment="1">
      <alignment horizontal="center"/>
    </xf>
    <xf numFmtId="41" fontId="3" fillId="0" borderId="24" xfId="1" applyFont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3" fillId="9" borderId="24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7" borderId="24" xfId="0" applyFont="1" applyFill="1" applyBorder="1" applyAlignment="1">
      <alignment horizontal="center" vertical="center" wrapText="1"/>
    </xf>
    <xf numFmtId="0" fontId="3" fillId="10" borderId="24" xfId="0" applyFont="1" applyFill="1" applyBorder="1" applyAlignment="1">
      <alignment horizontal="center" vertical="center" wrapText="1"/>
    </xf>
    <xf numFmtId="9" fontId="3" fillId="3" borderId="24" xfId="2" applyFont="1" applyFill="1" applyBorder="1" applyAlignment="1">
      <alignment horizontal="center"/>
    </xf>
    <xf numFmtId="9" fontId="3" fillId="4" borderId="24" xfId="2" applyFont="1" applyFill="1" applyBorder="1" applyAlignment="1">
      <alignment horizontal="center"/>
    </xf>
    <xf numFmtId="165" fontId="3" fillId="12" borderId="24" xfId="0" applyNumberFormat="1" applyFont="1" applyFill="1" applyBorder="1" applyAlignment="1">
      <alignment horizontal="center" vertical="center" wrapText="1"/>
    </xf>
    <xf numFmtId="9" fontId="3" fillId="13" borderId="24" xfId="2" applyFont="1" applyFill="1" applyBorder="1" applyAlignment="1">
      <alignment horizontal="center" vertical="center" wrapText="1"/>
    </xf>
    <xf numFmtId="41" fontId="10" fillId="0" borderId="24" xfId="1" applyFont="1" applyBorder="1" applyAlignment="1">
      <alignment horizontal="center"/>
    </xf>
    <xf numFmtId="41" fontId="10" fillId="0" borderId="24" xfId="0" applyNumberFormat="1" applyFont="1" applyBorder="1" applyAlignment="1">
      <alignment horizontal="center"/>
    </xf>
    <xf numFmtId="9" fontId="10" fillId="0" borderId="24" xfId="2" applyFont="1" applyBorder="1" applyAlignment="1">
      <alignment horizontal="center"/>
    </xf>
    <xf numFmtId="0" fontId="10" fillId="0" borderId="0" xfId="0" applyFont="1"/>
    <xf numFmtId="165" fontId="10" fillId="0" borderId="24" xfId="0" applyNumberFormat="1" applyFont="1" applyBorder="1" applyAlignment="1">
      <alignment horizontal="center" vertical="center" wrapText="1"/>
    </xf>
    <xf numFmtId="9" fontId="10" fillId="0" borderId="24" xfId="2" applyFont="1" applyFill="1" applyBorder="1" applyAlignment="1">
      <alignment horizontal="center" vertical="center" wrapText="1"/>
    </xf>
    <xf numFmtId="41" fontId="3" fillId="0" borderId="0" xfId="1" applyFont="1"/>
    <xf numFmtId="0" fontId="3" fillId="0" borderId="0" xfId="0" applyFont="1" applyAlignment="1">
      <alignment vertical="center" wrapText="1"/>
    </xf>
    <xf numFmtId="0" fontId="6" fillId="3" borderId="3" xfId="0" applyFont="1" applyFill="1" applyBorder="1" applyAlignment="1">
      <alignment horizontal="center" vertical="center"/>
    </xf>
    <xf numFmtId="41" fontId="3" fillId="7" borderId="24" xfId="1" applyFont="1" applyFill="1" applyBorder="1" applyAlignment="1">
      <alignment horizontal="center" vertical="center" wrapText="1"/>
    </xf>
    <xf numFmtId="41" fontId="3" fillId="12" borderId="24" xfId="1" applyFont="1" applyFill="1" applyBorder="1" applyAlignment="1">
      <alignment horizontal="center" vertical="center" wrapText="1"/>
    </xf>
    <xf numFmtId="41" fontId="10" fillId="0" borderId="24" xfId="1" applyFont="1" applyBorder="1" applyAlignment="1">
      <alignment horizontal="center" vertical="center" wrapText="1"/>
    </xf>
    <xf numFmtId="41" fontId="3" fillId="0" borderId="0" xfId="1" applyFont="1" applyAlignment="1">
      <alignment vertical="center" wrapText="1"/>
    </xf>
    <xf numFmtId="41" fontId="6" fillId="6" borderId="17" xfId="1" applyFont="1" applyFill="1" applyBorder="1" applyAlignment="1">
      <alignment horizontal="center" vertical="center"/>
    </xf>
    <xf numFmtId="41" fontId="6" fillId="6" borderId="18" xfId="1" applyFont="1" applyFill="1" applyBorder="1" applyAlignment="1">
      <alignment horizontal="center" vertical="center"/>
    </xf>
    <xf numFmtId="41" fontId="6" fillId="4" borderId="17" xfId="1" applyFont="1" applyFill="1" applyBorder="1" applyAlignment="1">
      <alignment horizontal="center" vertical="center"/>
    </xf>
    <xf numFmtId="41" fontId="6" fillId="6" borderId="16" xfId="1" applyFont="1" applyFill="1" applyBorder="1" applyAlignment="1">
      <alignment horizontal="center" vertical="center" wrapText="1"/>
    </xf>
    <xf numFmtId="166" fontId="9" fillId="7" borderId="21" xfId="1" applyNumberFormat="1" applyFont="1" applyFill="1" applyBorder="1" applyAlignment="1">
      <alignment horizontal="center" vertical="center"/>
    </xf>
    <xf numFmtId="166" fontId="9" fillId="7" borderId="23" xfId="1" applyNumberFormat="1" applyFont="1" applyFill="1" applyBorder="1" applyAlignment="1">
      <alignment horizontal="center" vertical="center"/>
    </xf>
    <xf numFmtId="166" fontId="9" fillId="7" borderId="22" xfId="1" applyNumberFormat="1" applyFont="1" applyFill="1" applyBorder="1" applyAlignment="1">
      <alignment horizontal="center" vertical="center"/>
    </xf>
    <xf numFmtId="166" fontId="9" fillId="7" borderId="2" xfId="1" applyNumberFormat="1" applyFont="1" applyFill="1" applyBorder="1" applyAlignment="1">
      <alignment horizontal="center" vertical="center"/>
    </xf>
    <xf numFmtId="14" fontId="4" fillId="2" borderId="2" xfId="0" quotePrefix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textRotation="90" wrapText="1"/>
    </xf>
    <xf numFmtId="0" fontId="6" fillId="4" borderId="28" xfId="0" applyFont="1" applyFill="1" applyBorder="1" applyAlignment="1">
      <alignment horizontal="center" vertical="center" textRotation="90" wrapText="1"/>
    </xf>
    <xf numFmtId="0" fontId="6" fillId="3" borderId="29" xfId="0" applyFont="1" applyFill="1" applyBorder="1" applyAlignment="1">
      <alignment horizontal="center" vertical="center" textRotation="90" wrapText="1"/>
    </xf>
    <xf numFmtId="0" fontId="6" fillId="4" borderId="30" xfId="0" applyFont="1" applyFill="1" applyBorder="1" applyAlignment="1">
      <alignment horizontal="center" vertical="center" textRotation="90" wrapText="1"/>
    </xf>
    <xf numFmtId="41" fontId="7" fillId="4" borderId="31" xfId="1" applyFont="1" applyFill="1" applyBorder="1" applyAlignment="1">
      <alignment horizontal="center" vertical="center"/>
    </xf>
    <xf numFmtId="164" fontId="9" fillId="7" borderId="32" xfId="0" applyNumberFormat="1" applyFont="1" applyFill="1" applyBorder="1" applyAlignment="1">
      <alignment horizontal="center" vertical="center"/>
    </xf>
    <xf numFmtId="41" fontId="3" fillId="10" borderId="24" xfId="1" applyFont="1" applyFill="1" applyBorder="1" applyAlignment="1">
      <alignment horizontal="center" vertical="center" wrapText="1"/>
    </xf>
    <xf numFmtId="41" fontId="3" fillId="11" borderId="24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2" borderId="12" xfId="0" applyFont="1" applyFill="1" applyBorder="1" applyAlignment="1">
      <alignment horizontal="center" vertical="center" textRotation="90" wrapText="1"/>
    </xf>
    <xf numFmtId="0" fontId="6" fillId="12" borderId="13" xfId="0" applyFont="1" applyFill="1" applyBorder="1" applyAlignment="1">
      <alignment horizontal="center" vertical="center" textRotation="90" wrapText="1"/>
    </xf>
    <xf numFmtId="0" fontId="6" fillId="12" borderId="30" xfId="0" applyFont="1" applyFill="1" applyBorder="1" applyAlignment="1">
      <alignment horizontal="center" vertical="center" textRotation="90" wrapText="1"/>
    </xf>
    <xf numFmtId="0" fontId="6" fillId="12" borderId="14" xfId="0" applyFont="1" applyFill="1" applyBorder="1" applyAlignment="1">
      <alignment horizontal="center" vertical="center" textRotation="90" wrapText="1"/>
    </xf>
    <xf numFmtId="0" fontId="6" fillId="12" borderId="28" xfId="0" applyFont="1" applyFill="1" applyBorder="1" applyAlignment="1">
      <alignment horizontal="center" vertical="center" textRotation="90" wrapText="1"/>
    </xf>
    <xf numFmtId="0" fontId="6" fillId="12" borderId="10" xfId="0" applyFont="1" applyFill="1" applyBorder="1" applyAlignment="1">
      <alignment horizontal="center" vertical="center" textRotation="90" wrapText="1"/>
    </xf>
    <xf numFmtId="0" fontId="6" fillId="12" borderId="11" xfId="0" applyFont="1" applyFill="1" applyBorder="1" applyAlignment="1">
      <alignment horizontal="center" vertical="center" textRotation="90" wrapText="1"/>
    </xf>
    <xf numFmtId="9" fontId="7" fillId="12" borderId="17" xfId="2" applyFont="1" applyFill="1" applyBorder="1" applyAlignment="1">
      <alignment horizontal="center" vertical="center"/>
    </xf>
    <xf numFmtId="167" fontId="3" fillId="0" borderId="0" xfId="0" applyNumberFormat="1" applyFont="1" applyAlignment="1">
      <alignment horizontal="center" wrapText="1"/>
    </xf>
    <xf numFmtId="9" fontId="7" fillId="12" borderId="16" xfId="2" applyFont="1" applyFill="1" applyBorder="1" applyAlignment="1">
      <alignment horizontal="center" vertical="center"/>
    </xf>
    <xf numFmtId="9" fontId="7" fillId="12" borderId="10" xfId="2" applyFont="1" applyFill="1" applyBorder="1" applyAlignment="1">
      <alignment horizontal="center" vertical="center"/>
    </xf>
    <xf numFmtId="9" fontId="7" fillId="12" borderId="9" xfId="2" applyFont="1" applyFill="1" applyBorder="1" applyAlignment="1">
      <alignment horizontal="center" vertical="center"/>
    </xf>
    <xf numFmtId="41" fontId="3" fillId="8" borderId="24" xfId="1" applyFont="1" applyFill="1" applyBorder="1" applyAlignment="1">
      <alignment horizontal="center" vertical="center"/>
    </xf>
    <xf numFmtId="41" fontId="3" fillId="3" borderId="24" xfId="1" applyFont="1" applyFill="1" applyBorder="1" applyAlignment="1">
      <alignment horizontal="center"/>
    </xf>
    <xf numFmtId="41" fontId="3" fillId="9" borderId="24" xfId="1" applyFont="1" applyFill="1" applyBorder="1" applyAlignment="1">
      <alignment horizontal="center" vertical="center"/>
    </xf>
    <xf numFmtId="41" fontId="3" fillId="4" borderId="24" xfId="1" applyFont="1" applyFill="1" applyBorder="1" applyAlignment="1">
      <alignment horizontal="center"/>
    </xf>
    <xf numFmtId="41" fontId="3" fillId="5" borderId="24" xfId="1" applyFont="1" applyFill="1" applyBorder="1" applyAlignment="1">
      <alignment horizontal="center"/>
    </xf>
    <xf numFmtId="41" fontId="7" fillId="4" borderId="19" xfId="1" applyFont="1" applyFill="1" applyBorder="1" applyAlignment="1">
      <alignment horizontal="center" vertical="center" wrapText="1"/>
    </xf>
    <xf numFmtId="0" fontId="10" fillId="8" borderId="25" xfId="0" applyFont="1" applyFill="1" applyBorder="1" applyAlignment="1">
      <alignment horizontal="center"/>
    </xf>
    <xf numFmtId="0" fontId="10" fillId="8" borderId="26" xfId="0" applyFont="1" applyFill="1" applyBorder="1" applyAlignment="1">
      <alignment horizontal="center"/>
    </xf>
    <xf numFmtId="0" fontId="10" fillId="8" borderId="27" xfId="0" applyFont="1" applyFill="1" applyBorder="1" applyAlignment="1">
      <alignment horizontal="center"/>
    </xf>
    <xf numFmtId="0" fontId="10" fillId="9" borderId="25" xfId="0" applyFont="1" applyFill="1" applyBorder="1" applyAlignment="1">
      <alignment horizontal="center"/>
    </xf>
    <xf numFmtId="0" fontId="10" fillId="9" borderId="26" xfId="0" applyFont="1" applyFill="1" applyBorder="1" applyAlignment="1">
      <alignment horizontal="center"/>
    </xf>
    <xf numFmtId="0" fontId="10" fillId="9" borderId="27" xfId="0" applyFont="1" applyFill="1" applyBorder="1" applyAlignment="1">
      <alignment horizontal="center"/>
    </xf>
    <xf numFmtId="0" fontId="10" fillId="7" borderId="25" xfId="0" applyFont="1" applyFill="1" applyBorder="1" applyAlignment="1">
      <alignment horizontal="center" vertical="center" wrapText="1"/>
    </xf>
    <xf numFmtId="0" fontId="10" fillId="7" borderId="26" xfId="0" applyFont="1" applyFill="1" applyBorder="1" applyAlignment="1">
      <alignment horizontal="center" vertical="center" wrapText="1"/>
    </xf>
    <xf numFmtId="0" fontId="10" fillId="7" borderId="27" xfId="0" applyFont="1" applyFill="1" applyBorder="1" applyAlignment="1">
      <alignment horizontal="center" vertical="center" wrapText="1"/>
    </xf>
    <xf numFmtId="0" fontId="10" fillId="10" borderId="25" xfId="0" applyFont="1" applyFill="1" applyBorder="1" applyAlignment="1">
      <alignment horizontal="center" vertical="center" wrapText="1"/>
    </xf>
    <xf numFmtId="0" fontId="10" fillId="10" borderId="26" xfId="0" applyFont="1" applyFill="1" applyBorder="1" applyAlignment="1">
      <alignment horizontal="center" vertical="center" wrapText="1"/>
    </xf>
    <xf numFmtId="0" fontId="10" fillId="10" borderId="27" xfId="0" applyFont="1" applyFill="1" applyBorder="1" applyAlignment="1">
      <alignment horizontal="center" vertical="center" wrapText="1"/>
    </xf>
    <xf numFmtId="0" fontId="10" fillId="11" borderId="24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/>
    </xf>
    <xf numFmtId="0" fontId="11" fillId="12" borderId="3" xfId="0" applyFont="1" applyFill="1" applyBorder="1" applyAlignment="1">
      <alignment horizontal="center"/>
    </xf>
    <xf numFmtId="0" fontId="11" fillId="12" borderId="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</cellXfs>
  <cellStyles count="3">
    <cellStyle name="Milliers [0]" xfId="1" builtinId="6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6F6B-DB6A-41FF-B10A-2CEEBD3A7555}">
  <sheetPr>
    <tabColor rgb="FFFFFF00"/>
  </sheetPr>
  <dimension ref="A3:Z2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6" sqref="K6"/>
    </sheetView>
  </sheetViews>
  <sheetFormatPr baseColWidth="10" defaultColWidth="11.5546875" defaultRowHeight="13.8" x14ac:dyDescent="0.25"/>
  <cols>
    <col min="1" max="3" width="11.5546875" style="54"/>
    <col min="4" max="4" width="11.5546875" style="2"/>
    <col min="5" max="5" width="13.33203125" style="54" bestFit="1" customWidth="1"/>
    <col min="6" max="6" width="13.33203125" style="54" customWidth="1"/>
    <col min="7" max="7" width="11.5546875" style="2"/>
    <col min="8" max="8" width="3.5546875" style="2" customWidth="1"/>
    <col min="9" max="11" width="16" style="60" customWidth="1"/>
    <col min="12" max="14" width="16" style="55" customWidth="1"/>
    <col min="15" max="20" width="15.33203125" style="2" customWidth="1"/>
    <col min="21" max="26" width="14.44140625" style="2" customWidth="1"/>
    <col min="27" max="27" width="3.88671875" style="2" customWidth="1"/>
    <col min="28" max="16384" width="11.5546875" style="2"/>
  </cols>
  <sheetData>
    <row r="3" spans="1:26" ht="13.95" customHeight="1" x14ac:dyDescent="0.25">
      <c r="A3" s="37"/>
      <c r="B3" s="98" t="s">
        <v>20</v>
      </c>
      <c r="C3" s="99"/>
      <c r="D3" s="100"/>
      <c r="E3" s="101" t="s">
        <v>21</v>
      </c>
      <c r="F3" s="102"/>
      <c r="G3" s="103"/>
      <c r="I3" s="104" t="s">
        <v>22</v>
      </c>
      <c r="J3" s="105"/>
      <c r="K3" s="105"/>
      <c r="L3" s="105"/>
      <c r="M3" s="105"/>
      <c r="N3" s="106"/>
      <c r="O3" s="107" t="s">
        <v>23</v>
      </c>
      <c r="P3" s="108"/>
      <c r="Q3" s="108"/>
      <c r="R3" s="108"/>
      <c r="S3" s="108"/>
      <c r="T3" s="109"/>
      <c r="U3" s="110" t="s">
        <v>23</v>
      </c>
      <c r="V3" s="110"/>
      <c r="W3" s="110"/>
      <c r="X3" s="110"/>
      <c r="Y3" s="110"/>
      <c r="Z3" s="110"/>
    </row>
    <row r="4" spans="1:26" s="41" customFormat="1" ht="41.4" x14ac:dyDescent="0.3">
      <c r="A4" s="38"/>
      <c r="B4" s="92" t="s">
        <v>24</v>
      </c>
      <c r="C4" s="92" t="s">
        <v>25</v>
      </c>
      <c r="D4" s="39" t="s">
        <v>26</v>
      </c>
      <c r="E4" s="94" t="s">
        <v>24</v>
      </c>
      <c r="F4" s="94" t="s">
        <v>25</v>
      </c>
      <c r="G4" s="40" t="s">
        <v>26</v>
      </c>
      <c r="I4" s="57" t="s">
        <v>10</v>
      </c>
      <c r="J4" s="57" t="s">
        <v>11</v>
      </c>
      <c r="K4" s="57" t="s">
        <v>102</v>
      </c>
      <c r="L4" s="42" t="s">
        <v>103</v>
      </c>
      <c r="M4" s="42" t="s">
        <v>104</v>
      </c>
      <c r="N4" s="42" t="s">
        <v>105</v>
      </c>
      <c r="O4" s="77" t="s">
        <v>10</v>
      </c>
      <c r="P4" s="77" t="s">
        <v>11</v>
      </c>
      <c r="Q4" s="77" t="s">
        <v>102</v>
      </c>
      <c r="R4" s="43" t="s">
        <v>103</v>
      </c>
      <c r="S4" s="43" t="s">
        <v>104</v>
      </c>
      <c r="T4" s="43" t="s">
        <v>105</v>
      </c>
      <c r="U4" s="78" t="str">
        <f>O4</f>
        <v>Biblos Lait Premium 16g</v>
      </c>
      <c r="V4" s="78" t="str">
        <f t="shared" ref="V4:Z4" si="0">P4</f>
        <v>Biblos Lait Premium 360g</v>
      </c>
      <c r="W4" s="78" t="str">
        <f t="shared" si="0"/>
        <v>Biblos Lait Excellence 900g</v>
      </c>
      <c r="X4" s="78" t="str">
        <f t="shared" si="0"/>
        <v>Biblos Avoine 50g</v>
      </c>
      <c r="Y4" s="78" t="str">
        <f t="shared" si="0"/>
        <v>Biblos Avoine 400g</v>
      </c>
      <c r="Z4" s="78" t="str">
        <f t="shared" si="0"/>
        <v>Biblos 3 en 1 Café au lait 32g</v>
      </c>
    </row>
    <row r="5" spans="1:26" ht="20.399999999999999" customHeight="1" x14ac:dyDescent="0.25">
      <c r="A5" s="37" t="s">
        <v>27</v>
      </c>
      <c r="B5" s="93">
        <f>50*40</f>
        <v>2000</v>
      </c>
      <c r="C5" s="93">
        <f>'JOUR 1'!S57</f>
        <v>1397</v>
      </c>
      <c r="D5" s="44">
        <f>C5/B5</f>
        <v>0.69850000000000001</v>
      </c>
      <c r="E5" s="95">
        <f>50*20</f>
        <v>1000</v>
      </c>
      <c r="F5" s="95">
        <f>'JOUR 1'!T57</f>
        <v>296</v>
      </c>
      <c r="G5" s="45">
        <f>F5/E5</f>
        <v>0.29599999999999999</v>
      </c>
      <c r="I5" s="58">
        <f>120*50/120</f>
        <v>50</v>
      </c>
      <c r="J5" s="58">
        <f>7*50/6</f>
        <v>58.333333333333336</v>
      </c>
      <c r="K5" s="58">
        <f>50*4/10</f>
        <v>20</v>
      </c>
      <c r="L5" s="46"/>
      <c r="M5" s="46"/>
      <c r="N5" s="46"/>
      <c r="O5" s="96">
        <f>'JOUR 1'!U57</f>
        <v>10.583333333333334</v>
      </c>
      <c r="P5" s="96">
        <f>'JOUR 1'!V57</f>
        <v>16.666666666666668</v>
      </c>
      <c r="Q5" s="96">
        <f>'JOUR 1'!W57</f>
        <v>0</v>
      </c>
      <c r="R5" s="96">
        <f>'JOUR 1'!X57</f>
        <v>4.4000000000000004</v>
      </c>
      <c r="S5" s="96">
        <f>'JOUR 1'!Y57</f>
        <v>5.9</v>
      </c>
      <c r="T5" s="96">
        <f>'JOUR 1'!Z57</f>
        <v>0</v>
      </c>
      <c r="U5" s="47">
        <f t="shared" ref="U5:U18" si="1">O5/I5</f>
        <v>0.21166666666666667</v>
      </c>
      <c r="V5" s="47">
        <f t="shared" ref="V5:V18" si="2">P5/J5</f>
        <v>0.2857142857142857</v>
      </c>
      <c r="W5" s="47">
        <f t="shared" ref="W5:W18" si="3">Q5/K5</f>
        <v>0</v>
      </c>
      <c r="X5" s="47"/>
      <c r="Y5" s="47"/>
      <c r="Z5" s="47"/>
    </row>
    <row r="6" spans="1:26" ht="20.399999999999999" customHeight="1" x14ac:dyDescent="0.25">
      <c r="A6" s="37" t="s">
        <v>28</v>
      </c>
      <c r="B6" s="93">
        <f t="shared" ref="B6:B18" si="4">50*40</f>
        <v>2000</v>
      </c>
      <c r="C6" s="93">
        <f>'JOUR 2'!S57</f>
        <v>1545</v>
      </c>
      <c r="D6" s="44">
        <f t="shared" ref="D6:D18" si="5">C6/B6</f>
        <v>0.77249999999999996</v>
      </c>
      <c r="E6" s="95">
        <f t="shared" ref="E6:E18" si="6">50*20</f>
        <v>1000</v>
      </c>
      <c r="F6" s="95">
        <f>'JOUR 2'!T57</f>
        <v>421</v>
      </c>
      <c r="G6" s="45">
        <f t="shared" ref="G6:G21" si="7">F6/E6</f>
        <v>0.42099999999999999</v>
      </c>
      <c r="I6" s="58">
        <f>I5</f>
        <v>50</v>
      </c>
      <c r="J6" s="58">
        <f t="shared" ref="J6:K18" si="8">J5</f>
        <v>58.333333333333336</v>
      </c>
      <c r="K6" s="58">
        <f t="shared" si="8"/>
        <v>20</v>
      </c>
      <c r="L6" s="46"/>
      <c r="M6" s="46"/>
      <c r="N6" s="46"/>
      <c r="O6" s="96">
        <f>'JOUR 2'!U57</f>
        <v>16.324999999999999</v>
      </c>
      <c r="P6" s="96">
        <f>'JOUR 2'!V57</f>
        <v>5.5</v>
      </c>
      <c r="Q6" s="96">
        <f>'JOUR 2'!W57</f>
        <v>0</v>
      </c>
      <c r="R6" s="96">
        <f>'JOUR 2'!X57</f>
        <v>4.72</v>
      </c>
      <c r="S6" s="96">
        <f>'JOUR 2'!Y57</f>
        <v>4.9000000000000004</v>
      </c>
      <c r="T6" s="96">
        <f>'JOUR 2'!Z57</f>
        <v>0</v>
      </c>
      <c r="U6" s="47">
        <f t="shared" si="1"/>
        <v>0.32650000000000001</v>
      </c>
      <c r="V6" s="47">
        <f t="shared" si="2"/>
        <v>9.4285714285714278E-2</v>
      </c>
      <c r="W6" s="47">
        <f t="shared" si="3"/>
        <v>0</v>
      </c>
      <c r="X6" s="47"/>
      <c r="Y6" s="47"/>
      <c r="Z6" s="47"/>
    </row>
    <row r="7" spans="1:26" ht="20.399999999999999" customHeight="1" x14ac:dyDescent="0.25">
      <c r="A7" s="37" t="s">
        <v>29</v>
      </c>
      <c r="B7" s="93">
        <f t="shared" si="4"/>
        <v>2000</v>
      </c>
      <c r="C7" s="93">
        <f>'JOUR 3'!S57</f>
        <v>1469</v>
      </c>
      <c r="D7" s="44">
        <f t="shared" si="5"/>
        <v>0.73450000000000004</v>
      </c>
      <c r="E7" s="95">
        <f t="shared" si="6"/>
        <v>1000</v>
      </c>
      <c r="F7" s="95">
        <f>'JOUR 3'!T57</f>
        <v>855</v>
      </c>
      <c r="G7" s="45">
        <f t="shared" si="7"/>
        <v>0.85499999999999998</v>
      </c>
      <c r="I7" s="58">
        <f t="shared" ref="I7:I18" si="9">I6</f>
        <v>50</v>
      </c>
      <c r="J7" s="58">
        <f t="shared" si="8"/>
        <v>58.333333333333336</v>
      </c>
      <c r="K7" s="58">
        <f t="shared" si="8"/>
        <v>20</v>
      </c>
      <c r="L7" s="46"/>
      <c r="M7" s="46"/>
      <c r="N7" s="46"/>
      <c r="O7" s="96">
        <f>'JOUR 3'!U57</f>
        <v>43.333333333333336</v>
      </c>
      <c r="P7" s="96">
        <f>'JOUR 3'!V57</f>
        <v>17</v>
      </c>
      <c r="Q7" s="96">
        <f>'JOUR 3'!W57</f>
        <v>0</v>
      </c>
      <c r="R7" s="96">
        <f>'JOUR 3'!X57</f>
        <v>16.66</v>
      </c>
      <c r="S7" s="96">
        <f>'JOUR 3'!Y57</f>
        <v>19.100000000000001</v>
      </c>
      <c r="T7" s="96">
        <f>'JOUR 3'!Z57</f>
        <v>0</v>
      </c>
      <c r="U7" s="47">
        <f t="shared" si="1"/>
        <v>0.8666666666666667</v>
      </c>
      <c r="V7" s="47">
        <f t="shared" si="2"/>
        <v>0.29142857142857143</v>
      </c>
      <c r="W7" s="47">
        <f t="shared" si="3"/>
        <v>0</v>
      </c>
      <c r="X7" s="47"/>
      <c r="Y7" s="47"/>
      <c r="Z7" s="47"/>
    </row>
    <row r="8" spans="1:26" ht="20.399999999999999" customHeight="1" x14ac:dyDescent="0.25">
      <c r="A8" s="37" t="s">
        <v>30</v>
      </c>
      <c r="B8" s="93">
        <f t="shared" si="4"/>
        <v>2000</v>
      </c>
      <c r="C8" s="93">
        <f>'JOUR 4'!S57</f>
        <v>1457</v>
      </c>
      <c r="D8" s="44">
        <f t="shared" si="5"/>
        <v>0.72850000000000004</v>
      </c>
      <c r="E8" s="95">
        <f t="shared" si="6"/>
        <v>1000</v>
      </c>
      <c r="F8" s="95">
        <f>'JOUR 4'!T57</f>
        <v>862</v>
      </c>
      <c r="G8" s="45">
        <f t="shared" si="7"/>
        <v>0.86199999999999999</v>
      </c>
      <c r="I8" s="58">
        <f t="shared" si="9"/>
        <v>50</v>
      </c>
      <c r="J8" s="58">
        <f t="shared" si="8"/>
        <v>58.333333333333336</v>
      </c>
      <c r="K8" s="58">
        <f t="shared" si="8"/>
        <v>20</v>
      </c>
      <c r="L8" s="46"/>
      <c r="M8" s="46"/>
      <c r="N8" s="46"/>
      <c r="O8" s="96">
        <f>'JOUR 4'!U57</f>
        <v>43.44166666666667</v>
      </c>
      <c r="P8" s="96">
        <f>'JOUR 4'!V57</f>
        <v>18.166666666666668</v>
      </c>
      <c r="Q8" s="96">
        <f>'JOUR 4'!W57</f>
        <v>0</v>
      </c>
      <c r="R8" s="96">
        <f>'JOUR 4'!X57</f>
        <v>18.059999999999999</v>
      </c>
      <c r="S8" s="96">
        <f>'JOUR 4'!Y57</f>
        <v>12.25</v>
      </c>
      <c r="T8" s="96">
        <f>'JOUR 4'!Z57</f>
        <v>0</v>
      </c>
      <c r="U8" s="47">
        <f t="shared" si="1"/>
        <v>0.86883333333333335</v>
      </c>
      <c r="V8" s="47">
        <f t="shared" si="2"/>
        <v>0.31142857142857144</v>
      </c>
      <c r="W8" s="47">
        <f t="shared" si="3"/>
        <v>0</v>
      </c>
      <c r="X8" s="47"/>
      <c r="Y8" s="47"/>
      <c r="Z8" s="47"/>
    </row>
    <row r="9" spans="1:26" ht="20.399999999999999" customHeight="1" x14ac:dyDescent="0.25">
      <c r="A9" s="37" t="s">
        <v>31</v>
      </c>
      <c r="B9" s="93">
        <f t="shared" si="4"/>
        <v>2000</v>
      </c>
      <c r="C9" s="93">
        <f>'JOUR 5'!S57</f>
        <v>1393</v>
      </c>
      <c r="D9" s="44">
        <f t="shared" si="5"/>
        <v>0.69650000000000001</v>
      </c>
      <c r="E9" s="95">
        <f t="shared" si="6"/>
        <v>1000</v>
      </c>
      <c r="F9" s="95">
        <f>'JOUR 5'!T57</f>
        <v>801</v>
      </c>
      <c r="G9" s="45">
        <f t="shared" si="7"/>
        <v>0.80100000000000005</v>
      </c>
      <c r="I9" s="58">
        <f t="shared" si="9"/>
        <v>50</v>
      </c>
      <c r="J9" s="58">
        <f t="shared" si="8"/>
        <v>58.333333333333336</v>
      </c>
      <c r="K9" s="58">
        <f t="shared" si="8"/>
        <v>20</v>
      </c>
      <c r="L9" s="46"/>
      <c r="M9" s="46"/>
      <c r="N9" s="46"/>
      <c r="O9" s="96">
        <f>'JOUR 5'!U57</f>
        <v>43.208333333333336</v>
      </c>
      <c r="P9" s="96">
        <f>'JOUR 5'!V57</f>
        <v>17.5</v>
      </c>
      <c r="Q9" s="96">
        <f>'JOUR 5'!W57</f>
        <v>2.5</v>
      </c>
      <c r="R9" s="96">
        <f>'JOUR 5'!X57</f>
        <v>19.36</v>
      </c>
      <c r="S9" s="96">
        <f>'JOUR 5'!Y57</f>
        <v>11.1</v>
      </c>
      <c r="T9" s="96">
        <f>'JOUR 5'!Z57</f>
        <v>0</v>
      </c>
      <c r="U9" s="47">
        <f t="shared" si="1"/>
        <v>0.86416666666666675</v>
      </c>
      <c r="V9" s="47">
        <f t="shared" si="2"/>
        <v>0.3</v>
      </c>
      <c r="W9" s="47">
        <f t="shared" si="3"/>
        <v>0.125</v>
      </c>
      <c r="X9" s="47"/>
      <c r="Y9" s="47"/>
      <c r="Z9" s="47"/>
    </row>
    <row r="10" spans="1:26" ht="20.399999999999999" customHeight="1" x14ac:dyDescent="0.25">
      <c r="A10" s="37" t="s">
        <v>32</v>
      </c>
      <c r="B10" s="93">
        <f t="shared" si="4"/>
        <v>2000</v>
      </c>
      <c r="C10" s="93">
        <f>'JOUR 6'!S57</f>
        <v>1472</v>
      </c>
      <c r="D10" s="44">
        <f t="shared" si="5"/>
        <v>0.73599999999999999</v>
      </c>
      <c r="E10" s="95">
        <f t="shared" si="6"/>
        <v>1000</v>
      </c>
      <c r="F10" s="95">
        <f>'JOUR 6'!T57</f>
        <v>928</v>
      </c>
      <c r="G10" s="45">
        <f t="shared" si="7"/>
        <v>0.92800000000000005</v>
      </c>
      <c r="I10" s="58">
        <f t="shared" si="9"/>
        <v>50</v>
      </c>
      <c r="J10" s="58">
        <f t="shared" si="8"/>
        <v>58.333333333333336</v>
      </c>
      <c r="K10" s="58">
        <f t="shared" si="8"/>
        <v>20</v>
      </c>
      <c r="L10" s="46"/>
      <c r="M10" s="46"/>
      <c r="N10" s="46"/>
      <c r="O10" s="96">
        <f>'JOUR 6'!U57</f>
        <v>47.05</v>
      </c>
      <c r="P10" s="96">
        <f>'JOUR 6'!V57</f>
        <v>19.666666666666668</v>
      </c>
      <c r="Q10" s="96">
        <f>'JOUR 6'!W57</f>
        <v>0</v>
      </c>
      <c r="R10" s="96">
        <f>'JOUR 6'!X57</f>
        <v>18.239999999999998</v>
      </c>
      <c r="S10" s="96">
        <f>'JOUR 6'!Y57</f>
        <v>7.9</v>
      </c>
      <c r="T10" s="96">
        <f>'JOUR 6'!Z57</f>
        <v>0</v>
      </c>
      <c r="U10" s="47">
        <f t="shared" si="1"/>
        <v>0.94099999999999995</v>
      </c>
      <c r="V10" s="47">
        <f t="shared" si="2"/>
        <v>0.33714285714285713</v>
      </c>
      <c r="W10" s="47">
        <f t="shared" si="3"/>
        <v>0</v>
      </c>
      <c r="X10" s="47"/>
      <c r="Y10" s="47"/>
      <c r="Z10" s="47"/>
    </row>
    <row r="11" spans="1:26" ht="20.399999999999999" customHeight="1" x14ac:dyDescent="0.25">
      <c r="A11" s="37" t="s">
        <v>33</v>
      </c>
      <c r="B11" s="93">
        <f t="shared" si="4"/>
        <v>2000</v>
      </c>
      <c r="C11" s="93">
        <f>'JOUR 7'!S57</f>
        <v>1441</v>
      </c>
      <c r="D11" s="44">
        <f t="shared" si="5"/>
        <v>0.72050000000000003</v>
      </c>
      <c r="E11" s="95">
        <f t="shared" si="6"/>
        <v>1000</v>
      </c>
      <c r="F11" s="95">
        <f>'JOUR 7'!T57</f>
        <v>881</v>
      </c>
      <c r="G11" s="45">
        <f t="shared" si="7"/>
        <v>0.88100000000000001</v>
      </c>
      <c r="I11" s="58">
        <f t="shared" si="9"/>
        <v>50</v>
      </c>
      <c r="J11" s="58">
        <f t="shared" si="8"/>
        <v>58.333333333333336</v>
      </c>
      <c r="K11" s="58">
        <f t="shared" si="8"/>
        <v>20</v>
      </c>
      <c r="L11" s="46"/>
      <c r="M11" s="46"/>
      <c r="N11" s="46"/>
      <c r="O11" s="96">
        <f>'JOUR 7'!U57</f>
        <v>37.725000000000001</v>
      </c>
      <c r="P11" s="96">
        <f>'JOUR 7'!V57</f>
        <v>22.833333333333332</v>
      </c>
      <c r="Q11" s="96">
        <f>'JOUR 7'!W57</f>
        <v>0</v>
      </c>
      <c r="R11" s="96">
        <f>'JOUR 7'!X57</f>
        <v>20.04</v>
      </c>
      <c r="S11" s="96">
        <f>'JOUR 7'!Y57</f>
        <v>14.6</v>
      </c>
      <c r="T11" s="96">
        <f>'JOUR 7'!Z57</f>
        <v>0</v>
      </c>
      <c r="U11" s="47">
        <f t="shared" si="1"/>
        <v>0.75450000000000006</v>
      </c>
      <c r="V11" s="47">
        <f t="shared" si="2"/>
        <v>0.3914285714285714</v>
      </c>
      <c r="W11" s="47">
        <f t="shared" si="3"/>
        <v>0</v>
      </c>
      <c r="X11" s="47"/>
      <c r="Y11" s="47"/>
      <c r="Z11" s="47"/>
    </row>
    <row r="12" spans="1:26" ht="20.399999999999999" customHeight="1" x14ac:dyDescent="0.25">
      <c r="A12" s="37" t="s">
        <v>34</v>
      </c>
      <c r="B12" s="93">
        <f t="shared" si="4"/>
        <v>2000</v>
      </c>
      <c r="C12" s="93">
        <f>'JOUR 8'!S57</f>
        <v>1474</v>
      </c>
      <c r="D12" s="44">
        <f t="shared" si="5"/>
        <v>0.73699999999999999</v>
      </c>
      <c r="E12" s="95">
        <f t="shared" si="6"/>
        <v>1000</v>
      </c>
      <c r="F12" s="95">
        <f>'JOUR 8'!T57</f>
        <v>841</v>
      </c>
      <c r="G12" s="45">
        <f t="shared" si="7"/>
        <v>0.84099999999999997</v>
      </c>
      <c r="I12" s="58">
        <f t="shared" si="9"/>
        <v>50</v>
      </c>
      <c r="J12" s="58">
        <f t="shared" si="8"/>
        <v>58.333333333333336</v>
      </c>
      <c r="K12" s="58">
        <f t="shared" si="8"/>
        <v>20</v>
      </c>
      <c r="L12" s="46"/>
      <c r="M12" s="46"/>
      <c r="N12" s="46"/>
      <c r="O12" s="96">
        <f>'JOUR 8'!U57</f>
        <v>49.641666666666666</v>
      </c>
      <c r="P12" s="96">
        <f>'JOUR 8'!V57</f>
        <v>42.833333333333336</v>
      </c>
      <c r="Q12" s="96">
        <f>'JOUR 8'!W57</f>
        <v>0.2</v>
      </c>
      <c r="R12" s="96">
        <f>'JOUR 8'!X57</f>
        <v>21.26</v>
      </c>
      <c r="S12" s="96">
        <f>'JOUR 8'!Y57</f>
        <v>21</v>
      </c>
      <c r="T12" s="96">
        <f>'JOUR 8'!Z57</f>
        <v>0</v>
      </c>
      <c r="U12" s="47">
        <f t="shared" si="1"/>
        <v>0.99283333333333335</v>
      </c>
      <c r="V12" s="47">
        <f t="shared" si="2"/>
        <v>0.73428571428571432</v>
      </c>
      <c r="W12" s="47">
        <f t="shared" si="3"/>
        <v>0.01</v>
      </c>
      <c r="X12" s="47"/>
      <c r="Y12" s="47"/>
      <c r="Z12" s="47"/>
    </row>
    <row r="13" spans="1:26" ht="20.399999999999999" customHeight="1" x14ac:dyDescent="0.25">
      <c r="A13" s="37" t="s">
        <v>35</v>
      </c>
      <c r="B13" s="93">
        <f t="shared" si="4"/>
        <v>2000</v>
      </c>
      <c r="C13" s="93">
        <f>'JOUR 9'!S57</f>
        <v>1495</v>
      </c>
      <c r="D13" s="44">
        <f t="shared" si="5"/>
        <v>0.74750000000000005</v>
      </c>
      <c r="E13" s="95">
        <f t="shared" si="6"/>
        <v>1000</v>
      </c>
      <c r="F13" s="95">
        <f>'JOUR 9'!T57</f>
        <v>862</v>
      </c>
      <c r="G13" s="45">
        <f t="shared" si="7"/>
        <v>0.86199999999999999</v>
      </c>
      <c r="I13" s="58">
        <f t="shared" si="9"/>
        <v>50</v>
      </c>
      <c r="J13" s="58">
        <f t="shared" si="8"/>
        <v>58.333333333333336</v>
      </c>
      <c r="K13" s="58">
        <f t="shared" si="8"/>
        <v>20</v>
      </c>
      <c r="L13" s="46"/>
      <c r="M13" s="46"/>
      <c r="N13" s="46"/>
      <c r="O13" s="96">
        <f>'JOUR 9'!U57</f>
        <v>54.858333333333334</v>
      </c>
      <c r="P13" s="96">
        <f>'JOUR 9'!V57</f>
        <v>20.666666666666668</v>
      </c>
      <c r="Q13" s="96">
        <f>'JOUR 9'!W57</f>
        <v>0</v>
      </c>
      <c r="R13" s="96">
        <f>'JOUR 9'!X57</f>
        <v>16.41</v>
      </c>
      <c r="S13" s="96">
        <f>'JOUR 9'!Y57</f>
        <v>16.2</v>
      </c>
      <c r="T13" s="96">
        <f>'JOUR 9'!Z57</f>
        <v>0</v>
      </c>
      <c r="U13" s="47">
        <f t="shared" si="1"/>
        <v>1.0971666666666666</v>
      </c>
      <c r="V13" s="47">
        <f t="shared" si="2"/>
        <v>0.35428571428571431</v>
      </c>
      <c r="W13" s="47">
        <f t="shared" si="3"/>
        <v>0</v>
      </c>
      <c r="X13" s="47"/>
      <c r="Y13" s="47"/>
      <c r="Z13" s="47"/>
    </row>
    <row r="14" spans="1:26" ht="20.399999999999999" customHeight="1" x14ac:dyDescent="0.25">
      <c r="A14" s="37" t="s">
        <v>36</v>
      </c>
      <c r="B14" s="93">
        <f t="shared" si="4"/>
        <v>2000</v>
      </c>
      <c r="C14" s="93">
        <f>'JOUR 10'!S57</f>
        <v>1410</v>
      </c>
      <c r="D14" s="44">
        <f t="shared" si="5"/>
        <v>0.70499999999999996</v>
      </c>
      <c r="E14" s="95">
        <f t="shared" si="6"/>
        <v>1000</v>
      </c>
      <c r="F14" s="95">
        <f>'JOUR 10'!T57</f>
        <v>806</v>
      </c>
      <c r="G14" s="45">
        <f t="shared" si="7"/>
        <v>0.80600000000000005</v>
      </c>
      <c r="I14" s="58">
        <f t="shared" si="9"/>
        <v>50</v>
      </c>
      <c r="J14" s="58">
        <f t="shared" si="8"/>
        <v>58.333333333333336</v>
      </c>
      <c r="K14" s="58">
        <f t="shared" si="8"/>
        <v>20</v>
      </c>
      <c r="L14" s="46"/>
      <c r="M14" s="46"/>
      <c r="N14" s="46"/>
      <c r="O14" s="96">
        <f>'JOUR 10'!U57</f>
        <v>42.391666666666666</v>
      </c>
      <c r="P14" s="96">
        <f>'JOUR 10'!V57</f>
        <v>23</v>
      </c>
      <c r="Q14" s="96">
        <f>'JOUR 10'!W57</f>
        <v>0</v>
      </c>
      <c r="R14" s="96">
        <f>'JOUR 10'!X57</f>
        <v>17.13</v>
      </c>
      <c r="S14" s="96">
        <f>'JOUR 10'!Y57</f>
        <v>15.15</v>
      </c>
      <c r="T14" s="96">
        <f>'JOUR 10'!Z57</f>
        <v>0</v>
      </c>
      <c r="U14" s="47">
        <f t="shared" si="1"/>
        <v>0.84783333333333333</v>
      </c>
      <c r="V14" s="47">
        <f t="shared" si="2"/>
        <v>0.39428571428571429</v>
      </c>
      <c r="W14" s="47">
        <f t="shared" si="3"/>
        <v>0</v>
      </c>
      <c r="X14" s="47"/>
      <c r="Y14" s="47"/>
      <c r="Z14" s="47"/>
    </row>
    <row r="15" spans="1:26" ht="20.399999999999999" customHeight="1" x14ac:dyDescent="0.25">
      <c r="A15" s="37" t="s">
        <v>37</v>
      </c>
      <c r="B15" s="93">
        <f t="shared" si="4"/>
        <v>2000</v>
      </c>
      <c r="C15" s="93">
        <f>'JOUR 11'!S57</f>
        <v>1328</v>
      </c>
      <c r="D15" s="44">
        <f t="shared" si="5"/>
        <v>0.66400000000000003</v>
      </c>
      <c r="E15" s="95">
        <f t="shared" si="6"/>
        <v>1000</v>
      </c>
      <c r="F15" s="95">
        <f>'JOUR 11'!T57</f>
        <v>826</v>
      </c>
      <c r="G15" s="45">
        <f t="shared" si="7"/>
        <v>0.82599999999999996</v>
      </c>
      <c r="I15" s="58">
        <f t="shared" si="9"/>
        <v>50</v>
      </c>
      <c r="J15" s="58">
        <f t="shared" si="8"/>
        <v>58.333333333333336</v>
      </c>
      <c r="K15" s="58">
        <f t="shared" si="8"/>
        <v>20</v>
      </c>
      <c r="L15" s="46"/>
      <c r="M15" s="46"/>
      <c r="N15" s="46"/>
      <c r="O15" s="96">
        <f>'JOUR 11'!U57</f>
        <v>44.81666666666667</v>
      </c>
      <c r="P15" s="96">
        <f>'JOUR 11'!V57</f>
        <v>20.666666666666668</v>
      </c>
      <c r="Q15" s="96">
        <f>'JOUR 11'!W57</f>
        <v>0.1</v>
      </c>
      <c r="R15" s="96">
        <f>'JOUR 11'!X57</f>
        <v>14.54</v>
      </c>
      <c r="S15" s="96">
        <f>'JOUR 11'!Y57</f>
        <v>17.45</v>
      </c>
      <c r="T15" s="96">
        <f>'JOUR 11'!Z57</f>
        <v>0</v>
      </c>
      <c r="U15" s="47">
        <f t="shared" si="1"/>
        <v>0.89633333333333343</v>
      </c>
      <c r="V15" s="47">
        <f t="shared" si="2"/>
        <v>0.35428571428571431</v>
      </c>
      <c r="W15" s="47">
        <f t="shared" si="3"/>
        <v>5.0000000000000001E-3</v>
      </c>
      <c r="X15" s="47"/>
      <c r="Y15" s="47"/>
      <c r="Z15" s="47"/>
    </row>
    <row r="16" spans="1:26" ht="20.399999999999999" customHeight="1" x14ac:dyDescent="0.25">
      <c r="A16" s="37" t="s">
        <v>38</v>
      </c>
      <c r="B16" s="93">
        <f t="shared" si="4"/>
        <v>2000</v>
      </c>
      <c r="C16" s="93">
        <f>'JOUR 12'!S57</f>
        <v>1507</v>
      </c>
      <c r="D16" s="44">
        <f t="shared" si="5"/>
        <v>0.75349999999999995</v>
      </c>
      <c r="E16" s="95">
        <f t="shared" si="6"/>
        <v>1000</v>
      </c>
      <c r="F16" s="95">
        <f>'JOUR 12'!T57</f>
        <v>885</v>
      </c>
      <c r="G16" s="45">
        <f t="shared" si="7"/>
        <v>0.88500000000000001</v>
      </c>
      <c r="I16" s="58">
        <f t="shared" si="9"/>
        <v>50</v>
      </c>
      <c r="J16" s="58">
        <f t="shared" si="8"/>
        <v>58.333333333333336</v>
      </c>
      <c r="K16" s="58">
        <f t="shared" si="8"/>
        <v>20</v>
      </c>
      <c r="L16" s="46"/>
      <c r="M16" s="46"/>
      <c r="N16" s="46"/>
      <c r="O16" s="96">
        <f>'JOUR 12'!U57</f>
        <v>49.708333333333336</v>
      </c>
      <c r="P16" s="96">
        <f>'JOUR 12'!V57</f>
        <v>23.833333333333332</v>
      </c>
      <c r="Q16" s="96">
        <f>'JOUR 12'!W57</f>
        <v>0</v>
      </c>
      <c r="R16" s="96">
        <f>'JOUR 12'!X57</f>
        <v>16.579999999999998</v>
      </c>
      <c r="S16" s="96">
        <f>'JOUR 12'!Y57</f>
        <v>24.35</v>
      </c>
      <c r="T16" s="96">
        <f>'JOUR 12'!Z57</f>
        <v>0</v>
      </c>
      <c r="U16" s="47">
        <f t="shared" si="1"/>
        <v>0.99416666666666675</v>
      </c>
      <c r="V16" s="47">
        <f t="shared" si="2"/>
        <v>0.40857142857142853</v>
      </c>
      <c r="W16" s="47">
        <f t="shared" si="3"/>
        <v>0</v>
      </c>
      <c r="X16" s="47"/>
      <c r="Y16" s="47"/>
      <c r="Z16" s="47"/>
    </row>
    <row r="17" spans="1:26" ht="20.399999999999999" customHeight="1" x14ac:dyDescent="0.25">
      <c r="A17" s="37" t="s">
        <v>39</v>
      </c>
      <c r="B17" s="93">
        <f t="shared" si="4"/>
        <v>2000</v>
      </c>
      <c r="C17" s="93">
        <f>'JOUR 13'!S57</f>
        <v>1380</v>
      </c>
      <c r="D17" s="44">
        <f t="shared" si="5"/>
        <v>0.69</v>
      </c>
      <c r="E17" s="95">
        <f t="shared" si="6"/>
        <v>1000</v>
      </c>
      <c r="F17" s="95">
        <f>'JOUR 13'!T57</f>
        <v>904</v>
      </c>
      <c r="G17" s="45">
        <f t="shared" si="7"/>
        <v>0.90400000000000003</v>
      </c>
      <c r="I17" s="58">
        <f t="shared" si="9"/>
        <v>50</v>
      </c>
      <c r="J17" s="58">
        <f t="shared" si="8"/>
        <v>58.333333333333336</v>
      </c>
      <c r="K17" s="58">
        <f t="shared" si="8"/>
        <v>20</v>
      </c>
      <c r="L17" s="46"/>
      <c r="M17" s="46"/>
      <c r="N17" s="46"/>
      <c r="O17" s="96">
        <f>'JOUR 13'!U57</f>
        <v>54.18333333333333</v>
      </c>
      <c r="P17" s="96">
        <f>'JOUR 13'!V57</f>
        <v>22.5</v>
      </c>
      <c r="Q17" s="96">
        <f>'JOUR 13'!W57</f>
        <v>0.8</v>
      </c>
      <c r="R17" s="96">
        <f>'JOUR 13'!X57</f>
        <v>17.09</v>
      </c>
      <c r="S17" s="96">
        <f>'JOUR 13'!Y57</f>
        <v>18.75</v>
      </c>
      <c r="T17" s="96">
        <f>'JOUR 13'!Z57</f>
        <v>0</v>
      </c>
      <c r="U17" s="47">
        <f t="shared" si="1"/>
        <v>1.0836666666666666</v>
      </c>
      <c r="V17" s="47">
        <f t="shared" si="2"/>
        <v>0.38571428571428568</v>
      </c>
      <c r="W17" s="47">
        <f t="shared" si="3"/>
        <v>0.04</v>
      </c>
      <c r="X17" s="47"/>
      <c r="Y17" s="47"/>
      <c r="Z17" s="47"/>
    </row>
    <row r="18" spans="1:26" ht="20.399999999999999" customHeight="1" x14ac:dyDescent="0.25">
      <c r="A18" s="37" t="s">
        <v>40</v>
      </c>
      <c r="B18" s="93">
        <f t="shared" si="4"/>
        <v>2000</v>
      </c>
      <c r="C18" s="93">
        <f>'JOUR 14'!S57</f>
        <v>1491</v>
      </c>
      <c r="D18" s="44">
        <f t="shared" si="5"/>
        <v>0.74550000000000005</v>
      </c>
      <c r="E18" s="95">
        <f t="shared" si="6"/>
        <v>1000</v>
      </c>
      <c r="F18" s="95">
        <f>'JOUR 14'!T57</f>
        <v>915</v>
      </c>
      <c r="G18" s="45">
        <f t="shared" si="7"/>
        <v>0.91500000000000004</v>
      </c>
      <c r="I18" s="58">
        <f t="shared" si="9"/>
        <v>50</v>
      </c>
      <c r="J18" s="58">
        <f t="shared" si="8"/>
        <v>58.333333333333336</v>
      </c>
      <c r="K18" s="58">
        <f t="shared" si="8"/>
        <v>20</v>
      </c>
      <c r="L18" s="46"/>
      <c r="M18" s="46"/>
      <c r="N18" s="46"/>
      <c r="O18" s="96">
        <f>'JOUR 14'!U57</f>
        <v>51.30833333333333</v>
      </c>
      <c r="P18" s="96">
        <f>'JOUR 14'!V57</f>
        <v>27</v>
      </c>
      <c r="Q18" s="96">
        <f>'JOUR 14'!W57</f>
        <v>1.5</v>
      </c>
      <c r="R18" s="96">
        <f>'JOUR 14'!X57</f>
        <v>16.86</v>
      </c>
      <c r="S18" s="96">
        <f>'JOUR 14'!Y57</f>
        <v>21.95</v>
      </c>
      <c r="T18" s="96">
        <f>'JOUR 14'!Z57</f>
        <v>0</v>
      </c>
      <c r="U18" s="47">
        <f t="shared" si="1"/>
        <v>1.0261666666666667</v>
      </c>
      <c r="V18" s="47">
        <f t="shared" si="2"/>
        <v>0.46285714285714286</v>
      </c>
      <c r="W18" s="47">
        <f t="shared" si="3"/>
        <v>7.4999999999999997E-2</v>
      </c>
      <c r="X18" s="47"/>
      <c r="Y18" s="47"/>
      <c r="Z18" s="47"/>
    </row>
    <row r="19" spans="1:26" ht="20.399999999999999" customHeight="1" x14ac:dyDescent="0.25">
      <c r="A19" s="37" t="s">
        <v>41</v>
      </c>
      <c r="B19" s="93">
        <v>0</v>
      </c>
      <c r="C19" s="93"/>
      <c r="D19" s="44"/>
      <c r="E19" s="95"/>
      <c r="F19" s="95"/>
      <c r="G19" s="45"/>
      <c r="I19" s="58">
        <v>0</v>
      </c>
      <c r="J19" s="58">
        <v>0</v>
      </c>
      <c r="K19" s="58">
        <v>0</v>
      </c>
      <c r="L19" s="46"/>
      <c r="M19" s="46"/>
      <c r="N19" s="46"/>
      <c r="O19" s="96"/>
      <c r="P19" s="96"/>
      <c r="Q19" s="96"/>
      <c r="R19" s="96"/>
      <c r="S19" s="96"/>
      <c r="T19" s="96"/>
      <c r="U19" s="47"/>
      <c r="V19" s="47"/>
      <c r="W19" s="47"/>
      <c r="X19" s="47"/>
      <c r="Y19" s="47"/>
      <c r="Z19" s="47"/>
    </row>
    <row r="20" spans="1:26" ht="20.399999999999999" customHeight="1" x14ac:dyDescent="0.25">
      <c r="A20" s="37" t="s">
        <v>42</v>
      </c>
      <c r="B20" s="93">
        <v>0</v>
      </c>
      <c r="C20" s="93"/>
      <c r="D20" s="44"/>
      <c r="E20" s="95"/>
      <c r="F20" s="95"/>
      <c r="G20" s="45"/>
      <c r="I20" s="58">
        <v>0</v>
      </c>
      <c r="J20" s="58">
        <v>0</v>
      </c>
      <c r="K20" s="58">
        <v>0</v>
      </c>
      <c r="L20" s="46"/>
      <c r="M20" s="46"/>
      <c r="N20" s="46"/>
      <c r="O20" s="96"/>
      <c r="P20" s="96"/>
      <c r="Q20" s="96"/>
      <c r="R20" s="96"/>
      <c r="S20" s="96"/>
      <c r="T20" s="96"/>
      <c r="U20" s="47"/>
      <c r="V20" s="47"/>
      <c r="W20" s="47"/>
      <c r="X20" s="47"/>
      <c r="Y20" s="47"/>
      <c r="Z20" s="47"/>
    </row>
    <row r="21" spans="1:26" s="51" customFormat="1" ht="20.399999999999999" customHeight="1" x14ac:dyDescent="0.25">
      <c r="A21" s="48" t="s">
        <v>43</v>
      </c>
      <c r="B21" s="48">
        <f>SUM(B5:B20)</f>
        <v>28000</v>
      </c>
      <c r="C21" s="48">
        <f>SUM(C5:C20)</f>
        <v>20259</v>
      </c>
      <c r="D21" s="50">
        <f>C21/B21</f>
        <v>0.72353571428571428</v>
      </c>
      <c r="E21" s="48">
        <f>SUM(E5:E20)</f>
        <v>14000</v>
      </c>
      <c r="F21" s="48">
        <f>SUM(F5:F20)</f>
        <v>11083</v>
      </c>
      <c r="G21" s="50">
        <f t="shared" si="7"/>
        <v>0.79164285714285709</v>
      </c>
      <c r="I21" s="59">
        <f>SUM(I5:I20)</f>
        <v>700</v>
      </c>
      <c r="J21" s="59">
        <f>SUM(J5:J20)</f>
        <v>816.66666666666686</v>
      </c>
      <c r="K21" s="59">
        <f>SUM(K5:K20)</f>
        <v>280</v>
      </c>
      <c r="L21" s="52">
        <f>SUM(L5:L20)</f>
        <v>0</v>
      </c>
      <c r="M21" s="52">
        <f>SUM(M5:M20)</f>
        <v>0</v>
      </c>
      <c r="N21" s="52"/>
      <c r="O21" s="49">
        <f>SUM(O5:O20)</f>
        <v>588.57499999999993</v>
      </c>
      <c r="P21" s="49">
        <f>SUM(P5:P20)</f>
        <v>297.83333333333337</v>
      </c>
      <c r="Q21" s="49">
        <f>SUM(Q5:Q20)</f>
        <v>5.1000000000000005</v>
      </c>
      <c r="R21" s="49">
        <f>SUM(R5:R20)</f>
        <v>221.34999999999997</v>
      </c>
      <c r="S21" s="49">
        <f>SUM(S5:S20)</f>
        <v>210.59999999999997</v>
      </c>
      <c r="T21" s="49"/>
      <c r="U21" s="53">
        <f>O21/I21</f>
        <v>0.8408214285714285</v>
      </c>
      <c r="V21" s="53">
        <f>P21/J21</f>
        <v>0.3646938775510204</v>
      </c>
      <c r="W21" s="53">
        <f>Q21/K21</f>
        <v>1.8214285714285718E-2</v>
      </c>
      <c r="X21" s="53"/>
      <c r="Y21" s="53"/>
      <c r="Z21" s="53"/>
    </row>
  </sheetData>
  <mergeCells count="5">
    <mergeCell ref="B3:D3"/>
    <mergeCell ref="E3:G3"/>
    <mergeCell ref="I3:N3"/>
    <mergeCell ref="O3:T3"/>
    <mergeCell ref="U3:Z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8F401-9804-4094-B2B6-3C77E30AC544}">
  <sheetPr>
    <tabColor rgb="FFFFFF00"/>
  </sheetPr>
  <dimension ref="A1:AY60"/>
  <sheetViews>
    <sheetView topLeftCell="B1" zoomScale="50" zoomScaleNormal="50" workbookViewId="0">
      <pane xSplit="2" ySplit="4" topLeftCell="D32" activePane="bottomRight" state="frozen"/>
      <selection activeCell="E29" sqref="E29"/>
      <selection pane="topRight" activeCell="E29" sqref="E29"/>
      <selection pane="bottomLeft" activeCell="E29" sqref="E29"/>
      <selection pane="bottomRight" activeCell="K15" sqref="K15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7" width="17.6640625" style="3" bestFit="1" customWidth="1"/>
    <col min="8" max="8" width="14.6640625" style="3" bestFit="1" customWidth="1"/>
    <col min="9" max="11" width="13.33203125" style="3" customWidth="1"/>
    <col min="12" max="12" width="17.6640625" style="3" bestFit="1" customWidth="1"/>
    <col min="13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customHeight="1" thickBot="1" x14ac:dyDescent="0.35">
      <c r="B2" s="4" t="s">
        <v>0</v>
      </c>
      <c r="C2" s="69" t="s">
        <v>110</v>
      </c>
      <c r="D2" s="113" t="s">
        <v>107</v>
      </c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5" t="s">
        <v>108</v>
      </c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7"/>
      <c r="AK2" s="118" t="s">
        <v>109</v>
      </c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20"/>
    </row>
    <row r="3" spans="2:51" ht="18" customHeight="1" thickBot="1" x14ac:dyDescent="0.3">
      <c r="B3" s="121" t="s">
        <v>1</v>
      </c>
      <c r="C3" s="123" t="s">
        <v>2</v>
      </c>
      <c r="D3" s="5" t="s">
        <v>3</v>
      </c>
      <c r="E3" s="6" t="str">
        <f>T3</f>
        <v>Acheteurs</v>
      </c>
      <c r="F3" s="125" t="s">
        <v>4</v>
      </c>
      <c r="G3" s="125"/>
      <c r="H3" s="125"/>
      <c r="I3" s="125"/>
      <c r="J3" s="126"/>
      <c r="K3" s="56"/>
      <c r="L3" s="127" t="s">
        <v>5</v>
      </c>
      <c r="M3" s="128"/>
      <c r="N3" s="129"/>
      <c r="O3" s="70"/>
      <c r="P3" s="70"/>
      <c r="Q3" s="70"/>
      <c r="R3" s="70"/>
      <c r="S3" s="7" t="s">
        <v>3</v>
      </c>
      <c r="T3" s="7" t="s">
        <v>6</v>
      </c>
      <c r="U3" s="130" t="s">
        <v>7</v>
      </c>
      <c r="V3" s="131"/>
      <c r="W3" s="131"/>
      <c r="X3" s="131"/>
      <c r="Y3" s="131"/>
      <c r="Z3" s="132"/>
      <c r="AA3" s="133" t="str">
        <f>L3</f>
        <v>Gratuités pour achats 
(en unités)</v>
      </c>
      <c r="AB3" s="134"/>
      <c r="AC3" s="135"/>
      <c r="AD3" s="133" t="s">
        <v>19</v>
      </c>
      <c r="AE3" s="134"/>
      <c r="AF3" s="134"/>
      <c r="AG3" s="135"/>
      <c r="AH3" s="136" t="s">
        <v>8</v>
      </c>
      <c r="AI3" s="138" t="s">
        <v>9</v>
      </c>
      <c r="AK3" s="79" t="s">
        <v>3</v>
      </c>
      <c r="AL3" s="79" t="s">
        <v>6</v>
      </c>
      <c r="AM3" s="140" t="s">
        <v>7</v>
      </c>
      <c r="AN3" s="141"/>
      <c r="AO3" s="141"/>
      <c r="AP3" s="141"/>
      <c r="AQ3" s="141"/>
      <c r="AR3" s="142"/>
      <c r="AS3" s="143" t="str">
        <f>AD3</f>
        <v>GOODIES</v>
      </c>
      <c r="AT3" s="144"/>
      <c r="AU3" s="145"/>
      <c r="AV3" s="143" t="s">
        <v>19</v>
      </c>
      <c r="AW3" s="144"/>
      <c r="AX3" s="144"/>
      <c r="AY3" s="145"/>
    </row>
    <row r="4" spans="2:51" ht="212.4" thickBot="1" x14ac:dyDescent="0.3">
      <c r="B4" s="122"/>
      <c r="C4" s="12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105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7"/>
      <c r="AI4" s="139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 t="e">
        <f>'JOUR 1'!D5+'JOUR 2'!D5+'JOUR 3'!D5+'JOUR 4'!D5+'JOUR 5'!D5+'JOUR 6'!D5+'JOUR 7'!D5+'JOUR 8'!D5+'JOUR 9'!D5+'JOUR 10'!D5+'JOUR 11'!D5+'JOUR 12'!D5+'JOUR 13'!D5+'JOUR 14'!D5+#REF!+#REF!</f>
        <v>#REF!</v>
      </c>
      <c r="E5" s="17" t="e">
        <f>'JOUR 1'!E5+'JOUR 2'!E5+'JOUR 3'!E5+'JOUR 4'!E5+'JOUR 5'!E5+'JOUR 6'!E5+'JOUR 7'!E5+'JOUR 8'!E5+'JOUR 9'!E5+'JOUR 10'!E5+'JOUR 11'!E5+'JOUR 12'!E5+'JOUR 13'!E5+'JOUR 14'!E5+#REF!+#REF!</f>
        <v>#REF!</v>
      </c>
      <c r="F5" s="17" t="e">
        <f>'JOUR 1'!F5+'JOUR 2'!F5+'JOUR 3'!F5+'JOUR 4'!F5+'JOUR 5'!F5+'JOUR 6'!F5+'JOUR 7'!F5+'JOUR 8'!F5+'JOUR 9'!F5+'JOUR 10'!F5+'JOUR 11'!F5+'JOUR 12'!F5+'JOUR 13'!F5+'JOUR 14'!F5+#REF!+#REF!</f>
        <v>#REF!</v>
      </c>
      <c r="G5" s="17" t="e">
        <f>'JOUR 1'!G5+'JOUR 2'!G5+'JOUR 3'!G5+'JOUR 4'!G5+'JOUR 5'!G5+'JOUR 6'!G5+'JOUR 7'!G5+'JOUR 8'!G5+'JOUR 9'!G5+'JOUR 10'!G5+'JOUR 11'!G5+'JOUR 12'!G5+'JOUR 13'!G5+'JOUR 14'!G5+#REF!+#REF!</f>
        <v>#REF!</v>
      </c>
      <c r="H5" s="17" t="e">
        <f>'JOUR 1'!H5+'JOUR 2'!H5+'JOUR 3'!H5+'JOUR 4'!H5+'JOUR 5'!H5+'JOUR 6'!H5+'JOUR 7'!H5+'JOUR 8'!H5+'JOUR 9'!H5+'JOUR 10'!H5+'JOUR 11'!H5+'JOUR 12'!H5+'JOUR 13'!H5+'JOUR 14'!H5+#REF!+#REF!</f>
        <v>#REF!</v>
      </c>
      <c r="I5" s="17" t="e">
        <f>'JOUR 1'!I5+'JOUR 2'!I5+'JOUR 3'!I5+'JOUR 4'!I5+'JOUR 5'!I5+'JOUR 6'!I5+'JOUR 7'!I5+'JOUR 8'!I5+'JOUR 9'!I5+'JOUR 10'!I5+'JOUR 11'!I5+'JOUR 12'!I5+'JOUR 13'!I5+'JOUR 14'!I5+#REF!+#REF!</f>
        <v>#REF!</v>
      </c>
      <c r="J5" s="17" t="e">
        <f>'JOUR 1'!J5+'JOUR 2'!J5+'JOUR 3'!J5+'JOUR 4'!J5+'JOUR 5'!J5+'JOUR 6'!J5+'JOUR 7'!J5+'JOUR 8'!J5+'JOUR 9'!J5+'JOUR 10'!J5+'JOUR 11'!J5+'JOUR 12'!J5+'JOUR 13'!J5+'JOUR 14'!J5+#REF!+#REF!</f>
        <v>#REF!</v>
      </c>
      <c r="K5" s="17" t="e">
        <f>'JOUR 1'!K5+'JOUR 2'!K5+'JOUR 3'!K5+'JOUR 4'!K5+'JOUR 5'!K5+'JOUR 6'!K5+'JOUR 7'!K5+'JOUR 8'!K5+'JOUR 9'!K5+'JOUR 10'!K5+'JOUR 11'!K5+'JOUR 12'!K5+'JOUR 13'!K5+'JOUR 14'!K5+#REF!+#REF!</f>
        <v>#REF!</v>
      </c>
      <c r="L5" s="17" t="e">
        <f>'JOUR 1'!L5+'JOUR 2'!L5+'JOUR 3'!L5+'JOUR 4'!L5+'JOUR 5'!L5+'JOUR 6'!L5+'JOUR 7'!L5+'JOUR 8'!L5+'JOUR 9'!L5+'JOUR 10'!L5+'JOUR 11'!L5+'JOUR 12'!L5+'JOUR 13'!L5+'JOUR 14'!L5+#REF!+#REF!</f>
        <v>#REF!</v>
      </c>
      <c r="M5" s="17" t="e">
        <f>'JOUR 1'!M5+'JOUR 2'!M5+'JOUR 3'!M5+'JOUR 4'!M5+'JOUR 5'!M5+'JOUR 6'!M5+'JOUR 7'!M5+'JOUR 8'!M5+'JOUR 9'!M5+'JOUR 10'!M5+'JOUR 11'!M5+'JOUR 12'!M5+'JOUR 13'!M5+'JOUR 14'!M5+#REF!+#REF!</f>
        <v>#REF!</v>
      </c>
      <c r="N5" s="17" t="e">
        <f>'JOUR 1'!N5+'JOUR 2'!N5+'JOUR 3'!N5+'JOUR 4'!N5+'JOUR 5'!N5+'JOUR 6'!N5+'JOUR 7'!N5+'JOUR 8'!N5+'JOUR 9'!N5+'JOUR 10'!N5+'JOUR 11'!N5+'JOUR 12'!N5+'JOUR 13'!N5+'JOUR 14'!N5+#REF!+#REF!</f>
        <v>#REF!</v>
      </c>
      <c r="O5" s="17" t="e">
        <f>'JOUR 1'!O5+'JOUR 2'!O5+'JOUR 3'!O5+'JOUR 4'!O5+'JOUR 5'!O5+'JOUR 6'!O5+'JOUR 7'!O5+'JOUR 8'!O5+'JOUR 9'!O5+'JOUR 10'!O5+'JOUR 11'!O5+'JOUR 12'!O5+'JOUR 13'!O5+'JOUR 14'!O5+#REF!+#REF!</f>
        <v>#REF!</v>
      </c>
      <c r="P5" s="17" t="e">
        <f>'JOUR 1'!P5+'JOUR 2'!P5+'JOUR 3'!P5+'JOUR 4'!P5+'JOUR 5'!P5+'JOUR 6'!P5+'JOUR 7'!P5+'JOUR 8'!P5+'JOUR 9'!P5+'JOUR 10'!P5+'JOUR 11'!P5+'JOUR 12'!P5+'JOUR 13'!P5+'JOUR 14'!P5+#REF!+#REF!</f>
        <v>#REF!</v>
      </c>
      <c r="Q5" s="17" t="e">
        <f>'JOUR 1'!Q5+'JOUR 2'!Q5+'JOUR 3'!Q5+'JOUR 4'!Q5+'JOUR 5'!Q5+'JOUR 6'!Q5+'JOUR 7'!Q5+'JOUR 8'!Q5+'JOUR 9'!Q5+'JOUR 10'!Q5+'JOUR 11'!Q5+'JOUR 12'!Q5+'JOUR 13'!Q5+'JOUR 14'!Q5+#REF!+#REF!</f>
        <v>#REF!</v>
      </c>
      <c r="R5" s="17" t="e">
        <f>'JOUR 1'!R5+'JOUR 2'!R5+'JOUR 3'!R5+'JOUR 4'!R5+'JOUR 5'!R5+'JOUR 6'!R5+'JOUR 7'!R5+'JOUR 8'!R5+'JOUR 9'!R5+'JOUR 10'!R5+'JOUR 11'!R5+'JOUR 12'!R5+'JOUR 13'!R5+'JOUR 14'!R5+#REF!+#REF!</f>
        <v>#REF!</v>
      </c>
      <c r="S5" s="31" t="e">
        <f>'JOUR 1'!S5+'JOUR 2'!S5+'JOUR 3'!S5+'JOUR 4'!S5+'JOUR 5'!S5+'JOUR 6'!S5+'JOUR 7'!S5+'JOUR 8'!S5+'JOUR 9'!S5+'JOUR 10'!S5+'JOUR 11'!S5+'JOUR 12'!S5+'JOUR 13'!S5+'JOUR 14'!S5+#REF!+#REF!</f>
        <v>#REF!</v>
      </c>
      <c r="T5" s="31" t="e">
        <f>'JOUR 1'!T5+'JOUR 2'!T5+'JOUR 3'!T5+'JOUR 4'!T5+'JOUR 5'!T5+'JOUR 6'!T5+'JOUR 7'!T5+'JOUR 8'!T5+'JOUR 9'!T5+'JOUR 10'!T5+'JOUR 11'!T5+'JOUR 12'!T5+'JOUR 13'!T5+'JOUR 14'!T5+#REF!+#REF!</f>
        <v>#REF!</v>
      </c>
      <c r="U5" s="31" t="e">
        <f>'JOUR 1'!U5+'JOUR 2'!U5+'JOUR 3'!U5+'JOUR 4'!U5+'JOUR 5'!U5+'JOUR 6'!U5+'JOUR 7'!U5+'JOUR 8'!U5+'JOUR 9'!U5+'JOUR 10'!U5+'JOUR 11'!U5+'JOUR 12'!U5+'JOUR 13'!U5+'JOUR 14'!U5+#REF!+#REF!</f>
        <v>#REF!</v>
      </c>
      <c r="V5" s="32" t="e">
        <f>'JOUR 1'!V5+'JOUR 2'!V5+'JOUR 3'!V5+'JOUR 4'!V5+'JOUR 5'!V5+'JOUR 6'!V5+'JOUR 7'!V5+'JOUR 8'!V5+'JOUR 9'!V5+'JOUR 10'!V5+'JOUR 11'!V5+'JOUR 12'!V5+'JOUR 13'!V5+'JOUR 14'!V5+#REF!+#REF!</f>
        <v>#REF!</v>
      </c>
      <c r="W5" s="32" t="e">
        <f>'JOUR 1'!W5+'JOUR 2'!W5+'JOUR 3'!W5+'JOUR 4'!W5+'JOUR 5'!W5+'JOUR 6'!W5+'JOUR 7'!W5+'JOUR 8'!W5+'JOUR 9'!W5+'JOUR 10'!W5+'JOUR 11'!W5+'JOUR 12'!W5+'JOUR 13'!W5+'JOUR 14'!W5+#REF!+#REF!</f>
        <v>#REF!</v>
      </c>
      <c r="X5" s="32" t="e">
        <f>'JOUR 1'!X5+'JOUR 2'!X5+'JOUR 3'!X5+'JOUR 4'!X5+'JOUR 5'!X5+'JOUR 6'!X5+'JOUR 7'!X5+'JOUR 8'!X5+'JOUR 9'!X5+'JOUR 10'!X5+'JOUR 11'!X5+'JOUR 12'!X5+'JOUR 13'!X5+'JOUR 14'!X5+#REF!+#REF!</f>
        <v>#REF!</v>
      </c>
      <c r="Y5" s="75" t="e">
        <f>'JOUR 1'!Y5+'JOUR 2'!Y5+'JOUR 3'!Y5+'JOUR 4'!Y5+'JOUR 5'!Y5+'JOUR 6'!Y5+'JOUR 7'!Y5+'JOUR 8'!Y5+'JOUR 9'!Y5+'JOUR 10'!Y5+'JOUR 11'!Y5+'JOUR 12'!Y5+'JOUR 13'!Y5+'JOUR 14'!Y5+#REF!+#REF!</f>
        <v>#REF!</v>
      </c>
      <c r="Z5" s="33" t="e">
        <f>'JOUR 1'!Z5+'JOUR 2'!Z5+'JOUR 3'!Z5+'JOUR 4'!Z5+'JOUR 5'!Z5+'JOUR 6'!Z5+'JOUR 7'!Z5+'JOUR 8'!Z5+'JOUR 9'!Z5+'JOUR 10'!Z5+'JOUR 11'!Z5+'JOUR 12'!Z5+'JOUR 13'!Z5+'JOUR 14'!Z5+#REF!+#REF!</f>
        <v>#REF!</v>
      </c>
      <c r="AA5" s="34" t="e">
        <f>'JOUR 1'!AA5+'JOUR 2'!AA5+'JOUR 3'!AA5+'JOUR 4'!AA5+'JOUR 5'!AA5+'JOUR 6'!AA5+'JOUR 7'!AA5+'JOUR 8'!AA5+'JOUR 9'!AA5+'JOUR 10'!AA5+'JOUR 11'!AA5+'JOUR 12'!AA5+'JOUR 13'!AA5+'JOUR 14'!AA5+#REF!+#REF!</f>
        <v>#REF!</v>
      </c>
      <c r="AB5" s="34" t="e">
        <f>'JOUR 1'!AB5+'JOUR 2'!AB5+'JOUR 3'!AB5+'JOUR 4'!AB5+'JOUR 5'!AB5+'JOUR 6'!AB5+'JOUR 7'!AB5+'JOUR 8'!AB5+'JOUR 9'!AB5+'JOUR 10'!AB5+'JOUR 11'!AB5+'JOUR 12'!AB5+'JOUR 13'!AB5+'JOUR 14'!AB5+#REF!+#REF!</f>
        <v>#REF!</v>
      </c>
      <c r="AC5" s="34" t="e">
        <f>'JOUR 1'!AC5+'JOUR 2'!AC5+'JOUR 3'!AC5+'JOUR 4'!AC5+'JOUR 5'!AC5+'JOUR 6'!AC5+'JOUR 7'!AC5+'JOUR 8'!AC5+'JOUR 9'!AC5+'JOUR 10'!AC5+'JOUR 11'!AC5+'JOUR 12'!AC5+'JOUR 13'!AC5+'JOUR 14'!AC5+#REF!+#REF!</f>
        <v>#REF!</v>
      </c>
      <c r="AD5" s="35" t="e">
        <f>'JOUR 1'!AD5+'JOUR 2'!AD5+'JOUR 3'!AD5+'JOUR 4'!AD5+'JOUR 5'!AD5+'JOUR 6'!AD5+'JOUR 7'!AD5+'JOUR 8'!AD5+'JOUR 9'!AD5+'JOUR 10'!AD5+'JOUR 11'!AD5+'JOUR 12'!AD5+'JOUR 13'!AD5+'JOUR 14'!AD5+#REF!+#REF!</f>
        <v>#REF!</v>
      </c>
      <c r="AE5" s="34" t="e">
        <f>'JOUR 1'!AE5+'JOUR 2'!AE5+'JOUR 3'!AE5+'JOUR 4'!AE5+'JOUR 5'!AE5+'JOUR 6'!AE5+'JOUR 7'!AE5+'JOUR 8'!AE5+'JOUR 9'!AE5+'JOUR 10'!AE5+'JOUR 11'!AE5+'JOUR 12'!AE5+'JOUR 13'!AE5+'JOUR 14'!AE5+#REF!+#REF!</f>
        <v>#REF!</v>
      </c>
      <c r="AF5" s="34" t="e">
        <f>'JOUR 1'!AF5+'JOUR 2'!AF5+'JOUR 3'!AF5+'JOUR 4'!AF5+'JOUR 5'!AF5+'JOUR 6'!AF5+'JOUR 7'!AF5+'JOUR 8'!AF5+'JOUR 9'!AF5+'JOUR 10'!AF5+'JOUR 11'!AF5+'JOUR 12'!AF5+'JOUR 13'!AF5+'JOUR 14'!AF5+#REF!+#REF!</f>
        <v>#REF!</v>
      </c>
      <c r="AG5" s="34" t="e">
        <f>'JOUR 1'!AG5+'JOUR 2'!AG5+'JOUR 3'!AG5+'JOUR 4'!AG5+'JOUR 5'!AG5+'JOUR 6'!AG5+'JOUR 7'!AG5+'JOUR 8'!AG5+'JOUR 9'!AG5+'JOUR 10'!AG5+'JOUR 11'!AG5+'JOUR 12'!AG5+'JOUR 13'!AG5+'JOUR 14'!AG5+#REF!+#REF!</f>
        <v>#REF!</v>
      </c>
      <c r="AH5" s="21"/>
      <c r="AI5" s="22"/>
      <c r="AK5" s="87" t="e">
        <f>S5/D5</f>
        <v>#REF!</v>
      </c>
      <c r="AL5" s="87" t="e">
        <f t="shared" ref="AL5:AS20" si="0">T5/E5</f>
        <v>#REF!</v>
      </c>
      <c r="AM5" s="87" t="e">
        <f t="shared" si="0"/>
        <v>#REF!</v>
      </c>
      <c r="AN5" s="87" t="e">
        <f t="shared" si="0"/>
        <v>#REF!</v>
      </c>
      <c r="AO5" s="87" t="e">
        <f t="shared" si="0"/>
        <v>#REF!</v>
      </c>
      <c r="AP5" s="87"/>
      <c r="AQ5" s="87"/>
      <c r="AR5" s="87"/>
      <c r="AS5" s="87" t="e">
        <f t="shared" si="0"/>
        <v>#REF!</v>
      </c>
      <c r="AT5" s="87"/>
      <c r="AU5" s="87"/>
      <c r="AV5" s="87"/>
      <c r="AW5" s="87"/>
      <c r="AX5" s="87"/>
      <c r="AY5" s="89"/>
    </row>
    <row r="6" spans="2:51" ht="17.399999999999999" x14ac:dyDescent="0.25">
      <c r="B6" s="16" t="s">
        <v>45</v>
      </c>
      <c r="C6" s="16" t="s">
        <v>47</v>
      </c>
      <c r="D6" s="17" t="e">
        <f>'JOUR 1'!D6+'JOUR 2'!D6+'JOUR 3'!D6+'JOUR 4'!D6+'JOUR 5'!D6+'JOUR 6'!D6+'JOUR 7'!D6+'JOUR 8'!D6+'JOUR 9'!D6+'JOUR 10'!D6+'JOUR 11'!D6+'JOUR 12'!D6+'JOUR 13'!D6+'JOUR 14'!D6+#REF!+#REF!</f>
        <v>#REF!</v>
      </c>
      <c r="E6" s="17" t="e">
        <f>'JOUR 1'!E6+'JOUR 2'!E6+'JOUR 3'!E6+'JOUR 4'!E6+'JOUR 5'!E6+'JOUR 6'!E6+'JOUR 7'!E6+'JOUR 8'!E6+'JOUR 9'!E6+'JOUR 10'!E6+'JOUR 11'!E6+'JOUR 12'!E6+'JOUR 13'!E6+'JOUR 14'!E6+#REF!+#REF!</f>
        <v>#REF!</v>
      </c>
      <c r="F6" s="17" t="e">
        <f>'JOUR 1'!F6+'JOUR 2'!F6+'JOUR 3'!F6+'JOUR 4'!F6+'JOUR 5'!F6+'JOUR 6'!F6+'JOUR 7'!F6+'JOUR 8'!F6+'JOUR 9'!F6+'JOUR 10'!F6+'JOUR 11'!F6+'JOUR 12'!F6+'JOUR 13'!F6+'JOUR 14'!F6+#REF!+#REF!</f>
        <v>#REF!</v>
      </c>
      <c r="G6" s="17" t="e">
        <f>'JOUR 1'!G6+'JOUR 2'!G6+'JOUR 3'!G6+'JOUR 4'!G6+'JOUR 5'!G6+'JOUR 6'!G6+'JOUR 7'!G6+'JOUR 8'!G6+'JOUR 9'!G6+'JOUR 10'!G6+'JOUR 11'!G6+'JOUR 12'!G6+'JOUR 13'!G6+'JOUR 14'!G6+#REF!+#REF!</f>
        <v>#REF!</v>
      </c>
      <c r="H6" s="17" t="e">
        <f>'JOUR 1'!H6+'JOUR 2'!H6+'JOUR 3'!H6+'JOUR 4'!H6+'JOUR 5'!H6+'JOUR 6'!H6+'JOUR 7'!H6+'JOUR 8'!H6+'JOUR 9'!H6+'JOUR 10'!H6+'JOUR 11'!H6+'JOUR 12'!H6+'JOUR 13'!H6+'JOUR 14'!H6+#REF!+#REF!</f>
        <v>#REF!</v>
      </c>
      <c r="I6" s="17" t="e">
        <f>'JOUR 1'!I6+'JOUR 2'!I6+'JOUR 3'!I6+'JOUR 4'!I6+'JOUR 5'!I6+'JOUR 6'!I6+'JOUR 7'!I6+'JOUR 8'!I6+'JOUR 9'!I6+'JOUR 10'!I6+'JOUR 11'!I6+'JOUR 12'!I6+'JOUR 13'!I6+'JOUR 14'!I6+#REF!+#REF!</f>
        <v>#REF!</v>
      </c>
      <c r="J6" s="17" t="e">
        <f>'JOUR 1'!J6+'JOUR 2'!J6+'JOUR 3'!J6+'JOUR 4'!J6+'JOUR 5'!J6+'JOUR 6'!J6+'JOUR 7'!J6+'JOUR 8'!J6+'JOUR 9'!J6+'JOUR 10'!J6+'JOUR 11'!J6+'JOUR 12'!J6+'JOUR 13'!J6+'JOUR 14'!J6+#REF!+#REF!</f>
        <v>#REF!</v>
      </c>
      <c r="K6" s="17" t="e">
        <f>'JOUR 1'!K6+'JOUR 2'!K6+'JOUR 3'!K6+'JOUR 4'!K6+'JOUR 5'!K6+'JOUR 6'!K6+'JOUR 7'!K6+'JOUR 8'!K6+'JOUR 9'!K6+'JOUR 10'!K6+'JOUR 11'!K6+'JOUR 12'!K6+'JOUR 13'!K6+'JOUR 14'!K6+#REF!+#REF!</f>
        <v>#REF!</v>
      </c>
      <c r="L6" s="17" t="e">
        <f>'JOUR 1'!L6+'JOUR 2'!L6+'JOUR 3'!L6+'JOUR 4'!L6+'JOUR 5'!L6+'JOUR 6'!L6+'JOUR 7'!L6+'JOUR 8'!L6+'JOUR 9'!L6+'JOUR 10'!L6+'JOUR 11'!L6+'JOUR 12'!L6+'JOUR 13'!L6+'JOUR 14'!L6+#REF!+#REF!</f>
        <v>#REF!</v>
      </c>
      <c r="M6" s="17" t="e">
        <f>'JOUR 1'!M6+'JOUR 2'!M6+'JOUR 3'!M6+'JOUR 4'!M6+'JOUR 5'!M6+'JOUR 6'!M6+'JOUR 7'!M6+'JOUR 8'!M6+'JOUR 9'!M6+'JOUR 10'!M6+'JOUR 11'!M6+'JOUR 12'!M6+'JOUR 13'!M6+'JOUR 14'!M6+#REF!+#REF!</f>
        <v>#REF!</v>
      </c>
      <c r="N6" s="17" t="e">
        <f>'JOUR 1'!N6+'JOUR 2'!N6+'JOUR 3'!N6+'JOUR 4'!N6+'JOUR 5'!N6+'JOUR 6'!N6+'JOUR 7'!N6+'JOUR 8'!N6+'JOUR 9'!N6+'JOUR 10'!N6+'JOUR 11'!N6+'JOUR 12'!N6+'JOUR 13'!N6+'JOUR 14'!N6+#REF!+#REF!</f>
        <v>#REF!</v>
      </c>
      <c r="O6" s="17" t="e">
        <f>'JOUR 1'!O6+'JOUR 2'!O6+'JOUR 3'!O6+'JOUR 4'!O6+'JOUR 5'!O6+'JOUR 6'!O6+'JOUR 7'!O6+'JOUR 8'!O6+'JOUR 9'!O6+'JOUR 10'!O6+'JOUR 11'!O6+'JOUR 12'!O6+'JOUR 13'!O6+'JOUR 14'!O6+#REF!+#REF!</f>
        <v>#REF!</v>
      </c>
      <c r="P6" s="17" t="e">
        <f>'JOUR 1'!P6+'JOUR 2'!P6+'JOUR 3'!P6+'JOUR 4'!P6+'JOUR 5'!P6+'JOUR 6'!P6+'JOUR 7'!P6+'JOUR 8'!P6+'JOUR 9'!P6+'JOUR 10'!P6+'JOUR 11'!P6+'JOUR 12'!P6+'JOUR 13'!P6+'JOUR 14'!P6+#REF!+#REF!</f>
        <v>#REF!</v>
      </c>
      <c r="Q6" s="17" t="e">
        <f>'JOUR 1'!Q6+'JOUR 2'!Q6+'JOUR 3'!Q6+'JOUR 4'!Q6+'JOUR 5'!Q6+'JOUR 6'!Q6+'JOUR 7'!Q6+'JOUR 8'!Q6+'JOUR 9'!Q6+'JOUR 10'!Q6+'JOUR 11'!Q6+'JOUR 12'!Q6+'JOUR 13'!Q6+'JOUR 14'!Q6+#REF!+#REF!</f>
        <v>#REF!</v>
      </c>
      <c r="R6" s="17" t="e">
        <f>'JOUR 1'!R6+'JOUR 2'!R6+'JOUR 3'!R6+'JOUR 4'!R6+'JOUR 5'!R6+'JOUR 6'!R6+'JOUR 7'!R6+'JOUR 8'!R6+'JOUR 9'!R6+'JOUR 10'!R6+'JOUR 11'!R6+'JOUR 12'!R6+'JOUR 13'!R6+'JOUR 14'!R6+#REF!+#REF!</f>
        <v>#REF!</v>
      </c>
      <c r="S6" s="31" t="e">
        <f>'JOUR 1'!S6+'JOUR 2'!S6+'JOUR 3'!S6+'JOUR 4'!S6+'JOUR 5'!S6+'JOUR 6'!S6+'JOUR 7'!S6+'JOUR 8'!S6+'JOUR 9'!S6+'JOUR 10'!S6+'JOUR 11'!S6+'JOUR 12'!S6+'JOUR 13'!S6+'JOUR 14'!S6+#REF!+#REF!</f>
        <v>#REF!</v>
      </c>
      <c r="T6" s="31" t="e">
        <f>'JOUR 1'!T6+'JOUR 2'!T6+'JOUR 3'!T6+'JOUR 4'!T6+'JOUR 5'!T6+'JOUR 6'!T6+'JOUR 7'!T6+'JOUR 8'!T6+'JOUR 9'!T6+'JOUR 10'!T6+'JOUR 11'!T6+'JOUR 12'!T6+'JOUR 13'!T6+'JOUR 14'!T6+#REF!+#REF!</f>
        <v>#REF!</v>
      </c>
      <c r="U6" s="31" t="e">
        <f>'JOUR 1'!U6+'JOUR 2'!U6+'JOUR 3'!U6+'JOUR 4'!U6+'JOUR 5'!U6+'JOUR 6'!U6+'JOUR 7'!U6+'JOUR 8'!U6+'JOUR 9'!U6+'JOUR 10'!U6+'JOUR 11'!U6+'JOUR 12'!U6+'JOUR 13'!U6+'JOUR 14'!U6+#REF!+#REF!</f>
        <v>#REF!</v>
      </c>
      <c r="V6" s="32" t="e">
        <f>'JOUR 1'!V6+'JOUR 2'!V6+'JOUR 3'!V6+'JOUR 4'!V6+'JOUR 5'!V6+'JOUR 6'!V6+'JOUR 7'!V6+'JOUR 8'!V6+'JOUR 9'!V6+'JOUR 10'!V6+'JOUR 11'!V6+'JOUR 12'!V6+'JOUR 13'!V6+'JOUR 14'!V6+#REF!+#REF!</f>
        <v>#REF!</v>
      </c>
      <c r="W6" s="32" t="e">
        <f>'JOUR 1'!W6+'JOUR 2'!W6+'JOUR 3'!W6+'JOUR 4'!W6+'JOUR 5'!W6+'JOUR 6'!W6+'JOUR 7'!W6+'JOUR 8'!W6+'JOUR 9'!W6+'JOUR 10'!W6+'JOUR 11'!W6+'JOUR 12'!W6+'JOUR 13'!W6+'JOUR 14'!W6+#REF!+#REF!</f>
        <v>#REF!</v>
      </c>
      <c r="X6" s="32" t="e">
        <f>'JOUR 1'!X6+'JOUR 2'!X6+'JOUR 3'!X6+'JOUR 4'!X6+'JOUR 5'!X6+'JOUR 6'!X6+'JOUR 7'!X6+'JOUR 8'!X6+'JOUR 9'!X6+'JOUR 10'!X6+'JOUR 11'!X6+'JOUR 12'!X6+'JOUR 13'!X6+'JOUR 14'!X6+#REF!+#REF!</f>
        <v>#REF!</v>
      </c>
      <c r="Y6" s="75" t="e">
        <f>'JOUR 1'!Y6+'JOUR 2'!Y6+'JOUR 3'!Y6+'JOUR 4'!Y6+'JOUR 5'!Y6+'JOUR 6'!Y6+'JOUR 7'!Y6+'JOUR 8'!Y6+'JOUR 9'!Y6+'JOUR 10'!Y6+'JOUR 11'!Y6+'JOUR 12'!Y6+'JOUR 13'!Y6+'JOUR 14'!Y6+#REF!+#REF!</f>
        <v>#REF!</v>
      </c>
      <c r="Z6" s="33" t="e">
        <f>'JOUR 1'!Z6+'JOUR 2'!Z6+'JOUR 3'!Z6+'JOUR 4'!Z6+'JOUR 5'!Z6+'JOUR 6'!Z6+'JOUR 7'!Z6+'JOUR 8'!Z6+'JOUR 9'!Z6+'JOUR 10'!Z6+'JOUR 11'!Z6+'JOUR 12'!Z6+'JOUR 13'!Z6+'JOUR 14'!Z6+#REF!+#REF!</f>
        <v>#REF!</v>
      </c>
      <c r="AA6" s="34" t="e">
        <f>'JOUR 1'!AA6+'JOUR 2'!AA6+'JOUR 3'!AA6+'JOUR 4'!AA6+'JOUR 5'!AA6+'JOUR 6'!AA6+'JOUR 7'!AA6+'JOUR 8'!AA6+'JOUR 9'!AA6+'JOUR 10'!AA6+'JOUR 11'!AA6+'JOUR 12'!AA6+'JOUR 13'!AA6+'JOUR 14'!AA6+#REF!+#REF!</f>
        <v>#REF!</v>
      </c>
      <c r="AB6" s="34" t="e">
        <f>'JOUR 1'!AB6+'JOUR 2'!AB6+'JOUR 3'!AB6+'JOUR 4'!AB6+'JOUR 5'!AB6+'JOUR 6'!AB6+'JOUR 7'!AB6+'JOUR 8'!AB6+'JOUR 9'!AB6+'JOUR 10'!AB6+'JOUR 11'!AB6+'JOUR 12'!AB6+'JOUR 13'!AB6+'JOUR 14'!AB6+#REF!+#REF!</f>
        <v>#REF!</v>
      </c>
      <c r="AC6" s="34" t="e">
        <f>'JOUR 1'!AC6+'JOUR 2'!AC6+'JOUR 3'!AC6+'JOUR 4'!AC6+'JOUR 5'!AC6+'JOUR 6'!AC6+'JOUR 7'!AC6+'JOUR 8'!AC6+'JOUR 9'!AC6+'JOUR 10'!AC6+'JOUR 11'!AC6+'JOUR 12'!AC6+'JOUR 13'!AC6+'JOUR 14'!AC6+#REF!+#REF!</f>
        <v>#REF!</v>
      </c>
      <c r="AD6" s="35" t="e">
        <f>'JOUR 1'!AD6+'JOUR 2'!AD6+'JOUR 3'!AD6+'JOUR 4'!AD6+'JOUR 5'!AD6+'JOUR 6'!AD6+'JOUR 7'!AD6+'JOUR 8'!AD6+'JOUR 9'!AD6+'JOUR 10'!AD6+'JOUR 11'!AD6+'JOUR 12'!AD6+'JOUR 13'!AD6+'JOUR 14'!AD6+#REF!+#REF!</f>
        <v>#REF!</v>
      </c>
      <c r="AE6" s="34" t="e">
        <f>'JOUR 1'!AE6+'JOUR 2'!AE6+'JOUR 3'!AE6+'JOUR 4'!AE6+'JOUR 5'!AE6+'JOUR 6'!AE6+'JOUR 7'!AE6+'JOUR 8'!AE6+'JOUR 9'!AE6+'JOUR 10'!AE6+'JOUR 11'!AE6+'JOUR 12'!AE6+'JOUR 13'!AE6+'JOUR 14'!AE6+#REF!+#REF!</f>
        <v>#REF!</v>
      </c>
      <c r="AF6" s="34" t="e">
        <f>'JOUR 1'!AF6+'JOUR 2'!AF6+'JOUR 3'!AF6+'JOUR 4'!AF6+'JOUR 5'!AF6+'JOUR 6'!AF6+'JOUR 7'!AF6+'JOUR 8'!AF6+'JOUR 9'!AF6+'JOUR 10'!AF6+'JOUR 11'!AF6+'JOUR 12'!AF6+'JOUR 13'!AF6+'JOUR 14'!AF6+#REF!+#REF!</f>
        <v>#REF!</v>
      </c>
      <c r="AG6" s="34" t="e">
        <f>'JOUR 1'!AG6+'JOUR 2'!AG6+'JOUR 3'!AG6+'JOUR 4'!AG6+'JOUR 5'!AG6+'JOUR 6'!AG6+'JOUR 7'!AG6+'JOUR 8'!AG6+'JOUR 9'!AG6+'JOUR 10'!AG6+'JOUR 11'!AG6+'JOUR 12'!AG6+'JOUR 13'!AG6+'JOUR 14'!AG6+#REF!+#REF!</f>
        <v>#REF!</v>
      </c>
      <c r="AH6" s="21"/>
      <c r="AI6" s="22"/>
      <c r="AK6" s="87" t="e">
        <f t="shared" ref="AK6:AO55" si="1">S6/D6</f>
        <v>#REF!</v>
      </c>
      <c r="AL6" s="87" t="e">
        <f t="shared" si="0"/>
        <v>#REF!</v>
      </c>
      <c r="AM6" s="87" t="e">
        <f t="shared" si="0"/>
        <v>#REF!</v>
      </c>
      <c r="AN6" s="87" t="e">
        <f t="shared" si="0"/>
        <v>#REF!</v>
      </c>
      <c r="AO6" s="87" t="e">
        <f t="shared" si="0"/>
        <v>#REF!</v>
      </c>
      <c r="AP6" s="87"/>
      <c r="AQ6" s="87"/>
      <c r="AR6" s="87"/>
      <c r="AS6" s="87" t="e">
        <f t="shared" si="0"/>
        <v>#REF!</v>
      </c>
      <c r="AT6" s="87"/>
      <c r="AU6" s="87"/>
      <c r="AV6" s="87"/>
      <c r="AW6" s="87"/>
      <c r="AX6" s="87"/>
      <c r="AY6" s="89"/>
    </row>
    <row r="7" spans="2:51" ht="17.399999999999999" x14ac:dyDescent="0.25">
      <c r="B7" s="16" t="s">
        <v>45</v>
      </c>
      <c r="C7" s="16" t="s">
        <v>48</v>
      </c>
      <c r="D7" s="17" t="e">
        <f>'JOUR 1'!D7+'JOUR 2'!D7+'JOUR 3'!D7+'JOUR 4'!D7+'JOUR 5'!D7+'JOUR 6'!D7+'JOUR 7'!D7+'JOUR 8'!D7+'JOUR 9'!D7+'JOUR 10'!D7+'JOUR 11'!D7+'JOUR 12'!D7+'JOUR 13'!D7+'JOUR 14'!D7+#REF!+#REF!</f>
        <v>#REF!</v>
      </c>
      <c r="E7" s="17" t="e">
        <f>'JOUR 1'!E7+'JOUR 2'!E7+'JOUR 3'!E7+'JOUR 4'!E7+'JOUR 5'!E7+'JOUR 6'!E7+'JOUR 7'!E7+'JOUR 8'!E7+'JOUR 9'!E7+'JOUR 10'!E7+'JOUR 11'!E7+'JOUR 12'!E7+'JOUR 13'!E7+'JOUR 14'!E7+#REF!+#REF!</f>
        <v>#REF!</v>
      </c>
      <c r="F7" s="17" t="e">
        <f>'JOUR 1'!F7+'JOUR 2'!F7+'JOUR 3'!F7+'JOUR 4'!F7+'JOUR 5'!F7+'JOUR 6'!F7+'JOUR 7'!F7+'JOUR 8'!F7+'JOUR 9'!F7+'JOUR 10'!F7+'JOUR 11'!F7+'JOUR 12'!F7+'JOUR 13'!F7+'JOUR 14'!F7+#REF!+#REF!</f>
        <v>#REF!</v>
      </c>
      <c r="G7" s="17" t="e">
        <f>'JOUR 1'!G7+'JOUR 2'!G7+'JOUR 3'!G7+'JOUR 4'!G7+'JOUR 5'!G7+'JOUR 6'!G7+'JOUR 7'!G7+'JOUR 8'!G7+'JOUR 9'!G7+'JOUR 10'!G7+'JOUR 11'!G7+'JOUR 12'!G7+'JOUR 13'!G7+'JOUR 14'!G7+#REF!+#REF!</f>
        <v>#REF!</v>
      </c>
      <c r="H7" s="17" t="e">
        <f>'JOUR 1'!H7+'JOUR 2'!H7+'JOUR 3'!H7+'JOUR 4'!H7+'JOUR 5'!H7+'JOUR 6'!H7+'JOUR 7'!H7+'JOUR 8'!H7+'JOUR 9'!H7+'JOUR 10'!H7+'JOUR 11'!H7+'JOUR 12'!H7+'JOUR 13'!H7+'JOUR 14'!H7+#REF!+#REF!</f>
        <v>#REF!</v>
      </c>
      <c r="I7" s="17" t="e">
        <f>'JOUR 1'!I7+'JOUR 2'!I7+'JOUR 3'!I7+'JOUR 4'!I7+'JOUR 5'!I7+'JOUR 6'!I7+'JOUR 7'!I7+'JOUR 8'!I7+'JOUR 9'!I7+'JOUR 10'!I7+'JOUR 11'!I7+'JOUR 12'!I7+'JOUR 13'!I7+'JOUR 14'!I7+#REF!+#REF!</f>
        <v>#REF!</v>
      </c>
      <c r="J7" s="17" t="e">
        <f>'JOUR 1'!J7+'JOUR 2'!J7+'JOUR 3'!J7+'JOUR 4'!J7+'JOUR 5'!J7+'JOUR 6'!J7+'JOUR 7'!J7+'JOUR 8'!J7+'JOUR 9'!J7+'JOUR 10'!J7+'JOUR 11'!J7+'JOUR 12'!J7+'JOUR 13'!J7+'JOUR 14'!J7+#REF!+#REF!</f>
        <v>#REF!</v>
      </c>
      <c r="K7" s="17" t="e">
        <f>'JOUR 1'!K7+'JOUR 2'!K7+'JOUR 3'!K7+'JOUR 4'!K7+'JOUR 5'!K7+'JOUR 6'!K7+'JOUR 7'!K7+'JOUR 8'!K7+'JOUR 9'!K7+'JOUR 10'!K7+'JOUR 11'!K7+'JOUR 12'!K7+'JOUR 13'!K7+'JOUR 14'!K7+#REF!+#REF!</f>
        <v>#REF!</v>
      </c>
      <c r="L7" s="17" t="e">
        <f>'JOUR 1'!L7+'JOUR 2'!L7+'JOUR 3'!L7+'JOUR 4'!L7+'JOUR 5'!L7+'JOUR 6'!L7+'JOUR 7'!L7+'JOUR 8'!L7+'JOUR 9'!L7+'JOUR 10'!L7+'JOUR 11'!L7+'JOUR 12'!L7+'JOUR 13'!L7+'JOUR 14'!L7+#REF!+#REF!</f>
        <v>#REF!</v>
      </c>
      <c r="M7" s="17" t="e">
        <f>'JOUR 1'!M7+'JOUR 2'!M7+'JOUR 3'!M7+'JOUR 4'!M7+'JOUR 5'!M7+'JOUR 6'!M7+'JOUR 7'!M7+'JOUR 8'!M7+'JOUR 9'!M7+'JOUR 10'!M7+'JOUR 11'!M7+'JOUR 12'!M7+'JOUR 13'!M7+'JOUR 14'!M7+#REF!+#REF!</f>
        <v>#REF!</v>
      </c>
      <c r="N7" s="17" t="e">
        <f>'JOUR 1'!N7+'JOUR 2'!N7+'JOUR 3'!N7+'JOUR 4'!N7+'JOUR 5'!N7+'JOUR 6'!N7+'JOUR 7'!N7+'JOUR 8'!N7+'JOUR 9'!N7+'JOUR 10'!N7+'JOUR 11'!N7+'JOUR 12'!N7+'JOUR 13'!N7+'JOUR 14'!N7+#REF!+#REF!</f>
        <v>#REF!</v>
      </c>
      <c r="O7" s="17" t="e">
        <f>'JOUR 1'!O7+'JOUR 2'!O7+'JOUR 3'!O7+'JOUR 4'!O7+'JOUR 5'!O7+'JOUR 6'!O7+'JOUR 7'!O7+'JOUR 8'!O7+'JOUR 9'!O7+'JOUR 10'!O7+'JOUR 11'!O7+'JOUR 12'!O7+'JOUR 13'!O7+'JOUR 14'!O7+#REF!+#REF!</f>
        <v>#REF!</v>
      </c>
      <c r="P7" s="17" t="e">
        <f>'JOUR 1'!P7+'JOUR 2'!P7+'JOUR 3'!P7+'JOUR 4'!P7+'JOUR 5'!P7+'JOUR 6'!P7+'JOUR 7'!P7+'JOUR 8'!P7+'JOUR 9'!P7+'JOUR 10'!P7+'JOUR 11'!P7+'JOUR 12'!P7+'JOUR 13'!P7+'JOUR 14'!P7+#REF!+#REF!</f>
        <v>#REF!</v>
      </c>
      <c r="Q7" s="17" t="e">
        <f>'JOUR 1'!Q7+'JOUR 2'!Q7+'JOUR 3'!Q7+'JOUR 4'!Q7+'JOUR 5'!Q7+'JOUR 6'!Q7+'JOUR 7'!Q7+'JOUR 8'!Q7+'JOUR 9'!Q7+'JOUR 10'!Q7+'JOUR 11'!Q7+'JOUR 12'!Q7+'JOUR 13'!Q7+'JOUR 14'!Q7+#REF!+#REF!</f>
        <v>#REF!</v>
      </c>
      <c r="R7" s="17" t="e">
        <f>'JOUR 1'!R7+'JOUR 2'!R7+'JOUR 3'!R7+'JOUR 4'!R7+'JOUR 5'!R7+'JOUR 6'!R7+'JOUR 7'!R7+'JOUR 8'!R7+'JOUR 9'!R7+'JOUR 10'!R7+'JOUR 11'!R7+'JOUR 12'!R7+'JOUR 13'!R7+'JOUR 14'!R7+#REF!+#REF!</f>
        <v>#REF!</v>
      </c>
      <c r="S7" s="31" t="e">
        <f>'JOUR 1'!S7+'JOUR 2'!S7+'JOUR 3'!S7+'JOUR 4'!S7+'JOUR 5'!S7+'JOUR 6'!S7+'JOUR 7'!S7+'JOUR 8'!S7+'JOUR 9'!S7+'JOUR 10'!S7+'JOUR 11'!S7+'JOUR 12'!S7+'JOUR 13'!S7+'JOUR 14'!S7+#REF!+#REF!</f>
        <v>#REF!</v>
      </c>
      <c r="T7" s="31" t="e">
        <f>'JOUR 1'!T7+'JOUR 2'!T7+'JOUR 3'!T7+'JOUR 4'!T7+'JOUR 5'!T7+'JOUR 6'!T7+'JOUR 7'!T7+'JOUR 8'!T7+'JOUR 9'!T7+'JOUR 10'!T7+'JOUR 11'!T7+'JOUR 12'!T7+'JOUR 13'!T7+'JOUR 14'!T7+#REF!+#REF!</f>
        <v>#REF!</v>
      </c>
      <c r="U7" s="31" t="e">
        <f>'JOUR 1'!U7+'JOUR 2'!U7+'JOUR 3'!U7+'JOUR 4'!U7+'JOUR 5'!U7+'JOUR 6'!U7+'JOUR 7'!U7+'JOUR 8'!U7+'JOUR 9'!U7+'JOUR 10'!U7+'JOUR 11'!U7+'JOUR 12'!U7+'JOUR 13'!U7+'JOUR 14'!U7+#REF!+#REF!</f>
        <v>#REF!</v>
      </c>
      <c r="V7" s="32" t="e">
        <f>'JOUR 1'!V7+'JOUR 2'!V7+'JOUR 3'!V7+'JOUR 4'!V7+'JOUR 5'!V7+'JOUR 6'!V7+'JOUR 7'!V7+'JOUR 8'!V7+'JOUR 9'!V7+'JOUR 10'!V7+'JOUR 11'!V7+'JOUR 12'!V7+'JOUR 13'!V7+'JOUR 14'!V7+#REF!+#REF!</f>
        <v>#REF!</v>
      </c>
      <c r="W7" s="32" t="e">
        <f>'JOUR 1'!W7+'JOUR 2'!W7+'JOUR 3'!W7+'JOUR 4'!W7+'JOUR 5'!W7+'JOUR 6'!W7+'JOUR 7'!W7+'JOUR 8'!W7+'JOUR 9'!W7+'JOUR 10'!W7+'JOUR 11'!W7+'JOUR 12'!W7+'JOUR 13'!W7+'JOUR 14'!W7+#REF!+#REF!</f>
        <v>#REF!</v>
      </c>
      <c r="X7" s="32" t="e">
        <f>'JOUR 1'!X7+'JOUR 2'!X7+'JOUR 3'!X7+'JOUR 4'!X7+'JOUR 5'!X7+'JOUR 6'!X7+'JOUR 7'!X7+'JOUR 8'!X7+'JOUR 9'!X7+'JOUR 10'!X7+'JOUR 11'!X7+'JOUR 12'!X7+'JOUR 13'!X7+'JOUR 14'!X7+#REF!+#REF!</f>
        <v>#REF!</v>
      </c>
      <c r="Y7" s="75" t="e">
        <f>'JOUR 1'!Y7+'JOUR 2'!Y7+'JOUR 3'!Y7+'JOUR 4'!Y7+'JOUR 5'!Y7+'JOUR 6'!Y7+'JOUR 7'!Y7+'JOUR 8'!Y7+'JOUR 9'!Y7+'JOUR 10'!Y7+'JOUR 11'!Y7+'JOUR 12'!Y7+'JOUR 13'!Y7+'JOUR 14'!Y7+#REF!+#REF!</f>
        <v>#REF!</v>
      </c>
      <c r="Z7" s="33" t="e">
        <f>'JOUR 1'!Z7+'JOUR 2'!Z7+'JOUR 3'!Z7+'JOUR 4'!Z7+'JOUR 5'!Z7+'JOUR 6'!Z7+'JOUR 7'!Z7+'JOUR 8'!Z7+'JOUR 9'!Z7+'JOUR 10'!Z7+'JOUR 11'!Z7+'JOUR 12'!Z7+'JOUR 13'!Z7+'JOUR 14'!Z7+#REF!+#REF!</f>
        <v>#REF!</v>
      </c>
      <c r="AA7" s="34" t="e">
        <f>'JOUR 1'!AA7+'JOUR 2'!AA7+'JOUR 3'!AA7+'JOUR 4'!AA7+'JOUR 5'!AA7+'JOUR 6'!AA7+'JOUR 7'!AA7+'JOUR 8'!AA7+'JOUR 9'!AA7+'JOUR 10'!AA7+'JOUR 11'!AA7+'JOUR 12'!AA7+'JOUR 13'!AA7+'JOUR 14'!AA7+#REF!+#REF!</f>
        <v>#REF!</v>
      </c>
      <c r="AB7" s="34" t="e">
        <f>'JOUR 1'!AB7+'JOUR 2'!AB7+'JOUR 3'!AB7+'JOUR 4'!AB7+'JOUR 5'!AB7+'JOUR 6'!AB7+'JOUR 7'!AB7+'JOUR 8'!AB7+'JOUR 9'!AB7+'JOUR 10'!AB7+'JOUR 11'!AB7+'JOUR 12'!AB7+'JOUR 13'!AB7+'JOUR 14'!AB7+#REF!+#REF!</f>
        <v>#REF!</v>
      </c>
      <c r="AC7" s="34" t="e">
        <f>'JOUR 1'!AC7+'JOUR 2'!AC7+'JOUR 3'!AC7+'JOUR 4'!AC7+'JOUR 5'!AC7+'JOUR 6'!AC7+'JOUR 7'!AC7+'JOUR 8'!AC7+'JOUR 9'!AC7+'JOUR 10'!AC7+'JOUR 11'!AC7+'JOUR 12'!AC7+'JOUR 13'!AC7+'JOUR 14'!AC7+#REF!+#REF!</f>
        <v>#REF!</v>
      </c>
      <c r="AD7" s="35" t="e">
        <f>'JOUR 1'!AD7+'JOUR 2'!AD7+'JOUR 3'!AD7+'JOUR 4'!AD7+'JOUR 5'!AD7+'JOUR 6'!AD7+'JOUR 7'!AD7+'JOUR 8'!AD7+'JOUR 9'!AD7+'JOUR 10'!AD7+'JOUR 11'!AD7+'JOUR 12'!AD7+'JOUR 13'!AD7+'JOUR 14'!AD7+#REF!+#REF!</f>
        <v>#REF!</v>
      </c>
      <c r="AE7" s="34" t="e">
        <f>'JOUR 1'!AE7+'JOUR 2'!AE7+'JOUR 3'!AE7+'JOUR 4'!AE7+'JOUR 5'!AE7+'JOUR 6'!AE7+'JOUR 7'!AE7+'JOUR 8'!AE7+'JOUR 9'!AE7+'JOUR 10'!AE7+'JOUR 11'!AE7+'JOUR 12'!AE7+'JOUR 13'!AE7+'JOUR 14'!AE7+#REF!+#REF!</f>
        <v>#REF!</v>
      </c>
      <c r="AF7" s="34" t="e">
        <f>'JOUR 1'!AF7+'JOUR 2'!AF7+'JOUR 3'!AF7+'JOUR 4'!AF7+'JOUR 5'!AF7+'JOUR 6'!AF7+'JOUR 7'!AF7+'JOUR 8'!AF7+'JOUR 9'!AF7+'JOUR 10'!AF7+'JOUR 11'!AF7+'JOUR 12'!AF7+'JOUR 13'!AF7+'JOUR 14'!AF7+#REF!+#REF!</f>
        <v>#REF!</v>
      </c>
      <c r="AG7" s="34" t="e">
        <f>'JOUR 1'!AG7+'JOUR 2'!AG7+'JOUR 3'!AG7+'JOUR 4'!AG7+'JOUR 5'!AG7+'JOUR 6'!AG7+'JOUR 7'!AG7+'JOUR 8'!AG7+'JOUR 9'!AG7+'JOUR 10'!AG7+'JOUR 11'!AG7+'JOUR 12'!AG7+'JOUR 13'!AG7+'JOUR 14'!AG7+#REF!+#REF!</f>
        <v>#REF!</v>
      </c>
      <c r="AH7" s="21"/>
      <c r="AI7" s="22"/>
      <c r="AK7" s="87" t="e">
        <f t="shared" si="1"/>
        <v>#REF!</v>
      </c>
      <c r="AL7" s="87" t="e">
        <f t="shared" si="0"/>
        <v>#REF!</v>
      </c>
      <c r="AM7" s="87" t="e">
        <f t="shared" si="0"/>
        <v>#REF!</v>
      </c>
      <c r="AN7" s="87" t="e">
        <f t="shared" si="0"/>
        <v>#REF!</v>
      </c>
      <c r="AO7" s="87" t="e">
        <f t="shared" si="0"/>
        <v>#REF!</v>
      </c>
      <c r="AP7" s="87"/>
      <c r="AQ7" s="87"/>
      <c r="AR7" s="87"/>
      <c r="AS7" s="87" t="e">
        <f t="shared" si="0"/>
        <v>#REF!</v>
      </c>
      <c r="AT7" s="87"/>
      <c r="AU7" s="87"/>
      <c r="AV7" s="87"/>
      <c r="AW7" s="87"/>
      <c r="AX7" s="87"/>
      <c r="AY7" s="89"/>
    </row>
    <row r="8" spans="2:51" ht="17.399999999999999" x14ac:dyDescent="0.25">
      <c r="B8" s="16" t="s">
        <v>45</v>
      </c>
      <c r="C8" s="16" t="s">
        <v>49</v>
      </c>
      <c r="D8" s="17" t="e">
        <f>'JOUR 1'!D8+'JOUR 2'!D8+'JOUR 3'!D8+'JOUR 4'!D8+'JOUR 5'!D8+'JOUR 6'!D8+'JOUR 7'!D8+'JOUR 8'!D8+'JOUR 9'!D8+'JOUR 10'!D8+'JOUR 11'!D8+'JOUR 12'!D8+'JOUR 13'!D8+'JOUR 14'!D8+#REF!+#REF!</f>
        <v>#REF!</v>
      </c>
      <c r="E8" s="17" t="e">
        <f>'JOUR 1'!E8+'JOUR 2'!E8+'JOUR 3'!E8+'JOUR 4'!E8+'JOUR 5'!E8+'JOUR 6'!E8+'JOUR 7'!E8+'JOUR 8'!E8+'JOUR 9'!E8+'JOUR 10'!E8+'JOUR 11'!E8+'JOUR 12'!E8+'JOUR 13'!E8+'JOUR 14'!E8+#REF!+#REF!</f>
        <v>#REF!</v>
      </c>
      <c r="F8" s="17" t="e">
        <f>'JOUR 1'!F8+'JOUR 2'!F8+'JOUR 3'!F8+'JOUR 4'!F8+'JOUR 5'!F8+'JOUR 6'!F8+'JOUR 7'!F8+'JOUR 8'!F8+'JOUR 9'!F8+'JOUR 10'!F8+'JOUR 11'!F8+'JOUR 12'!F8+'JOUR 13'!F8+'JOUR 14'!F8+#REF!+#REF!</f>
        <v>#REF!</v>
      </c>
      <c r="G8" s="17" t="e">
        <f>'JOUR 1'!G8+'JOUR 2'!G8+'JOUR 3'!G8+'JOUR 4'!G8+'JOUR 5'!G8+'JOUR 6'!G8+'JOUR 7'!G8+'JOUR 8'!G8+'JOUR 9'!G8+'JOUR 10'!G8+'JOUR 11'!G8+'JOUR 12'!G8+'JOUR 13'!G8+'JOUR 14'!G8+#REF!+#REF!</f>
        <v>#REF!</v>
      </c>
      <c r="H8" s="17" t="e">
        <f>'JOUR 1'!H8+'JOUR 2'!H8+'JOUR 3'!H8+'JOUR 4'!H8+'JOUR 5'!H8+'JOUR 6'!H8+'JOUR 7'!H8+'JOUR 8'!H8+'JOUR 9'!H8+'JOUR 10'!H8+'JOUR 11'!H8+'JOUR 12'!H8+'JOUR 13'!H8+'JOUR 14'!H8+#REF!+#REF!</f>
        <v>#REF!</v>
      </c>
      <c r="I8" s="17" t="e">
        <f>'JOUR 1'!I8+'JOUR 2'!I8+'JOUR 3'!I8+'JOUR 4'!I8+'JOUR 5'!I8+'JOUR 6'!I8+'JOUR 7'!I8+'JOUR 8'!I8+'JOUR 9'!I8+'JOUR 10'!I8+'JOUR 11'!I8+'JOUR 12'!I8+'JOUR 13'!I8+'JOUR 14'!I8+#REF!+#REF!</f>
        <v>#REF!</v>
      </c>
      <c r="J8" s="17" t="e">
        <f>'JOUR 1'!J8+'JOUR 2'!J8+'JOUR 3'!J8+'JOUR 4'!J8+'JOUR 5'!J8+'JOUR 6'!J8+'JOUR 7'!J8+'JOUR 8'!J8+'JOUR 9'!J8+'JOUR 10'!J8+'JOUR 11'!J8+'JOUR 12'!J8+'JOUR 13'!J8+'JOUR 14'!J8+#REF!+#REF!</f>
        <v>#REF!</v>
      </c>
      <c r="K8" s="17" t="e">
        <f>'JOUR 1'!K8+'JOUR 2'!K8+'JOUR 3'!K8+'JOUR 4'!K8+'JOUR 5'!K8+'JOUR 6'!K8+'JOUR 7'!K8+'JOUR 8'!K8+'JOUR 9'!K8+'JOUR 10'!K8+'JOUR 11'!K8+'JOUR 12'!K8+'JOUR 13'!K8+'JOUR 14'!K8+#REF!+#REF!</f>
        <v>#REF!</v>
      </c>
      <c r="L8" s="17" t="e">
        <f>'JOUR 1'!L8+'JOUR 2'!L8+'JOUR 3'!L8+'JOUR 4'!L8+'JOUR 5'!L8+'JOUR 6'!L8+'JOUR 7'!L8+'JOUR 8'!L8+'JOUR 9'!L8+'JOUR 10'!L8+'JOUR 11'!L8+'JOUR 12'!L8+'JOUR 13'!L8+'JOUR 14'!L8+#REF!+#REF!</f>
        <v>#REF!</v>
      </c>
      <c r="M8" s="17" t="e">
        <f>'JOUR 1'!M8+'JOUR 2'!M8+'JOUR 3'!M8+'JOUR 4'!M8+'JOUR 5'!M8+'JOUR 6'!M8+'JOUR 7'!M8+'JOUR 8'!M8+'JOUR 9'!M8+'JOUR 10'!M8+'JOUR 11'!M8+'JOUR 12'!M8+'JOUR 13'!M8+'JOUR 14'!M8+#REF!+#REF!</f>
        <v>#REF!</v>
      </c>
      <c r="N8" s="17" t="e">
        <f>'JOUR 1'!N8+'JOUR 2'!N8+'JOUR 3'!N8+'JOUR 4'!N8+'JOUR 5'!N8+'JOUR 6'!N8+'JOUR 7'!N8+'JOUR 8'!N8+'JOUR 9'!N8+'JOUR 10'!N8+'JOUR 11'!N8+'JOUR 12'!N8+'JOUR 13'!N8+'JOUR 14'!N8+#REF!+#REF!</f>
        <v>#REF!</v>
      </c>
      <c r="O8" s="17" t="e">
        <f>'JOUR 1'!O8+'JOUR 2'!O8+'JOUR 3'!O8+'JOUR 4'!O8+'JOUR 5'!O8+'JOUR 6'!O8+'JOUR 7'!O8+'JOUR 8'!O8+'JOUR 9'!O8+'JOUR 10'!O8+'JOUR 11'!O8+'JOUR 12'!O8+'JOUR 13'!O8+'JOUR 14'!O8+#REF!+#REF!</f>
        <v>#REF!</v>
      </c>
      <c r="P8" s="17" t="e">
        <f>'JOUR 1'!P8+'JOUR 2'!P8+'JOUR 3'!P8+'JOUR 4'!P8+'JOUR 5'!P8+'JOUR 6'!P8+'JOUR 7'!P8+'JOUR 8'!P8+'JOUR 9'!P8+'JOUR 10'!P8+'JOUR 11'!P8+'JOUR 12'!P8+'JOUR 13'!P8+'JOUR 14'!P8+#REF!+#REF!</f>
        <v>#REF!</v>
      </c>
      <c r="Q8" s="17" t="e">
        <f>'JOUR 1'!Q8+'JOUR 2'!Q8+'JOUR 3'!Q8+'JOUR 4'!Q8+'JOUR 5'!Q8+'JOUR 6'!Q8+'JOUR 7'!Q8+'JOUR 8'!Q8+'JOUR 9'!Q8+'JOUR 10'!Q8+'JOUR 11'!Q8+'JOUR 12'!Q8+'JOUR 13'!Q8+'JOUR 14'!Q8+#REF!+#REF!</f>
        <v>#REF!</v>
      </c>
      <c r="R8" s="17" t="e">
        <f>'JOUR 1'!R8+'JOUR 2'!R8+'JOUR 3'!R8+'JOUR 4'!R8+'JOUR 5'!R8+'JOUR 6'!R8+'JOUR 7'!R8+'JOUR 8'!R8+'JOUR 9'!R8+'JOUR 10'!R8+'JOUR 11'!R8+'JOUR 12'!R8+'JOUR 13'!R8+'JOUR 14'!R8+#REF!+#REF!</f>
        <v>#REF!</v>
      </c>
      <c r="S8" s="31" t="e">
        <f>'JOUR 1'!S8+'JOUR 2'!S8+'JOUR 3'!S8+'JOUR 4'!S8+'JOUR 5'!S8+'JOUR 6'!S8+'JOUR 7'!S8+'JOUR 8'!S8+'JOUR 9'!S8+'JOUR 10'!S8+'JOUR 11'!S8+'JOUR 12'!S8+'JOUR 13'!S8+'JOUR 14'!S8+#REF!+#REF!</f>
        <v>#REF!</v>
      </c>
      <c r="T8" s="31" t="e">
        <f>'JOUR 1'!T8+'JOUR 2'!T8+'JOUR 3'!T8+'JOUR 4'!T8+'JOUR 5'!T8+'JOUR 6'!T8+'JOUR 7'!T8+'JOUR 8'!T8+'JOUR 9'!T8+'JOUR 10'!T8+'JOUR 11'!T8+'JOUR 12'!T8+'JOUR 13'!T8+'JOUR 14'!T8+#REF!+#REF!</f>
        <v>#REF!</v>
      </c>
      <c r="U8" s="31" t="e">
        <f>'JOUR 1'!U8+'JOUR 2'!U8+'JOUR 3'!U8+'JOUR 4'!U8+'JOUR 5'!U8+'JOUR 6'!U8+'JOUR 7'!U8+'JOUR 8'!U8+'JOUR 9'!U8+'JOUR 10'!U8+'JOUR 11'!U8+'JOUR 12'!U8+'JOUR 13'!U8+'JOUR 14'!U8+#REF!+#REF!</f>
        <v>#REF!</v>
      </c>
      <c r="V8" s="32" t="e">
        <f>'JOUR 1'!V8+'JOUR 2'!V8+'JOUR 3'!V8+'JOUR 4'!V8+'JOUR 5'!V8+'JOUR 6'!V8+'JOUR 7'!V8+'JOUR 8'!V8+'JOUR 9'!V8+'JOUR 10'!V8+'JOUR 11'!V8+'JOUR 12'!V8+'JOUR 13'!V8+'JOUR 14'!V8+#REF!+#REF!</f>
        <v>#REF!</v>
      </c>
      <c r="W8" s="32" t="e">
        <f>'JOUR 1'!W8+'JOUR 2'!W8+'JOUR 3'!W8+'JOUR 4'!W8+'JOUR 5'!W8+'JOUR 6'!W8+'JOUR 7'!W8+'JOUR 8'!W8+'JOUR 9'!W8+'JOUR 10'!W8+'JOUR 11'!W8+'JOUR 12'!W8+'JOUR 13'!W8+'JOUR 14'!W8+#REF!+#REF!</f>
        <v>#REF!</v>
      </c>
      <c r="X8" s="32" t="e">
        <f>'JOUR 1'!X8+'JOUR 2'!X8+'JOUR 3'!X8+'JOUR 4'!X8+'JOUR 5'!X8+'JOUR 6'!X8+'JOUR 7'!X8+'JOUR 8'!X8+'JOUR 9'!X8+'JOUR 10'!X8+'JOUR 11'!X8+'JOUR 12'!X8+'JOUR 13'!X8+'JOUR 14'!X8+#REF!+#REF!</f>
        <v>#REF!</v>
      </c>
      <c r="Y8" s="75" t="e">
        <f>'JOUR 1'!Y8+'JOUR 2'!Y8+'JOUR 3'!Y8+'JOUR 4'!Y8+'JOUR 5'!Y8+'JOUR 6'!Y8+'JOUR 7'!Y8+'JOUR 8'!Y8+'JOUR 9'!Y8+'JOUR 10'!Y8+'JOUR 11'!Y8+'JOUR 12'!Y8+'JOUR 13'!Y8+'JOUR 14'!Y8+#REF!+#REF!</f>
        <v>#REF!</v>
      </c>
      <c r="Z8" s="33" t="e">
        <f>'JOUR 1'!Z8+'JOUR 2'!Z8+'JOUR 3'!Z8+'JOUR 4'!Z8+'JOUR 5'!Z8+'JOUR 6'!Z8+'JOUR 7'!Z8+'JOUR 8'!Z8+'JOUR 9'!Z8+'JOUR 10'!Z8+'JOUR 11'!Z8+'JOUR 12'!Z8+'JOUR 13'!Z8+'JOUR 14'!Z8+#REF!+#REF!</f>
        <v>#REF!</v>
      </c>
      <c r="AA8" s="34" t="e">
        <f>'JOUR 1'!AA8+'JOUR 2'!AA8+'JOUR 3'!AA8+'JOUR 4'!AA8+'JOUR 5'!AA8+'JOUR 6'!AA8+'JOUR 7'!AA8+'JOUR 8'!AA8+'JOUR 9'!AA8+'JOUR 10'!AA8+'JOUR 11'!AA8+'JOUR 12'!AA8+'JOUR 13'!AA8+'JOUR 14'!AA8+#REF!+#REF!</f>
        <v>#REF!</v>
      </c>
      <c r="AB8" s="34" t="e">
        <f>'JOUR 1'!AB8+'JOUR 2'!AB8+'JOUR 3'!AB8+'JOUR 4'!AB8+'JOUR 5'!AB8+'JOUR 6'!AB8+'JOUR 7'!AB8+'JOUR 8'!AB8+'JOUR 9'!AB8+'JOUR 10'!AB8+'JOUR 11'!AB8+'JOUR 12'!AB8+'JOUR 13'!AB8+'JOUR 14'!AB8+#REF!+#REF!</f>
        <v>#REF!</v>
      </c>
      <c r="AC8" s="34" t="e">
        <f>'JOUR 1'!AC8+'JOUR 2'!AC8+'JOUR 3'!AC8+'JOUR 4'!AC8+'JOUR 5'!AC8+'JOUR 6'!AC8+'JOUR 7'!AC8+'JOUR 8'!AC8+'JOUR 9'!AC8+'JOUR 10'!AC8+'JOUR 11'!AC8+'JOUR 12'!AC8+'JOUR 13'!AC8+'JOUR 14'!AC8+#REF!+#REF!</f>
        <v>#REF!</v>
      </c>
      <c r="AD8" s="35" t="e">
        <f>'JOUR 1'!AD8+'JOUR 2'!AD8+'JOUR 3'!AD8+'JOUR 4'!AD8+'JOUR 5'!AD8+'JOUR 6'!AD8+'JOUR 7'!AD8+'JOUR 8'!AD8+'JOUR 9'!AD8+'JOUR 10'!AD8+'JOUR 11'!AD8+'JOUR 12'!AD8+'JOUR 13'!AD8+'JOUR 14'!AD8+#REF!+#REF!</f>
        <v>#REF!</v>
      </c>
      <c r="AE8" s="34" t="e">
        <f>'JOUR 1'!AE8+'JOUR 2'!AE8+'JOUR 3'!AE8+'JOUR 4'!AE8+'JOUR 5'!AE8+'JOUR 6'!AE8+'JOUR 7'!AE8+'JOUR 8'!AE8+'JOUR 9'!AE8+'JOUR 10'!AE8+'JOUR 11'!AE8+'JOUR 12'!AE8+'JOUR 13'!AE8+'JOUR 14'!AE8+#REF!+#REF!</f>
        <v>#REF!</v>
      </c>
      <c r="AF8" s="34" t="e">
        <f>'JOUR 1'!AF8+'JOUR 2'!AF8+'JOUR 3'!AF8+'JOUR 4'!AF8+'JOUR 5'!AF8+'JOUR 6'!AF8+'JOUR 7'!AF8+'JOUR 8'!AF8+'JOUR 9'!AF8+'JOUR 10'!AF8+'JOUR 11'!AF8+'JOUR 12'!AF8+'JOUR 13'!AF8+'JOUR 14'!AF8+#REF!+#REF!</f>
        <v>#REF!</v>
      </c>
      <c r="AG8" s="34" t="e">
        <f>'JOUR 1'!AG8+'JOUR 2'!AG8+'JOUR 3'!AG8+'JOUR 4'!AG8+'JOUR 5'!AG8+'JOUR 6'!AG8+'JOUR 7'!AG8+'JOUR 8'!AG8+'JOUR 9'!AG8+'JOUR 10'!AG8+'JOUR 11'!AG8+'JOUR 12'!AG8+'JOUR 13'!AG8+'JOUR 14'!AG8+#REF!+#REF!</f>
        <v>#REF!</v>
      </c>
      <c r="AH8" s="21"/>
      <c r="AI8" s="22"/>
      <c r="AK8" s="87" t="e">
        <f t="shared" si="1"/>
        <v>#REF!</v>
      </c>
      <c r="AL8" s="87" t="e">
        <f t="shared" si="0"/>
        <v>#REF!</v>
      </c>
      <c r="AM8" s="87" t="e">
        <f t="shared" si="0"/>
        <v>#REF!</v>
      </c>
      <c r="AN8" s="87" t="e">
        <f t="shared" si="0"/>
        <v>#REF!</v>
      </c>
      <c r="AO8" s="87" t="e">
        <f t="shared" si="0"/>
        <v>#REF!</v>
      </c>
      <c r="AP8" s="87"/>
      <c r="AQ8" s="87"/>
      <c r="AR8" s="87"/>
      <c r="AS8" s="87" t="e">
        <f t="shared" si="0"/>
        <v>#REF!</v>
      </c>
      <c r="AT8" s="87"/>
      <c r="AU8" s="87"/>
      <c r="AV8" s="87"/>
      <c r="AW8" s="87"/>
      <c r="AX8" s="87"/>
      <c r="AY8" s="89"/>
    </row>
    <row r="9" spans="2:51" ht="17.399999999999999" x14ac:dyDescent="0.25">
      <c r="B9" s="16" t="s">
        <v>45</v>
      </c>
      <c r="C9" s="16" t="s">
        <v>50</v>
      </c>
      <c r="D9" s="17" t="e">
        <f>'JOUR 1'!D9+'JOUR 2'!D9+'JOUR 3'!D9+'JOUR 4'!D9+'JOUR 5'!D9+'JOUR 6'!D9+'JOUR 7'!D9+'JOUR 8'!D9+'JOUR 9'!D9+'JOUR 10'!D9+'JOUR 11'!D9+'JOUR 12'!D9+'JOUR 13'!D9+'JOUR 14'!D9+#REF!+#REF!</f>
        <v>#REF!</v>
      </c>
      <c r="E9" s="17" t="e">
        <f>'JOUR 1'!E9+'JOUR 2'!E9+'JOUR 3'!E9+'JOUR 4'!E9+'JOUR 5'!E9+'JOUR 6'!E9+'JOUR 7'!E9+'JOUR 8'!E9+'JOUR 9'!E9+'JOUR 10'!E9+'JOUR 11'!E9+'JOUR 12'!E9+'JOUR 13'!E9+'JOUR 14'!E9+#REF!+#REF!</f>
        <v>#REF!</v>
      </c>
      <c r="F9" s="17" t="e">
        <f>'JOUR 1'!F9+'JOUR 2'!F9+'JOUR 3'!F9+'JOUR 4'!F9+'JOUR 5'!F9+'JOUR 6'!F9+'JOUR 7'!F9+'JOUR 8'!F9+'JOUR 9'!F9+'JOUR 10'!F9+'JOUR 11'!F9+'JOUR 12'!F9+'JOUR 13'!F9+'JOUR 14'!F9+#REF!+#REF!</f>
        <v>#REF!</v>
      </c>
      <c r="G9" s="17" t="e">
        <f>'JOUR 1'!G9+'JOUR 2'!G9+'JOUR 3'!G9+'JOUR 4'!G9+'JOUR 5'!G9+'JOUR 6'!G9+'JOUR 7'!G9+'JOUR 8'!G9+'JOUR 9'!G9+'JOUR 10'!G9+'JOUR 11'!G9+'JOUR 12'!G9+'JOUR 13'!G9+'JOUR 14'!G9+#REF!+#REF!</f>
        <v>#REF!</v>
      </c>
      <c r="H9" s="17" t="e">
        <f>'JOUR 1'!H9+'JOUR 2'!H9+'JOUR 3'!H9+'JOUR 4'!H9+'JOUR 5'!H9+'JOUR 6'!H9+'JOUR 7'!H9+'JOUR 8'!H9+'JOUR 9'!H9+'JOUR 10'!H9+'JOUR 11'!H9+'JOUR 12'!H9+'JOUR 13'!H9+'JOUR 14'!H9+#REF!+#REF!</f>
        <v>#REF!</v>
      </c>
      <c r="I9" s="17" t="e">
        <f>'JOUR 1'!I9+'JOUR 2'!I9+'JOUR 3'!I9+'JOUR 4'!I9+'JOUR 5'!I9+'JOUR 6'!I9+'JOUR 7'!I9+'JOUR 8'!I9+'JOUR 9'!I9+'JOUR 10'!I9+'JOUR 11'!I9+'JOUR 12'!I9+'JOUR 13'!I9+'JOUR 14'!I9+#REF!+#REF!</f>
        <v>#REF!</v>
      </c>
      <c r="J9" s="17" t="e">
        <f>'JOUR 1'!J9+'JOUR 2'!J9+'JOUR 3'!J9+'JOUR 4'!J9+'JOUR 5'!J9+'JOUR 6'!J9+'JOUR 7'!J9+'JOUR 8'!J9+'JOUR 9'!J9+'JOUR 10'!J9+'JOUR 11'!J9+'JOUR 12'!J9+'JOUR 13'!J9+'JOUR 14'!J9+#REF!+#REF!</f>
        <v>#REF!</v>
      </c>
      <c r="K9" s="17" t="e">
        <f>'JOUR 1'!K9+'JOUR 2'!K9+'JOUR 3'!K9+'JOUR 4'!K9+'JOUR 5'!K9+'JOUR 6'!K9+'JOUR 7'!K9+'JOUR 8'!K9+'JOUR 9'!K9+'JOUR 10'!K9+'JOUR 11'!K9+'JOUR 12'!K9+'JOUR 13'!K9+'JOUR 14'!K9+#REF!+#REF!</f>
        <v>#REF!</v>
      </c>
      <c r="L9" s="17" t="e">
        <f>'JOUR 1'!L9+'JOUR 2'!L9+'JOUR 3'!L9+'JOUR 4'!L9+'JOUR 5'!L9+'JOUR 6'!L9+'JOUR 7'!L9+'JOUR 8'!L9+'JOUR 9'!L9+'JOUR 10'!L9+'JOUR 11'!L9+'JOUR 12'!L9+'JOUR 13'!L9+'JOUR 14'!L9+#REF!+#REF!</f>
        <v>#REF!</v>
      </c>
      <c r="M9" s="17" t="e">
        <f>'JOUR 1'!M9+'JOUR 2'!M9+'JOUR 3'!M9+'JOUR 4'!M9+'JOUR 5'!M9+'JOUR 6'!M9+'JOUR 7'!M9+'JOUR 8'!M9+'JOUR 9'!M9+'JOUR 10'!M9+'JOUR 11'!M9+'JOUR 12'!M9+'JOUR 13'!M9+'JOUR 14'!M9+#REF!+#REF!</f>
        <v>#REF!</v>
      </c>
      <c r="N9" s="17" t="e">
        <f>'JOUR 1'!N9+'JOUR 2'!N9+'JOUR 3'!N9+'JOUR 4'!N9+'JOUR 5'!N9+'JOUR 6'!N9+'JOUR 7'!N9+'JOUR 8'!N9+'JOUR 9'!N9+'JOUR 10'!N9+'JOUR 11'!N9+'JOUR 12'!N9+'JOUR 13'!N9+'JOUR 14'!N9+#REF!+#REF!</f>
        <v>#REF!</v>
      </c>
      <c r="O9" s="17" t="e">
        <f>'JOUR 1'!O9+'JOUR 2'!O9+'JOUR 3'!O9+'JOUR 4'!O9+'JOUR 5'!O9+'JOUR 6'!O9+'JOUR 7'!O9+'JOUR 8'!O9+'JOUR 9'!O9+'JOUR 10'!O9+'JOUR 11'!O9+'JOUR 12'!O9+'JOUR 13'!O9+'JOUR 14'!O9+#REF!+#REF!</f>
        <v>#REF!</v>
      </c>
      <c r="P9" s="17" t="e">
        <f>'JOUR 1'!P9+'JOUR 2'!P9+'JOUR 3'!P9+'JOUR 4'!P9+'JOUR 5'!P9+'JOUR 6'!P9+'JOUR 7'!P9+'JOUR 8'!P9+'JOUR 9'!P9+'JOUR 10'!P9+'JOUR 11'!P9+'JOUR 12'!P9+'JOUR 13'!P9+'JOUR 14'!P9+#REF!+#REF!</f>
        <v>#REF!</v>
      </c>
      <c r="Q9" s="17" t="e">
        <f>'JOUR 1'!Q9+'JOUR 2'!Q9+'JOUR 3'!Q9+'JOUR 4'!Q9+'JOUR 5'!Q9+'JOUR 6'!Q9+'JOUR 7'!Q9+'JOUR 8'!Q9+'JOUR 9'!Q9+'JOUR 10'!Q9+'JOUR 11'!Q9+'JOUR 12'!Q9+'JOUR 13'!Q9+'JOUR 14'!Q9+#REF!+#REF!</f>
        <v>#REF!</v>
      </c>
      <c r="R9" s="17" t="e">
        <f>'JOUR 1'!R9+'JOUR 2'!R9+'JOUR 3'!R9+'JOUR 4'!R9+'JOUR 5'!R9+'JOUR 6'!R9+'JOUR 7'!R9+'JOUR 8'!R9+'JOUR 9'!R9+'JOUR 10'!R9+'JOUR 11'!R9+'JOUR 12'!R9+'JOUR 13'!R9+'JOUR 14'!R9+#REF!+#REF!</f>
        <v>#REF!</v>
      </c>
      <c r="S9" s="31" t="e">
        <f>'JOUR 1'!S9+'JOUR 2'!S9+'JOUR 3'!S9+'JOUR 4'!S9+'JOUR 5'!S9+'JOUR 6'!S9+'JOUR 7'!S9+'JOUR 8'!S9+'JOUR 9'!S9+'JOUR 10'!S9+'JOUR 11'!S9+'JOUR 12'!S9+'JOUR 13'!S9+'JOUR 14'!S9+#REF!+#REF!</f>
        <v>#REF!</v>
      </c>
      <c r="T9" s="31" t="e">
        <f>'JOUR 1'!T9+'JOUR 2'!T9+'JOUR 3'!T9+'JOUR 4'!T9+'JOUR 5'!T9+'JOUR 6'!T9+'JOUR 7'!T9+'JOUR 8'!T9+'JOUR 9'!T9+'JOUR 10'!T9+'JOUR 11'!T9+'JOUR 12'!T9+'JOUR 13'!T9+'JOUR 14'!T9+#REF!+#REF!</f>
        <v>#REF!</v>
      </c>
      <c r="U9" s="31" t="e">
        <f>'JOUR 1'!U9+'JOUR 2'!U9+'JOUR 3'!U9+'JOUR 4'!U9+'JOUR 5'!U9+'JOUR 6'!U9+'JOUR 7'!U9+'JOUR 8'!U9+'JOUR 9'!U9+'JOUR 10'!U9+'JOUR 11'!U9+'JOUR 12'!U9+'JOUR 13'!U9+'JOUR 14'!U9+#REF!+#REF!</f>
        <v>#REF!</v>
      </c>
      <c r="V9" s="32" t="e">
        <f>'JOUR 1'!V9+'JOUR 2'!V9+'JOUR 3'!V9+'JOUR 4'!V9+'JOUR 5'!V9+'JOUR 6'!V9+'JOUR 7'!V9+'JOUR 8'!V9+'JOUR 9'!V9+'JOUR 10'!V9+'JOUR 11'!V9+'JOUR 12'!V9+'JOUR 13'!V9+'JOUR 14'!V9+#REF!+#REF!</f>
        <v>#REF!</v>
      </c>
      <c r="W9" s="32" t="e">
        <f>'JOUR 1'!W9+'JOUR 2'!W9+'JOUR 3'!W9+'JOUR 4'!W9+'JOUR 5'!W9+'JOUR 6'!W9+'JOUR 7'!W9+'JOUR 8'!W9+'JOUR 9'!W9+'JOUR 10'!W9+'JOUR 11'!W9+'JOUR 12'!W9+'JOUR 13'!W9+'JOUR 14'!W9+#REF!+#REF!</f>
        <v>#REF!</v>
      </c>
      <c r="X9" s="32" t="e">
        <f>'JOUR 1'!X9+'JOUR 2'!X9+'JOUR 3'!X9+'JOUR 4'!X9+'JOUR 5'!X9+'JOUR 6'!X9+'JOUR 7'!X9+'JOUR 8'!X9+'JOUR 9'!X9+'JOUR 10'!X9+'JOUR 11'!X9+'JOUR 12'!X9+'JOUR 13'!X9+'JOUR 14'!X9+#REF!+#REF!</f>
        <v>#REF!</v>
      </c>
      <c r="Y9" s="75" t="e">
        <f>'JOUR 1'!Y9+'JOUR 2'!Y9+'JOUR 3'!Y9+'JOUR 4'!Y9+'JOUR 5'!Y9+'JOUR 6'!Y9+'JOUR 7'!Y9+'JOUR 8'!Y9+'JOUR 9'!Y9+'JOUR 10'!Y9+'JOUR 11'!Y9+'JOUR 12'!Y9+'JOUR 13'!Y9+'JOUR 14'!Y9+#REF!+#REF!</f>
        <v>#REF!</v>
      </c>
      <c r="Z9" s="33" t="e">
        <f>'JOUR 1'!Z9+'JOUR 2'!Z9+'JOUR 3'!Z9+'JOUR 4'!Z9+'JOUR 5'!Z9+'JOUR 6'!Z9+'JOUR 7'!Z9+'JOUR 8'!Z9+'JOUR 9'!Z9+'JOUR 10'!Z9+'JOUR 11'!Z9+'JOUR 12'!Z9+'JOUR 13'!Z9+'JOUR 14'!Z9+#REF!+#REF!</f>
        <v>#REF!</v>
      </c>
      <c r="AA9" s="34" t="e">
        <f>'JOUR 1'!AA9+'JOUR 2'!AA9+'JOUR 3'!AA9+'JOUR 4'!AA9+'JOUR 5'!AA9+'JOUR 6'!AA9+'JOUR 7'!AA9+'JOUR 8'!AA9+'JOUR 9'!AA9+'JOUR 10'!AA9+'JOUR 11'!AA9+'JOUR 12'!AA9+'JOUR 13'!AA9+'JOUR 14'!AA9+#REF!+#REF!</f>
        <v>#REF!</v>
      </c>
      <c r="AB9" s="34" t="e">
        <f>'JOUR 1'!AB9+'JOUR 2'!AB9+'JOUR 3'!AB9+'JOUR 4'!AB9+'JOUR 5'!AB9+'JOUR 6'!AB9+'JOUR 7'!AB9+'JOUR 8'!AB9+'JOUR 9'!AB9+'JOUR 10'!AB9+'JOUR 11'!AB9+'JOUR 12'!AB9+'JOUR 13'!AB9+'JOUR 14'!AB9+#REF!+#REF!</f>
        <v>#REF!</v>
      </c>
      <c r="AC9" s="34" t="e">
        <f>'JOUR 1'!AC9+'JOUR 2'!AC9+'JOUR 3'!AC9+'JOUR 4'!AC9+'JOUR 5'!AC9+'JOUR 6'!AC9+'JOUR 7'!AC9+'JOUR 8'!AC9+'JOUR 9'!AC9+'JOUR 10'!AC9+'JOUR 11'!AC9+'JOUR 12'!AC9+'JOUR 13'!AC9+'JOUR 14'!AC9+#REF!+#REF!</f>
        <v>#REF!</v>
      </c>
      <c r="AD9" s="35" t="e">
        <f>'JOUR 1'!AD9+'JOUR 2'!AD9+'JOUR 3'!AD9+'JOUR 4'!AD9+'JOUR 5'!AD9+'JOUR 6'!AD9+'JOUR 7'!AD9+'JOUR 8'!AD9+'JOUR 9'!AD9+'JOUR 10'!AD9+'JOUR 11'!AD9+'JOUR 12'!AD9+'JOUR 13'!AD9+'JOUR 14'!AD9+#REF!+#REF!</f>
        <v>#REF!</v>
      </c>
      <c r="AE9" s="34" t="e">
        <f>'JOUR 1'!AE9+'JOUR 2'!AE9+'JOUR 3'!AE9+'JOUR 4'!AE9+'JOUR 5'!AE9+'JOUR 6'!AE9+'JOUR 7'!AE9+'JOUR 8'!AE9+'JOUR 9'!AE9+'JOUR 10'!AE9+'JOUR 11'!AE9+'JOUR 12'!AE9+'JOUR 13'!AE9+'JOUR 14'!AE9+#REF!+#REF!</f>
        <v>#REF!</v>
      </c>
      <c r="AF9" s="34" t="e">
        <f>'JOUR 1'!AF9+'JOUR 2'!AF9+'JOUR 3'!AF9+'JOUR 4'!AF9+'JOUR 5'!AF9+'JOUR 6'!AF9+'JOUR 7'!AF9+'JOUR 8'!AF9+'JOUR 9'!AF9+'JOUR 10'!AF9+'JOUR 11'!AF9+'JOUR 12'!AF9+'JOUR 13'!AF9+'JOUR 14'!AF9+#REF!+#REF!</f>
        <v>#REF!</v>
      </c>
      <c r="AG9" s="34" t="e">
        <f>'JOUR 1'!AG9+'JOUR 2'!AG9+'JOUR 3'!AG9+'JOUR 4'!AG9+'JOUR 5'!AG9+'JOUR 6'!AG9+'JOUR 7'!AG9+'JOUR 8'!AG9+'JOUR 9'!AG9+'JOUR 10'!AG9+'JOUR 11'!AG9+'JOUR 12'!AG9+'JOUR 13'!AG9+'JOUR 14'!AG9+#REF!+#REF!</f>
        <v>#REF!</v>
      </c>
      <c r="AH9" s="21"/>
      <c r="AI9" s="22"/>
      <c r="AK9" s="87" t="e">
        <f t="shared" si="1"/>
        <v>#REF!</v>
      </c>
      <c r="AL9" s="87" t="e">
        <f t="shared" si="0"/>
        <v>#REF!</v>
      </c>
      <c r="AM9" s="87" t="e">
        <f t="shared" si="0"/>
        <v>#REF!</v>
      </c>
      <c r="AN9" s="87" t="e">
        <f t="shared" si="0"/>
        <v>#REF!</v>
      </c>
      <c r="AO9" s="87" t="e">
        <f t="shared" si="0"/>
        <v>#REF!</v>
      </c>
      <c r="AP9" s="87"/>
      <c r="AQ9" s="87"/>
      <c r="AR9" s="87"/>
      <c r="AS9" s="87" t="e">
        <f t="shared" si="0"/>
        <v>#REF!</v>
      </c>
      <c r="AT9" s="87"/>
      <c r="AU9" s="87"/>
      <c r="AV9" s="87"/>
      <c r="AW9" s="87"/>
      <c r="AX9" s="87"/>
      <c r="AY9" s="89"/>
    </row>
    <row r="10" spans="2:51" ht="17.399999999999999" x14ac:dyDescent="0.25">
      <c r="B10" s="16" t="s">
        <v>45</v>
      </c>
      <c r="C10" s="16" t="s">
        <v>51</v>
      </c>
      <c r="D10" s="17" t="e">
        <f>'JOUR 1'!D10+'JOUR 2'!D10+'JOUR 3'!D10+'JOUR 4'!D10+'JOUR 5'!D10+'JOUR 6'!D10+'JOUR 7'!D10+'JOUR 8'!D10+'JOUR 9'!D10+'JOUR 10'!D10+'JOUR 11'!D10+'JOUR 12'!D10+'JOUR 13'!D10+'JOUR 14'!D10+#REF!+#REF!</f>
        <v>#REF!</v>
      </c>
      <c r="E10" s="17" t="e">
        <f>'JOUR 1'!E10+'JOUR 2'!E10+'JOUR 3'!E10+'JOUR 4'!E10+'JOUR 5'!E10+'JOUR 6'!E10+'JOUR 7'!E10+'JOUR 8'!E10+'JOUR 9'!E10+'JOUR 10'!E10+'JOUR 11'!E10+'JOUR 12'!E10+'JOUR 13'!E10+'JOUR 14'!E10+#REF!+#REF!</f>
        <v>#REF!</v>
      </c>
      <c r="F10" s="17" t="e">
        <f>'JOUR 1'!F10+'JOUR 2'!F10+'JOUR 3'!F10+'JOUR 4'!F10+'JOUR 5'!F10+'JOUR 6'!F10+'JOUR 7'!F10+'JOUR 8'!F10+'JOUR 9'!F10+'JOUR 10'!F10+'JOUR 11'!F10+'JOUR 12'!F10+'JOUR 13'!F10+'JOUR 14'!F10+#REF!+#REF!</f>
        <v>#REF!</v>
      </c>
      <c r="G10" s="17" t="e">
        <f>'JOUR 1'!G10+'JOUR 2'!G10+'JOUR 3'!G10+'JOUR 4'!G10+'JOUR 5'!G10+'JOUR 6'!G10+'JOUR 7'!G10+'JOUR 8'!G10+'JOUR 9'!G10+'JOUR 10'!G10+'JOUR 11'!G10+'JOUR 12'!G10+'JOUR 13'!G10+'JOUR 14'!G10+#REF!+#REF!</f>
        <v>#REF!</v>
      </c>
      <c r="H10" s="17" t="e">
        <f>'JOUR 1'!H10+'JOUR 2'!H10+'JOUR 3'!H10+'JOUR 4'!H10+'JOUR 5'!H10+'JOUR 6'!H10+'JOUR 7'!H10+'JOUR 8'!H10+'JOUR 9'!H10+'JOUR 10'!H10+'JOUR 11'!H10+'JOUR 12'!H10+'JOUR 13'!H10+'JOUR 14'!H10+#REF!+#REF!</f>
        <v>#REF!</v>
      </c>
      <c r="I10" s="17" t="e">
        <f>'JOUR 1'!I10+'JOUR 2'!I10+'JOUR 3'!I10+'JOUR 4'!I10+'JOUR 5'!I10+'JOUR 6'!I10+'JOUR 7'!I10+'JOUR 8'!I10+'JOUR 9'!I10+'JOUR 10'!I10+'JOUR 11'!I10+'JOUR 12'!I10+'JOUR 13'!I10+'JOUR 14'!I10+#REF!+#REF!</f>
        <v>#REF!</v>
      </c>
      <c r="J10" s="17" t="e">
        <f>'JOUR 1'!J10+'JOUR 2'!J10+'JOUR 3'!J10+'JOUR 4'!J10+'JOUR 5'!J10+'JOUR 6'!J10+'JOUR 7'!J10+'JOUR 8'!J10+'JOUR 9'!J10+'JOUR 10'!J10+'JOUR 11'!J10+'JOUR 12'!J10+'JOUR 13'!J10+'JOUR 14'!J10+#REF!+#REF!</f>
        <v>#REF!</v>
      </c>
      <c r="K10" s="17" t="e">
        <f>'JOUR 1'!K10+'JOUR 2'!K10+'JOUR 3'!K10+'JOUR 4'!K10+'JOUR 5'!K10+'JOUR 6'!K10+'JOUR 7'!K10+'JOUR 8'!K10+'JOUR 9'!K10+'JOUR 10'!K10+'JOUR 11'!K10+'JOUR 12'!K10+'JOUR 13'!K10+'JOUR 14'!K10+#REF!+#REF!</f>
        <v>#REF!</v>
      </c>
      <c r="L10" s="17" t="e">
        <f>'JOUR 1'!L10+'JOUR 2'!L10+'JOUR 3'!L10+'JOUR 4'!L10+'JOUR 5'!L10+'JOUR 6'!L10+'JOUR 7'!L10+'JOUR 8'!L10+'JOUR 9'!L10+'JOUR 10'!L10+'JOUR 11'!L10+'JOUR 12'!L10+'JOUR 13'!L10+'JOUR 14'!L10+#REF!+#REF!</f>
        <v>#REF!</v>
      </c>
      <c r="M10" s="17" t="e">
        <f>'JOUR 1'!M10+'JOUR 2'!M10+'JOUR 3'!M10+'JOUR 4'!M10+'JOUR 5'!M10+'JOUR 6'!M10+'JOUR 7'!M10+'JOUR 8'!M10+'JOUR 9'!M10+'JOUR 10'!M10+'JOUR 11'!M10+'JOUR 12'!M10+'JOUR 13'!M10+'JOUR 14'!M10+#REF!+#REF!</f>
        <v>#REF!</v>
      </c>
      <c r="N10" s="17" t="e">
        <f>'JOUR 1'!N10+'JOUR 2'!N10+'JOUR 3'!N10+'JOUR 4'!N10+'JOUR 5'!N10+'JOUR 6'!N10+'JOUR 7'!N10+'JOUR 8'!N10+'JOUR 9'!N10+'JOUR 10'!N10+'JOUR 11'!N10+'JOUR 12'!N10+'JOUR 13'!N10+'JOUR 14'!N10+#REF!+#REF!</f>
        <v>#REF!</v>
      </c>
      <c r="O10" s="17" t="e">
        <f>'JOUR 1'!O10+'JOUR 2'!O10+'JOUR 3'!O10+'JOUR 4'!O10+'JOUR 5'!O10+'JOUR 6'!O10+'JOUR 7'!O10+'JOUR 8'!O10+'JOUR 9'!O10+'JOUR 10'!O10+'JOUR 11'!O10+'JOUR 12'!O10+'JOUR 13'!O10+'JOUR 14'!O10+#REF!+#REF!</f>
        <v>#REF!</v>
      </c>
      <c r="P10" s="17" t="e">
        <f>'JOUR 1'!P10+'JOUR 2'!P10+'JOUR 3'!P10+'JOUR 4'!P10+'JOUR 5'!P10+'JOUR 6'!P10+'JOUR 7'!P10+'JOUR 8'!P10+'JOUR 9'!P10+'JOUR 10'!P10+'JOUR 11'!P10+'JOUR 12'!P10+'JOUR 13'!P10+'JOUR 14'!P10+#REF!+#REF!</f>
        <v>#REF!</v>
      </c>
      <c r="Q10" s="17" t="e">
        <f>'JOUR 1'!Q10+'JOUR 2'!Q10+'JOUR 3'!Q10+'JOUR 4'!Q10+'JOUR 5'!Q10+'JOUR 6'!Q10+'JOUR 7'!Q10+'JOUR 8'!Q10+'JOUR 9'!Q10+'JOUR 10'!Q10+'JOUR 11'!Q10+'JOUR 12'!Q10+'JOUR 13'!Q10+'JOUR 14'!Q10+#REF!+#REF!</f>
        <v>#REF!</v>
      </c>
      <c r="R10" s="17" t="e">
        <f>'JOUR 1'!R10+'JOUR 2'!R10+'JOUR 3'!R10+'JOUR 4'!R10+'JOUR 5'!R10+'JOUR 6'!R10+'JOUR 7'!R10+'JOUR 8'!R10+'JOUR 9'!R10+'JOUR 10'!R10+'JOUR 11'!R10+'JOUR 12'!R10+'JOUR 13'!R10+'JOUR 14'!R10+#REF!+#REF!</f>
        <v>#REF!</v>
      </c>
      <c r="S10" s="31" t="e">
        <f>'JOUR 1'!S10+'JOUR 2'!S10+'JOUR 3'!S10+'JOUR 4'!S10+'JOUR 5'!S10+'JOUR 6'!S10+'JOUR 7'!S10+'JOUR 8'!S10+'JOUR 9'!S10+'JOUR 10'!S10+'JOUR 11'!S10+'JOUR 12'!S10+'JOUR 13'!S10+'JOUR 14'!S10+#REF!+#REF!</f>
        <v>#REF!</v>
      </c>
      <c r="T10" s="31" t="e">
        <f>'JOUR 1'!T10+'JOUR 2'!T10+'JOUR 3'!T10+'JOUR 4'!T10+'JOUR 5'!T10+'JOUR 6'!T10+'JOUR 7'!T10+'JOUR 8'!T10+'JOUR 9'!T10+'JOUR 10'!T10+'JOUR 11'!T10+'JOUR 12'!T10+'JOUR 13'!T10+'JOUR 14'!T10+#REF!+#REF!</f>
        <v>#REF!</v>
      </c>
      <c r="U10" s="31" t="e">
        <f>'JOUR 1'!U10+'JOUR 2'!U10+'JOUR 3'!U10+'JOUR 4'!U10+'JOUR 5'!U10+'JOUR 6'!U10+'JOUR 7'!U10+'JOUR 8'!U10+'JOUR 9'!U10+'JOUR 10'!U10+'JOUR 11'!U10+'JOUR 12'!U10+'JOUR 13'!U10+'JOUR 14'!U10+#REF!+#REF!</f>
        <v>#REF!</v>
      </c>
      <c r="V10" s="32" t="e">
        <f>'JOUR 1'!V10+'JOUR 2'!V10+'JOUR 3'!V10+'JOUR 4'!V10+'JOUR 5'!V10+'JOUR 6'!V10+'JOUR 7'!V10+'JOUR 8'!V10+'JOUR 9'!V10+'JOUR 10'!V10+'JOUR 11'!V10+'JOUR 12'!V10+'JOUR 13'!V10+'JOUR 14'!V10+#REF!+#REF!</f>
        <v>#REF!</v>
      </c>
      <c r="W10" s="32" t="e">
        <f>'JOUR 1'!W10+'JOUR 2'!W10+'JOUR 3'!W10+'JOUR 4'!W10+'JOUR 5'!W10+'JOUR 6'!W10+'JOUR 7'!W10+'JOUR 8'!W10+'JOUR 9'!W10+'JOUR 10'!W10+'JOUR 11'!W10+'JOUR 12'!W10+'JOUR 13'!W10+'JOUR 14'!W10+#REF!+#REF!</f>
        <v>#REF!</v>
      </c>
      <c r="X10" s="32" t="e">
        <f>'JOUR 1'!X10+'JOUR 2'!X10+'JOUR 3'!X10+'JOUR 4'!X10+'JOUR 5'!X10+'JOUR 6'!X10+'JOUR 7'!X10+'JOUR 8'!X10+'JOUR 9'!X10+'JOUR 10'!X10+'JOUR 11'!X10+'JOUR 12'!X10+'JOUR 13'!X10+'JOUR 14'!X10+#REF!+#REF!</f>
        <v>#REF!</v>
      </c>
      <c r="Y10" s="75" t="e">
        <f>'JOUR 1'!Y10+'JOUR 2'!Y10+'JOUR 3'!Y10+'JOUR 4'!Y10+'JOUR 5'!Y10+'JOUR 6'!Y10+'JOUR 7'!Y10+'JOUR 8'!Y10+'JOUR 9'!Y10+'JOUR 10'!Y10+'JOUR 11'!Y10+'JOUR 12'!Y10+'JOUR 13'!Y10+'JOUR 14'!Y10+#REF!+#REF!</f>
        <v>#REF!</v>
      </c>
      <c r="Z10" s="33" t="e">
        <f>'JOUR 1'!Z10+'JOUR 2'!Z10+'JOUR 3'!Z10+'JOUR 4'!Z10+'JOUR 5'!Z10+'JOUR 6'!Z10+'JOUR 7'!Z10+'JOUR 8'!Z10+'JOUR 9'!Z10+'JOUR 10'!Z10+'JOUR 11'!Z10+'JOUR 12'!Z10+'JOUR 13'!Z10+'JOUR 14'!Z10+#REF!+#REF!</f>
        <v>#REF!</v>
      </c>
      <c r="AA10" s="34" t="e">
        <f>'JOUR 1'!AA10+'JOUR 2'!AA10+'JOUR 3'!AA10+'JOUR 4'!AA10+'JOUR 5'!AA10+'JOUR 6'!AA10+'JOUR 7'!AA10+'JOUR 8'!AA10+'JOUR 9'!AA10+'JOUR 10'!AA10+'JOUR 11'!AA10+'JOUR 12'!AA10+'JOUR 13'!AA10+'JOUR 14'!AA10+#REF!+#REF!</f>
        <v>#REF!</v>
      </c>
      <c r="AB10" s="34" t="e">
        <f>'JOUR 1'!AB10+'JOUR 2'!AB10+'JOUR 3'!AB10+'JOUR 4'!AB10+'JOUR 5'!AB10+'JOUR 6'!AB10+'JOUR 7'!AB10+'JOUR 8'!AB10+'JOUR 9'!AB10+'JOUR 10'!AB10+'JOUR 11'!AB10+'JOUR 12'!AB10+'JOUR 13'!AB10+'JOUR 14'!AB10+#REF!+#REF!</f>
        <v>#REF!</v>
      </c>
      <c r="AC10" s="34" t="e">
        <f>'JOUR 1'!AC10+'JOUR 2'!AC10+'JOUR 3'!AC10+'JOUR 4'!AC10+'JOUR 5'!AC10+'JOUR 6'!AC10+'JOUR 7'!AC10+'JOUR 8'!AC10+'JOUR 9'!AC10+'JOUR 10'!AC10+'JOUR 11'!AC10+'JOUR 12'!AC10+'JOUR 13'!AC10+'JOUR 14'!AC10+#REF!+#REF!</f>
        <v>#REF!</v>
      </c>
      <c r="AD10" s="35" t="e">
        <f>'JOUR 1'!AD10+'JOUR 2'!AD10+'JOUR 3'!AD10+'JOUR 4'!AD10+'JOUR 5'!AD10+'JOUR 6'!AD10+'JOUR 7'!AD10+'JOUR 8'!AD10+'JOUR 9'!AD10+'JOUR 10'!AD10+'JOUR 11'!AD10+'JOUR 12'!AD10+'JOUR 13'!AD10+'JOUR 14'!AD10+#REF!+#REF!</f>
        <v>#REF!</v>
      </c>
      <c r="AE10" s="34" t="e">
        <f>'JOUR 1'!AE10+'JOUR 2'!AE10+'JOUR 3'!AE10+'JOUR 4'!AE10+'JOUR 5'!AE10+'JOUR 6'!AE10+'JOUR 7'!AE10+'JOUR 8'!AE10+'JOUR 9'!AE10+'JOUR 10'!AE10+'JOUR 11'!AE10+'JOUR 12'!AE10+'JOUR 13'!AE10+'JOUR 14'!AE10+#REF!+#REF!</f>
        <v>#REF!</v>
      </c>
      <c r="AF10" s="34" t="e">
        <f>'JOUR 1'!AF10+'JOUR 2'!AF10+'JOUR 3'!AF10+'JOUR 4'!AF10+'JOUR 5'!AF10+'JOUR 6'!AF10+'JOUR 7'!AF10+'JOUR 8'!AF10+'JOUR 9'!AF10+'JOUR 10'!AF10+'JOUR 11'!AF10+'JOUR 12'!AF10+'JOUR 13'!AF10+'JOUR 14'!AF10+#REF!+#REF!</f>
        <v>#REF!</v>
      </c>
      <c r="AG10" s="34" t="e">
        <f>'JOUR 1'!AG10+'JOUR 2'!AG10+'JOUR 3'!AG10+'JOUR 4'!AG10+'JOUR 5'!AG10+'JOUR 6'!AG10+'JOUR 7'!AG10+'JOUR 8'!AG10+'JOUR 9'!AG10+'JOUR 10'!AG10+'JOUR 11'!AG10+'JOUR 12'!AG10+'JOUR 13'!AG10+'JOUR 14'!AG10+#REF!+#REF!</f>
        <v>#REF!</v>
      </c>
      <c r="AH10" s="21"/>
      <c r="AI10" s="22"/>
      <c r="AK10" s="87" t="e">
        <f t="shared" si="1"/>
        <v>#REF!</v>
      </c>
      <c r="AL10" s="87" t="e">
        <f t="shared" si="0"/>
        <v>#REF!</v>
      </c>
      <c r="AM10" s="87" t="e">
        <f t="shared" si="0"/>
        <v>#REF!</v>
      </c>
      <c r="AN10" s="87" t="e">
        <f t="shared" si="0"/>
        <v>#REF!</v>
      </c>
      <c r="AO10" s="87" t="e">
        <f t="shared" si="0"/>
        <v>#REF!</v>
      </c>
      <c r="AP10" s="87"/>
      <c r="AQ10" s="87"/>
      <c r="AR10" s="87"/>
      <c r="AS10" s="87" t="e">
        <f t="shared" si="0"/>
        <v>#REF!</v>
      </c>
      <c r="AT10" s="87"/>
      <c r="AU10" s="87"/>
      <c r="AV10" s="87"/>
      <c r="AW10" s="87"/>
      <c r="AX10" s="87"/>
      <c r="AY10" s="89"/>
    </row>
    <row r="11" spans="2:51" ht="17.399999999999999" x14ac:dyDescent="0.25">
      <c r="B11" s="16" t="s">
        <v>45</v>
      </c>
      <c r="C11" s="16" t="s">
        <v>52</v>
      </c>
      <c r="D11" s="17" t="e">
        <f>'JOUR 1'!D11+'JOUR 2'!D11+'JOUR 3'!D11+'JOUR 4'!D11+'JOUR 5'!D11+'JOUR 6'!D11+'JOUR 7'!D11+'JOUR 8'!D11+'JOUR 9'!D11+'JOUR 10'!D11+'JOUR 11'!D11+'JOUR 12'!D11+'JOUR 13'!D11+'JOUR 14'!D11+#REF!+#REF!</f>
        <v>#REF!</v>
      </c>
      <c r="E11" s="17" t="e">
        <f>'JOUR 1'!E11+'JOUR 2'!E11+'JOUR 3'!E11+'JOUR 4'!E11+'JOUR 5'!E11+'JOUR 6'!E11+'JOUR 7'!E11+'JOUR 8'!E11+'JOUR 9'!E11+'JOUR 10'!E11+'JOUR 11'!E11+'JOUR 12'!E11+'JOUR 13'!E11+'JOUR 14'!E11+#REF!+#REF!</f>
        <v>#REF!</v>
      </c>
      <c r="F11" s="17" t="e">
        <f>'JOUR 1'!F11+'JOUR 2'!F11+'JOUR 3'!F11+'JOUR 4'!F11+'JOUR 5'!F11+'JOUR 6'!F11+'JOUR 7'!F11+'JOUR 8'!F11+'JOUR 9'!F11+'JOUR 10'!F11+'JOUR 11'!F11+'JOUR 12'!F11+'JOUR 13'!F11+'JOUR 14'!F11+#REF!+#REF!</f>
        <v>#REF!</v>
      </c>
      <c r="G11" s="17" t="e">
        <f>'JOUR 1'!G11+'JOUR 2'!G11+'JOUR 3'!G11+'JOUR 4'!G11+'JOUR 5'!G11+'JOUR 6'!G11+'JOUR 7'!G11+'JOUR 8'!G11+'JOUR 9'!G11+'JOUR 10'!G11+'JOUR 11'!G11+'JOUR 12'!G11+'JOUR 13'!G11+'JOUR 14'!G11+#REF!+#REF!</f>
        <v>#REF!</v>
      </c>
      <c r="H11" s="17" t="e">
        <f>'JOUR 1'!H11+'JOUR 2'!H11+'JOUR 3'!H11+'JOUR 4'!H11+'JOUR 5'!H11+'JOUR 6'!H11+'JOUR 7'!H11+'JOUR 8'!H11+'JOUR 9'!H11+'JOUR 10'!H11+'JOUR 11'!H11+'JOUR 12'!H11+'JOUR 13'!H11+'JOUR 14'!H11+#REF!+#REF!</f>
        <v>#REF!</v>
      </c>
      <c r="I11" s="17" t="e">
        <f>'JOUR 1'!I11+'JOUR 2'!I11+'JOUR 3'!I11+'JOUR 4'!I11+'JOUR 5'!I11+'JOUR 6'!I11+'JOUR 7'!I11+'JOUR 8'!I11+'JOUR 9'!I11+'JOUR 10'!I11+'JOUR 11'!I11+'JOUR 12'!I11+'JOUR 13'!I11+'JOUR 14'!I11+#REF!+#REF!</f>
        <v>#REF!</v>
      </c>
      <c r="J11" s="17" t="e">
        <f>'JOUR 1'!J11+'JOUR 2'!J11+'JOUR 3'!J11+'JOUR 4'!J11+'JOUR 5'!J11+'JOUR 6'!J11+'JOUR 7'!J11+'JOUR 8'!J11+'JOUR 9'!J11+'JOUR 10'!J11+'JOUR 11'!J11+'JOUR 12'!J11+'JOUR 13'!J11+'JOUR 14'!J11+#REF!+#REF!</f>
        <v>#REF!</v>
      </c>
      <c r="K11" s="17" t="e">
        <f>'JOUR 1'!K11+'JOUR 2'!K11+'JOUR 3'!K11+'JOUR 4'!K11+'JOUR 5'!K11+'JOUR 6'!K11+'JOUR 7'!K11+'JOUR 8'!K11+'JOUR 9'!K11+'JOUR 10'!K11+'JOUR 11'!K11+'JOUR 12'!K11+'JOUR 13'!K11+'JOUR 14'!K11+#REF!+#REF!</f>
        <v>#REF!</v>
      </c>
      <c r="L11" s="17" t="e">
        <f>'JOUR 1'!L11+'JOUR 2'!L11+'JOUR 3'!L11+'JOUR 4'!L11+'JOUR 5'!L11+'JOUR 6'!L11+'JOUR 7'!L11+'JOUR 8'!L11+'JOUR 9'!L11+'JOUR 10'!L11+'JOUR 11'!L11+'JOUR 12'!L11+'JOUR 13'!L11+'JOUR 14'!L11+#REF!+#REF!</f>
        <v>#REF!</v>
      </c>
      <c r="M11" s="17" t="e">
        <f>'JOUR 1'!M11+'JOUR 2'!M11+'JOUR 3'!M11+'JOUR 4'!M11+'JOUR 5'!M11+'JOUR 6'!M11+'JOUR 7'!M11+'JOUR 8'!M11+'JOUR 9'!M11+'JOUR 10'!M11+'JOUR 11'!M11+'JOUR 12'!M11+'JOUR 13'!M11+'JOUR 14'!M11+#REF!+#REF!</f>
        <v>#REF!</v>
      </c>
      <c r="N11" s="17" t="e">
        <f>'JOUR 1'!N11+'JOUR 2'!N11+'JOUR 3'!N11+'JOUR 4'!N11+'JOUR 5'!N11+'JOUR 6'!N11+'JOUR 7'!N11+'JOUR 8'!N11+'JOUR 9'!N11+'JOUR 10'!N11+'JOUR 11'!N11+'JOUR 12'!N11+'JOUR 13'!N11+'JOUR 14'!N11+#REF!+#REF!</f>
        <v>#REF!</v>
      </c>
      <c r="O11" s="17" t="e">
        <f>'JOUR 1'!O11+'JOUR 2'!O11+'JOUR 3'!O11+'JOUR 4'!O11+'JOUR 5'!O11+'JOUR 6'!O11+'JOUR 7'!O11+'JOUR 8'!O11+'JOUR 9'!O11+'JOUR 10'!O11+'JOUR 11'!O11+'JOUR 12'!O11+'JOUR 13'!O11+'JOUR 14'!O11+#REF!+#REF!</f>
        <v>#REF!</v>
      </c>
      <c r="P11" s="17" t="e">
        <f>'JOUR 1'!P11+'JOUR 2'!P11+'JOUR 3'!P11+'JOUR 4'!P11+'JOUR 5'!P11+'JOUR 6'!P11+'JOUR 7'!P11+'JOUR 8'!P11+'JOUR 9'!P11+'JOUR 10'!P11+'JOUR 11'!P11+'JOUR 12'!P11+'JOUR 13'!P11+'JOUR 14'!P11+#REF!+#REF!</f>
        <v>#REF!</v>
      </c>
      <c r="Q11" s="17" t="e">
        <f>'JOUR 1'!Q11+'JOUR 2'!Q11+'JOUR 3'!Q11+'JOUR 4'!Q11+'JOUR 5'!Q11+'JOUR 6'!Q11+'JOUR 7'!Q11+'JOUR 8'!Q11+'JOUR 9'!Q11+'JOUR 10'!Q11+'JOUR 11'!Q11+'JOUR 12'!Q11+'JOUR 13'!Q11+'JOUR 14'!Q11+#REF!+#REF!</f>
        <v>#REF!</v>
      </c>
      <c r="R11" s="17" t="e">
        <f>'JOUR 1'!R11+'JOUR 2'!R11+'JOUR 3'!R11+'JOUR 4'!R11+'JOUR 5'!R11+'JOUR 6'!R11+'JOUR 7'!R11+'JOUR 8'!R11+'JOUR 9'!R11+'JOUR 10'!R11+'JOUR 11'!R11+'JOUR 12'!R11+'JOUR 13'!R11+'JOUR 14'!R11+#REF!+#REF!</f>
        <v>#REF!</v>
      </c>
      <c r="S11" s="31" t="e">
        <f>'JOUR 1'!S11+'JOUR 2'!S11+'JOUR 3'!S11+'JOUR 4'!S11+'JOUR 5'!S11+'JOUR 6'!S11+'JOUR 7'!S11+'JOUR 8'!S11+'JOUR 9'!S11+'JOUR 10'!S11+'JOUR 11'!S11+'JOUR 12'!S11+'JOUR 13'!S11+'JOUR 14'!S11+#REF!+#REF!</f>
        <v>#REF!</v>
      </c>
      <c r="T11" s="31" t="e">
        <f>'JOUR 1'!T11+'JOUR 2'!T11+'JOUR 3'!T11+'JOUR 4'!T11+'JOUR 5'!T11+'JOUR 6'!T11+'JOUR 7'!T11+'JOUR 8'!T11+'JOUR 9'!T11+'JOUR 10'!T11+'JOUR 11'!T11+'JOUR 12'!T11+'JOUR 13'!T11+'JOUR 14'!T11+#REF!+#REF!</f>
        <v>#REF!</v>
      </c>
      <c r="U11" s="31" t="e">
        <f>'JOUR 1'!U11+'JOUR 2'!U11+'JOUR 3'!U11+'JOUR 4'!U11+'JOUR 5'!U11+'JOUR 6'!U11+'JOUR 7'!U11+'JOUR 8'!U11+'JOUR 9'!U11+'JOUR 10'!U11+'JOUR 11'!U11+'JOUR 12'!U11+'JOUR 13'!U11+'JOUR 14'!U11+#REF!+#REF!</f>
        <v>#REF!</v>
      </c>
      <c r="V11" s="32" t="e">
        <f>'JOUR 1'!V11+'JOUR 2'!V11+'JOUR 3'!V11+'JOUR 4'!V11+'JOUR 5'!V11+'JOUR 6'!V11+'JOUR 7'!V11+'JOUR 8'!V11+'JOUR 9'!V11+'JOUR 10'!V11+'JOUR 11'!V11+'JOUR 12'!V11+'JOUR 13'!V11+'JOUR 14'!V11+#REF!+#REF!</f>
        <v>#REF!</v>
      </c>
      <c r="W11" s="32" t="e">
        <f>'JOUR 1'!W11+'JOUR 2'!W11+'JOUR 3'!W11+'JOUR 4'!W11+'JOUR 5'!W11+'JOUR 6'!W11+'JOUR 7'!W11+'JOUR 8'!W11+'JOUR 9'!W11+'JOUR 10'!W11+'JOUR 11'!W11+'JOUR 12'!W11+'JOUR 13'!W11+'JOUR 14'!W11+#REF!+#REF!</f>
        <v>#REF!</v>
      </c>
      <c r="X11" s="32" t="e">
        <f>'JOUR 1'!X11+'JOUR 2'!X11+'JOUR 3'!X11+'JOUR 4'!X11+'JOUR 5'!X11+'JOUR 6'!X11+'JOUR 7'!X11+'JOUR 8'!X11+'JOUR 9'!X11+'JOUR 10'!X11+'JOUR 11'!X11+'JOUR 12'!X11+'JOUR 13'!X11+'JOUR 14'!X11+#REF!+#REF!</f>
        <v>#REF!</v>
      </c>
      <c r="Y11" s="75" t="e">
        <f>'JOUR 1'!Y11+'JOUR 2'!Y11+'JOUR 3'!Y11+'JOUR 4'!Y11+'JOUR 5'!Y11+'JOUR 6'!Y11+'JOUR 7'!Y11+'JOUR 8'!Y11+'JOUR 9'!Y11+'JOUR 10'!Y11+'JOUR 11'!Y11+'JOUR 12'!Y11+'JOUR 13'!Y11+'JOUR 14'!Y11+#REF!+#REF!</f>
        <v>#REF!</v>
      </c>
      <c r="Z11" s="33" t="e">
        <f>'JOUR 1'!Z11+'JOUR 2'!Z11+'JOUR 3'!Z11+'JOUR 4'!Z11+'JOUR 5'!Z11+'JOUR 6'!Z11+'JOUR 7'!Z11+'JOUR 8'!Z11+'JOUR 9'!Z11+'JOUR 10'!Z11+'JOUR 11'!Z11+'JOUR 12'!Z11+'JOUR 13'!Z11+'JOUR 14'!Z11+#REF!+#REF!</f>
        <v>#REF!</v>
      </c>
      <c r="AA11" s="34" t="e">
        <f>'JOUR 1'!AA11+'JOUR 2'!AA11+'JOUR 3'!AA11+'JOUR 4'!AA11+'JOUR 5'!AA11+'JOUR 6'!AA11+'JOUR 7'!AA11+'JOUR 8'!AA11+'JOUR 9'!AA11+'JOUR 10'!AA11+'JOUR 11'!AA11+'JOUR 12'!AA11+'JOUR 13'!AA11+'JOUR 14'!AA11+#REF!+#REF!</f>
        <v>#REF!</v>
      </c>
      <c r="AB11" s="34" t="e">
        <f>'JOUR 1'!AB11+'JOUR 2'!AB11+'JOUR 3'!AB11+'JOUR 4'!AB11+'JOUR 5'!AB11+'JOUR 6'!AB11+'JOUR 7'!AB11+'JOUR 8'!AB11+'JOUR 9'!AB11+'JOUR 10'!AB11+'JOUR 11'!AB11+'JOUR 12'!AB11+'JOUR 13'!AB11+'JOUR 14'!AB11+#REF!+#REF!</f>
        <v>#REF!</v>
      </c>
      <c r="AC11" s="34" t="e">
        <f>'JOUR 1'!AC11+'JOUR 2'!AC11+'JOUR 3'!AC11+'JOUR 4'!AC11+'JOUR 5'!AC11+'JOUR 6'!AC11+'JOUR 7'!AC11+'JOUR 8'!AC11+'JOUR 9'!AC11+'JOUR 10'!AC11+'JOUR 11'!AC11+'JOUR 12'!AC11+'JOUR 13'!AC11+'JOUR 14'!AC11+#REF!+#REF!</f>
        <v>#REF!</v>
      </c>
      <c r="AD11" s="35" t="e">
        <f>'JOUR 1'!AD11+'JOUR 2'!AD11+'JOUR 3'!AD11+'JOUR 4'!AD11+'JOUR 5'!AD11+'JOUR 6'!AD11+'JOUR 7'!AD11+'JOUR 8'!AD11+'JOUR 9'!AD11+'JOUR 10'!AD11+'JOUR 11'!AD11+'JOUR 12'!AD11+'JOUR 13'!AD11+'JOUR 14'!AD11+#REF!+#REF!</f>
        <v>#REF!</v>
      </c>
      <c r="AE11" s="34" t="e">
        <f>'JOUR 1'!AE11+'JOUR 2'!AE11+'JOUR 3'!AE11+'JOUR 4'!AE11+'JOUR 5'!AE11+'JOUR 6'!AE11+'JOUR 7'!AE11+'JOUR 8'!AE11+'JOUR 9'!AE11+'JOUR 10'!AE11+'JOUR 11'!AE11+'JOUR 12'!AE11+'JOUR 13'!AE11+'JOUR 14'!AE11+#REF!+#REF!</f>
        <v>#REF!</v>
      </c>
      <c r="AF11" s="34" t="e">
        <f>'JOUR 1'!AF11+'JOUR 2'!AF11+'JOUR 3'!AF11+'JOUR 4'!AF11+'JOUR 5'!AF11+'JOUR 6'!AF11+'JOUR 7'!AF11+'JOUR 8'!AF11+'JOUR 9'!AF11+'JOUR 10'!AF11+'JOUR 11'!AF11+'JOUR 12'!AF11+'JOUR 13'!AF11+'JOUR 14'!AF11+#REF!+#REF!</f>
        <v>#REF!</v>
      </c>
      <c r="AG11" s="34" t="e">
        <f>'JOUR 1'!AG11+'JOUR 2'!AG11+'JOUR 3'!AG11+'JOUR 4'!AG11+'JOUR 5'!AG11+'JOUR 6'!AG11+'JOUR 7'!AG11+'JOUR 8'!AG11+'JOUR 9'!AG11+'JOUR 10'!AG11+'JOUR 11'!AG11+'JOUR 12'!AG11+'JOUR 13'!AG11+'JOUR 14'!AG11+#REF!+#REF!</f>
        <v>#REF!</v>
      </c>
      <c r="AH11" s="21"/>
      <c r="AI11" s="22"/>
      <c r="AK11" s="87" t="e">
        <f t="shared" si="1"/>
        <v>#REF!</v>
      </c>
      <c r="AL11" s="87" t="e">
        <f t="shared" si="0"/>
        <v>#REF!</v>
      </c>
      <c r="AM11" s="87" t="e">
        <f t="shared" si="0"/>
        <v>#REF!</v>
      </c>
      <c r="AN11" s="87" t="e">
        <f t="shared" si="0"/>
        <v>#REF!</v>
      </c>
      <c r="AO11" s="87" t="e">
        <f t="shared" si="0"/>
        <v>#REF!</v>
      </c>
      <c r="AP11" s="87"/>
      <c r="AQ11" s="87"/>
      <c r="AR11" s="87"/>
      <c r="AS11" s="87" t="e">
        <f t="shared" si="0"/>
        <v>#REF!</v>
      </c>
      <c r="AT11" s="87"/>
      <c r="AU11" s="87"/>
      <c r="AV11" s="87"/>
      <c r="AW11" s="87"/>
      <c r="AX11" s="87"/>
      <c r="AY11" s="89"/>
    </row>
    <row r="12" spans="2:51" ht="17.399999999999999" x14ac:dyDescent="0.25">
      <c r="B12" s="16" t="s">
        <v>45</v>
      </c>
      <c r="C12" s="16" t="s">
        <v>95</v>
      </c>
      <c r="D12" s="17" t="e">
        <f>'JOUR 1'!D12+'JOUR 2'!D12+'JOUR 3'!D12+'JOUR 4'!D12+'JOUR 5'!D12+'JOUR 6'!D12+'JOUR 7'!D12+'JOUR 8'!D12+'JOUR 9'!D12+'JOUR 10'!D12+'JOUR 11'!D12+'JOUR 12'!D12+'JOUR 13'!D12+'JOUR 14'!D12+#REF!+#REF!</f>
        <v>#REF!</v>
      </c>
      <c r="E12" s="17" t="e">
        <f>'JOUR 1'!E12+'JOUR 2'!E12+'JOUR 3'!E12+'JOUR 4'!E12+'JOUR 5'!E12+'JOUR 6'!E12+'JOUR 7'!E12+'JOUR 8'!E12+'JOUR 9'!E12+'JOUR 10'!E12+'JOUR 11'!E12+'JOUR 12'!E12+'JOUR 13'!E12+'JOUR 14'!E12+#REF!+#REF!</f>
        <v>#REF!</v>
      </c>
      <c r="F12" s="17" t="e">
        <f>'JOUR 1'!F12+'JOUR 2'!F12+'JOUR 3'!F12+'JOUR 4'!F12+'JOUR 5'!F12+'JOUR 6'!F12+'JOUR 7'!F12+'JOUR 8'!F12+'JOUR 9'!F12+'JOUR 10'!F12+'JOUR 11'!F12+'JOUR 12'!F12+'JOUR 13'!F12+'JOUR 14'!F12+#REF!+#REF!</f>
        <v>#REF!</v>
      </c>
      <c r="G12" s="17" t="e">
        <f>'JOUR 1'!G12+'JOUR 2'!G12+'JOUR 3'!G12+'JOUR 4'!G12+'JOUR 5'!G12+'JOUR 6'!G12+'JOUR 7'!G12+'JOUR 8'!G12+'JOUR 9'!G12+'JOUR 10'!G12+'JOUR 11'!G12+'JOUR 12'!G12+'JOUR 13'!G12+'JOUR 14'!G12+#REF!+#REF!</f>
        <v>#REF!</v>
      </c>
      <c r="H12" s="17" t="e">
        <f>'JOUR 1'!H12+'JOUR 2'!H12+'JOUR 3'!H12+'JOUR 4'!H12+'JOUR 5'!H12+'JOUR 6'!H12+'JOUR 7'!H12+'JOUR 8'!H12+'JOUR 9'!H12+'JOUR 10'!H12+'JOUR 11'!H12+'JOUR 12'!H12+'JOUR 13'!H12+'JOUR 14'!H12+#REF!+#REF!</f>
        <v>#REF!</v>
      </c>
      <c r="I12" s="17" t="e">
        <f>'JOUR 1'!I12+'JOUR 2'!I12+'JOUR 3'!I12+'JOUR 4'!I12+'JOUR 5'!I12+'JOUR 6'!I12+'JOUR 7'!I12+'JOUR 8'!I12+'JOUR 9'!I12+'JOUR 10'!I12+'JOUR 11'!I12+'JOUR 12'!I12+'JOUR 13'!I12+'JOUR 14'!I12+#REF!+#REF!</f>
        <v>#REF!</v>
      </c>
      <c r="J12" s="17" t="e">
        <f>'JOUR 1'!J12+'JOUR 2'!J12+'JOUR 3'!J12+'JOUR 4'!J12+'JOUR 5'!J12+'JOUR 6'!J12+'JOUR 7'!J12+'JOUR 8'!J12+'JOUR 9'!J12+'JOUR 10'!J12+'JOUR 11'!J12+'JOUR 12'!J12+'JOUR 13'!J12+'JOUR 14'!J12+#REF!+#REF!</f>
        <v>#REF!</v>
      </c>
      <c r="K12" s="17" t="e">
        <f>'JOUR 1'!K12+'JOUR 2'!K12+'JOUR 3'!K12+'JOUR 4'!K12+'JOUR 5'!K12+'JOUR 6'!K12+'JOUR 7'!K12+'JOUR 8'!K12+'JOUR 9'!K12+'JOUR 10'!K12+'JOUR 11'!K12+'JOUR 12'!K12+'JOUR 13'!K12+'JOUR 14'!K12+#REF!+#REF!</f>
        <v>#REF!</v>
      </c>
      <c r="L12" s="17" t="e">
        <f>'JOUR 1'!L12+'JOUR 2'!L12+'JOUR 3'!L12+'JOUR 4'!L12+'JOUR 5'!L12+'JOUR 6'!L12+'JOUR 7'!L12+'JOUR 8'!L12+'JOUR 9'!L12+'JOUR 10'!L12+'JOUR 11'!L12+'JOUR 12'!L12+'JOUR 13'!L12+'JOUR 14'!L12+#REF!+#REF!</f>
        <v>#REF!</v>
      </c>
      <c r="M12" s="17" t="e">
        <f>'JOUR 1'!M12+'JOUR 2'!M12+'JOUR 3'!M12+'JOUR 4'!M12+'JOUR 5'!M12+'JOUR 6'!M12+'JOUR 7'!M12+'JOUR 8'!M12+'JOUR 9'!M12+'JOUR 10'!M12+'JOUR 11'!M12+'JOUR 12'!M12+'JOUR 13'!M12+'JOUR 14'!M12+#REF!+#REF!</f>
        <v>#REF!</v>
      </c>
      <c r="N12" s="17" t="e">
        <f>'JOUR 1'!N12+'JOUR 2'!N12+'JOUR 3'!N12+'JOUR 4'!N12+'JOUR 5'!N12+'JOUR 6'!N12+'JOUR 7'!N12+'JOUR 8'!N12+'JOUR 9'!N12+'JOUR 10'!N12+'JOUR 11'!N12+'JOUR 12'!N12+'JOUR 13'!N12+'JOUR 14'!N12+#REF!+#REF!</f>
        <v>#REF!</v>
      </c>
      <c r="O12" s="17" t="e">
        <f>'JOUR 1'!O12+'JOUR 2'!O12+'JOUR 3'!O12+'JOUR 4'!O12+'JOUR 5'!O12+'JOUR 6'!O12+'JOUR 7'!O12+'JOUR 8'!O12+'JOUR 9'!O12+'JOUR 10'!O12+'JOUR 11'!O12+'JOUR 12'!O12+'JOUR 13'!O12+'JOUR 14'!O12+#REF!+#REF!</f>
        <v>#REF!</v>
      </c>
      <c r="P12" s="17" t="e">
        <f>'JOUR 1'!P12+'JOUR 2'!P12+'JOUR 3'!P12+'JOUR 4'!P12+'JOUR 5'!P12+'JOUR 6'!P12+'JOUR 7'!P12+'JOUR 8'!P12+'JOUR 9'!P12+'JOUR 10'!P12+'JOUR 11'!P12+'JOUR 12'!P12+'JOUR 13'!P12+'JOUR 14'!P12+#REF!+#REF!</f>
        <v>#REF!</v>
      </c>
      <c r="Q12" s="17" t="e">
        <f>'JOUR 1'!Q12+'JOUR 2'!Q12+'JOUR 3'!Q12+'JOUR 4'!Q12+'JOUR 5'!Q12+'JOUR 6'!Q12+'JOUR 7'!Q12+'JOUR 8'!Q12+'JOUR 9'!Q12+'JOUR 10'!Q12+'JOUR 11'!Q12+'JOUR 12'!Q12+'JOUR 13'!Q12+'JOUR 14'!Q12+#REF!+#REF!</f>
        <v>#REF!</v>
      </c>
      <c r="R12" s="17" t="e">
        <f>'JOUR 1'!R12+'JOUR 2'!R12+'JOUR 3'!R12+'JOUR 4'!R12+'JOUR 5'!R12+'JOUR 6'!R12+'JOUR 7'!R12+'JOUR 8'!R12+'JOUR 9'!R12+'JOUR 10'!R12+'JOUR 11'!R12+'JOUR 12'!R12+'JOUR 13'!R12+'JOUR 14'!R12+#REF!+#REF!</f>
        <v>#REF!</v>
      </c>
      <c r="S12" s="31" t="e">
        <f>'JOUR 1'!S12+'JOUR 2'!S12+'JOUR 3'!S12+'JOUR 4'!S12+'JOUR 5'!S12+'JOUR 6'!S12+'JOUR 7'!S12+'JOUR 8'!S12+'JOUR 9'!S12+'JOUR 10'!S12+'JOUR 11'!S12+'JOUR 12'!S12+'JOUR 13'!S12+'JOUR 14'!S12+#REF!+#REF!</f>
        <v>#REF!</v>
      </c>
      <c r="T12" s="31" t="e">
        <f>'JOUR 1'!T12+'JOUR 2'!T12+'JOUR 3'!T12+'JOUR 4'!T12+'JOUR 5'!T12+'JOUR 6'!T12+'JOUR 7'!T12+'JOUR 8'!T12+'JOUR 9'!T12+'JOUR 10'!T12+'JOUR 11'!T12+'JOUR 12'!T12+'JOUR 13'!T12+'JOUR 14'!T12+#REF!+#REF!</f>
        <v>#REF!</v>
      </c>
      <c r="U12" s="31" t="e">
        <f>'JOUR 1'!U12+'JOUR 2'!U12+'JOUR 3'!U12+'JOUR 4'!U12+'JOUR 5'!U12+'JOUR 6'!U12+'JOUR 7'!U12+'JOUR 8'!U12+'JOUR 9'!U12+'JOUR 10'!U12+'JOUR 11'!U12+'JOUR 12'!U12+'JOUR 13'!U12+'JOUR 14'!U12+#REF!+#REF!</f>
        <v>#REF!</v>
      </c>
      <c r="V12" s="32" t="e">
        <f>'JOUR 1'!V12+'JOUR 2'!V12+'JOUR 3'!V12+'JOUR 4'!V12+'JOUR 5'!V12+'JOUR 6'!V12+'JOUR 7'!V12+'JOUR 8'!V12+'JOUR 9'!V12+'JOUR 10'!V12+'JOUR 11'!V12+'JOUR 12'!V12+'JOUR 13'!V12+'JOUR 14'!V12+#REF!+#REF!</f>
        <v>#REF!</v>
      </c>
      <c r="W12" s="32" t="e">
        <f>'JOUR 1'!W12+'JOUR 2'!W12+'JOUR 3'!W12+'JOUR 4'!W12+'JOUR 5'!W12+'JOUR 6'!W12+'JOUR 7'!W12+'JOUR 8'!W12+'JOUR 9'!W12+'JOUR 10'!W12+'JOUR 11'!W12+'JOUR 12'!W12+'JOUR 13'!W12+'JOUR 14'!W12+#REF!+#REF!</f>
        <v>#REF!</v>
      </c>
      <c r="X12" s="32" t="e">
        <f>'JOUR 1'!X12+'JOUR 2'!X12+'JOUR 3'!X12+'JOUR 4'!X12+'JOUR 5'!X12+'JOUR 6'!X12+'JOUR 7'!X12+'JOUR 8'!X12+'JOUR 9'!X12+'JOUR 10'!X12+'JOUR 11'!X12+'JOUR 12'!X12+'JOUR 13'!X12+'JOUR 14'!X12+#REF!+#REF!</f>
        <v>#REF!</v>
      </c>
      <c r="Y12" s="75" t="e">
        <f>'JOUR 1'!Y12+'JOUR 2'!Y12+'JOUR 3'!Y12+'JOUR 4'!Y12+'JOUR 5'!Y12+'JOUR 6'!Y12+'JOUR 7'!Y12+'JOUR 8'!Y12+'JOUR 9'!Y12+'JOUR 10'!Y12+'JOUR 11'!Y12+'JOUR 12'!Y12+'JOUR 13'!Y12+'JOUR 14'!Y12+#REF!+#REF!</f>
        <v>#REF!</v>
      </c>
      <c r="Z12" s="33" t="e">
        <f>'JOUR 1'!Z12+'JOUR 2'!Z12+'JOUR 3'!Z12+'JOUR 4'!Z12+'JOUR 5'!Z12+'JOUR 6'!Z12+'JOUR 7'!Z12+'JOUR 8'!Z12+'JOUR 9'!Z12+'JOUR 10'!Z12+'JOUR 11'!Z12+'JOUR 12'!Z12+'JOUR 13'!Z12+'JOUR 14'!Z12+#REF!+#REF!</f>
        <v>#REF!</v>
      </c>
      <c r="AA12" s="34" t="e">
        <f>'JOUR 1'!AA12+'JOUR 2'!AA12+'JOUR 3'!AA12+'JOUR 4'!AA12+'JOUR 5'!AA12+'JOUR 6'!AA12+'JOUR 7'!AA12+'JOUR 8'!AA12+'JOUR 9'!AA12+'JOUR 10'!AA12+'JOUR 11'!AA12+'JOUR 12'!AA12+'JOUR 13'!AA12+'JOUR 14'!AA12+#REF!+#REF!</f>
        <v>#REF!</v>
      </c>
      <c r="AB12" s="34" t="e">
        <f>'JOUR 1'!AB12+'JOUR 2'!AB12+'JOUR 3'!AB12+'JOUR 4'!AB12+'JOUR 5'!AB12+'JOUR 6'!AB12+'JOUR 7'!AB12+'JOUR 8'!AB12+'JOUR 9'!AB12+'JOUR 10'!AB12+'JOUR 11'!AB12+'JOUR 12'!AB12+'JOUR 13'!AB12+'JOUR 14'!AB12+#REF!+#REF!</f>
        <v>#REF!</v>
      </c>
      <c r="AC12" s="34" t="e">
        <f>'JOUR 1'!AC12+'JOUR 2'!AC12+'JOUR 3'!AC12+'JOUR 4'!AC12+'JOUR 5'!AC12+'JOUR 6'!AC12+'JOUR 7'!AC12+'JOUR 8'!AC12+'JOUR 9'!AC12+'JOUR 10'!AC12+'JOUR 11'!AC12+'JOUR 12'!AC12+'JOUR 13'!AC12+'JOUR 14'!AC12+#REF!+#REF!</f>
        <v>#REF!</v>
      </c>
      <c r="AD12" s="35" t="e">
        <f>'JOUR 1'!AD12+'JOUR 2'!AD12+'JOUR 3'!AD12+'JOUR 4'!AD12+'JOUR 5'!AD12+'JOUR 6'!AD12+'JOUR 7'!AD12+'JOUR 8'!AD12+'JOUR 9'!AD12+'JOUR 10'!AD12+'JOUR 11'!AD12+'JOUR 12'!AD12+'JOUR 13'!AD12+'JOUR 14'!AD12+#REF!+#REF!</f>
        <v>#REF!</v>
      </c>
      <c r="AE12" s="34" t="e">
        <f>'JOUR 1'!AE12+'JOUR 2'!AE12+'JOUR 3'!AE12+'JOUR 4'!AE12+'JOUR 5'!AE12+'JOUR 6'!AE12+'JOUR 7'!AE12+'JOUR 8'!AE12+'JOUR 9'!AE12+'JOUR 10'!AE12+'JOUR 11'!AE12+'JOUR 12'!AE12+'JOUR 13'!AE12+'JOUR 14'!AE12+#REF!+#REF!</f>
        <v>#REF!</v>
      </c>
      <c r="AF12" s="34" t="e">
        <f>'JOUR 1'!AF12+'JOUR 2'!AF12+'JOUR 3'!AF12+'JOUR 4'!AF12+'JOUR 5'!AF12+'JOUR 6'!AF12+'JOUR 7'!AF12+'JOUR 8'!AF12+'JOUR 9'!AF12+'JOUR 10'!AF12+'JOUR 11'!AF12+'JOUR 12'!AF12+'JOUR 13'!AF12+'JOUR 14'!AF12+#REF!+#REF!</f>
        <v>#REF!</v>
      </c>
      <c r="AG12" s="34" t="e">
        <f>'JOUR 1'!AG12+'JOUR 2'!AG12+'JOUR 3'!AG12+'JOUR 4'!AG12+'JOUR 5'!AG12+'JOUR 6'!AG12+'JOUR 7'!AG12+'JOUR 8'!AG12+'JOUR 9'!AG12+'JOUR 10'!AG12+'JOUR 11'!AG12+'JOUR 12'!AG12+'JOUR 13'!AG12+'JOUR 14'!AG12+#REF!+#REF!</f>
        <v>#REF!</v>
      </c>
      <c r="AH12" s="21"/>
      <c r="AI12" s="22"/>
      <c r="AK12" s="87" t="e">
        <f t="shared" si="1"/>
        <v>#REF!</v>
      </c>
      <c r="AL12" s="87" t="e">
        <f t="shared" si="0"/>
        <v>#REF!</v>
      </c>
      <c r="AM12" s="87" t="e">
        <f t="shared" si="0"/>
        <v>#REF!</v>
      </c>
      <c r="AN12" s="87" t="e">
        <f t="shared" si="0"/>
        <v>#REF!</v>
      </c>
      <c r="AO12" s="87" t="e">
        <f t="shared" si="0"/>
        <v>#REF!</v>
      </c>
      <c r="AP12" s="87"/>
      <c r="AQ12" s="87"/>
      <c r="AR12" s="87"/>
      <c r="AS12" s="87" t="e">
        <f t="shared" si="0"/>
        <v>#REF!</v>
      </c>
      <c r="AT12" s="87"/>
      <c r="AU12" s="87"/>
      <c r="AV12" s="87"/>
      <c r="AW12" s="87"/>
      <c r="AX12" s="87"/>
      <c r="AY12" s="89"/>
    </row>
    <row r="13" spans="2:51" ht="17.399999999999999" x14ac:dyDescent="0.25">
      <c r="B13" s="16" t="s">
        <v>45</v>
      </c>
      <c r="C13" s="16" t="s">
        <v>53</v>
      </c>
      <c r="D13" s="17" t="e">
        <f>'JOUR 1'!D13+'JOUR 2'!D13+'JOUR 3'!D13+'JOUR 4'!D13+'JOUR 5'!D13+'JOUR 6'!D13+'JOUR 7'!D13+'JOUR 8'!D13+'JOUR 9'!D13+'JOUR 10'!D13+'JOUR 11'!D13+'JOUR 12'!D13+'JOUR 13'!D13+'JOUR 14'!D13+#REF!+#REF!</f>
        <v>#REF!</v>
      </c>
      <c r="E13" s="17" t="e">
        <f>'JOUR 1'!E13+'JOUR 2'!E13+'JOUR 3'!E13+'JOUR 4'!E13+'JOUR 5'!E13+'JOUR 6'!E13+'JOUR 7'!E13+'JOUR 8'!E13+'JOUR 9'!E13+'JOUR 10'!E13+'JOUR 11'!E13+'JOUR 12'!E13+'JOUR 13'!E13+'JOUR 14'!E13+#REF!+#REF!</f>
        <v>#REF!</v>
      </c>
      <c r="F13" s="17" t="e">
        <f>'JOUR 1'!F13+'JOUR 2'!F13+'JOUR 3'!F13+'JOUR 4'!F13+'JOUR 5'!F13+'JOUR 6'!F13+'JOUR 7'!F13+'JOUR 8'!F13+'JOUR 9'!F13+'JOUR 10'!F13+'JOUR 11'!F13+'JOUR 12'!F13+'JOUR 13'!F13+'JOUR 14'!F13+#REF!+#REF!</f>
        <v>#REF!</v>
      </c>
      <c r="G13" s="17" t="e">
        <f>'JOUR 1'!G13+'JOUR 2'!G13+'JOUR 3'!G13+'JOUR 4'!G13+'JOUR 5'!G13+'JOUR 6'!G13+'JOUR 7'!G13+'JOUR 8'!G13+'JOUR 9'!G13+'JOUR 10'!G13+'JOUR 11'!G13+'JOUR 12'!G13+'JOUR 13'!G13+'JOUR 14'!G13+#REF!+#REF!</f>
        <v>#REF!</v>
      </c>
      <c r="H13" s="17" t="e">
        <f>'JOUR 1'!H13+'JOUR 2'!H13+'JOUR 3'!H13+'JOUR 4'!H13+'JOUR 5'!H13+'JOUR 6'!H13+'JOUR 7'!H13+'JOUR 8'!H13+'JOUR 9'!H13+'JOUR 10'!H13+'JOUR 11'!H13+'JOUR 12'!H13+'JOUR 13'!H13+'JOUR 14'!H13+#REF!+#REF!</f>
        <v>#REF!</v>
      </c>
      <c r="I13" s="17" t="e">
        <f>'JOUR 1'!I13+'JOUR 2'!I13+'JOUR 3'!I13+'JOUR 4'!I13+'JOUR 5'!I13+'JOUR 6'!I13+'JOUR 7'!I13+'JOUR 8'!I13+'JOUR 9'!I13+'JOUR 10'!I13+'JOUR 11'!I13+'JOUR 12'!I13+'JOUR 13'!I13+'JOUR 14'!I13+#REF!+#REF!</f>
        <v>#REF!</v>
      </c>
      <c r="J13" s="17" t="e">
        <f>'JOUR 1'!J13+'JOUR 2'!J13+'JOUR 3'!J13+'JOUR 4'!J13+'JOUR 5'!J13+'JOUR 6'!J13+'JOUR 7'!J13+'JOUR 8'!J13+'JOUR 9'!J13+'JOUR 10'!J13+'JOUR 11'!J13+'JOUR 12'!J13+'JOUR 13'!J13+'JOUR 14'!J13+#REF!+#REF!</f>
        <v>#REF!</v>
      </c>
      <c r="K13" s="17" t="e">
        <f>'JOUR 1'!K13+'JOUR 2'!K13+'JOUR 3'!K13+'JOUR 4'!K13+'JOUR 5'!K13+'JOUR 6'!K13+'JOUR 7'!K13+'JOUR 8'!K13+'JOUR 9'!K13+'JOUR 10'!K13+'JOUR 11'!K13+'JOUR 12'!K13+'JOUR 13'!K13+'JOUR 14'!K13+#REF!+#REF!</f>
        <v>#REF!</v>
      </c>
      <c r="L13" s="17" t="e">
        <f>'JOUR 1'!L13+'JOUR 2'!L13+'JOUR 3'!L13+'JOUR 4'!L13+'JOUR 5'!L13+'JOUR 6'!L13+'JOUR 7'!L13+'JOUR 8'!L13+'JOUR 9'!L13+'JOUR 10'!L13+'JOUR 11'!L13+'JOUR 12'!L13+'JOUR 13'!L13+'JOUR 14'!L13+#REF!+#REF!</f>
        <v>#REF!</v>
      </c>
      <c r="M13" s="17" t="e">
        <f>'JOUR 1'!M13+'JOUR 2'!M13+'JOUR 3'!M13+'JOUR 4'!M13+'JOUR 5'!M13+'JOUR 6'!M13+'JOUR 7'!M13+'JOUR 8'!M13+'JOUR 9'!M13+'JOUR 10'!M13+'JOUR 11'!M13+'JOUR 12'!M13+'JOUR 13'!M13+'JOUR 14'!M13+#REF!+#REF!</f>
        <v>#REF!</v>
      </c>
      <c r="N13" s="17" t="e">
        <f>'JOUR 1'!N13+'JOUR 2'!N13+'JOUR 3'!N13+'JOUR 4'!N13+'JOUR 5'!N13+'JOUR 6'!N13+'JOUR 7'!N13+'JOUR 8'!N13+'JOUR 9'!N13+'JOUR 10'!N13+'JOUR 11'!N13+'JOUR 12'!N13+'JOUR 13'!N13+'JOUR 14'!N13+#REF!+#REF!</f>
        <v>#REF!</v>
      </c>
      <c r="O13" s="17" t="e">
        <f>'JOUR 1'!O13+'JOUR 2'!O13+'JOUR 3'!O13+'JOUR 4'!O13+'JOUR 5'!O13+'JOUR 6'!O13+'JOUR 7'!O13+'JOUR 8'!O13+'JOUR 9'!O13+'JOUR 10'!O13+'JOUR 11'!O13+'JOUR 12'!O13+'JOUR 13'!O13+'JOUR 14'!O13+#REF!+#REF!</f>
        <v>#REF!</v>
      </c>
      <c r="P13" s="17" t="e">
        <f>'JOUR 1'!P13+'JOUR 2'!P13+'JOUR 3'!P13+'JOUR 4'!P13+'JOUR 5'!P13+'JOUR 6'!P13+'JOUR 7'!P13+'JOUR 8'!P13+'JOUR 9'!P13+'JOUR 10'!P13+'JOUR 11'!P13+'JOUR 12'!P13+'JOUR 13'!P13+'JOUR 14'!P13+#REF!+#REF!</f>
        <v>#REF!</v>
      </c>
      <c r="Q13" s="17" t="e">
        <f>'JOUR 1'!Q13+'JOUR 2'!Q13+'JOUR 3'!Q13+'JOUR 4'!Q13+'JOUR 5'!Q13+'JOUR 6'!Q13+'JOUR 7'!Q13+'JOUR 8'!Q13+'JOUR 9'!Q13+'JOUR 10'!Q13+'JOUR 11'!Q13+'JOUR 12'!Q13+'JOUR 13'!Q13+'JOUR 14'!Q13+#REF!+#REF!</f>
        <v>#REF!</v>
      </c>
      <c r="R13" s="17" t="e">
        <f>'JOUR 1'!R13+'JOUR 2'!R13+'JOUR 3'!R13+'JOUR 4'!R13+'JOUR 5'!R13+'JOUR 6'!R13+'JOUR 7'!R13+'JOUR 8'!R13+'JOUR 9'!R13+'JOUR 10'!R13+'JOUR 11'!R13+'JOUR 12'!R13+'JOUR 13'!R13+'JOUR 14'!R13+#REF!+#REF!</f>
        <v>#REF!</v>
      </c>
      <c r="S13" s="31" t="e">
        <f>'JOUR 1'!S13+'JOUR 2'!S13+'JOUR 3'!S13+'JOUR 4'!S13+'JOUR 5'!S13+'JOUR 6'!S13+'JOUR 7'!S13+'JOUR 8'!S13+'JOUR 9'!S13+'JOUR 10'!S13+'JOUR 11'!S13+'JOUR 12'!S13+'JOUR 13'!S13+'JOUR 14'!S13+#REF!+#REF!</f>
        <v>#REF!</v>
      </c>
      <c r="T13" s="31" t="e">
        <f>'JOUR 1'!T13+'JOUR 2'!T13+'JOUR 3'!T13+'JOUR 4'!T13+'JOUR 5'!T13+'JOUR 6'!T13+'JOUR 7'!T13+'JOUR 8'!T13+'JOUR 9'!T13+'JOUR 10'!T13+'JOUR 11'!T13+'JOUR 12'!T13+'JOUR 13'!T13+'JOUR 14'!T13+#REF!+#REF!</f>
        <v>#REF!</v>
      </c>
      <c r="U13" s="31" t="e">
        <f>'JOUR 1'!U13+'JOUR 2'!U13+'JOUR 3'!U13+'JOUR 4'!U13+'JOUR 5'!U13+'JOUR 6'!U13+'JOUR 7'!U13+'JOUR 8'!U13+'JOUR 9'!U13+'JOUR 10'!U13+'JOUR 11'!U13+'JOUR 12'!U13+'JOUR 13'!U13+'JOUR 14'!U13+#REF!+#REF!</f>
        <v>#REF!</v>
      </c>
      <c r="V13" s="32" t="e">
        <f>'JOUR 1'!V13+'JOUR 2'!V13+'JOUR 3'!V13+'JOUR 4'!V13+'JOUR 5'!V13+'JOUR 6'!V13+'JOUR 7'!V13+'JOUR 8'!V13+'JOUR 9'!V13+'JOUR 10'!V13+'JOUR 11'!V13+'JOUR 12'!V13+'JOUR 13'!V13+'JOUR 14'!V13+#REF!+#REF!</f>
        <v>#REF!</v>
      </c>
      <c r="W13" s="32" t="e">
        <f>'JOUR 1'!W13+'JOUR 2'!W13+'JOUR 3'!W13+'JOUR 4'!W13+'JOUR 5'!W13+'JOUR 6'!W13+'JOUR 7'!W13+'JOUR 8'!W13+'JOUR 9'!W13+'JOUR 10'!W13+'JOUR 11'!W13+'JOUR 12'!W13+'JOUR 13'!W13+'JOUR 14'!W13+#REF!+#REF!</f>
        <v>#REF!</v>
      </c>
      <c r="X13" s="32" t="e">
        <f>'JOUR 1'!X13+'JOUR 2'!X13+'JOUR 3'!X13+'JOUR 4'!X13+'JOUR 5'!X13+'JOUR 6'!X13+'JOUR 7'!X13+'JOUR 8'!X13+'JOUR 9'!X13+'JOUR 10'!X13+'JOUR 11'!X13+'JOUR 12'!X13+'JOUR 13'!X13+'JOUR 14'!X13+#REF!+#REF!</f>
        <v>#REF!</v>
      </c>
      <c r="Y13" s="75" t="e">
        <f>'JOUR 1'!Y13+'JOUR 2'!Y13+'JOUR 3'!Y13+'JOUR 4'!Y13+'JOUR 5'!Y13+'JOUR 6'!Y13+'JOUR 7'!Y13+'JOUR 8'!Y13+'JOUR 9'!Y13+'JOUR 10'!Y13+'JOUR 11'!Y13+'JOUR 12'!Y13+'JOUR 13'!Y13+'JOUR 14'!Y13+#REF!+#REF!</f>
        <v>#REF!</v>
      </c>
      <c r="Z13" s="33" t="e">
        <f>'JOUR 1'!Z13+'JOUR 2'!Z13+'JOUR 3'!Z13+'JOUR 4'!Z13+'JOUR 5'!Z13+'JOUR 6'!Z13+'JOUR 7'!Z13+'JOUR 8'!Z13+'JOUR 9'!Z13+'JOUR 10'!Z13+'JOUR 11'!Z13+'JOUR 12'!Z13+'JOUR 13'!Z13+'JOUR 14'!Z13+#REF!+#REF!</f>
        <v>#REF!</v>
      </c>
      <c r="AA13" s="34" t="e">
        <f>'JOUR 1'!AA13+'JOUR 2'!AA13+'JOUR 3'!AA13+'JOUR 4'!AA13+'JOUR 5'!AA13+'JOUR 6'!AA13+'JOUR 7'!AA13+'JOUR 8'!AA13+'JOUR 9'!AA13+'JOUR 10'!AA13+'JOUR 11'!AA13+'JOUR 12'!AA13+'JOUR 13'!AA13+'JOUR 14'!AA13+#REF!+#REF!</f>
        <v>#REF!</v>
      </c>
      <c r="AB13" s="34" t="e">
        <f>'JOUR 1'!AB13+'JOUR 2'!AB13+'JOUR 3'!AB13+'JOUR 4'!AB13+'JOUR 5'!AB13+'JOUR 6'!AB13+'JOUR 7'!AB13+'JOUR 8'!AB13+'JOUR 9'!AB13+'JOUR 10'!AB13+'JOUR 11'!AB13+'JOUR 12'!AB13+'JOUR 13'!AB13+'JOUR 14'!AB13+#REF!+#REF!</f>
        <v>#REF!</v>
      </c>
      <c r="AC13" s="34" t="e">
        <f>'JOUR 1'!AC13+'JOUR 2'!AC13+'JOUR 3'!AC13+'JOUR 4'!AC13+'JOUR 5'!AC13+'JOUR 6'!AC13+'JOUR 7'!AC13+'JOUR 8'!AC13+'JOUR 9'!AC13+'JOUR 10'!AC13+'JOUR 11'!AC13+'JOUR 12'!AC13+'JOUR 13'!AC13+'JOUR 14'!AC13+#REF!+#REF!</f>
        <v>#REF!</v>
      </c>
      <c r="AD13" s="35" t="e">
        <f>'JOUR 1'!AD13+'JOUR 2'!AD13+'JOUR 3'!AD13+'JOUR 4'!AD13+'JOUR 5'!AD13+'JOUR 6'!AD13+'JOUR 7'!AD13+'JOUR 8'!AD13+'JOUR 9'!AD13+'JOUR 10'!AD13+'JOUR 11'!AD13+'JOUR 12'!AD13+'JOUR 13'!AD13+'JOUR 14'!AD13+#REF!+#REF!</f>
        <v>#REF!</v>
      </c>
      <c r="AE13" s="34" t="e">
        <f>'JOUR 1'!AE13+'JOUR 2'!AE13+'JOUR 3'!AE13+'JOUR 4'!AE13+'JOUR 5'!AE13+'JOUR 6'!AE13+'JOUR 7'!AE13+'JOUR 8'!AE13+'JOUR 9'!AE13+'JOUR 10'!AE13+'JOUR 11'!AE13+'JOUR 12'!AE13+'JOUR 13'!AE13+'JOUR 14'!AE13+#REF!+#REF!</f>
        <v>#REF!</v>
      </c>
      <c r="AF13" s="34" t="e">
        <f>'JOUR 1'!AF13+'JOUR 2'!AF13+'JOUR 3'!AF13+'JOUR 4'!AF13+'JOUR 5'!AF13+'JOUR 6'!AF13+'JOUR 7'!AF13+'JOUR 8'!AF13+'JOUR 9'!AF13+'JOUR 10'!AF13+'JOUR 11'!AF13+'JOUR 12'!AF13+'JOUR 13'!AF13+'JOUR 14'!AF13+#REF!+#REF!</f>
        <v>#REF!</v>
      </c>
      <c r="AG13" s="34" t="e">
        <f>'JOUR 1'!AG13+'JOUR 2'!AG13+'JOUR 3'!AG13+'JOUR 4'!AG13+'JOUR 5'!AG13+'JOUR 6'!AG13+'JOUR 7'!AG13+'JOUR 8'!AG13+'JOUR 9'!AG13+'JOUR 10'!AG13+'JOUR 11'!AG13+'JOUR 12'!AG13+'JOUR 13'!AG13+'JOUR 14'!AG13+#REF!+#REF!</f>
        <v>#REF!</v>
      </c>
      <c r="AH13" s="21"/>
      <c r="AI13" s="22"/>
      <c r="AK13" s="87" t="e">
        <f t="shared" si="1"/>
        <v>#REF!</v>
      </c>
      <c r="AL13" s="87" t="e">
        <f t="shared" si="0"/>
        <v>#REF!</v>
      </c>
      <c r="AM13" s="87" t="e">
        <f t="shared" si="0"/>
        <v>#REF!</v>
      </c>
      <c r="AN13" s="87" t="e">
        <f t="shared" si="0"/>
        <v>#REF!</v>
      </c>
      <c r="AO13" s="87" t="e">
        <f t="shared" si="0"/>
        <v>#REF!</v>
      </c>
      <c r="AP13" s="87"/>
      <c r="AQ13" s="87"/>
      <c r="AR13" s="87"/>
      <c r="AS13" s="87" t="e">
        <f t="shared" si="0"/>
        <v>#REF!</v>
      </c>
      <c r="AT13" s="87"/>
      <c r="AU13" s="87"/>
      <c r="AV13" s="87"/>
      <c r="AW13" s="87"/>
      <c r="AX13" s="87"/>
      <c r="AY13" s="89"/>
    </row>
    <row r="14" spans="2:51" ht="17.399999999999999" x14ac:dyDescent="0.25">
      <c r="B14" s="16" t="s">
        <v>45</v>
      </c>
      <c r="C14" s="16" t="s">
        <v>54</v>
      </c>
      <c r="D14" s="17" t="e">
        <f>'JOUR 1'!D14+'JOUR 2'!D14+'JOUR 3'!D14+'JOUR 4'!D14+'JOUR 5'!D14+'JOUR 6'!D14+'JOUR 7'!D14+'JOUR 8'!D14+'JOUR 9'!D14+'JOUR 10'!D14+'JOUR 11'!D14+'JOUR 12'!D14+'JOUR 13'!D14+'JOUR 14'!D14+#REF!+#REF!</f>
        <v>#REF!</v>
      </c>
      <c r="E14" s="17" t="e">
        <f>'JOUR 1'!E14+'JOUR 2'!E14+'JOUR 3'!E14+'JOUR 4'!E14+'JOUR 5'!E14+'JOUR 6'!E14+'JOUR 7'!E14+'JOUR 8'!E14+'JOUR 9'!E14+'JOUR 10'!E14+'JOUR 11'!E14+'JOUR 12'!E14+'JOUR 13'!E14+'JOUR 14'!E14+#REF!+#REF!</f>
        <v>#REF!</v>
      </c>
      <c r="F14" s="17" t="e">
        <f>'JOUR 1'!F14+'JOUR 2'!F14+'JOUR 3'!F14+'JOUR 4'!F14+'JOUR 5'!F14+'JOUR 6'!F14+'JOUR 7'!F14+'JOUR 8'!F14+'JOUR 9'!F14+'JOUR 10'!F14+'JOUR 11'!F14+'JOUR 12'!F14+'JOUR 13'!F14+'JOUR 14'!F14+#REF!+#REF!</f>
        <v>#REF!</v>
      </c>
      <c r="G14" s="17" t="e">
        <f>'JOUR 1'!G14+'JOUR 2'!G14+'JOUR 3'!G14+'JOUR 4'!G14+'JOUR 5'!G14+'JOUR 6'!G14+'JOUR 7'!G14+'JOUR 8'!G14+'JOUR 9'!G14+'JOUR 10'!G14+'JOUR 11'!G14+'JOUR 12'!G14+'JOUR 13'!G14+'JOUR 14'!G14+#REF!+#REF!</f>
        <v>#REF!</v>
      </c>
      <c r="H14" s="17" t="e">
        <f>'JOUR 1'!H14+'JOUR 2'!H14+'JOUR 3'!H14+'JOUR 4'!H14+'JOUR 5'!H14+'JOUR 6'!H14+'JOUR 7'!H14+'JOUR 8'!H14+'JOUR 9'!H14+'JOUR 10'!H14+'JOUR 11'!H14+'JOUR 12'!H14+'JOUR 13'!H14+'JOUR 14'!H14+#REF!+#REF!</f>
        <v>#REF!</v>
      </c>
      <c r="I14" s="17" t="e">
        <f>'JOUR 1'!I14+'JOUR 2'!I14+'JOUR 3'!I14+'JOUR 4'!I14+'JOUR 5'!I14+'JOUR 6'!I14+'JOUR 7'!I14+'JOUR 8'!I14+'JOUR 9'!I14+'JOUR 10'!I14+'JOUR 11'!I14+'JOUR 12'!I14+'JOUR 13'!I14+'JOUR 14'!I14+#REF!+#REF!</f>
        <v>#REF!</v>
      </c>
      <c r="J14" s="17" t="e">
        <f>'JOUR 1'!J14+'JOUR 2'!J14+'JOUR 3'!J14+'JOUR 4'!J14+'JOUR 5'!J14+'JOUR 6'!J14+'JOUR 7'!J14+'JOUR 8'!J14+'JOUR 9'!J14+'JOUR 10'!J14+'JOUR 11'!J14+'JOUR 12'!J14+'JOUR 13'!J14+'JOUR 14'!J14+#REF!+#REF!</f>
        <v>#REF!</v>
      </c>
      <c r="K14" s="17" t="e">
        <f>'JOUR 1'!K14+'JOUR 2'!K14+'JOUR 3'!K14+'JOUR 4'!K14+'JOUR 5'!K14+'JOUR 6'!K14+'JOUR 7'!K14+'JOUR 8'!K14+'JOUR 9'!K14+'JOUR 10'!K14+'JOUR 11'!K14+'JOUR 12'!K14+'JOUR 13'!K14+'JOUR 14'!K14+#REF!+#REF!</f>
        <v>#REF!</v>
      </c>
      <c r="L14" s="17" t="e">
        <f>'JOUR 1'!L14+'JOUR 2'!L14+'JOUR 3'!L14+'JOUR 4'!L14+'JOUR 5'!L14+'JOUR 6'!L14+'JOUR 7'!L14+'JOUR 8'!L14+'JOUR 9'!L14+'JOUR 10'!L14+'JOUR 11'!L14+'JOUR 12'!L14+'JOUR 13'!L14+'JOUR 14'!L14+#REF!+#REF!</f>
        <v>#REF!</v>
      </c>
      <c r="M14" s="17" t="e">
        <f>'JOUR 1'!M14+'JOUR 2'!M14+'JOUR 3'!M14+'JOUR 4'!M14+'JOUR 5'!M14+'JOUR 6'!M14+'JOUR 7'!M14+'JOUR 8'!M14+'JOUR 9'!M14+'JOUR 10'!M14+'JOUR 11'!M14+'JOUR 12'!M14+'JOUR 13'!M14+'JOUR 14'!M14+#REF!+#REF!</f>
        <v>#REF!</v>
      </c>
      <c r="N14" s="17" t="e">
        <f>'JOUR 1'!N14+'JOUR 2'!N14+'JOUR 3'!N14+'JOUR 4'!N14+'JOUR 5'!N14+'JOUR 6'!N14+'JOUR 7'!N14+'JOUR 8'!N14+'JOUR 9'!N14+'JOUR 10'!N14+'JOUR 11'!N14+'JOUR 12'!N14+'JOUR 13'!N14+'JOUR 14'!N14+#REF!+#REF!</f>
        <v>#REF!</v>
      </c>
      <c r="O14" s="17" t="e">
        <f>'JOUR 1'!O14+'JOUR 2'!O14+'JOUR 3'!O14+'JOUR 4'!O14+'JOUR 5'!O14+'JOUR 6'!O14+'JOUR 7'!O14+'JOUR 8'!O14+'JOUR 9'!O14+'JOUR 10'!O14+'JOUR 11'!O14+'JOUR 12'!O14+'JOUR 13'!O14+'JOUR 14'!O14+#REF!+#REF!</f>
        <v>#REF!</v>
      </c>
      <c r="P14" s="17" t="e">
        <f>'JOUR 1'!P14+'JOUR 2'!P14+'JOUR 3'!P14+'JOUR 4'!P14+'JOUR 5'!P14+'JOUR 6'!P14+'JOUR 7'!P14+'JOUR 8'!P14+'JOUR 9'!P14+'JOUR 10'!P14+'JOUR 11'!P14+'JOUR 12'!P14+'JOUR 13'!P14+'JOUR 14'!P14+#REF!+#REF!</f>
        <v>#REF!</v>
      </c>
      <c r="Q14" s="17" t="e">
        <f>'JOUR 1'!Q14+'JOUR 2'!Q14+'JOUR 3'!Q14+'JOUR 4'!Q14+'JOUR 5'!Q14+'JOUR 6'!Q14+'JOUR 7'!Q14+'JOUR 8'!Q14+'JOUR 9'!Q14+'JOUR 10'!Q14+'JOUR 11'!Q14+'JOUR 12'!Q14+'JOUR 13'!Q14+'JOUR 14'!Q14+#REF!+#REF!</f>
        <v>#REF!</v>
      </c>
      <c r="R14" s="17" t="e">
        <f>'JOUR 1'!R14+'JOUR 2'!R14+'JOUR 3'!R14+'JOUR 4'!R14+'JOUR 5'!R14+'JOUR 6'!R14+'JOUR 7'!R14+'JOUR 8'!R14+'JOUR 9'!R14+'JOUR 10'!R14+'JOUR 11'!R14+'JOUR 12'!R14+'JOUR 13'!R14+'JOUR 14'!R14+#REF!+#REF!</f>
        <v>#REF!</v>
      </c>
      <c r="S14" s="31" t="e">
        <f>'JOUR 1'!S14+'JOUR 2'!S14+'JOUR 3'!S14+'JOUR 4'!S14+'JOUR 5'!S14+'JOUR 6'!S14+'JOUR 7'!S14+'JOUR 8'!S14+'JOUR 9'!S14+'JOUR 10'!S14+'JOUR 11'!S14+'JOUR 12'!S14+'JOUR 13'!S14+'JOUR 14'!S14+#REF!+#REF!</f>
        <v>#REF!</v>
      </c>
      <c r="T14" s="31" t="e">
        <f>'JOUR 1'!T14+'JOUR 2'!T14+'JOUR 3'!T14+'JOUR 4'!T14+'JOUR 5'!T14+'JOUR 6'!T14+'JOUR 7'!T14+'JOUR 8'!T14+'JOUR 9'!T14+'JOUR 10'!T14+'JOUR 11'!T14+'JOUR 12'!T14+'JOUR 13'!T14+'JOUR 14'!T14+#REF!+#REF!</f>
        <v>#REF!</v>
      </c>
      <c r="U14" s="31" t="e">
        <f>'JOUR 1'!U14+'JOUR 2'!U14+'JOUR 3'!U14+'JOUR 4'!U14+'JOUR 5'!U14+'JOUR 6'!U14+'JOUR 7'!U14+'JOUR 8'!U14+'JOUR 9'!U14+'JOUR 10'!U14+'JOUR 11'!U14+'JOUR 12'!U14+'JOUR 13'!U14+'JOUR 14'!U14+#REF!+#REF!</f>
        <v>#REF!</v>
      </c>
      <c r="V14" s="32" t="e">
        <f>'JOUR 1'!V14+'JOUR 2'!V14+'JOUR 3'!V14+'JOUR 4'!V14+'JOUR 5'!V14+'JOUR 6'!V14+'JOUR 7'!V14+'JOUR 8'!V14+'JOUR 9'!V14+'JOUR 10'!V14+'JOUR 11'!V14+'JOUR 12'!V14+'JOUR 13'!V14+'JOUR 14'!V14+#REF!+#REF!</f>
        <v>#REF!</v>
      </c>
      <c r="W14" s="32" t="e">
        <f>'JOUR 1'!W14+'JOUR 2'!W14+'JOUR 3'!W14+'JOUR 4'!W14+'JOUR 5'!W14+'JOUR 6'!W14+'JOUR 7'!W14+'JOUR 8'!W14+'JOUR 9'!W14+'JOUR 10'!W14+'JOUR 11'!W14+'JOUR 12'!W14+'JOUR 13'!W14+'JOUR 14'!W14+#REF!+#REF!</f>
        <v>#REF!</v>
      </c>
      <c r="X14" s="32" t="e">
        <f>'JOUR 1'!X14+'JOUR 2'!X14+'JOUR 3'!X14+'JOUR 4'!X14+'JOUR 5'!X14+'JOUR 6'!X14+'JOUR 7'!X14+'JOUR 8'!X14+'JOUR 9'!X14+'JOUR 10'!X14+'JOUR 11'!X14+'JOUR 12'!X14+'JOUR 13'!X14+'JOUR 14'!X14+#REF!+#REF!</f>
        <v>#REF!</v>
      </c>
      <c r="Y14" s="75" t="e">
        <f>'JOUR 1'!Y14+'JOUR 2'!Y14+'JOUR 3'!Y14+'JOUR 4'!Y14+'JOUR 5'!Y14+'JOUR 6'!Y14+'JOUR 7'!Y14+'JOUR 8'!Y14+'JOUR 9'!Y14+'JOUR 10'!Y14+'JOUR 11'!Y14+'JOUR 12'!Y14+'JOUR 13'!Y14+'JOUR 14'!Y14+#REF!+#REF!</f>
        <v>#REF!</v>
      </c>
      <c r="Z14" s="33" t="e">
        <f>'JOUR 1'!Z14+'JOUR 2'!Z14+'JOUR 3'!Z14+'JOUR 4'!Z14+'JOUR 5'!Z14+'JOUR 6'!Z14+'JOUR 7'!Z14+'JOUR 8'!Z14+'JOUR 9'!Z14+'JOUR 10'!Z14+'JOUR 11'!Z14+'JOUR 12'!Z14+'JOUR 13'!Z14+'JOUR 14'!Z14+#REF!+#REF!</f>
        <v>#REF!</v>
      </c>
      <c r="AA14" s="34" t="e">
        <f>'JOUR 1'!AA14+'JOUR 2'!AA14+'JOUR 3'!AA14+'JOUR 4'!AA14+'JOUR 5'!AA14+'JOUR 6'!AA14+'JOUR 7'!AA14+'JOUR 8'!AA14+'JOUR 9'!AA14+'JOUR 10'!AA14+'JOUR 11'!AA14+'JOUR 12'!AA14+'JOUR 13'!AA14+'JOUR 14'!AA14+#REF!+#REF!</f>
        <v>#REF!</v>
      </c>
      <c r="AB14" s="34" t="e">
        <f>'JOUR 1'!AB14+'JOUR 2'!AB14+'JOUR 3'!AB14+'JOUR 4'!AB14+'JOUR 5'!AB14+'JOUR 6'!AB14+'JOUR 7'!AB14+'JOUR 8'!AB14+'JOUR 9'!AB14+'JOUR 10'!AB14+'JOUR 11'!AB14+'JOUR 12'!AB14+'JOUR 13'!AB14+'JOUR 14'!AB14+#REF!+#REF!</f>
        <v>#REF!</v>
      </c>
      <c r="AC14" s="34" t="e">
        <f>'JOUR 1'!AC14+'JOUR 2'!AC14+'JOUR 3'!AC14+'JOUR 4'!AC14+'JOUR 5'!AC14+'JOUR 6'!AC14+'JOUR 7'!AC14+'JOUR 8'!AC14+'JOUR 9'!AC14+'JOUR 10'!AC14+'JOUR 11'!AC14+'JOUR 12'!AC14+'JOUR 13'!AC14+'JOUR 14'!AC14+#REF!+#REF!</f>
        <v>#REF!</v>
      </c>
      <c r="AD14" s="35" t="e">
        <f>'JOUR 1'!AD14+'JOUR 2'!AD14+'JOUR 3'!AD14+'JOUR 4'!AD14+'JOUR 5'!AD14+'JOUR 6'!AD14+'JOUR 7'!AD14+'JOUR 8'!AD14+'JOUR 9'!AD14+'JOUR 10'!AD14+'JOUR 11'!AD14+'JOUR 12'!AD14+'JOUR 13'!AD14+'JOUR 14'!AD14+#REF!+#REF!</f>
        <v>#REF!</v>
      </c>
      <c r="AE14" s="34" t="e">
        <f>'JOUR 1'!AE14+'JOUR 2'!AE14+'JOUR 3'!AE14+'JOUR 4'!AE14+'JOUR 5'!AE14+'JOUR 6'!AE14+'JOUR 7'!AE14+'JOUR 8'!AE14+'JOUR 9'!AE14+'JOUR 10'!AE14+'JOUR 11'!AE14+'JOUR 12'!AE14+'JOUR 13'!AE14+'JOUR 14'!AE14+#REF!+#REF!</f>
        <v>#REF!</v>
      </c>
      <c r="AF14" s="34" t="e">
        <f>'JOUR 1'!AF14+'JOUR 2'!AF14+'JOUR 3'!AF14+'JOUR 4'!AF14+'JOUR 5'!AF14+'JOUR 6'!AF14+'JOUR 7'!AF14+'JOUR 8'!AF14+'JOUR 9'!AF14+'JOUR 10'!AF14+'JOUR 11'!AF14+'JOUR 12'!AF14+'JOUR 13'!AF14+'JOUR 14'!AF14+#REF!+#REF!</f>
        <v>#REF!</v>
      </c>
      <c r="AG14" s="34" t="e">
        <f>'JOUR 1'!AG14+'JOUR 2'!AG14+'JOUR 3'!AG14+'JOUR 4'!AG14+'JOUR 5'!AG14+'JOUR 6'!AG14+'JOUR 7'!AG14+'JOUR 8'!AG14+'JOUR 9'!AG14+'JOUR 10'!AG14+'JOUR 11'!AG14+'JOUR 12'!AG14+'JOUR 13'!AG14+'JOUR 14'!AG14+#REF!+#REF!</f>
        <v>#REF!</v>
      </c>
      <c r="AH14" s="21"/>
      <c r="AI14" s="22"/>
      <c r="AK14" s="87" t="e">
        <f t="shared" si="1"/>
        <v>#REF!</v>
      </c>
      <c r="AL14" s="87" t="e">
        <f t="shared" si="0"/>
        <v>#REF!</v>
      </c>
      <c r="AM14" s="87" t="e">
        <f t="shared" si="0"/>
        <v>#REF!</v>
      </c>
      <c r="AN14" s="87" t="e">
        <f t="shared" si="0"/>
        <v>#REF!</v>
      </c>
      <c r="AO14" s="87" t="e">
        <f t="shared" si="0"/>
        <v>#REF!</v>
      </c>
      <c r="AP14" s="87"/>
      <c r="AQ14" s="87"/>
      <c r="AR14" s="87"/>
      <c r="AS14" s="87" t="e">
        <f t="shared" si="0"/>
        <v>#REF!</v>
      </c>
      <c r="AT14" s="87"/>
      <c r="AU14" s="87"/>
      <c r="AV14" s="87"/>
      <c r="AW14" s="87"/>
      <c r="AX14" s="87"/>
      <c r="AY14" s="89"/>
    </row>
    <row r="15" spans="2:51" ht="17.399999999999999" x14ac:dyDescent="0.25">
      <c r="B15" s="16" t="s">
        <v>45</v>
      </c>
      <c r="C15" s="16" t="s">
        <v>55</v>
      </c>
      <c r="D15" s="17" t="e">
        <f>'JOUR 1'!D15+'JOUR 2'!D15+'JOUR 3'!D15+'JOUR 4'!D15+'JOUR 5'!D15+'JOUR 6'!D15+'JOUR 7'!D15+'JOUR 8'!D15+'JOUR 9'!D15+'JOUR 10'!D15+'JOUR 11'!D15+'JOUR 12'!D15+'JOUR 13'!D15+'JOUR 14'!D15+#REF!+#REF!</f>
        <v>#REF!</v>
      </c>
      <c r="E15" s="17" t="e">
        <f>'JOUR 1'!E15+'JOUR 2'!E15+'JOUR 3'!E15+'JOUR 4'!E15+'JOUR 5'!E15+'JOUR 6'!E15+'JOUR 7'!E15+'JOUR 8'!E15+'JOUR 9'!E15+'JOUR 10'!E15+'JOUR 11'!E15+'JOUR 12'!E15+'JOUR 13'!E15+'JOUR 14'!E15+#REF!+#REF!</f>
        <v>#REF!</v>
      </c>
      <c r="F15" s="17" t="e">
        <f>'JOUR 1'!F15+'JOUR 2'!F15+'JOUR 3'!F15+'JOUR 4'!F15+'JOUR 5'!F15+'JOUR 6'!F15+'JOUR 7'!F15+'JOUR 8'!F15+'JOUR 9'!F15+'JOUR 10'!F15+'JOUR 11'!F15+'JOUR 12'!F15+'JOUR 13'!F15+'JOUR 14'!F15+#REF!+#REF!</f>
        <v>#REF!</v>
      </c>
      <c r="G15" s="17" t="e">
        <f>'JOUR 1'!G15+'JOUR 2'!G15+'JOUR 3'!G15+'JOUR 4'!G15+'JOUR 5'!G15+'JOUR 6'!G15+'JOUR 7'!G15+'JOUR 8'!G15+'JOUR 9'!G15+'JOUR 10'!G15+'JOUR 11'!G15+'JOUR 12'!G15+'JOUR 13'!G15+'JOUR 14'!G15+#REF!+#REF!</f>
        <v>#REF!</v>
      </c>
      <c r="H15" s="17" t="e">
        <f>'JOUR 1'!H15+'JOUR 2'!H15+'JOUR 3'!H15+'JOUR 4'!H15+'JOUR 5'!H15+'JOUR 6'!H15+'JOUR 7'!H15+'JOUR 8'!H15+'JOUR 9'!H15+'JOUR 10'!H15+'JOUR 11'!H15+'JOUR 12'!H15+'JOUR 13'!H15+'JOUR 14'!H15+#REF!+#REF!</f>
        <v>#REF!</v>
      </c>
      <c r="I15" s="17" t="e">
        <f>'JOUR 1'!I15+'JOUR 2'!I15+'JOUR 3'!I15+'JOUR 4'!I15+'JOUR 5'!I15+'JOUR 6'!I15+'JOUR 7'!I15+'JOUR 8'!I15+'JOUR 9'!I15+'JOUR 10'!I15+'JOUR 11'!I15+'JOUR 12'!I15+'JOUR 13'!I15+'JOUR 14'!I15+#REF!+#REF!</f>
        <v>#REF!</v>
      </c>
      <c r="J15" s="17" t="e">
        <f>'JOUR 1'!J15+'JOUR 2'!J15+'JOUR 3'!J15+'JOUR 4'!J15+'JOUR 5'!J15+'JOUR 6'!J15+'JOUR 7'!J15+'JOUR 8'!J15+'JOUR 9'!J15+'JOUR 10'!J15+'JOUR 11'!J15+'JOUR 12'!J15+'JOUR 13'!J15+'JOUR 14'!J15+#REF!+#REF!</f>
        <v>#REF!</v>
      </c>
      <c r="K15" s="17" t="e">
        <f>'JOUR 1'!K15+'JOUR 2'!K15+'JOUR 3'!K15+'JOUR 4'!K15+'JOUR 5'!K15+'JOUR 6'!K15+'JOUR 7'!K15+'JOUR 8'!K15+'JOUR 9'!K15+'JOUR 10'!K15+'JOUR 11'!K15+'JOUR 12'!K15+'JOUR 13'!K15+'JOUR 14'!K15+#REF!+#REF!</f>
        <v>#REF!</v>
      </c>
      <c r="L15" s="17" t="e">
        <f>'JOUR 1'!L15+'JOUR 2'!L15+'JOUR 3'!L15+'JOUR 4'!L15+'JOUR 5'!L15+'JOUR 6'!L15+'JOUR 7'!L15+'JOUR 8'!L15+'JOUR 9'!L15+'JOUR 10'!L15+'JOUR 11'!L15+'JOUR 12'!L15+'JOUR 13'!L15+'JOUR 14'!L15+#REF!+#REF!</f>
        <v>#REF!</v>
      </c>
      <c r="M15" s="17" t="e">
        <f>'JOUR 1'!M15+'JOUR 2'!M15+'JOUR 3'!M15+'JOUR 4'!M15+'JOUR 5'!M15+'JOUR 6'!M15+'JOUR 7'!M15+'JOUR 8'!M15+'JOUR 9'!M15+'JOUR 10'!M15+'JOUR 11'!M15+'JOUR 12'!M15+'JOUR 13'!M15+'JOUR 14'!M15+#REF!+#REF!</f>
        <v>#REF!</v>
      </c>
      <c r="N15" s="17" t="e">
        <f>'JOUR 1'!N15+'JOUR 2'!N15+'JOUR 3'!N15+'JOUR 4'!N15+'JOUR 5'!N15+'JOUR 6'!N15+'JOUR 7'!N15+'JOUR 8'!N15+'JOUR 9'!N15+'JOUR 10'!N15+'JOUR 11'!N15+'JOUR 12'!N15+'JOUR 13'!N15+'JOUR 14'!N15+#REF!+#REF!</f>
        <v>#REF!</v>
      </c>
      <c r="O15" s="17" t="e">
        <f>'JOUR 1'!O15+'JOUR 2'!O15+'JOUR 3'!O15+'JOUR 4'!O15+'JOUR 5'!O15+'JOUR 6'!O15+'JOUR 7'!O15+'JOUR 8'!O15+'JOUR 9'!O15+'JOUR 10'!O15+'JOUR 11'!O15+'JOUR 12'!O15+'JOUR 13'!O15+'JOUR 14'!O15+#REF!+#REF!</f>
        <v>#REF!</v>
      </c>
      <c r="P15" s="17" t="e">
        <f>'JOUR 1'!P15+'JOUR 2'!P15+'JOUR 3'!P15+'JOUR 4'!P15+'JOUR 5'!P15+'JOUR 6'!P15+'JOUR 7'!P15+'JOUR 8'!P15+'JOUR 9'!P15+'JOUR 10'!P15+'JOUR 11'!P15+'JOUR 12'!P15+'JOUR 13'!P15+'JOUR 14'!P15+#REF!+#REF!</f>
        <v>#REF!</v>
      </c>
      <c r="Q15" s="17" t="e">
        <f>'JOUR 1'!Q15+'JOUR 2'!Q15+'JOUR 3'!Q15+'JOUR 4'!Q15+'JOUR 5'!Q15+'JOUR 6'!Q15+'JOUR 7'!Q15+'JOUR 8'!Q15+'JOUR 9'!Q15+'JOUR 10'!Q15+'JOUR 11'!Q15+'JOUR 12'!Q15+'JOUR 13'!Q15+'JOUR 14'!Q15+#REF!+#REF!</f>
        <v>#REF!</v>
      </c>
      <c r="R15" s="17" t="e">
        <f>'JOUR 1'!R15+'JOUR 2'!R15+'JOUR 3'!R15+'JOUR 4'!R15+'JOUR 5'!R15+'JOUR 6'!R15+'JOUR 7'!R15+'JOUR 8'!R15+'JOUR 9'!R15+'JOUR 10'!R15+'JOUR 11'!R15+'JOUR 12'!R15+'JOUR 13'!R15+'JOUR 14'!R15+#REF!+#REF!</f>
        <v>#REF!</v>
      </c>
      <c r="S15" s="31" t="e">
        <f>'JOUR 1'!S15+'JOUR 2'!S15+'JOUR 3'!S15+'JOUR 4'!S15+'JOUR 5'!S15+'JOUR 6'!S15+'JOUR 7'!S15+'JOUR 8'!S15+'JOUR 9'!S15+'JOUR 10'!S15+'JOUR 11'!S15+'JOUR 12'!S15+'JOUR 13'!S15+'JOUR 14'!S15+#REF!+#REF!</f>
        <v>#REF!</v>
      </c>
      <c r="T15" s="31" t="e">
        <f>'JOUR 1'!T15+'JOUR 2'!T15+'JOUR 3'!T15+'JOUR 4'!T15+'JOUR 5'!T15+'JOUR 6'!T15+'JOUR 7'!T15+'JOUR 8'!T15+'JOUR 9'!T15+'JOUR 10'!T15+'JOUR 11'!T15+'JOUR 12'!T15+'JOUR 13'!T15+'JOUR 14'!T15+#REF!+#REF!</f>
        <v>#REF!</v>
      </c>
      <c r="U15" s="31" t="e">
        <f>'JOUR 1'!U15+'JOUR 2'!U15+'JOUR 3'!U15+'JOUR 4'!U15+'JOUR 5'!U15+'JOUR 6'!U15+'JOUR 7'!U15+'JOUR 8'!U15+'JOUR 9'!U15+'JOUR 10'!U15+'JOUR 11'!U15+'JOUR 12'!U15+'JOUR 13'!U15+'JOUR 14'!U15+#REF!+#REF!</f>
        <v>#REF!</v>
      </c>
      <c r="V15" s="32" t="e">
        <f>'JOUR 1'!V15+'JOUR 2'!V15+'JOUR 3'!V15+'JOUR 4'!V15+'JOUR 5'!V15+'JOUR 6'!V15+'JOUR 7'!V15+'JOUR 8'!V15+'JOUR 9'!V15+'JOUR 10'!V15+'JOUR 11'!V15+'JOUR 12'!V15+'JOUR 13'!V15+'JOUR 14'!V15+#REF!+#REF!</f>
        <v>#REF!</v>
      </c>
      <c r="W15" s="32" t="e">
        <f>'JOUR 1'!W15+'JOUR 2'!W15+'JOUR 3'!W15+'JOUR 4'!W15+'JOUR 5'!W15+'JOUR 6'!W15+'JOUR 7'!W15+'JOUR 8'!W15+'JOUR 9'!W15+'JOUR 10'!W15+'JOUR 11'!W15+'JOUR 12'!W15+'JOUR 13'!W15+'JOUR 14'!W15+#REF!+#REF!</f>
        <v>#REF!</v>
      </c>
      <c r="X15" s="32" t="e">
        <f>'JOUR 1'!X15+'JOUR 2'!X15+'JOUR 3'!X15+'JOUR 4'!X15+'JOUR 5'!X15+'JOUR 6'!X15+'JOUR 7'!X15+'JOUR 8'!X15+'JOUR 9'!X15+'JOUR 10'!X15+'JOUR 11'!X15+'JOUR 12'!X15+'JOUR 13'!X15+'JOUR 14'!X15+#REF!+#REF!</f>
        <v>#REF!</v>
      </c>
      <c r="Y15" s="75" t="e">
        <f>'JOUR 1'!Y15+'JOUR 2'!Y15+'JOUR 3'!Y15+'JOUR 4'!Y15+'JOUR 5'!Y15+'JOUR 6'!Y15+'JOUR 7'!Y15+'JOUR 8'!Y15+'JOUR 9'!Y15+'JOUR 10'!Y15+'JOUR 11'!Y15+'JOUR 12'!Y15+'JOUR 13'!Y15+'JOUR 14'!Y15+#REF!+#REF!</f>
        <v>#REF!</v>
      </c>
      <c r="Z15" s="33" t="e">
        <f>'JOUR 1'!Z15+'JOUR 2'!Z15+'JOUR 3'!Z15+'JOUR 4'!Z15+'JOUR 5'!Z15+'JOUR 6'!Z15+'JOUR 7'!Z15+'JOUR 8'!Z15+'JOUR 9'!Z15+'JOUR 10'!Z15+'JOUR 11'!Z15+'JOUR 12'!Z15+'JOUR 13'!Z15+'JOUR 14'!Z15+#REF!+#REF!</f>
        <v>#REF!</v>
      </c>
      <c r="AA15" s="34" t="e">
        <f>'JOUR 1'!AA15+'JOUR 2'!AA15+'JOUR 3'!AA15+'JOUR 4'!AA15+'JOUR 5'!AA15+'JOUR 6'!AA15+'JOUR 7'!AA15+'JOUR 8'!AA15+'JOUR 9'!AA15+'JOUR 10'!AA15+'JOUR 11'!AA15+'JOUR 12'!AA15+'JOUR 13'!AA15+'JOUR 14'!AA15+#REF!+#REF!</f>
        <v>#REF!</v>
      </c>
      <c r="AB15" s="34" t="e">
        <f>'JOUR 1'!AB15+'JOUR 2'!AB15+'JOUR 3'!AB15+'JOUR 4'!AB15+'JOUR 5'!AB15+'JOUR 6'!AB15+'JOUR 7'!AB15+'JOUR 8'!AB15+'JOUR 9'!AB15+'JOUR 10'!AB15+'JOUR 11'!AB15+'JOUR 12'!AB15+'JOUR 13'!AB15+'JOUR 14'!AB15+#REF!+#REF!</f>
        <v>#REF!</v>
      </c>
      <c r="AC15" s="34" t="e">
        <f>'JOUR 1'!AC15+'JOUR 2'!AC15+'JOUR 3'!AC15+'JOUR 4'!AC15+'JOUR 5'!AC15+'JOUR 6'!AC15+'JOUR 7'!AC15+'JOUR 8'!AC15+'JOUR 9'!AC15+'JOUR 10'!AC15+'JOUR 11'!AC15+'JOUR 12'!AC15+'JOUR 13'!AC15+'JOUR 14'!AC15+#REF!+#REF!</f>
        <v>#REF!</v>
      </c>
      <c r="AD15" s="35" t="e">
        <f>'JOUR 1'!AD15+'JOUR 2'!AD15+'JOUR 3'!AD15+'JOUR 4'!AD15+'JOUR 5'!AD15+'JOUR 6'!AD15+'JOUR 7'!AD15+'JOUR 8'!AD15+'JOUR 9'!AD15+'JOUR 10'!AD15+'JOUR 11'!AD15+'JOUR 12'!AD15+'JOUR 13'!AD15+'JOUR 14'!AD15+#REF!+#REF!</f>
        <v>#REF!</v>
      </c>
      <c r="AE15" s="34" t="e">
        <f>'JOUR 1'!AE15+'JOUR 2'!AE15+'JOUR 3'!AE15+'JOUR 4'!AE15+'JOUR 5'!AE15+'JOUR 6'!AE15+'JOUR 7'!AE15+'JOUR 8'!AE15+'JOUR 9'!AE15+'JOUR 10'!AE15+'JOUR 11'!AE15+'JOUR 12'!AE15+'JOUR 13'!AE15+'JOUR 14'!AE15+#REF!+#REF!</f>
        <v>#REF!</v>
      </c>
      <c r="AF15" s="34" t="e">
        <f>'JOUR 1'!AF15+'JOUR 2'!AF15+'JOUR 3'!AF15+'JOUR 4'!AF15+'JOUR 5'!AF15+'JOUR 6'!AF15+'JOUR 7'!AF15+'JOUR 8'!AF15+'JOUR 9'!AF15+'JOUR 10'!AF15+'JOUR 11'!AF15+'JOUR 12'!AF15+'JOUR 13'!AF15+'JOUR 14'!AF15+#REF!+#REF!</f>
        <v>#REF!</v>
      </c>
      <c r="AG15" s="34" t="e">
        <f>'JOUR 1'!AG15+'JOUR 2'!AG15+'JOUR 3'!AG15+'JOUR 4'!AG15+'JOUR 5'!AG15+'JOUR 6'!AG15+'JOUR 7'!AG15+'JOUR 8'!AG15+'JOUR 9'!AG15+'JOUR 10'!AG15+'JOUR 11'!AG15+'JOUR 12'!AG15+'JOUR 13'!AG15+'JOUR 14'!AG15+#REF!+#REF!</f>
        <v>#REF!</v>
      </c>
      <c r="AH15" s="21"/>
      <c r="AI15" s="22"/>
      <c r="AK15" s="87" t="e">
        <f t="shared" si="1"/>
        <v>#REF!</v>
      </c>
      <c r="AL15" s="87" t="e">
        <f t="shared" si="0"/>
        <v>#REF!</v>
      </c>
      <c r="AM15" s="87" t="e">
        <f t="shared" si="0"/>
        <v>#REF!</v>
      </c>
      <c r="AN15" s="87" t="e">
        <f t="shared" si="0"/>
        <v>#REF!</v>
      </c>
      <c r="AO15" s="87" t="e">
        <f t="shared" si="0"/>
        <v>#REF!</v>
      </c>
      <c r="AP15" s="87"/>
      <c r="AQ15" s="87"/>
      <c r="AR15" s="87"/>
      <c r="AS15" s="87" t="e">
        <f t="shared" si="0"/>
        <v>#REF!</v>
      </c>
      <c r="AT15" s="87"/>
      <c r="AU15" s="87"/>
      <c r="AV15" s="87"/>
      <c r="AW15" s="87"/>
      <c r="AX15" s="87"/>
      <c r="AY15" s="89"/>
    </row>
    <row r="16" spans="2:51" ht="17.399999999999999" x14ac:dyDescent="0.25">
      <c r="B16" s="16" t="s">
        <v>45</v>
      </c>
      <c r="C16" s="16" t="s">
        <v>56</v>
      </c>
      <c r="D16" s="17" t="e">
        <f>'JOUR 1'!D16+'JOUR 2'!D16+'JOUR 3'!D16+'JOUR 4'!D16+'JOUR 5'!D16+'JOUR 6'!D16+'JOUR 7'!D16+'JOUR 8'!D16+'JOUR 9'!D16+'JOUR 10'!D16+'JOUR 11'!D16+'JOUR 12'!D16+'JOUR 13'!D16+'JOUR 14'!D16+#REF!+#REF!</f>
        <v>#REF!</v>
      </c>
      <c r="E16" s="17" t="e">
        <f>'JOUR 1'!E16+'JOUR 2'!E16+'JOUR 3'!E16+'JOUR 4'!E16+'JOUR 5'!E16+'JOUR 6'!E16+'JOUR 7'!E16+'JOUR 8'!E16+'JOUR 9'!E16+'JOUR 10'!E16+'JOUR 11'!E16+'JOUR 12'!E16+'JOUR 13'!E16+'JOUR 14'!E16+#REF!+#REF!</f>
        <v>#REF!</v>
      </c>
      <c r="F16" s="17" t="e">
        <f>'JOUR 1'!F16+'JOUR 2'!F16+'JOUR 3'!F16+'JOUR 4'!F16+'JOUR 5'!F16+'JOUR 6'!F16+'JOUR 7'!F16+'JOUR 8'!F16+'JOUR 9'!F16+'JOUR 10'!F16+'JOUR 11'!F16+'JOUR 12'!F16+'JOUR 13'!F16+'JOUR 14'!F16+#REF!+#REF!</f>
        <v>#REF!</v>
      </c>
      <c r="G16" s="17" t="e">
        <f>'JOUR 1'!G16+'JOUR 2'!G16+'JOUR 3'!G16+'JOUR 4'!G16+'JOUR 5'!G16+'JOUR 6'!G16+'JOUR 7'!G16+'JOUR 8'!G16+'JOUR 9'!G16+'JOUR 10'!G16+'JOUR 11'!G16+'JOUR 12'!G16+'JOUR 13'!G16+'JOUR 14'!G16+#REF!+#REF!</f>
        <v>#REF!</v>
      </c>
      <c r="H16" s="17" t="e">
        <f>'JOUR 1'!H16+'JOUR 2'!H16+'JOUR 3'!H16+'JOUR 4'!H16+'JOUR 5'!H16+'JOUR 6'!H16+'JOUR 7'!H16+'JOUR 8'!H16+'JOUR 9'!H16+'JOUR 10'!H16+'JOUR 11'!H16+'JOUR 12'!H16+'JOUR 13'!H16+'JOUR 14'!H16+#REF!+#REF!</f>
        <v>#REF!</v>
      </c>
      <c r="I16" s="17" t="e">
        <f>'JOUR 1'!I16+'JOUR 2'!I16+'JOUR 3'!I16+'JOUR 4'!I16+'JOUR 5'!I16+'JOUR 6'!I16+'JOUR 7'!I16+'JOUR 8'!I16+'JOUR 9'!I16+'JOUR 10'!I16+'JOUR 11'!I16+'JOUR 12'!I16+'JOUR 13'!I16+'JOUR 14'!I16+#REF!+#REF!</f>
        <v>#REF!</v>
      </c>
      <c r="J16" s="17" t="e">
        <f>'JOUR 1'!J16+'JOUR 2'!J16+'JOUR 3'!J16+'JOUR 4'!J16+'JOUR 5'!J16+'JOUR 6'!J16+'JOUR 7'!J16+'JOUR 8'!J16+'JOUR 9'!J16+'JOUR 10'!J16+'JOUR 11'!J16+'JOUR 12'!J16+'JOUR 13'!J16+'JOUR 14'!J16+#REF!+#REF!</f>
        <v>#REF!</v>
      </c>
      <c r="K16" s="17" t="e">
        <f>'JOUR 1'!K16+'JOUR 2'!K16+'JOUR 3'!K16+'JOUR 4'!K16+'JOUR 5'!K16+'JOUR 6'!K16+'JOUR 7'!K16+'JOUR 8'!K16+'JOUR 9'!K16+'JOUR 10'!K16+'JOUR 11'!K16+'JOUR 12'!K16+'JOUR 13'!K16+'JOUR 14'!K16+#REF!+#REF!</f>
        <v>#REF!</v>
      </c>
      <c r="L16" s="17" t="e">
        <f>'JOUR 1'!L16+'JOUR 2'!L16+'JOUR 3'!L16+'JOUR 4'!L16+'JOUR 5'!L16+'JOUR 6'!L16+'JOUR 7'!L16+'JOUR 8'!L16+'JOUR 9'!L16+'JOUR 10'!L16+'JOUR 11'!L16+'JOUR 12'!L16+'JOUR 13'!L16+'JOUR 14'!L16+#REF!+#REF!</f>
        <v>#REF!</v>
      </c>
      <c r="M16" s="17" t="e">
        <f>'JOUR 1'!M16+'JOUR 2'!M16+'JOUR 3'!M16+'JOUR 4'!M16+'JOUR 5'!M16+'JOUR 6'!M16+'JOUR 7'!M16+'JOUR 8'!M16+'JOUR 9'!M16+'JOUR 10'!M16+'JOUR 11'!M16+'JOUR 12'!M16+'JOUR 13'!M16+'JOUR 14'!M16+#REF!+#REF!</f>
        <v>#REF!</v>
      </c>
      <c r="N16" s="17" t="e">
        <f>'JOUR 1'!N16+'JOUR 2'!N16+'JOUR 3'!N16+'JOUR 4'!N16+'JOUR 5'!N16+'JOUR 6'!N16+'JOUR 7'!N16+'JOUR 8'!N16+'JOUR 9'!N16+'JOUR 10'!N16+'JOUR 11'!N16+'JOUR 12'!N16+'JOUR 13'!N16+'JOUR 14'!N16+#REF!+#REF!</f>
        <v>#REF!</v>
      </c>
      <c r="O16" s="17" t="e">
        <f>'JOUR 1'!O16+'JOUR 2'!O16+'JOUR 3'!O16+'JOUR 4'!O16+'JOUR 5'!O16+'JOUR 6'!O16+'JOUR 7'!O16+'JOUR 8'!O16+'JOUR 9'!O16+'JOUR 10'!O16+'JOUR 11'!O16+'JOUR 12'!O16+'JOUR 13'!O16+'JOUR 14'!O16+#REF!+#REF!</f>
        <v>#REF!</v>
      </c>
      <c r="P16" s="17" t="e">
        <f>'JOUR 1'!P16+'JOUR 2'!P16+'JOUR 3'!P16+'JOUR 4'!P16+'JOUR 5'!P16+'JOUR 6'!P16+'JOUR 7'!P16+'JOUR 8'!P16+'JOUR 9'!P16+'JOUR 10'!P16+'JOUR 11'!P16+'JOUR 12'!P16+'JOUR 13'!P16+'JOUR 14'!P16+#REF!+#REF!</f>
        <v>#REF!</v>
      </c>
      <c r="Q16" s="17" t="e">
        <f>'JOUR 1'!Q16+'JOUR 2'!Q16+'JOUR 3'!Q16+'JOUR 4'!Q16+'JOUR 5'!Q16+'JOUR 6'!Q16+'JOUR 7'!Q16+'JOUR 8'!Q16+'JOUR 9'!Q16+'JOUR 10'!Q16+'JOUR 11'!Q16+'JOUR 12'!Q16+'JOUR 13'!Q16+'JOUR 14'!Q16+#REF!+#REF!</f>
        <v>#REF!</v>
      </c>
      <c r="R16" s="17" t="e">
        <f>'JOUR 1'!R16+'JOUR 2'!R16+'JOUR 3'!R16+'JOUR 4'!R16+'JOUR 5'!R16+'JOUR 6'!R16+'JOUR 7'!R16+'JOUR 8'!R16+'JOUR 9'!R16+'JOUR 10'!R16+'JOUR 11'!R16+'JOUR 12'!R16+'JOUR 13'!R16+'JOUR 14'!R16+#REF!+#REF!</f>
        <v>#REF!</v>
      </c>
      <c r="S16" s="31" t="e">
        <f>'JOUR 1'!S16+'JOUR 2'!S16+'JOUR 3'!S16+'JOUR 4'!S16+'JOUR 5'!S16+'JOUR 6'!S16+'JOUR 7'!S16+'JOUR 8'!S16+'JOUR 9'!S16+'JOUR 10'!S16+'JOUR 11'!S16+'JOUR 12'!S16+'JOUR 13'!S16+'JOUR 14'!S16+#REF!+#REF!</f>
        <v>#REF!</v>
      </c>
      <c r="T16" s="31" t="e">
        <f>'JOUR 1'!T16+'JOUR 2'!T16+'JOUR 3'!T16+'JOUR 4'!T16+'JOUR 5'!T16+'JOUR 6'!T16+'JOUR 7'!T16+'JOUR 8'!T16+'JOUR 9'!T16+'JOUR 10'!T16+'JOUR 11'!T16+'JOUR 12'!T16+'JOUR 13'!T16+'JOUR 14'!T16+#REF!+#REF!</f>
        <v>#REF!</v>
      </c>
      <c r="U16" s="31" t="e">
        <f>'JOUR 1'!U16+'JOUR 2'!U16+'JOUR 3'!U16+'JOUR 4'!U16+'JOUR 5'!U16+'JOUR 6'!U16+'JOUR 7'!U16+'JOUR 8'!U16+'JOUR 9'!U16+'JOUR 10'!U16+'JOUR 11'!U16+'JOUR 12'!U16+'JOUR 13'!U16+'JOUR 14'!U16+#REF!+#REF!</f>
        <v>#REF!</v>
      </c>
      <c r="V16" s="32" t="e">
        <f>'JOUR 1'!V16+'JOUR 2'!V16+'JOUR 3'!V16+'JOUR 4'!V16+'JOUR 5'!V16+'JOUR 6'!V16+'JOUR 7'!V16+'JOUR 8'!V16+'JOUR 9'!V16+'JOUR 10'!V16+'JOUR 11'!V16+'JOUR 12'!V16+'JOUR 13'!V16+'JOUR 14'!V16+#REF!+#REF!</f>
        <v>#REF!</v>
      </c>
      <c r="W16" s="32" t="e">
        <f>'JOUR 1'!W16+'JOUR 2'!W16+'JOUR 3'!W16+'JOUR 4'!W16+'JOUR 5'!W16+'JOUR 6'!W16+'JOUR 7'!W16+'JOUR 8'!W16+'JOUR 9'!W16+'JOUR 10'!W16+'JOUR 11'!W16+'JOUR 12'!W16+'JOUR 13'!W16+'JOUR 14'!W16+#REF!+#REF!</f>
        <v>#REF!</v>
      </c>
      <c r="X16" s="32" t="e">
        <f>'JOUR 1'!X16+'JOUR 2'!X16+'JOUR 3'!X16+'JOUR 4'!X16+'JOUR 5'!X16+'JOUR 6'!X16+'JOUR 7'!X16+'JOUR 8'!X16+'JOUR 9'!X16+'JOUR 10'!X16+'JOUR 11'!X16+'JOUR 12'!X16+'JOUR 13'!X16+'JOUR 14'!X16+#REF!+#REF!</f>
        <v>#REF!</v>
      </c>
      <c r="Y16" s="75" t="e">
        <f>'JOUR 1'!Y16+'JOUR 2'!Y16+'JOUR 3'!Y16+'JOUR 4'!Y16+'JOUR 5'!Y16+'JOUR 6'!Y16+'JOUR 7'!Y16+'JOUR 8'!Y16+'JOUR 9'!Y16+'JOUR 10'!Y16+'JOUR 11'!Y16+'JOUR 12'!Y16+'JOUR 13'!Y16+'JOUR 14'!Y16+#REF!+#REF!</f>
        <v>#REF!</v>
      </c>
      <c r="Z16" s="33" t="e">
        <f>'JOUR 1'!Z16+'JOUR 2'!Z16+'JOUR 3'!Z16+'JOUR 4'!Z16+'JOUR 5'!Z16+'JOUR 6'!Z16+'JOUR 7'!Z16+'JOUR 8'!Z16+'JOUR 9'!Z16+'JOUR 10'!Z16+'JOUR 11'!Z16+'JOUR 12'!Z16+'JOUR 13'!Z16+'JOUR 14'!Z16+#REF!+#REF!</f>
        <v>#REF!</v>
      </c>
      <c r="AA16" s="34" t="e">
        <f>'JOUR 1'!AA16+'JOUR 2'!AA16+'JOUR 3'!AA16+'JOUR 4'!AA16+'JOUR 5'!AA16+'JOUR 6'!AA16+'JOUR 7'!AA16+'JOUR 8'!AA16+'JOUR 9'!AA16+'JOUR 10'!AA16+'JOUR 11'!AA16+'JOUR 12'!AA16+'JOUR 13'!AA16+'JOUR 14'!AA16+#REF!+#REF!</f>
        <v>#REF!</v>
      </c>
      <c r="AB16" s="34" t="e">
        <f>'JOUR 1'!AB16+'JOUR 2'!AB16+'JOUR 3'!AB16+'JOUR 4'!AB16+'JOUR 5'!AB16+'JOUR 6'!AB16+'JOUR 7'!AB16+'JOUR 8'!AB16+'JOUR 9'!AB16+'JOUR 10'!AB16+'JOUR 11'!AB16+'JOUR 12'!AB16+'JOUR 13'!AB16+'JOUR 14'!AB16+#REF!+#REF!</f>
        <v>#REF!</v>
      </c>
      <c r="AC16" s="34" t="e">
        <f>'JOUR 1'!AC16+'JOUR 2'!AC16+'JOUR 3'!AC16+'JOUR 4'!AC16+'JOUR 5'!AC16+'JOUR 6'!AC16+'JOUR 7'!AC16+'JOUR 8'!AC16+'JOUR 9'!AC16+'JOUR 10'!AC16+'JOUR 11'!AC16+'JOUR 12'!AC16+'JOUR 13'!AC16+'JOUR 14'!AC16+#REF!+#REF!</f>
        <v>#REF!</v>
      </c>
      <c r="AD16" s="35" t="e">
        <f>'JOUR 1'!AD16+'JOUR 2'!AD16+'JOUR 3'!AD16+'JOUR 4'!AD16+'JOUR 5'!AD16+'JOUR 6'!AD16+'JOUR 7'!AD16+'JOUR 8'!AD16+'JOUR 9'!AD16+'JOUR 10'!AD16+'JOUR 11'!AD16+'JOUR 12'!AD16+'JOUR 13'!AD16+'JOUR 14'!AD16+#REF!+#REF!</f>
        <v>#REF!</v>
      </c>
      <c r="AE16" s="34" t="e">
        <f>'JOUR 1'!AE16+'JOUR 2'!AE16+'JOUR 3'!AE16+'JOUR 4'!AE16+'JOUR 5'!AE16+'JOUR 6'!AE16+'JOUR 7'!AE16+'JOUR 8'!AE16+'JOUR 9'!AE16+'JOUR 10'!AE16+'JOUR 11'!AE16+'JOUR 12'!AE16+'JOUR 13'!AE16+'JOUR 14'!AE16+#REF!+#REF!</f>
        <v>#REF!</v>
      </c>
      <c r="AF16" s="34" t="e">
        <f>'JOUR 1'!AF16+'JOUR 2'!AF16+'JOUR 3'!AF16+'JOUR 4'!AF16+'JOUR 5'!AF16+'JOUR 6'!AF16+'JOUR 7'!AF16+'JOUR 8'!AF16+'JOUR 9'!AF16+'JOUR 10'!AF16+'JOUR 11'!AF16+'JOUR 12'!AF16+'JOUR 13'!AF16+'JOUR 14'!AF16+#REF!+#REF!</f>
        <v>#REF!</v>
      </c>
      <c r="AG16" s="34" t="e">
        <f>'JOUR 1'!AG16+'JOUR 2'!AG16+'JOUR 3'!AG16+'JOUR 4'!AG16+'JOUR 5'!AG16+'JOUR 6'!AG16+'JOUR 7'!AG16+'JOUR 8'!AG16+'JOUR 9'!AG16+'JOUR 10'!AG16+'JOUR 11'!AG16+'JOUR 12'!AG16+'JOUR 13'!AG16+'JOUR 14'!AG16+#REF!+#REF!</f>
        <v>#REF!</v>
      </c>
      <c r="AH16" s="21"/>
      <c r="AI16" s="22"/>
      <c r="AK16" s="87" t="e">
        <f t="shared" si="1"/>
        <v>#REF!</v>
      </c>
      <c r="AL16" s="87" t="e">
        <f t="shared" si="0"/>
        <v>#REF!</v>
      </c>
      <c r="AM16" s="87" t="e">
        <f t="shared" si="0"/>
        <v>#REF!</v>
      </c>
      <c r="AN16" s="87" t="e">
        <f t="shared" si="0"/>
        <v>#REF!</v>
      </c>
      <c r="AO16" s="87" t="e">
        <f t="shared" si="0"/>
        <v>#REF!</v>
      </c>
      <c r="AP16" s="87"/>
      <c r="AQ16" s="87"/>
      <c r="AR16" s="87"/>
      <c r="AS16" s="87" t="e">
        <f t="shared" si="0"/>
        <v>#REF!</v>
      </c>
      <c r="AT16" s="87"/>
      <c r="AU16" s="87"/>
      <c r="AV16" s="87"/>
      <c r="AW16" s="87"/>
      <c r="AX16" s="87"/>
      <c r="AY16" s="89"/>
    </row>
    <row r="17" spans="2:51" ht="17.399999999999999" x14ac:dyDescent="0.25">
      <c r="B17" s="16" t="s">
        <v>45</v>
      </c>
      <c r="C17" s="16" t="s">
        <v>57</v>
      </c>
      <c r="D17" s="17" t="e">
        <f>'JOUR 1'!D17+'JOUR 2'!D17+'JOUR 3'!D17+'JOUR 4'!D17+'JOUR 5'!D17+'JOUR 6'!D17+'JOUR 7'!D17+'JOUR 8'!D17+'JOUR 9'!D17+'JOUR 10'!D17+'JOUR 11'!D17+'JOUR 12'!D17+'JOUR 13'!D17+'JOUR 14'!D17+#REF!+#REF!</f>
        <v>#REF!</v>
      </c>
      <c r="E17" s="17" t="e">
        <f>'JOUR 1'!E17+'JOUR 2'!E17+'JOUR 3'!E17+'JOUR 4'!E17+'JOUR 5'!E17+'JOUR 6'!E17+'JOUR 7'!E17+'JOUR 8'!E17+'JOUR 9'!E17+'JOUR 10'!E17+'JOUR 11'!E17+'JOUR 12'!E17+'JOUR 13'!E17+'JOUR 14'!E17+#REF!+#REF!</f>
        <v>#REF!</v>
      </c>
      <c r="F17" s="17" t="e">
        <f>'JOUR 1'!F17+'JOUR 2'!F17+'JOUR 3'!F17+'JOUR 4'!F17+'JOUR 5'!F17+'JOUR 6'!F17+'JOUR 7'!F17+'JOUR 8'!F17+'JOUR 9'!F17+'JOUR 10'!F17+'JOUR 11'!F17+'JOUR 12'!F17+'JOUR 13'!F17+'JOUR 14'!F17+#REF!+#REF!</f>
        <v>#REF!</v>
      </c>
      <c r="G17" s="17" t="e">
        <f>'JOUR 1'!G17+'JOUR 2'!G17+'JOUR 3'!G17+'JOUR 4'!G17+'JOUR 5'!G17+'JOUR 6'!G17+'JOUR 7'!G17+'JOUR 8'!G17+'JOUR 9'!G17+'JOUR 10'!G17+'JOUR 11'!G17+'JOUR 12'!G17+'JOUR 13'!G17+'JOUR 14'!G17+#REF!+#REF!</f>
        <v>#REF!</v>
      </c>
      <c r="H17" s="17" t="e">
        <f>'JOUR 1'!H17+'JOUR 2'!H17+'JOUR 3'!H17+'JOUR 4'!H17+'JOUR 5'!H17+'JOUR 6'!H17+'JOUR 7'!H17+'JOUR 8'!H17+'JOUR 9'!H17+'JOUR 10'!H17+'JOUR 11'!H17+'JOUR 12'!H17+'JOUR 13'!H17+'JOUR 14'!H17+#REF!+#REF!</f>
        <v>#REF!</v>
      </c>
      <c r="I17" s="17" t="e">
        <f>'JOUR 1'!I17+'JOUR 2'!I17+'JOUR 3'!I17+'JOUR 4'!I17+'JOUR 5'!I17+'JOUR 6'!I17+'JOUR 7'!I17+'JOUR 8'!I17+'JOUR 9'!I17+'JOUR 10'!I17+'JOUR 11'!I17+'JOUR 12'!I17+'JOUR 13'!I17+'JOUR 14'!I17+#REF!+#REF!</f>
        <v>#REF!</v>
      </c>
      <c r="J17" s="17" t="e">
        <f>'JOUR 1'!J17+'JOUR 2'!J17+'JOUR 3'!J17+'JOUR 4'!J17+'JOUR 5'!J17+'JOUR 6'!J17+'JOUR 7'!J17+'JOUR 8'!J17+'JOUR 9'!J17+'JOUR 10'!J17+'JOUR 11'!J17+'JOUR 12'!J17+'JOUR 13'!J17+'JOUR 14'!J17+#REF!+#REF!</f>
        <v>#REF!</v>
      </c>
      <c r="K17" s="17" t="e">
        <f>'JOUR 1'!K17+'JOUR 2'!K17+'JOUR 3'!K17+'JOUR 4'!K17+'JOUR 5'!K17+'JOUR 6'!K17+'JOUR 7'!K17+'JOUR 8'!K17+'JOUR 9'!K17+'JOUR 10'!K17+'JOUR 11'!K17+'JOUR 12'!K17+'JOUR 13'!K17+'JOUR 14'!K17+#REF!+#REF!</f>
        <v>#REF!</v>
      </c>
      <c r="L17" s="17" t="e">
        <f>'JOUR 1'!L17+'JOUR 2'!L17+'JOUR 3'!L17+'JOUR 4'!L17+'JOUR 5'!L17+'JOUR 6'!L17+'JOUR 7'!L17+'JOUR 8'!L17+'JOUR 9'!L17+'JOUR 10'!L17+'JOUR 11'!L17+'JOUR 12'!L17+'JOUR 13'!L17+'JOUR 14'!L17+#REF!+#REF!</f>
        <v>#REF!</v>
      </c>
      <c r="M17" s="17" t="e">
        <f>'JOUR 1'!M17+'JOUR 2'!M17+'JOUR 3'!M17+'JOUR 4'!M17+'JOUR 5'!M17+'JOUR 6'!M17+'JOUR 7'!M17+'JOUR 8'!M17+'JOUR 9'!M17+'JOUR 10'!M17+'JOUR 11'!M17+'JOUR 12'!M17+'JOUR 13'!M17+'JOUR 14'!M17+#REF!+#REF!</f>
        <v>#REF!</v>
      </c>
      <c r="N17" s="17" t="e">
        <f>'JOUR 1'!N17+'JOUR 2'!N17+'JOUR 3'!N17+'JOUR 4'!N17+'JOUR 5'!N17+'JOUR 6'!N17+'JOUR 7'!N17+'JOUR 8'!N17+'JOUR 9'!N17+'JOUR 10'!N17+'JOUR 11'!N17+'JOUR 12'!N17+'JOUR 13'!N17+'JOUR 14'!N17+#REF!+#REF!</f>
        <v>#REF!</v>
      </c>
      <c r="O17" s="17" t="e">
        <f>'JOUR 1'!O17+'JOUR 2'!O17+'JOUR 3'!O17+'JOUR 4'!O17+'JOUR 5'!O17+'JOUR 6'!O17+'JOUR 7'!O17+'JOUR 8'!O17+'JOUR 9'!O17+'JOUR 10'!O17+'JOUR 11'!O17+'JOUR 12'!O17+'JOUR 13'!O17+'JOUR 14'!O17+#REF!+#REF!</f>
        <v>#REF!</v>
      </c>
      <c r="P17" s="17" t="e">
        <f>'JOUR 1'!P17+'JOUR 2'!P17+'JOUR 3'!P17+'JOUR 4'!P17+'JOUR 5'!P17+'JOUR 6'!P17+'JOUR 7'!P17+'JOUR 8'!P17+'JOUR 9'!P17+'JOUR 10'!P17+'JOUR 11'!P17+'JOUR 12'!P17+'JOUR 13'!P17+'JOUR 14'!P17+#REF!+#REF!</f>
        <v>#REF!</v>
      </c>
      <c r="Q17" s="17" t="e">
        <f>'JOUR 1'!Q17+'JOUR 2'!Q17+'JOUR 3'!Q17+'JOUR 4'!Q17+'JOUR 5'!Q17+'JOUR 6'!Q17+'JOUR 7'!Q17+'JOUR 8'!Q17+'JOUR 9'!Q17+'JOUR 10'!Q17+'JOUR 11'!Q17+'JOUR 12'!Q17+'JOUR 13'!Q17+'JOUR 14'!Q17+#REF!+#REF!</f>
        <v>#REF!</v>
      </c>
      <c r="R17" s="17" t="e">
        <f>'JOUR 1'!R17+'JOUR 2'!R17+'JOUR 3'!R17+'JOUR 4'!R17+'JOUR 5'!R17+'JOUR 6'!R17+'JOUR 7'!R17+'JOUR 8'!R17+'JOUR 9'!R17+'JOUR 10'!R17+'JOUR 11'!R17+'JOUR 12'!R17+'JOUR 13'!R17+'JOUR 14'!R17+#REF!+#REF!</f>
        <v>#REF!</v>
      </c>
      <c r="S17" s="31" t="e">
        <f>'JOUR 1'!S17+'JOUR 2'!S17+'JOUR 3'!S17+'JOUR 4'!S17+'JOUR 5'!S17+'JOUR 6'!S17+'JOUR 7'!S17+'JOUR 8'!S17+'JOUR 9'!S17+'JOUR 10'!S17+'JOUR 11'!S17+'JOUR 12'!S17+'JOUR 13'!S17+'JOUR 14'!S17+#REF!+#REF!</f>
        <v>#REF!</v>
      </c>
      <c r="T17" s="31" t="e">
        <f>'JOUR 1'!T17+'JOUR 2'!T17+'JOUR 3'!T17+'JOUR 4'!T17+'JOUR 5'!T17+'JOUR 6'!T17+'JOUR 7'!T17+'JOUR 8'!T17+'JOUR 9'!T17+'JOUR 10'!T17+'JOUR 11'!T17+'JOUR 12'!T17+'JOUR 13'!T17+'JOUR 14'!T17+#REF!+#REF!</f>
        <v>#REF!</v>
      </c>
      <c r="U17" s="31" t="e">
        <f>'JOUR 1'!U17+'JOUR 2'!U17+'JOUR 3'!U17+'JOUR 4'!U17+'JOUR 5'!U17+'JOUR 6'!U17+'JOUR 7'!U17+'JOUR 8'!U17+'JOUR 9'!U17+'JOUR 10'!U17+'JOUR 11'!U17+'JOUR 12'!U17+'JOUR 13'!U17+'JOUR 14'!U17+#REF!+#REF!</f>
        <v>#REF!</v>
      </c>
      <c r="V17" s="32" t="e">
        <f>'JOUR 1'!V17+'JOUR 2'!V17+'JOUR 3'!V17+'JOUR 4'!V17+'JOUR 5'!V17+'JOUR 6'!V17+'JOUR 7'!V17+'JOUR 8'!V17+'JOUR 9'!V17+'JOUR 10'!V17+'JOUR 11'!V17+'JOUR 12'!V17+'JOUR 13'!V17+'JOUR 14'!V17+#REF!+#REF!</f>
        <v>#REF!</v>
      </c>
      <c r="W17" s="32" t="e">
        <f>'JOUR 1'!W17+'JOUR 2'!W17+'JOUR 3'!W17+'JOUR 4'!W17+'JOUR 5'!W17+'JOUR 6'!W17+'JOUR 7'!W17+'JOUR 8'!W17+'JOUR 9'!W17+'JOUR 10'!W17+'JOUR 11'!W17+'JOUR 12'!W17+'JOUR 13'!W17+'JOUR 14'!W17+#REF!+#REF!</f>
        <v>#REF!</v>
      </c>
      <c r="X17" s="32" t="e">
        <f>'JOUR 1'!X17+'JOUR 2'!X17+'JOUR 3'!X17+'JOUR 4'!X17+'JOUR 5'!X17+'JOUR 6'!X17+'JOUR 7'!X17+'JOUR 8'!X17+'JOUR 9'!X17+'JOUR 10'!X17+'JOUR 11'!X17+'JOUR 12'!X17+'JOUR 13'!X17+'JOUR 14'!X17+#REF!+#REF!</f>
        <v>#REF!</v>
      </c>
      <c r="Y17" s="75" t="e">
        <f>'JOUR 1'!Y17+'JOUR 2'!Y17+'JOUR 3'!Y17+'JOUR 4'!Y17+'JOUR 5'!Y17+'JOUR 6'!Y17+'JOUR 7'!Y17+'JOUR 8'!Y17+'JOUR 9'!Y17+'JOUR 10'!Y17+'JOUR 11'!Y17+'JOUR 12'!Y17+'JOUR 13'!Y17+'JOUR 14'!Y17+#REF!+#REF!</f>
        <v>#REF!</v>
      </c>
      <c r="Z17" s="33" t="e">
        <f>'JOUR 1'!Z17+'JOUR 2'!Z17+'JOUR 3'!Z17+'JOUR 4'!Z17+'JOUR 5'!Z17+'JOUR 6'!Z17+'JOUR 7'!Z17+'JOUR 8'!Z17+'JOUR 9'!Z17+'JOUR 10'!Z17+'JOUR 11'!Z17+'JOUR 12'!Z17+'JOUR 13'!Z17+'JOUR 14'!Z17+#REF!+#REF!</f>
        <v>#REF!</v>
      </c>
      <c r="AA17" s="34" t="e">
        <f>'JOUR 1'!AA17+'JOUR 2'!AA17+'JOUR 3'!AA17+'JOUR 4'!AA17+'JOUR 5'!AA17+'JOUR 6'!AA17+'JOUR 7'!AA17+'JOUR 8'!AA17+'JOUR 9'!AA17+'JOUR 10'!AA17+'JOUR 11'!AA17+'JOUR 12'!AA17+'JOUR 13'!AA17+'JOUR 14'!AA17+#REF!+#REF!</f>
        <v>#REF!</v>
      </c>
      <c r="AB17" s="34" t="e">
        <f>'JOUR 1'!AB17+'JOUR 2'!AB17+'JOUR 3'!AB17+'JOUR 4'!AB17+'JOUR 5'!AB17+'JOUR 6'!AB17+'JOUR 7'!AB17+'JOUR 8'!AB17+'JOUR 9'!AB17+'JOUR 10'!AB17+'JOUR 11'!AB17+'JOUR 12'!AB17+'JOUR 13'!AB17+'JOUR 14'!AB17+#REF!+#REF!</f>
        <v>#REF!</v>
      </c>
      <c r="AC17" s="34" t="e">
        <f>'JOUR 1'!AC17+'JOUR 2'!AC17+'JOUR 3'!AC17+'JOUR 4'!AC17+'JOUR 5'!AC17+'JOUR 6'!AC17+'JOUR 7'!AC17+'JOUR 8'!AC17+'JOUR 9'!AC17+'JOUR 10'!AC17+'JOUR 11'!AC17+'JOUR 12'!AC17+'JOUR 13'!AC17+'JOUR 14'!AC17+#REF!+#REF!</f>
        <v>#REF!</v>
      </c>
      <c r="AD17" s="35" t="e">
        <f>'JOUR 1'!AD17+'JOUR 2'!AD17+'JOUR 3'!AD17+'JOUR 4'!AD17+'JOUR 5'!AD17+'JOUR 6'!AD17+'JOUR 7'!AD17+'JOUR 8'!AD17+'JOUR 9'!AD17+'JOUR 10'!AD17+'JOUR 11'!AD17+'JOUR 12'!AD17+'JOUR 13'!AD17+'JOUR 14'!AD17+#REF!+#REF!</f>
        <v>#REF!</v>
      </c>
      <c r="AE17" s="34" t="e">
        <f>'JOUR 1'!AE17+'JOUR 2'!AE17+'JOUR 3'!AE17+'JOUR 4'!AE17+'JOUR 5'!AE17+'JOUR 6'!AE17+'JOUR 7'!AE17+'JOUR 8'!AE17+'JOUR 9'!AE17+'JOUR 10'!AE17+'JOUR 11'!AE17+'JOUR 12'!AE17+'JOUR 13'!AE17+'JOUR 14'!AE17+#REF!+#REF!</f>
        <v>#REF!</v>
      </c>
      <c r="AF17" s="34" t="e">
        <f>'JOUR 1'!AF17+'JOUR 2'!AF17+'JOUR 3'!AF17+'JOUR 4'!AF17+'JOUR 5'!AF17+'JOUR 6'!AF17+'JOUR 7'!AF17+'JOUR 8'!AF17+'JOUR 9'!AF17+'JOUR 10'!AF17+'JOUR 11'!AF17+'JOUR 12'!AF17+'JOUR 13'!AF17+'JOUR 14'!AF17+#REF!+#REF!</f>
        <v>#REF!</v>
      </c>
      <c r="AG17" s="34" t="e">
        <f>'JOUR 1'!AG17+'JOUR 2'!AG17+'JOUR 3'!AG17+'JOUR 4'!AG17+'JOUR 5'!AG17+'JOUR 6'!AG17+'JOUR 7'!AG17+'JOUR 8'!AG17+'JOUR 9'!AG17+'JOUR 10'!AG17+'JOUR 11'!AG17+'JOUR 12'!AG17+'JOUR 13'!AG17+'JOUR 14'!AG17+#REF!+#REF!</f>
        <v>#REF!</v>
      </c>
      <c r="AH17" s="21"/>
      <c r="AI17" s="22"/>
      <c r="AK17" s="87" t="e">
        <f t="shared" si="1"/>
        <v>#REF!</v>
      </c>
      <c r="AL17" s="87" t="e">
        <f t="shared" si="0"/>
        <v>#REF!</v>
      </c>
      <c r="AM17" s="87" t="e">
        <f t="shared" si="0"/>
        <v>#REF!</v>
      </c>
      <c r="AN17" s="87" t="e">
        <f t="shared" si="0"/>
        <v>#REF!</v>
      </c>
      <c r="AO17" s="87" t="e">
        <f t="shared" si="0"/>
        <v>#REF!</v>
      </c>
      <c r="AP17" s="87"/>
      <c r="AQ17" s="87"/>
      <c r="AR17" s="87"/>
      <c r="AS17" s="87" t="e">
        <f t="shared" si="0"/>
        <v>#REF!</v>
      </c>
      <c r="AT17" s="87"/>
      <c r="AU17" s="87"/>
      <c r="AV17" s="87"/>
      <c r="AW17" s="87"/>
      <c r="AX17" s="87"/>
      <c r="AY17" s="89"/>
    </row>
    <row r="18" spans="2:51" ht="17.399999999999999" x14ac:dyDescent="0.25">
      <c r="B18" s="16" t="s">
        <v>45</v>
      </c>
      <c r="C18" s="16" t="s">
        <v>58</v>
      </c>
      <c r="D18" s="17" t="e">
        <f>'JOUR 1'!D18+'JOUR 2'!D18+'JOUR 3'!D18+'JOUR 4'!D18+'JOUR 5'!D18+'JOUR 6'!D18+'JOUR 7'!D18+'JOUR 8'!D18+'JOUR 9'!D18+'JOUR 10'!D18+'JOUR 11'!D18+'JOUR 12'!D18+'JOUR 13'!D18+'JOUR 14'!D18+#REF!+#REF!</f>
        <v>#REF!</v>
      </c>
      <c r="E18" s="17" t="e">
        <f>'JOUR 1'!E18+'JOUR 2'!E18+'JOUR 3'!E18+'JOUR 4'!E18+'JOUR 5'!E18+'JOUR 6'!E18+'JOUR 7'!E18+'JOUR 8'!E18+'JOUR 9'!E18+'JOUR 10'!E18+'JOUR 11'!E18+'JOUR 12'!E18+'JOUR 13'!E18+'JOUR 14'!E18+#REF!+#REF!</f>
        <v>#REF!</v>
      </c>
      <c r="F18" s="17" t="e">
        <f>'JOUR 1'!F18+'JOUR 2'!F18+'JOUR 3'!F18+'JOUR 4'!F18+'JOUR 5'!F18+'JOUR 6'!F18+'JOUR 7'!F18+'JOUR 8'!F18+'JOUR 9'!F18+'JOUR 10'!F18+'JOUR 11'!F18+'JOUR 12'!F18+'JOUR 13'!F18+'JOUR 14'!F18+#REF!+#REF!</f>
        <v>#REF!</v>
      </c>
      <c r="G18" s="17" t="e">
        <f>'JOUR 1'!G18+'JOUR 2'!G18+'JOUR 3'!G18+'JOUR 4'!G18+'JOUR 5'!G18+'JOUR 6'!G18+'JOUR 7'!G18+'JOUR 8'!G18+'JOUR 9'!G18+'JOUR 10'!G18+'JOUR 11'!G18+'JOUR 12'!G18+'JOUR 13'!G18+'JOUR 14'!G18+#REF!+#REF!</f>
        <v>#REF!</v>
      </c>
      <c r="H18" s="17" t="e">
        <f>'JOUR 1'!H18+'JOUR 2'!H18+'JOUR 3'!H18+'JOUR 4'!H18+'JOUR 5'!H18+'JOUR 6'!H18+'JOUR 7'!H18+'JOUR 8'!H18+'JOUR 9'!H18+'JOUR 10'!H18+'JOUR 11'!H18+'JOUR 12'!H18+'JOUR 13'!H18+'JOUR 14'!H18+#REF!+#REF!</f>
        <v>#REF!</v>
      </c>
      <c r="I18" s="17" t="e">
        <f>'JOUR 1'!I18+'JOUR 2'!I18+'JOUR 3'!I18+'JOUR 4'!I18+'JOUR 5'!I18+'JOUR 6'!I18+'JOUR 7'!I18+'JOUR 8'!I18+'JOUR 9'!I18+'JOUR 10'!I18+'JOUR 11'!I18+'JOUR 12'!I18+'JOUR 13'!I18+'JOUR 14'!I18+#REF!+#REF!</f>
        <v>#REF!</v>
      </c>
      <c r="J18" s="17" t="e">
        <f>'JOUR 1'!J18+'JOUR 2'!J18+'JOUR 3'!J18+'JOUR 4'!J18+'JOUR 5'!J18+'JOUR 6'!J18+'JOUR 7'!J18+'JOUR 8'!J18+'JOUR 9'!J18+'JOUR 10'!J18+'JOUR 11'!J18+'JOUR 12'!J18+'JOUR 13'!J18+'JOUR 14'!J18+#REF!+#REF!</f>
        <v>#REF!</v>
      </c>
      <c r="K18" s="17" t="e">
        <f>'JOUR 1'!K18+'JOUR 2'!K18+'JOUR 3'!K18+'JOUR 4'!K18+'JOUR 5'!K18+'JOUR 6'!K18+'JOUR 7'!K18+'JOUR 8'!K18+'JOUR 9'!K18+'JOUR 10'!K18+'JOUR 11'!K18+'JOUR 12'!K18+'JOUR 13'!K18+'JOUR 14'!K18+#REF!+#REF!</f>
        <v>#REF!</v>
      </c>
      <c r="L18" s="17" t="e">
        <f>'JOUR 1'!L18+'JOUR 2'!L18+'JOUR 3'!L18+'JOUR 4'!L18+'JOUR 5'!L18+'JOUR 6'!L18+'JOUR 7'!L18+'JOUR 8'!L18+'JOUR 9'!L18+'JOUR 10'!L18+'JOUR 11'!L18+'JOUR 12'!L18+'JOUR 13'!L18+'JOUR 14'!L18+#REF!+#REF!</f>
        <v>#REF!</v>
      </c>
      <c r="M18" s="17" t="e">
        <f>'JOUR 1'!M18+'JOUR 2'!M18+'JOUR 3'!M18+'JOUR 4'!M18+'JOUR 5'!M18+'JOUR 6'!M18+'JOUR 7'!M18+'JOUR 8'!M18+'JOUR 9'!M18+'JOUR 10'!M18+'JOUR 11'!M18+'JOUR 12'!M18+'JOUR 13'!M18+'JOUR 14'!M18+#REF!+#REF!</f>
        <v>#REF!</v>
      </c>
      <c r="N18" s="17" t="e">
        <f>'JOUR 1'!N18+'JOUR 2'!N18+'JOUR 3'!N18+'JOUR 4'!N18+'JOUR 5'!N18+'JOUR 6'!N18+'JOUR 7'!N18+'JOUR 8'!N18+'JOUR 9'!N18+'JOUR 10'!N18+'JOUR 11'!N18+'JOUR 12'!N18+'JOUR 13'!N18+'JOUR 14'!N18+#REF!+#REF!</f>
        <v>#REF!</v>
      </c>
      <c r="O18" s="17" t="e">
        <f>'JOUR 1'!O18+'JOUR 2'!O18+'JOUR 3'!O18+'JOUR 4'!O18+'JOUR 5'!O18+'JOUR 6'!O18+'JOUR 7'!O18+'JOUR 8'!O18+'JOUR 9'!O18+'JOUR 10'!O18+'JOUR 11'!O18+'JOUR 12'!O18+'JOUR 13'!O18+'JOUR 14'!O18+#REF!+#REF!</f>
        <v>#REF!</v>
      </c>
      <c r="P18" s="17" t="e">
        <f>'JOUR 1'!P18+'JOUR 2'!P18+'JOUR 3'!P18+'JOUR 4'!P18+'JOUR 5'!P18+'JOUR 6'!P18+'JOUR 7'!P18+'JOUR 8'!P18+'JOUR 9'!P18+'JOUR 10'!P18+'JOUR 11'!P18+'JOUR 12'!P18+'JOUR 13'!P18+'JOUR 14'!P18+#REF!+#REF!</f>
        <v>#REF!</v>
      </c>
      <c r="Q18" s="17" t="e">
        <f>'JOUR 1'!Q18+'JOUR 2'!Q18+'JOUR 3'!Q18+'JOUR 4'!Q18+'JOUR 5'!Q18+'JOUR 6'!Q18+'JOUR 7'!Q18+'JOUR 8'!Q18+'JOUR 9'!Q18+'JOUR 10'!Q18+'JOUR 11'!Q18+'JOUR 12'!Q18+'JOUR 13'!Q18+'JOUR 14'!Q18+#REF!+#REF!</f>
        <v>#REF!</v>
      </c>
      <c r="R18" s="17" t="e">
        <f>'JOUR 1'!R18+'JOUR 2'!R18+'JOUR 3'!R18+'JOUR 4'!R18+'JOUR 5'!R18+'JOUR 6'!R18+'JOUR 7'!R18+'JOUR 8'!R18+'JOUR 9'!R18+'JOUR 10'!R18+'JOUR 11'!R18+'JOUR 12'!R18+'JOUR 13'!R18+'JOUR 14'!R18+#REF!+#REF!</f>
        <v>#REF!</v>
      </c>
      <c r="S18" s="31" t="e">
        <f>'JOUR 1'!S18+'JOUR 2'!S18+'JOUR 3'!S18+'JOUR 4'!S18+'JOUR 5'!S18+'JOUR 6'!S18+'JOUR 7'!S18+'JOUR 8'!S18+'JOUR 9'!S18+'JOUR 10'!S18+'JOUR 11'!S18+'JOUR 12'!S18+'JOUR 13'!S18+'JOUR 14'!S18+#REF!+#REF!</f>
        <v>#REF!</v>
      </c>
      <c r="T18" s="31" t="e">
        <f>'JOUR 1'!T18+'JOUR 2'!T18+'JOUR 3'!T18+'JOUR 4'!T18+'JOUR 5'!T18+'JOUR 6'!T18+'JOUR 7'!T18+'JOUR 8'!T18+'JOUR 9'!T18+'JOUR 10'!T18+'JOUR 11'!T18+'JOUR 12'!T18+'JOUR 13'!T18+'JOUR 14'!T18+#REF!+#REF!</f>
        <v>#REF!</v>
      </c>
      <c r="U18" s="31" t="e">
        <f>'JOUR 1'!U18+'JOUR 2'!U18+'JOUR 3'!U18+'JOUR 4'!U18+'JOUR 5'!U18+'JOUR 6'!U18+'JOUR 7'!U18+'JOUR 8'!U18+'JOUR 9'!U18+'JOUR 10'!U18+'JOUR 11'!U18+'JOUR 12'!U18+'JOUR 13'!U18+'JOUR 14'!U18+#REF!+#REF!</f>
        <v>#REF!</v>
      </c>
      <c r="V18" s="32" t="e">
        <f>'JOUR 1'!V18+'JOUR 2'!V18+'JOUR 3'!V18+'JOUR 4'!V18+'JOUR 5'!V18+'JOUR 6'!V18+'JOUR 7'!V18+'JOUR 8'!V18+'JOUR 9'!V18+'JOUR 10'!V18+'JOUR 11'!V18+'JOUR 12'!V18+'JOUR 13'!V18+'JOUR 14'!V18+#REF!+#REF!</f>
        <v>#REF!</v>
      </c>
      <c r="W18" s="32" t="e">
        <f>'JOUR 1'!W18+'JOUR 2'!W18+'JOUR 3'!W18+'JOUR 4'!W18+'JOUR 5'!W18+'JOUR 6'!W18+'JOUR 7'!W18+'JOUR 8'!W18+'JOUR 9'!W18+'JOUR 10'!W18+'JOUR 11'!W18+'JOUR 12'!W18+'JOUR 13'!W18+'JOUR 14'!W18+#REF!+#REF!</f>
        <v>#REF!</v>
      </c>
      <c r="X18" s="32" t="e">
        <f>'JOUR 1'!X18+'JOUR 2'!X18+'JOUR 3'!X18+'JOUR 4'!X18+'JOUR 5'!X18+'JOUR 6'!X18+'JOUR 7'!X18+'JOUR 8'!X18+'JOUR 9'!X18+'JOUR 10'!X18+'JOUR 11'!X18+'JOUR 12'!X18+'JOUR 13'!X18+'JOUR 14'!X18+#REF!+#REF!</f>
        <v>#REF!</v>
      </c>
      <c r="Y18" s="75" t="e">
        <f>'JOUR 1'!Y18+'JOUR 2'!Y18+'JOUR 3'!Y18+'JOUR 4'!Y18+'JOUR 5'!Y18+'JOUR 6'!Y18+'JOUR 7'!Y18+'JOUR 8'!Y18+'JOUR 9'!Y18+'JOUR 10'!Y18+'JOUR 11'!Y18+'JOUR 12'!Y18+'JOUR 13'!Y18+'JOUR 14'!Y18+#REF!+#REF!</f>
        <v>#REF!</v>
      </c>
      <c r="Z18" s="33" t="e">
        <f>'JOUR 1'!Z18+'JOUR 2'!Z18+'JOUR 3'!Z18+'JOUR 4'!Z18+'JOUR 5'!Z18+'JOUR 6'!Z18+'JOUR 7'!Z18+'JOUR 8'!Z18+'JOUR 9'!Z18+'JOUR 10'!Z18+'JOUR 11'!Z18+'JOUR 12'!Z18+'JOUR 13'!Z18+'JOUR 14'!Z18+#REF!+#REF!</f>
        <v>#REF!</v>
      </c>
      <c r="AA18" s="34" t="e">
        <f>'JOUR 1'!AA18+'JOUR 2'!AA18+'JOUR 3'!AA18+'JOUR 4'!AA18+'JOUR 5'!AA18+'JOUR 6'!AA18+'JOUR 7'!AA18+'JOUR 8'!AA18+'JOUR 9'!AA18+'JOUR 10'!AA18+'JOUR 11'!AA18+'JOUR 12'!AA18+'JOUR 13'!AA18+'JOUR 14'!AA18+#REF!+#REF!</f>
        <v>#REF!</v>
      </c>
      <c r="AB18" s="34" t="e">
        <f>'JOUR 1'!AB18+'JOUR 2'!AB18+'JOUR 3'!AB18+'JOUR 4'!AB18+'JOUR 5'!AB18+'JOUR 6'!AB18+'JOUR 7'!AB18+'JOUR 8'!AB18+'JOUR 9'!AB18+'JOUR 10'!AB18+'JOUR 11'!AB18+'JOUR 12'!AB18+'JOUR 13'!AB18+'JOUR 14'!AB18+#REF!+#REF!</f>
        <v>#REF!</v>
      </c>
      <c r="AC18" s="34" t="e">
        <f>'JOUR 1'!AC18+'JOUR 2'!AC18+'JOUR 3'!AC18+'JOUR 4'!AC18+'JOUR 5'!AC18+'JOUR 6'!AC18+'JOUR 7'!AC18+'JOUR 8'!AC18+'JOUR 9'!AC18+'JOUR 10'!AC18+'JOUR 11'!AC18+'JOUR 12'!AC18+'JOUR 13'!AC18+'JOUR 14'!AC18+#REF!+#REF!</f>
        <v>#REF!</v>
      </c>
      <c r="AD18" s="35" t="e">
        <f>'JOUR 1'!AD18+'JOUR 2'!AD18+'JOUR 3'!AD18+'JOUR 4'!AD18+'JOUR 5'!AD18+'JOUR 6'!AD18+'JOUR 7'!AD18+'JOUR 8'!AD18+'JOUR 9'!AD18+'JOUR 10'!AD18+'JOUR 11'!AD18+'JOUR 12'!AD18+'JOUR 13'!AD18+'JOUR 14'!AD18+#REF!+#REF!</f>
        <v>#REF!</v>
      </c>
      <c r="AE18" s="34" t="e">
        <f>'JOUR 1'!AE18+'JOUR 2'!AE18+'JOUR 3'!AE18+'JOUR 4'!AE18+'JOUR 5'!AE18+'JOUR 6'!AE18+'JOUR 7'!AE18+'JOUR 8'!AE18+'JOUR 9'!AE18+'JOUR 10'!AE18+'JOUR 11'!AE18+'JOUR 12'!AE18+'JOUR 13'!AE18+'JOUR 14'!AE18+#REF!+#REF!</f>
        <v>#REF!</v>
      </c>
      <c r="AF18" s="34" t="e">
        <f>'JOUR 1'!AF18+'JOUR 2'!AF18+'JOUR 3'!AF18+'JOUR 4'!AF18+'JOUR 5'!AF18+'JOUR 6'!AF18+'JOUR 7'!AF18+'JOUR 8'!AF18+'JOUR 9'!AF18+'JOUR 10'!AF18+'JOUR 11'!AF18+'JOUR 12'!AF18+'JOUR 13'!AF18+'JOUR 14'!AF18+#REF!+#REF!</f>
        <v>#REF!</v>
      </c>
      <c r="AG18" s="34" t="e">
        <f>'JOUR 1'!AG18+'JOUR 2'!AG18+'JOUR 3'!AG18+'JOUR 4'!AG18+'JOUR 5'!AG18+'JOUR 6'!AG18+'JOUR 7'!AG18+'JOUR 8'!AG18+'JOUR 9'!AG18+'JOUR 10'!AG18+'JOUR 11'!AG18+'JOUR 12'!AG18+'JOUR 13'!AG18+'JOUR 14'!AG18+#REF!+#REF!</f>
        <v>#REF!</v>
      </c>
      <c r="AH18" s="21"/>
      <c r="AI18" s="22"/>
      <c r="AK18" s="87" t="e">
        <f t="shared" si="1"/>
        <v>#REF!</v>
      </c>
      <c r="AL18" s="87" t="e">
        <f t="shared" si="0"/>
        <v>#REF!</v>
      </c>
      <c r="AM18" s="87" t="e">
        <f t="shared" si="0"/>
        <v>#REF!</v>
      </c>
      <c r="AN18" s="87" t="e">
        <f t="shared" si="0"/>
        <v>#REF!</v>
      </c>
      <c r="AO18" s="87" t="e">
        <f t="shared" si="0"/>
        <v>#REF!</v>
      </c>
      <c r="AP18" s="87"/>
      <c r="AQ18" s="87"/>
      <c r="AR18" s="87"/>
      <c r="AS18" s="87" t="e">
        <f t="shared" si="0"/>
        <v>#REF!</v>
      </c>
      <c r="AT18" s="87"/>
      <c r="AU18" s="87"/>
      <c r="AV18" s="87"/>
      <c r="AW18" s="87"/>
      <c r="AX18" s="87"/>
      <c r="AY18" s="89"/>
    </row>
    <row r="19" spans="2:51" ht="17.399999999999999" x14ac:dyDescent="0.25">
      <c r="B19" s="16" t="s">
        <v>45</v>
      </c>
      <c r="C19" s="16" t="s">
        <v>59</v>
      </c>
      <c r="D19" s="17" t="e">
        <f>'JOUR 1'!D19+'JOUR 2'!D19+'JOUR 3'!D19+'JOUR 4'!D19+'JOUR 5'!D19+'JOUR 6'!D19+'JOUR 7'!D19+'JOUR 8'!D19+'JOUR 9'!D19+'JOUR 10'!D19+'JOUR 11'!D19+'JOUR 12'!D19+'JOUR 13'!D19+'JOUR 14'!D19+#REF!+#REF!</f>
        <v>#REF!</v>
      </c>
      <c r="E19" s="17" t="e">
        <f>'JOUR 1'!E19+'JOUR 2'!E19+'JOUR 3'!E19+'JOUR 4'!E19+'JOUR 5'!E19+'JOUR 6'!E19+'JOUR 7'!E19+'JOUR 8'!E19+'JOUR 9'!E19+'JOUR 10'!E19+'JOUR 11'!E19+'JOUR 12'!E19+'JOUR 13'!E19+'JOUR 14'!E19+#REF!+#REF!</f>
        <v>#REF!</v>
      </c>
      <c r="F19" s="17" t="e">
        <f>'JOUR 1'!F19+'JOUR 2'!F19+'JOUR 3'!F19+'JOUR 4'!F19+'JOUR 5'!F19+'JOUR 6'!F19+'JOUR 7'!F19+'JOUR 8'!F19+'JOUR 9'!F19+'JOUR 10'!F19+'JOUR 11'!F19+'JOUR 12'!F19+'JOUR 13'!F19+'JOUR 14'!F19+#REF!+#REF!</f>
        <v>#REF!</v>
      </c>
      <c r="G19" s="17" t="e">
        <f>'JOUR 1'!G19+'JOUR 2'!G19+'JOUR 3'!G19+'JOUR 4'!G19+'JOUR 5'!G19+'JOUR 6'!G19+'JOUR 7'!G19+'JOUR 8'!G19+'JOUR 9'!G19+'JOUR 10'!G19+'JOUR 11'!G19+'JOUR 12'!G19+'JOUR 13'!G19+'JOUR 14'!G19+#REF!+#REF!</f>
        <v>#REF!</v>
      </c>
      <c r="H19" s="17" t="e">
        <f>'JOUR 1'!H19+'JOUR 2'!H19+'JOUR 3'!H19+'JOUR 4'!H19+'JOUR 5'!H19+'JOUR 6'!H19+'JOUR 7'!H19+'JOUR 8'!H19+'JOUR 9'!H19+'JOUR 10'!H19+'JOUR 11'!H19+'JOUR 12'!H19+'JOUR 13'!H19+'JOUR 14'!H19+#REF!+#REF!</f>
        <v>#REF!</v>
      </c>
      <c r="I19" s="17" t="e">
        <f>'JOUR 1'!I19+'JOUR 2'!I19+'JOUR 3'!I19+'JOUR 4'!I19+'JOUR 5'!I19+'JOUR 6'!I19+'JOUR 7'!I19+'JOUR 8'!I19+'JOUR 9'!I19+'JOUR 10'!I19+'JOUR 11'!I19+'JOUR 12'!I19+'JOUR 13'!I19+'JOUR 14'!I19+#REF!+#REF!</f>
        <v>#REF!</v>
      </c>
      <c r="J19" s="17" t="e">
        <f>'JOUR 1'!J19+'JOUR 2'!J19+'JOUR 3'!J19+'JOUR 4'!J19+'JOUR 5'!J19+'JOUR 6'!J19+'JOUR 7'!J19+'JOUR 8'!J19+'JOUR 9'!J19+'JOUR 10'!J19+'JOUR 11'!J19+'JOUR 12'!J19+'JOUR 13'!J19+'JOUR 14'!J19+#REF!+#REF!</f>
        <v>#REF!</v>
      </c>
      <c r="K19" s="17" t="e">
        <f>'JOUR 1'!K19+'JOUR 2'!K19+'JOUR 3'!K19+'JOUR 4'!K19+'JOUR 5'!K19+'JOUR 6'!K19+'JOUR 7'!K19+'JOUR 8'!K19+'JOUR 9'!K19+'JOUR 10'!K19+'JOUR 11'!K19+'JOUR 12'!K19+'JOUR 13'!K19+'JOUR 14'!K19+#REF!+#REF!</f>
        <v>#REF!</v>
      </c>
      <c r="L19" s="17" t="e">
        <f>'JOUR 1'!L19+'JOUR 2'!L19+'JOUR 3'!L19+'JOUR 4'!L19+'JOUR 5'!L19+'JOUR 6'!L19+'JOUR 7'!L19+'JOUR 8'!L19+'JOUR 9'!L19+'JOUR 10'!L19+'JOUR 11'!L19+'JOUR 12'!L19+'JOUR 13'!L19+'JOUR 14'!L19+#REF!+#REF!</f>
        <v>#REF!</v>
      </c>
      <c r="M19" s="17" t="e">
        <f>'JOUR 1'!M19+'JOUR 2'!M19+'JOUR 3'!M19+'JOUR 4'!M19+'JOUR 5'!M19+'JOUR 6'!M19+'JOUR 7'!M19+'JOUR 8'!M19+'JOUR 9'!M19+'JOUR 10'!M19+'JOUR 11'!M19+'JOUR 12'!M19+'JOUR 13'!M19+'JOUR 14'!M19+#REF!+#REF!</f>
        <v>#REF!</v>
      </c>
      <c r="N19" s="17" t="e">
        <f>'JOUR 1'!N19+'JOUR 2'!N19+'JOUR 3'!N19+'JOUR 4'!N19+'JOUR 5'!N19+'JOUR 6'!N19+'JOUR 7'!N19+'JOUR 8'!N19+'JOUR 9'!N19+'JOUR 10'!N19+'JOUR 11'!N19+'JOUR 12'!N19+'JOUR 13'!N19+'JOUR 14'!N19+#REF!+#REF!</f>
        <v>#REF!</v>
      </c>
      <c r="O19" s="17" t="e">
        <f>'JOUR 1'!O19+'JOUR 2'!O19+'JOUR 3'!O19+'JOUR 4'!O19+'JOUR 5'!O19+'JOUR 6'!O19+'JOUR 7'!O19+'JOUR 8'!O19+'JOUR 9'!O19+'JOUR 10'!O19+'JOUR 11'!O19+'JOUR 12'!O19+'JOUR 13'!O19+'JOUR 14'!O19+#REF!+#REF!</f>
        <v>#REF!</v>
      </c>
      <c r="P19" s="17" t="e">
        <f>'JOUR 1'!P19+'JOUR 2'!P19+'JOUR 3'!P19+'JOUR 4'!P19+'JOUR 5'!P19+'JOUR 6'!P19+'JOUR 7'!P19+'JOUR 8'!P19+'JOUR 9'!P19+'JOUR 10'!P19+'JOUR 11'!P19+'JOUR 12'!P19+'JOUR 13'!P19+'JOUR 14'!P19+#REF!+#REF!</f>
        <v>#REF!</v>
      </c>
      <c r="Q19" s="17" t="e">
        <f>'JOUR 1'!Q19+'JOUR 2'!Q19+'JOUR 3'!Q19+'JOUR 4'!Q19+'JOUR 5'!Q19+'JOUR 6'!Q19+'JOUR 7'!Q19+'JOUR 8'!Q19+'JOUR 9'!Q19+'JOUR 10'!Q19+'JOUR 11'!Q19+'JOUR 12'!Q19+'JOUR 13'!Q19+'JOUR 14'!Q19+#REF!+#REF!</f>
        <v>#REF!</v>
      </c>
      <c r="R19" s="17" t="e">
        <f>'JOUR 1'!R19+'JOUR 2'!R19+'JOUR 3'!R19+'JOUR 4'!R19+'JOUR 5'!R19+'JOUR 6'!R19+'JOUR 7'!R19+'JOUR 8'!R19+'JOUR 9'!R19+'JOUR 10'!R19+'JOUR 11'!R19+'JOUR 12'!R19+'JOUR 13'!R19+'JOUR 14'!R19+#REF!+#REF!</f>
        <v>#REF!</v>
      </c>
      <c r="S19" s="31" t="e">
        <f>'JOUR 1'!S19+'JOUR 2'!S19+'JOUR 3'!S19+'JOUR 4'!S19+'JOUR 5'!S19+'JOUR 6'!S19+'JOUR 7'!S19+'JOUR 8'!S19+'JOUR 9'!S19+'JOUR 10'!S19+'JOUR 11'!S19+'JOUR 12'!S19+'JOUR 13'!S19+'JOUR 14'!S19+#REF!+#REF!</f>
        <v>#REF!</v>
      </c>
      <c r="T19" s="31" t="e">
        <f>'JOUR 1'!T19+'JOUR 2'!T19+'JOUR 3'!T19+'JOUR 4'!T19+'JOUR 5'!T19+'JOUR 6'!T19+'JOUR 7'!T19+'JOUR 8'!T19+'JOUR 9'!T19+'JOUR 10'!T19+'JOUR 11'!T19+'JOUR 12'!T19+'JOUR 13'!T19+'JOUR 14'!T19+#REF!+#REF!</f>
        <v>#REF!</v>
      </c>
      <c r="U19" s="31" t="e">
        <f>'JOUR 1'!U19+'JOUR 2'!U19+'JOUR 3'!U19+'JOUR 4'!U19+'JOUR 5'!U19+'JOUR 6'!U19+'JOUR 7'!U19+'JOUR 8'!U19+'JOUR 9'!U19+'JOUR 10'!U19+'JOUR 11'!U19+'JOUR 12'!U19+'JOUR 13'!U19+'JOUR 14'!U19+#REF!+#REF!</f>
        <v>#REF!</v>
      </c>
      <c r="V19" s="32" t="e">
        <f>'JOUR 1'!V19+'JOUR 2'!V19+'JOUR 3'!V19+'JOUR 4'!V19+'JOUR 5'!V19+'JOUR 6'!V19+'JOUR 7'!V19+'JOUR 8'!V19+'JOUR 9'!V19+'JOUR 10'!V19+'JOUR 11'!V19+'JOUR 12'!V19+'JOUR 13'!V19+'JOUR 14'!V19+#REF!+#REF!</f>
        <v>#REF!</v>
      </c>
      <c r="W19" s="32" t="e">
        <f>'JOUR 1'!W19+'JOUR 2'!W19+'JOUR 3'!W19+'JOUR 4'!W19+'JOUR 5'!W19+'JOUR 6'!W19+'JOUR 7'!W19+'JOUR 8'!W19+'JOUR 9'!W19+'JOUR 10'!W19+'JOUR 11'!W19+'JOUR 12'!W19+'JOUR 13'!W19+'JOUR 14'!W19+#REF!+#REF!</f>
        <v>#REF!</v>
      </c>
      <c r="X19" s="32" t="e">
        <f>'JOUR 1'!X19+'JOUR 2'!X19+'JOUR 3'!X19+'JOUR 4'!X19+'JOUR 5'!X19+'JOUR 6'!X19+'JOUR 7'!X19+'JOUR 8'!X19+'JOUR 9'!X19+'JOUR 10'!X19+'JOUR 11'!X19+'JOUR 12'!X19+'JOUR 13'!X19+'JOUR 14'!X19+#REF!+#REF!</f>
        <v>#REF!</v>
      </c>
      <c r="Y19" s="75" t="e">
        <f>'JOUR 1'!Y19+'JOUR 2'!Y19+'JOUR 3'!Y19+'JOUR 4'!Y19+'JOUR 5'!Y19+'JOUR 6'!Y19+'JOUR 7'!Y19+'JOUR 8'!Y19+'JOUR 9'!Y19+'JOUR 10'!Y19+'JOUR 11'!Y19+'JOUR 12'!Y19+'JOUR 13'!Y19+'JOUR 14'!Y19+#REF!+#REF!</f>
        <v>#REF!</v>
      </c>
      <c r="Z19" s="33" t="e">
        <f>'JOUR 1'!Z19+'JOUR 2'!Z19+'JOUR 3'!Z19+'JOUR 4'!Z19+'JOUR 5'!Z19+'JOUR 6'!Z19+'JOUR 7'!Z19+'JOUR 8'!Z19+'JOUR 9'!Z19+'JOUR 10'!Z19+'JOUR 11'!Z19+'JOUR 12'!Z19+'JOUR 13'!Z19+'JOUR 14'!Z19+#REF!+#REF!</f>
        <v>#REF!</v>
      </c>
      <c r="AA19" s="34" t="e">
        <f>'JOUR 1'!AA19+'JOUR 2'!AA19+'JOUR 3'!AA19+'JOUR 4'!AA19+'JOUR 5'!AA19+'JOUR 6'!AA19+'JOUR 7'!AA19+'JOUR 8'!AA19+'JOUR 9'!AA19+'JOUR 10'!AA19+'JOUR 11'!AA19+'JOUR 12'!AA19+'JOUR 13'!AA19+'JOUR 14'!AA19+#REF!+#REF!</f>
        <v>#REF!</v>
      </c>
      <c r="AB19" s="34" t="e">
        <f>'JOUR 1'!AB19+'JOUR 2'!AB19+'JOUR 3'!AB19+'JOUR 4'!AB19+'JOUR 5'!AB19+'JOUR 6'!AB19+'JOUR 7'!AB19+'JOUR 8'!AB19+'JOUR 9'!AB19+'JOUR 10'!AB19+'JOUR 11'!AB19+'JOUR 12'!AB19+'JOUR 13'!AB19+'JOUR 14'!AB19+#REF!+#REF!</f>
        <v>#REF!</v>
      </c>
      <c r="AC19" s="34" t="e">
        <f>'JOUR 1'!AC19+'JOUR 2'!AC19+'JOUR 3'!AC19+'JOUR 4'!AC19+'JOUR 5'!AC19+'JOUR 6'!AC19+'JOUR 7'!AC19+'JOUR 8'!AC19+'JOUR 9'!AC19+'JOUR 10'!AC19+'JOUR 11'!AC19+'JOUR 12'!AC19+'JOUR 13'!AC19+'JOUR 14'!AC19+#REF!+#REF!</f>
        <v>#REF!</v>
      </c>
      <c r="AD19" s="35" t="e">
        <f>'JOUR 1'!AD19+'JOUR 2'!AD19+'JOUR 3'!AD19+'JOUR 4'!AD19+'JOUR 5'!AD19+'JOUR 6'!AD19+'JOUR 7'!AD19+'JOUR 8'!AD19+'JOUR 9'!AD19+'JOUR 10'!AD19+'JOUR 11'!AD19+'JOUR 12'!AD19+'JOUR 13'!AD19+'JOUR 14'!AD19+#REF!+#REF!</f>
        <v>#REF!</v>
      </c>
      <c r="AE19" s="34" t="e">
        <f>'JOUR 1'!AE19+'JOUR 2'!AE19+'JOUR 3'!AE19+'JOUR 4'!AE19+'JOUR 5'!AE19+'JOUR 6'!AE19+'JOUR 7'!AE19+'JOUR 8'!AE19+'JOUR 9'!AE19+'JOUR 10'!AE19+'JOUR 11'!AE19+'JOUR 12'!AE19+'JOUR 13'!AE19+'JOUR 14'!AE19+#REF!+#REF!</f>
        <v>#REF!</v>
      </c>
      <c r="AF19" s="34" t="e">
        <f>'JOUR 1'!AF19+'JOUR 2'!AF19+'JOUR 3'!AF19+'JOUR 4'!AF19+'JOUR 5'!AF19+'JOUR 6'!AF19+'JOUR 7'!AF19+'JOUR 8'!AF19+'JOUR 9'!AF19+'JOUR 10'!AF19+'JOUR 11'!AF19+'JOUR 12'!AF19+'JOUR 13'!AF19+'JOUR 14'!AF19+#REF!+#REF!</f>
        <v>#REF!</v>
      </c>
      <c r="AG19" s="34" t="e">
        <f>'JOUR 1'!AG19+'JOUR 2'!AG19+'JOUR 3'!AG19+'JOUR 4'!AG19+'JOUR 5'!AG19+'JOUR 6'!AG19+'JOUR 7'!AG19+'JOUR 8'!AG19+'JOUR 9'!AG19+'JOUR 10'!AG19+'JOUR 11'!AG19+'JOUR 12'!AG19+'JOUR 13'!AG19+'JOUR 14'!AG19+#REF!+#REF!</f>
        <v>#REF!</v>
      </c>
      <c r="AH19" s="21"/>
      <c r="AI19" s="22"/>
      <c r="AK19" s="87" t="e">
        <f t="shared" si="1"/>
        <v>#REF!</v>
      </c>
      <c r="AL19" s="87" t="e">
        <f t="shared" si="0"/>
        <v>#REF!</v>
      </c>
      <c r="AM19" s="87" t="e">
        <f t="shared" si="0"/>
        <v>#REF!</v>
      </c>
      <c r="AN19" s="87" t="e">
        <f t="shared" si="0"/>
        <v>#REF!</v>
      </c>
      <c r="AO19" s="87" t="e">
        <f t="shared" si="0"/>
        <v>#REF!</v>
      </c>
      <c r="AP19" s="87"/>
      <c r="AQ19" s="87"/>
      <c r="AR19" s="87"/>
      <c r="AS19" s="87" t="e">
        <f t="shared" si="0"/>
        <v>#REF!</v>
      </c>
      <c r="AT19" s="87"/>
      <c r="AU19" s="87"/>
      <c r="AV19" s="87"/>
      <c r="AW19" s="87"/>
      <c r="AX19" s="87"/>
      <c r="AY19" s="89"/>
    </row>
    <row r="20" spans="2:51" ht="17.399999999999999" x14ac:dyDescent="0.25">
      <c r="B20" s="16" t="s">
        <v>45</v>
      </c>
      <c r="C20" s="16" t="s">
        <v>60</v>
      </c>
      <c r="D20" s="17" t="e">
        <f>'JOUR 1'!D20+'JOUR 2'!D20+'JOUR 3'!D20+'JOUR 4'!D20+'JOUR 5'!D20+'JOUR 6'!D20+'JOUR 7'!D20+'JOUR 8'!D20+'JOUR 9'!D20+'JOUR 10'!D20+'JOUR 11'!D20+'JOUR 12'!D20+'JOUR 13'!D20+'JOUR 14'!D20+#REF!+#REF!</f>
        <v>#REF!</v>
      </c>
      <c r="E20" s="17" t="e">
        <f>'JOUR 1'!E20+'JOUR 2'!E20+'JOUR 3'!E20+'JOUR 4'!E20+'JOUR 5'!E20+'JOUR 6'!E20+'JOUR 7'!E20+'JOUR 8'!E20+'JOUR 9'!E20+'JOUR 10'!E20+'JOUR 11'!E20+'JOUR 12'!E20+'JOUR 13'!E20+'JOUR 14'!E20+#REF!+#REF!</f>
        <v>#REF!</v>
      </c>
      <c r="F20" s="17" t="e">
        <f>'JOUR 1'!F20+'JOUR 2'!F20+'JOUR 3'!F20+'JOUR 4'!F20+'JOUR 5'!F20+'JOUR 6'!F20+'JOUR 7'!F20+'JOUR 8'!F20+'JOUR 9'!F20+'JOUR 10'!F20+'JOUR 11'!F20+'JOUR 12'!F20+'JOUR 13'!F20+'JOUR 14'!F20+#REF!+#REF!</f>
        <v>#REF!</v>
      </c>
      <c r="G20" s="17" t="e">
        <f>'JOUR 1'!G20+'JOUR 2'!G20+'JOUR 3'!G20+'JOUR 4'!G20+'JOUR 5'!G20+'JOUR 6'!G20+'JOUR 7'!G20+'JOUR 8'!G20+'JOUR 9'!G20+'JOUR 10'!G20+'JOUR 11'!G20+'JOUR 12'!G20+'JOUR 13'!G20+'JOUR 14'!G20+#REF!+#REF!</f>
        <v>#REF!</v>
      </c>
      <c r="H20" s="17" t="e">
        <f>'JOUR 1'!H20+'JOUR 2'!H20+'JOUR 3'!H20+'JOUR 4'!H20+'JOUR 5'!H20+'JOUR 6'!H20+'JOUR 7'!H20+'JOUR 8'!H20+'JOUR 9'!H20+'JOUR 10'!H20+'JOUR 11'!H20+'JOUR 12'!H20+'JOUR 13'!H20+'JOUR 14'!H20+#REF!+#REF!</f>
        <v>#REF!</v>
      </c>
      <c r="I20" s="17" t="e">
        <f>'JOUR 1'!I20+'JOUR 2'!I20+'JOUR 3'!I20+'JOUR 4'!I20+'JOUR 5'!I20+'JOUR 6'!I20+'JOUR 7'!I20+'JOUR 8'!I20+'JOUR 9'!I20+'JOUR 10'!I20+'JOUR 11'!I20+'JOUR 12'!I20+'JOUR 13'!I20+'JOUR 14'!I20+#REF!+#REF!</f>
        <v>#REF!</v>
      </c>
      <c r="J20" s="17" t="e">
        <f>'JOUR 1'!J20+'JOUR 2'!J20+'JOUR 3'!J20+'JOUR 4'!J20+'JOUR 5'!J20+'JOUR 6'!J20+'JOUR 7'!J20+'JOUR 8'!J20+'JOUR 9'!J20+'JOUR 10'!J20+'JOUR 11'!J20+'JOUR 12'!J20+'JOUR 13'!J20+'JOUR 14'!J20+#REF!+#REF!</f>
        <v>#REF!</v>
      </c>
      <c r="K20" s="17" t="e">
        <f>'JOUR 1'!K20+'JOUR 2'!K20+'JOUR 3'!K20+'JOUR 4'!K20+'JOUR 5'!K20+'JOUR 6'!K20+'JOUR 7'!K20+'JOUR 8'!K20+'JOUR 9'!K20+'JOUR 10'!K20+'JOUR 11'!K20+'JOUR 12'!K20+'JOUR 13'!K20+'JOUR 14'!K20+#REF!+#REF!</f>
        <v>#REF!</v>
      </c>
      <c r="L20" s="17" t="e">
        <f>'JOUR 1'!L20+'JOUR 2'!L20+'JOUR 3'!L20+'JOUR 4'!L20+'JOUR 5'!L20+'JOUR 6'!L20+'JOUR 7'!L20+'JOUR 8'!L20+'JOUR 9'!L20+'JOUR 10'!L20+'JOUR 11'!L20+'JOUR 12'!L20+'JOUR 13'!L20+'JOUR 14'!L20+#REF!+#REF!</f>
        <v>#REF!</v>
      </c>
      <c r="M20" s="17" t="e">
        <f>'JOUR 1'!M20+'JOUR 2'!M20+'JOUR 3'!M20+'JOUR 4'!M20+'JOUR 5'!M20+'JOUR 6'!M20+'JOUR 7'!M20+'JOUR 8'!M20+'JOUR 9'!M20+'JOUR 10'!M20+'JOUR 11'!M20+'JOUR 12'!M20+'JOUR 13'!M20+'JOUR 14'!M20+#REF!+#REF!</f>
        <v>#REF!</v>
      </c>
      <c r="N20" s="17" t="e">
        <f>'JOUR 1'!N20+'JOUR 2'!N20+'JOUR 3'!N20+'JOUR 4'!N20+'JOUR 5'!N20+'JOUR 6'!N20+'JOUR 7'!N20+'JOUR 8'!N20+'JOUR 9'!N20+'JOUR 10'!N20+'JOUR 11'!N20+'JOUR 12'!N20+'JOUR 13'!N20+'JOUR 14'!N20+#REF!+#REF!</f>
        <v>#REF!</v>
      </c>
      <c r="O20" s="17" t="e">
        <f>'JOUR 1'!O20+'JOUR 2'!O20+'JOUR 3'!O20+'JOUR 4'!O20+'JOUR 5'!O20+'JOUR 6'!O20+'JOUR 7'!O20+'JOUR 8'!O20+'JOUR 9'!O20+'JOUR 10'!O20+'JOUR 11'!O20+'JOUR 12'!O20+'JOUR 13'!O20+'JOUR 14'!O20+#REF!+#REF!</f>
        <v>#REF!</v>
      </c>
      <c r="P20" s="17" t="e">
        <f>'JOUR 1'!P20+'JOUR 2'!P20+'JOUR 3'!P20+'JOUR 4'!P20+'JOUR 5'!P20+'JOUR 6'!P20+'JOUR 7'!P20+'JOUR 8'!P20+'JOUR 9'!P20+'JOUR 10'!P20+'JOUR 11'!P20+'JOUR 12'!P20+'JOUR 13'!P20+'JOUR 14'!P20+#REF!+#REF!</f>
        <v>#REF!</v>
      </c>
      <c r="Q20" s="17" t="e">
        <f>'JOUR 1'!Q20+'JOUR 2'!Q20+'JOUR 3'!Q20+'JOUR 4'!Q20+'JOUR 5'!Q20+'JOUR 6'!Q20+'JOUR 7'!Q20+'JOUR 8'!Q20+'JOUR 9'!Q20+'JOUR 10'!Q20+'JOUR 11'!Q20+'JOUR 12'!Q20+'JOUR 13'!Q20+'JOUR 14'!Q20+#REF!+#REF!</f>
        <v>#REF!</v>
      </c>
      <c r="R20" s="17" t="e">
        <f>'JOUR 1'!R20+'JOUR 2'!R20+'JOUR 3'!R20+'JOUR 4'!R20+'JOUR 5'!R20+'JOUR 6'!R20+'JOUR 7'!R20+'JOUR 8'!R20+'JOUR 9'!R20+'JOUR 10'!R20+'JOUR 11'!R20+'JOUR 12'!R20+'JOUR 13'!R20+'JOUR 14'!R20+#REF!+#REF!</f>
        <v>#REF!</v>
      </c>
      <c r="S20" s="31" t="e">
        <f>'JOUR 1'!S20+'JOUR 2'!S20+'JOUR 3'!S20+'JOUR 4'!S20+'JOUR 5'!S20+'JOUR 6'!S20+'JOUR 7'!S20+'JOUR 8'!S20+'JOUR 9'!S20+'JOUR 10'!S20+'JOUR 11'!S20+'JOUR 12'!S20+'JOUR 13'!S20+'JOUR 14'!S20+#REF!+#REF!</f>
        <v>#REF!</v>
      </c>
      <c r="T20" s="31" t="e">
        <f>'JOUR 1'!T20+'JOUR 2'!T20+'JOUR 3'!T20+'JOUR 4'!T20+'JOUR 5'!T20+'JOUR 6'!T20+'JOUR 7'!T20+'JOUR 8'!T20+'JOUR 9'!T20+'JOUR 10'!T20+'JOUR 11'!T20+'JOUR 12'!T20+'JOUR 13'!T20+'JOUR 14'!T20+#REF!+#REF!</f>
        <v>#REF!</v>
      </c>
      <c r="U20" s="31" t="e">
        <f>'JOUR 1'!U20+'JOUR 2'!U20+'JOUR 3'!U20+'JOUR 4'!U20+'JOUR 5'!U20+'JOUR 6'!U20+'JOUR 7'!U20+'JOUR 8'!U20+'JOUR 9'!U20+'JOUR 10'!U20+'JOUR 11'!U20+'JOUR 12'!U20+'JOUR 13'!U20+'JOUR 14'!U20+#REF!+#REF!</f>
        <v>#REF!</v>
      </c>
      <c r="V20" s="32" t="e">
        <f>'JOUR 1'!V20+'JOUR 2'!V20+'JOUR 3'!V20+'JOUR 4'!V20+'JOUR 5'!V20+'JOUR 6'!V20+'JOUR 7'!V20+'JOUR 8'!V20+'JOUR 9'!V20+'JOUR 10'!V20+'JOUR 11'!V20+'JOUR 12'!V20+'JOUR 13'!V20+'JOUR 14'!V20+#REF!+#REF!</f>
        <v>#REF!</v>
      </c>
      <c r="W20" s="32" t="e">
        <f>'JOUR 1'!W20+'JOUR 2'!W20+'JOUR 3'!W20+'JOUR 4'!W20+'JOUR 5'!W20+'JOUR 6'!W20+'JOUR 7'!W20+'JOUR 8'!W20+'JOUR 9'!W20+'JOUR 10'!W20+'JOUR 11'!W20+'JOUR 12'!W20+'JOUR 13'!W20+'JOUR 14'!W20+#REF!+#REF!</f>
        <v>#REF!</v>
      </c>
      <c r="X20" s="32" t="e">
        <f>'JOUR 1'!X20+'JOUR 2'!X20+'JOUR 3'!X20+'JOUR 4'!X20+'JOUR 5'!X20+'JOUR 6'!X20+'JOUR 7'!X20+'JOUR 8'!X20+'JOUR 9'!X20+'JOUR 10'!X20+'JOUR 11'!X20+'JOUR 12'!X20+'JOUR 13'!X20+'JOUR 14'!X20+#REF!+#REF!</f>
        <v>#REF!</v>
      </c>
      <c r="Y20" s="75" t="e">
        <f>'JOUR 1'!Y20+'JOUR 2'!Y20+'JOUR 3'!Y20+'JOUR 4'!Y20+'JOUR 5'!Y20+'JOUR 6'!Y20+'JOUR 7'!Y20+'JOUR 8'!Y20+'JOUR 9'!Y20+'JOUR 10'!Y20+'JOUR 11'!Y20+'JOUR 12'!Y20+'JOUR 13'!Y20+'JOUR 14'!Y20+#REF!+#REF!</f>
        <v>#REF!</v>
      </c>
      <c r="Z20" s="33" t="e">
        <f>'JOUR 1'!Z20+'JOUR 2'!Z20+'JOUR 3'!Z20+'JOUR 4'!Z20+'JOUR 5'!Z20+'JOUR 6'!Z20+'JOUR 7'!Z20+'JOUR 8'!Z20+'JOUR 9'!Z20+'JOUR 10'!Z20+'JOUR 11'!Z20+'JOUR 12'!Z20+'JOUR 13'!Z20+'JOUR 14'!Z20+#REF!+#REF!</f>
        <v>#REF!</v>
      </c>
      <c r="AA20" s="34" t="e">
        <f>'JOUR 1'!AA20+'JOUR 2'!AA20+'JOUR 3'!AA20+'JOUR 4'!AA20+'JOUR 5'!AA20+'JOUR 6'!AA20+'JOUR 7'!AA20+'JOUR 8'!AA20+'JOUR 9'!AA20+'JOUR 10'!AA20+'JOUR 11'!AA20+'JOUR 12'!AA20+'JOUR 13'!AA20+'JOUR 14'!AA20+#REF!+#REF!</f>
        <v>#REF!</v>
      </c>
      <c r="AB20" s="34" t="e">
        <f>'JOUR 1'!AB20+'JOUR 2'!AB20+'JOUR 3'!AB20+'JOUR 4'!AB20+'JOUR 5'!AB20+'JOUR 6'!AB20+'JOUR 7'!AB20+'JOUR 8'!AB20+'JOUR 9'!AB20+'JOUR 10'!AB20+'JOUR 11'!AB20+'JOUR 12'!AB20+'JOUR 13'!AB20+'JOUR 14'!AB20+#REF!+#REF!</f>
        <v>#REF!</v>
      </c>
      <c r="AC20" s="34" t="e">
        <f>'JOUR 1'!AC20+'JOUR 2'!AC20+'JOUR 3'!AC20+'JOUR 4'!AC20+'JOUR 5'!AC20+'JOUR 6'!AC20+'JOUR 7'!AC20+'JOUR 8'!AC20+'JOUR 9'!AC20+'JOUR 10'!AC20+'JOUR 11'!AC20+'JOUR 12'!AC20+'JOUR 13'!AC20+'JOUR 14'!AC20+#REF!+#REF!</f>
        <v>#REF!</v>
      </c>
      <c r="AD20" s="35" t="e">
        <f>'JOUR 1'!AD20+'JOUR 2'!AD20+'JOUR 3'!AD20+'JOUR 4'!AD20+'JOUR 5'!AD20+'JOUR 6'!AD20+'JOUR 7'!AD20+'JOUR 8'!AD20+'JOUR 9'!AD20+'JOUR 10'!AD20+'JOUR 11'!AD20+'JOUR 12'!AD20+'JOUR 13'!AD20+'JOUR 14'!AD20+#REF!+#REF!</f>
        <v>#REF!</v>
      </c>
      <c r="AE20" s="34" t="e">
        <f>'JOUR 1'!AE20+'JOUR 2'!AE20+'JOUR 3'!AE20+'JOUR 4'!AE20+'JOUR 5'!AE20+'JOUR 6'!AE20+'JOUR 7'!AE20+'JOUR 8'!AE20+'JOUR 9'!AE20+'JOUR 10'!AE20+'JOUR 11'!AE20+'JOUR 12'!AE20+'JOUR 13'!AE20+'JOUR 14'!AE20+#REF!+#REF!</f>
        <v>#REF!</v>
      </c>
      <c r="AF20" s="34" t="e">
        <f>'JOUR 1'!AF20+'JOUR 2'!AF20+'JOUR 3'!AF20+'JOUR 4'!AF20+'JOUR 5'!AF20+'JOUR 6'!AF20+'JOUR 7'!AF20+'JOUR 8'!AF20+'JOUR 9'!AF20+'JOUR 10'!AF20+'JOUR 11'!AF20+'JOUR 12'!AF20+'JOUR 13'!AF20+'JOUR 14'!AF20+#REF!+#REF!</f>
        <v>#REF!</v>
      </c>
      <c r="AG20" s="34" t="e">
        <f>'JOUR 1'!AG20+'JOUR 2'!AG20+'JOUR 3'!AG20+'JOUR 4'!AG20+'JOUR 5'!AG20+'JOUR 6'!AG20+'JOUR 7'!AG20+'JOUR 8'!AG20+'JOUR 9'!AG20+'JOUR 10'!AG20+'JOUR 11'!AG20+'JOUR 12'!AG20+'JOUR 13'!AG20+'JOUR 14'!AG20+#REF!+#REF!</f>
        <v>#REF!</v>
      </c>
      <c r="AH20" s="21"/>
      <c r="AI20" s="22"/>
      <c r="AK20" s="87" t="e">
        <f t="shared" si="1"/>
        <v>#REF!</v>
      </c>
      <c r="AL20" s="87" t="e">
        <f t="shared" si="0"/>
        <v>#REF!</v>
      </c>
      <c r="AM20" s="87" t="e">
        <f t="shared" si="0"/>
        <v>#REF!</v>
      </c>
      <c r="AN20" s="87" t="e">
        <f t="shared" si="0"/>
        <v>#REF!</v>
      </c>
      <c r="AO20" s="87" t="e">
        <f t="shared" si="0"/>
        <v>#REF!</v>
      </c>
      <c r="AP20" s="87"/>
      <c r="AQ20" s="87"/>
      <c r="AR20" s="87"/>
      <c r="AS20" s="87" t="e">
        <f t="shared" si="0"/>
        <v>#REF!</v>
      </c>
      <c r="AT20" s="87"/>
      <c r="AU20" s="87"/>
      <c r="AV20" s="87"/>
      <c r="AW20" s="87"/>
      <c r="AX20" s="87"/>
      <c r="AY20" s="89"/>
    </row>
    <row r="21" spans="2:51" ht="17.399999999999999" x14ac:dyDescent="0.25">
      <c r="B21" s="16" t="s">
        <v>45</v>
      </c>
      <c r="C21" s="16" t="s">
        <v>61</v>
      </c>
      <c r="D21" s="17" t="e">
        <f>'JOUR 1'!D21+'JOUR 2'!D21+'JOUR 3'!D21+'JOUR 4'!D21+'JOUR 5'!D21+'JOUR 6'!D21+'JOUR 7'!D21+'JOUR 8'!D21+'JOUR 9'!D21+'JOUR 10'!D21+'JOUR 11'!D21+'JOUR 12'!D21+'JOUR 13'!D21+'JOUR 14'!D21+#REF!+#REF!</f>
        <v>#REF!</v>
      </c>
      <c r="E21" s="17" t="e">
        <f>'JOUR 1'!E21+'JOUR 2'!E21+'JOUR 3'!E21+'JOUR 4'!E21+'JOUR 5'!E21+'JOUR 6'!E21+'JOUR 7'!E21+'JOUR 8'!E21+'JOUR 9'!E21+'JOUR 10'!E21+'JOUR 11'!E21+'JOUR 12'!E21+'JOUR 13'!E21+'JOUR 14'!E21+#REF!+#REF!</f>
        <v>#REF!</v>
      </c>
      <c r="F21" s="17" t="e">
        <f>'JOUR 1'!F21+'JOUR 2'!F21+'JOUR 3'!F21+'JOUR 4'!F21+'JOUR 5'!F21+'JOUR 6'!F21+'JOUR 7'!F21+'JOUR 8'!F21+'JOUR 9'!F21+'JOUR 10'!F21+'JOUR 11'!F21+'JOUR 12'!F21+'JOUR 13'!F21+'JOUR 14'!F21+#REF!+#REF!</f>
        <v>#REF!</v>
      </c>
      <c r="G21" s="17" t="e">
        <f>'JOUR 1'!G21+'JOUR 2'!G21+'JOUR 3'!G21+'JOUR 4'!G21+'JOUR 5'!G21+'JOUR 6'!G21+'JOUR 7'!G21+'JOUR 8'!G21+'JOUR 9'!G21+'JOUR 10'!G21+'JOUR 11'!G21+'JOUR 12'!G21+'JOUR 13'!G21+'JOUR 14'!G21+#REF!+#REF!</f>
        <v>#REF!</v>
      </c>
      <c r="H21" s="17" t="e">
        <f>'JOUR 1'!H21+'JOUR 2'!H21+'JOUR 3'!H21+'JOUR 4'!H21+'JOUR 5'!H21+'JOUR 6'!H21+'JOUR 7'!H21+'JOUR 8'!H21+'JOUR 9'!H21+'JOUR 10'!H21+'JOUR 11'!H21+'JOUR 12'!H21+'JOUR 13'!H21+'JOUR 14'!H21+#REF!+#REF!</f>
        <v>#REF!</v>
      </c>
      <c r="I21" s="17" t="e">
        <f>'JOUR 1'!I21+'JOUR 2'!I21+'JOUR 3'!I21+'JOUR 4'!I21+'JOUR 5'!I21+'JOUR 6'!I21+'JOUR 7'!I21+'JOUR 8'!I21+'JOUR 9'!I21+'JOUR 10'!I21+'JOUR 11'!I21+'JOUR 12'!I21+'JOUR 13'!I21+'JOUR 14'!I21+#REF!+#REF!</f>
        <v>#REF!</v>
      </c>
      <c r="J21" s="17" t="e">
        <f>'JOUR 1'!J21+'JOUR 2'!J21+'JOUR 3'!J21+'JOUR 4'!J21+'JOUR 5'!J21+'JOUR 6'!J21+'JOUR 7'!J21+'JOUR 8'!J21+'JOUR 9'!J21+'JOUR 10'!J21+'JOUR 11'!J21+'JOUR 12'!J21+'JOUR 13'!J21+'JOUR 14'!J21+#REF!+#REF!</f>
        <v>#REF!</v>
      </c>
      <c r="K21" s="17" t="e">
        <f>'JOUR 1'!K21+'JOUR 2'!K21+'JOUR 3'!K21+'JOUR 4'!K21+'JOUR 5'!K21+'JOUR 6'!K21+'JOUR 7'!K21+'JOUR 8'!K21+'JOUR 9'!K21+'JOUR 10'!K21+'JOUR 11'!K21+'JOUR 12'!K21+'JOUR 13'!K21+'JOUR 14'!K21+#REF!+#REF!</f>
        <v>#REF!</v>
      </c>
      <c r="L21" s="17" t="e">
        <f>'JOUR 1'!L21+'JOUR 2'!L21+'JOUR 3'!L21+'JOUR 4'!L21+'JOUR 5'!L21+'JOUR 6'!L21+'JOUR 7'!L21+'JOUR 8'!L21+'JOUR 9'!L21+'JOUR 10'!L21+'JOUR 11'!L21+'JOUR 12'!L21+'JOUR 13'!L21+'JOUR 14'!L21+#REF!+#REF!</f>
        <v>#REF!</v>
      </c>
      <c r="M21" s="17" t="e">
        <f>'JOUR 1'!M21+'JOUR 2'!M21+'JOUR 3'!M21+'JOUR 4'!M21+'JOUR 5'!M21+'JOUR 6'!M21+'JOUR 7'!M21+'JOUR 8'!M21+'JOUR 9'!M21+'JOUR 10'!M21+'JOUR 11'!M21+'JOUR 12'!M21+'JOUR 13'!M21+'JOUR 14'!M21+#REF!+#REF!</f>
        <v>#REF!</v>
      </c>
      <c r="N21" s="17" t="e">
        <f>'JOUR 1'!N21+'JOUR 2'!N21+'JOUR 3'!N21+'JOUR 4'!N21+'JOUR 5'!N21+'JOUR 6'!N21+'JOUR 7'!N21+'JOUR 8'!N21+'JOUR 9'!N21+'JOUR 10'!N21+'JOUR 11'!N21+'JOUR 12'!N21+'JOUR 13'!N21+'JOUR 14'!N21+#REF!+#REF!</f>
        <v>#REF!</v>
      </c>
      <c r="O21" s="17" t="e">
        <f>'JOUR 1'!O21+'JOUR 2'!O21+'JOUR 3'!O21+'JOUR 4'!O21+'JOUR 5'!O21+'JOUR 6'!O21+'JOUR 7'!O21+'JOUR 8'!O21+'JOUR 9'!O21+'JOUR 10'!O21+'JOUR 11'!O21+'JOUR 12'!O21+'JOUR 13'!O21+'JOUR 14'!O21+#REF!+#REF!</f>
        <v>#REF!</v>
      </c>
      <c r="P21" s="17" t="e">
        <f>'JOUR 1'!P21+'JOUR 2'!P21+'JOUR 3'!P21+'JOUR 4'!P21+'JOUR 5'!P21+'JOUR 6'!P21+'JOUR 7'!P21+'JOUR 8'!P21+'JOUR 9'!P21+'JOUR 10'!P21+'JOUR 11'!P21+'JOUR 12'!P21+'JOUR 13'!P21+'JOUR 14'!P21+#REF!+#REF!</f>
        <v>#REF!</v>
      </c>
      <c r="Q21" s="17" t="e">
        <f>'JOUR 1'!Q21+'JOUR 2'!Q21+'JOUR 3'!Q21+'JOUR 4'!Q21+'JOUR 5'!Q21+'JOUR 6'!Q21+'JOUR 7'!Q21+'JOUR 8'!Q21+'JOUR 9'!Q21+'JOUR 10'!Q21+'JOUR 11'!Q21+'JOUR 12'!Q21+'JOUR 13'!Q21+'JOUR 14'!Q21+#REF!+#REF!</f>
        <v>#REF!</v>
      </c>
      <c r="R21" s="17" t="e">
        <f>'JOUR 1'!R21+'JOUR 2'!R21+'JOUR 3'!R21+'JOUR 4'!R21+'JOUR 5'!R21+'JOUR 6'!R21+'JOUR 7'!R21+'JOUR 8'!R21+'JOUR 9'!R21+'JOUR 10'!R21+'JOUR 11'!R21+'JOUR 12'!R21+'JOUR 13'!R21+'JOUR 14'!R21+#REF!+#REF!</f>
        <v>#REF!</v>
      </c>
      <c r="S21" s="31" t="e">
        <f>'JOUR 1'!S21+'JOUR 2'!S21+'JOUR 3'!S21+'JOUR 4'!S21+'JOUR 5'!S21+'JOUR 6'!S21+'JOUR 7'!S21+'JOUR 8'!S21+'JOUR 9'!S21+'JOUR 10'!S21+'JOUR 11'!S21+'JOUR 12'!S21+'JOUR 13'!S21+'JOUR 14'!S21+#REF!+#REF!</f>
        <v>#REF!</v>
      </c>
      <c r="T21" s="31" t="e">
        <f>'JOUR 1'!T21+'JOUR 2'!T21+'JOUR 3'!T21+'JOUR 4'!T21+'JOUR 5'!T21+'JOUR 6'!T21+'JOUR 7'!T21+'JOUR 8'!T21+'JOUR 9'!T21+'JOUR 10'!T21+'JOUR 11'!T21+'JOUR 12'!T21+'JOUR 13'!T21+'JOUR 14'!T21+#REF!+#REF!</f>
        <v>#REF!</v>
      </c>
      <c r="U21" s="31" t="e">
        <f>'JOUR 1'!U21+'JOUR 2'!U21+'JOUR 3'!U21+'JOUR 4'!U21+'JOUR 5'!U21+'JOUR 6'!U21+'JOUR 7'!U21+'JOUR 8'!U21+'JOUR 9'!U21+'JOUR 10'!U21+'JOUR 11'!U21+'JOUR 12'!U21+'JOUR 13'!U21+'JOUR 14'!U21+#REF!+#REF!</f>
        <v>#REF!</v>
      </c>
      <c r="V21" s="32" t="e">
        <f>'JOUR 1'!V21+'JOUR 2'!V21+'JOUR 3'!V21+'JOUR 4'!V21+'JOUR 5'!V21+'JOUR 6'!V21+'JOUR 7'!V21+'JOUR 8'!V21+'JOUR 9'!V21+'JOUR 10'!V21+'JOUR 11'!V21+'JOUR 12'!V21+'JOUR 13'!V21+'JOUR 14'!V21+#REF!+#REF!</f>
        <v>#REF!</v>
      </c>
      <c r="W21" s="32" t="e">
        <f>'JOUR 1'!W21+'JOUR 2'!W21+'JOUR 3'!W21+'JOUR 4'!W21+'JOUR 5'!W21+'JOUR 6'!W21+'JOUR 7'!W21+'JOUR 8'!W21+'JOUR 9'!W21+'JOUR 10'!W21+'JOUR 11'!W21+'JOUR 12'!W21+'JOUR 13'!W21+'JOUR 14'!W21+#REF!+#REF!</f>
        <v>#REF!</v>
      </c>
      <c r="X21" s="32" t="e">
        <f>'JOUR 1'!X21+'JOUR 2'!X21+'JOUR 3'!X21+'JOUR 4'!X21+'JOUR 5'!X21+'JOUR 6'!X21+'JOUR 7'!X21+'JOUR 8'!X21+'JOUR 9'!X21+'JOUR 10'!X21+'JOUR 11'!X21+'JOUR 12'!X21+'JOUR 13'!X21+'JOUR 14'!X21+#REF!+#REF!</f>
        <v>#REF!</v>
      </c>
      <c r="Y21" s="75" t="e">
        <f>'JOUR 1'!Y21+'JOUR 2'!Y21+'JOUR 3'!Y21+'JOUR 4'!Y21+'JOUR 5'!Y21+'JOUR 6'!Y21+'JOUR 7'!Y21+'JOUR 8'!Y21+'JOUR 9'!Y21+'JOUR 10'!Y21+'JOUR 11'!Y21+'JOUR 12'!Y21+'JOUR 13'!Y21+'JOUR 14'!Y21+#REF!+#REF!</f>
        <v>#REF!</v>
      </c>
      <c r="Z21" s="33" t="e">
        <f>'JOUR 1'!Z21+'JOUR 2'!Z21+'JOUR 3'!Z21+'JOUR 4'!Z21+'JOUR 5'!Z21+'JOUR 6'!Z21+'JOUR 7'!Z21+'JOUR 8'!Z21+'JOUR 9'!Z21+'JOUR 10'!Z21+'JOUR 11'!Z21+'JOUR 12'!Z21+'JOUR 13'!Z21+'JOUR 14'!Z21+#REF!+#REF!</f>
        <v>#REF!</v>
      </c>
      <c r="AA21" s="34" t="e">
        <f>'JOUR 1'!AA21+'JOUR 2'!AA21+'JOUR 3'!AA21+'JOUR 4'!AA21+'JOUR 5'!AA21+'JOUR 6'!AA21+'JOUR 7'!AA21+'JOUR 8'!AA21+'JOUR 9'!AA21+'JOUR 10'!AA21+'JOUR 11'!AA21+'JOUR 12'!AA21+'JOUR 13'!AA21+'JOUR 14'!AA21+#REF!+#REF!</f>
        <v>#REF!</v>
      </c>
      <c r="AB21" s="34" t="e">
        <f>'JOUR 1'!AB21+'JOUR 2'!AB21+'JOUR 3'!AB21+'JOUR 4'!AB21+'JOUR 5'!AB21+'JOUR 6'!AB21+'JOUR 7'!AB21+'JOUR 8'!AB21+'JOUR 9'!AB21+'JOUR 10'!AB21+'JOUR 11'!AB21+'JOUR 12'!AB21+'JOUR 13'!AB21+'JOUR 14'!AB21+#REF!+#REF!</f>
        <v>#REF!</v>
      </c>
      <c r="AC21" s="34" t="e">
        <f>'JOUR 1'!AC21+'JOUR 2'!AC21+'JOUR 3'!AC21+'JOUR 4'!AC21+'JOUR 5'!AC21+'JOUR 6'!AC21+'JOUR 7'!AC21+'JOUR 8'!AC21+'JOUR 9'!AC21+'JOUR 10'!AC21+'JOUR 11'!AC21+'JOUR 12'!AC21+'JOUR 13'!AC21+'JOUR 14'!AC21+#REF!+#REF!</f>
        <v>#REF!</v>
      </c>
      <c r="AD21" s="35" t="e">
        <f>'JOUR 1'!AD21+'JOUR 2'!AD21+'JOUR 3'!AD21+'JOUR 4'!AD21+'JOUR 5'!AD21+'JOUR 6'!AD21+'JOUR 7'!AD21+'JOUR 8'!AD21+'JOUR 9'!AD21+'JOUR 10'!AD21+'JOUR 11'!AD21+'JOUR 12'!AD21+'JOUR 13'!AD21+'JOUR 14'!AD21+#REF!+#REF!</f>
        <v>#REF!</v>
      </c>
      <c r="AE21" s="34" t="e">
        <f>'JOUR 1'!AE21+'JOUR 2'!AE21+'JOUR 3'!AE21+'JOUR 4'!AE21+'JOUR 5'!AE21+'JOUR 6'!AE21+'JOUR 7'!AE21+'JOUR 8'!AE21+'JOUR 9'!AE21+'JOUR 10'!AE21+'JOUR 11'!AE21+'JOUR 12'!AE21+'JOUR 13'!AE21+'JOUR 14'!AE21+#REF!+#REF!</f>
        <v>#REF!</v>
      </c>
      <c r="AF21" s="34" t="e">
        <f>'JOUR 1'!AF21+'JOUR 2'!AF21+'JOUR 3'!AF21+'JOUR 4'!AF21+'JOUR 5'!AF21+'JOUR 6'!AF21+'JOUR 7'!AF21+'JOUR 8'!AF21+'JOUR 9'!AF21+'JOUR 10'!AF21+'JOUR 11'!AF21+'JOUR 12'!AF21+'JOUR 13'!AF21+'JOUR 14'!AF21+#REF!+#REF!</f>
        <v>#REF!</v>
      </c>
      <c r="AG21" s="34" t="e">
        <f>'JOUR 1'!AG21+'JOUR 2'!AG21+'JOUR 3'!AG21+'JOUR 4'!AG21+'JOUR 5'!AG21+'JOUR 6'!AG21+'JOUR 7'!AG21+'JOUR 8'!AG21+'JOUR 9'!AG21+'JOUR 10'!AG21+'JOUR 11'!AG21+'JOUR 12'!AG21+'JOUR 13'!AG21+'JOUR 14'!AG21+#REF!+#REF!</f>
        <v>#REF!</v>
      </c>
      <c r="AH21" s="21"/>
      <c r="AI21" s="22"/>
      <c r="AK21" s="87" t="e">
        <f t="shared" si="1"/>
        <v>#REF!</v>
      </c>
      <c r="AL21" s="87" t="e">
        <f t="shared" si="1"/>
        <v>#REF!</v>
      </c>
      <c r="AM21" s="87" t="e">
        <f t="shared" si="1"/>
        <v>#REF!</v>
      </c>
      <c r="AN21" s="87" t="e">
        <f t="shared" si="1"/>
        <v>#REF!</v>
      </c>
      <c r="AO21" s="87" t="e">
        <f t="shared" si="1"/>
        <v>#REF!</v>
      </c>
      <c r="AP21" s="87"/>
      <c r="AQ21" s="87"/>
      <c r="AR21" s="87"/>
      <c r="AS21" s="87" t="e">
        <f t="shared" ref="AS21:AS55" si="2">AA21/L21</f>
        <v>#REF!</v>
      </c>
      <c r="AT21" s="87"/>
      <c r="AU21" s="87"/>
      <c r="AV21" s="87"/>
      <c r="AW21" s="87"/>
      <c r="AX21" s="87"/>
      <c r="AY21" s="89"/>
    </row>
    <row r="22" spans="2:51" ht="17.399999999999999" x14ac:dyDescent="0.25">
      <c r="B22" s="16" t="s">
        <v>45</v>
      </c>
      <c r="C22" s="16" t="s">
        <v>62</v>
      </c>
      <c r="D22" s="17" t="e">
        <f>'JOUR 1'!D22+'JOUR 2'!D22+'JOUR 3'!D22+'JOUR 4'!D22+'JOUR 5'!D22+'JOUR 6'!D22+'JOUR 7'!D22+'JOUR 8'!D22+'JOUR 9'!D22+'JOUR 10'!D22+'JOUR 11'!D22+'JOUR 12'!D22+'JOUR 13'!D22+'JOUR 14'!D22+#REF!+#REF!</f>
        <v>#REF!</v>
      </c>
      <c r="E22" s="17" t="e">
        <f>'JOUR 1'!E22+'JOUR 2'!E22+'JOUR 3'!E22+'JOUR 4'!E22+'JOUR 5'!E22+'JOUR 6'!E22+'JOUR 7'!E22+'JOUR 8'!E22+'JOUR 9'!E22+'JOUR 10'!E22+'JOUR 11'!E22+'JOUR 12'!E22+'JOUR 13'!E22+'JOUR 14'!E22+#REF!+#REF!</f>
        <v>#REF!</v>
      </c>
      <c r="F22" s="17" t="e">
        <f>'JOUR 1'!F22+'JOUR 2'!F22+'JOUR 3'!F22+'JOUR 4'!F22+'JOUR 5'!F22+'JOUR 6'!F22+'JOUR 7'!F22+'JOUR 8'!F22+'JOUR 9'!F22+'JOUR 10'!F22+'JOUR 11'!F22+'JOUR 12'!F22+'JOUR 13'!F22+'JOUR 14'!F22+#REF!+#REF!</f>
        <v>#REF!</v>
      </c>
      <c r="G22" s="17" t="e">
        <f>'JOUR 1'!G22+'JOUR 2'!G22+'JOUR 3'!G22+'JOUR 4'!G22+'JOUR 5'!G22+'JOUR 6'!G22+'JOUR 7'!G22+'JOUR 8'!G22+'JOUR 9'!G22+'JOUR 10'!G22+'JOUR 11'!G22+'JOUR 12'!G22+'JOUR 13'!G22+'JOUR 14'!G22+#REF!+#REF!</f>
        <v>#REF!</v>
      </c>
      <c r="H22" s="17" t="e">
        <f>'JOUR 1'!H22+'JOUR 2'!H22+'JOUR 3'!H22+'JOUR 4'!H22+'JOUR 5'!H22+'JOUR 6'!H22+'JOUR 7'!H22+'JOUR 8'!H22+'JOUR 9'!H22+'JOUR 10'!H22+'JOUR 11'!H22+'JOUR 12'!H22+'JOUR 13'!H22+'JOUR 14'!H22+#REF!+#REF!</f>
        <v>#REF!</v>
      </c>
      <c r="I22" s="17" t="e">
        <f>'JOUR 1'!I22+'JOUR 2'!I22+'JOUR 3'!I22+'JOUR 4'!I22+'JOUR 5'!I22+'JOUR 6'!I22+'JOUR 7'!I22+'JOUR 8'!I22+'JOUR 9'!I22+'JOUR 10'!I22+'JOUR 11'!I22+'JOUR 12'!I22+'JOUR 13'!I22+'JOUR 14'!I22+#REF!+#REF!</f>
        <v>#REF!</v>
      </c>
      <c r="J22" s="17" t="e">
        <f>'JOUR 1'!J22+'JOUR 2'!J22+'JOUR 3'!J22+'JOUR 4'!J22+'JOUR 5'!J22+'JOUR 6'!J22+'JOUR 7'!J22+'JOUR 8'!J22+'JOUR 9'!J22+'JOUR 10'!J22+'JOUR 11'!J22+'JOUR 12'!J22+'JOUR 13'!J22+'JOUR 14'!J22+#REF!+#REF!</f>
        <v>#REF!</v>
      </c>
      <c r="K22" s="17" t="e">
        <f>'JOUR 1'!K22+'JOUR 2'!K22+'JOUR 3'!K22+'JOUR 4'!K22+'JOUR 5'!K22+'JOUR 6'!K22+'JOUR 7'!K22+'JOUR 8'!K22+'JOUR 9'!K22+'JOUR 10'!K22+'JOUR 11'!K22+'JOUR 12'!K22+'JOUR 13'!K22+'JOUR 14'!K22+#REF!+#REF!</f>
        <v>#REF!</v>
      </c>
      <c r="L22" s="17" t="e">
        <f>'JOUR 1'!L22+'JOUR 2'!L22+'JOUR 3'!L22+'JOUR 4'!L22+'JOUR 5'!L22+'JOUR 6'!L22+'JOUR 7'!L22+'JOUR 8'!L22+'JOUR 9'!L22+'JOUR 10'!L22+'JOUR 11'!L22+'JOUR 12'!L22+'JOUR 13'!L22+'JOUR 14'!L22+#REF!+#REF!</f>
        <v>#REF!</v>
      </c>
      <c r="M22" s="17" t="e">
        <f>'JOUR 1'!M22+'JOUR 2'!M22+'JOUR 3'!M22+'JOUR 4'!M22+'JOUR 5'!M22+'JOUR 6'!M22+'JOUR 7'!M22+'JOUR 8'!M22+'JOUR 9'!M22+'JOUR 10'!M22+'JOUR 11'!M22+'JOUR 12'!M22+'JOUR 13'!M22+'JOUR 14'!M22+#REF!+#REF!</f>
        <v>#REF!</v>
      </c>
      <c r="N22" s="17" t="e">
        <f>'JOUR 1'!N22+'JOUR 2'!N22+'JOUR 3'!N22+'JOUR 4'!N22+'JOUR 5'!N22+'JOUR 6'!N22+'JOUR 7'!N22+'JOUR 8'!N22+'JOUR 9'!N22+'JOUR 10'!N22+'JOUR 11'!N22+'JOUR 12'!N22+'JOUR 13'!N22+'JOUR 14'!N22+#REF!+#REF!</f>
        <v>#REF!</v>
      </c>
      <c r="O22" s="17" t="e">
        <f>'JOUR 1'!O22+'JOUR 2'!O22+'JOUR 3'!O22+'JOUR 4'!O22+'JOUR 5'!O22+'JOUR 6'!O22+'JOUR 7'!O22+'JOUR 8'!O22+'JOUR 9'!O22+'JOUR 10'!O22+'JOUR 11'!O22+'JOUR 12'!O22+'JOUR 13'!O22+'JOUR 14'!O22+#REF!+#REF!</f>
        <v>#REF!</v>
      </c>
      <c r="P22" s="17" t="e">
        <f>'JOUR 1'!P22+'JOUR 2'!P22+'JOUR 3'!P22+'JOUR 4'!P22+'JOUR 5'!P22+'JOUR 6'!P22+'JOUR 7'!P22+'JOUR 8'!P22+'JOUR 9'!P22+'JOUR 10'!P22+'JOUR 11'!P22+'JOUR 12'!P22+'JOUR 13'!P22+'JOUR 14'!P22+#REF!+#REF!</f>
        <v>#REF!</v>
      </c>
      <c r="Q22" s="17" t="e">
        <f>'JOUR 1'!Q22+'JOUR 2'!Q22+'JOUR 3'!Q22+'JOUR 4'!Q22+'JOUR 5'!Q22+'JOUR 6'!Q22+'JOUR 7'!Q22+'JOUR 8'!Q22+'JOUR 9'!Q22+'JOUR 10'!Q22+'JOUR 11'!Q22+'JOUR 12'!Q22+'JOUR 13'!Q22+'JOUR 14'!Q22+#REF!+#REF!</f>
        <v>#REF!</v>
      </c>
      <c r="R22" s="17" t="e">
        <f>'JOUR 1'!R22+'JOUR 2'!R22+'JOUR 3'!R22+'JOUR 4'!R22+'JOUR 5'!R22+'JOUR 6'!R22+'JOUR 7'!R22+'JOUR 8'!R22+'JOUR 9'!R22+'JOUR 10'!R22+'JOUR 11'!R22+'JOUR 12'!R22+'JOUR 13'!R22+'JOUR 14'!R22+#REF!+#REF!</f>
        <v>#REF!</v>
      </c>
      <c r="S22" s="31" t="e">
        <f>'JOUR 1'!S22+'JOUR 2'!S22+'JOUR 3'!S22+'JOUR 4'!S22+'JOUR 5'!S22+'JOUR 6'!S22+'JOUR 7'!S22+'JOUR 8'!S22+'JOUR 9'!S22+'JOUR 10'!S22+'JOUR 11'!S22+'JOUR 12'!S22+'JOUR 13'!S22+'JOUR 14'!S22+#REF!+#REF!</f>
        <v>#REF!</v>
      </c>
      <c r="T22" s="31" t="e">
        <f>'JOUR 1'!T22+'JOUR 2'!T22+'JOUR 3'!T22+'JOUR 4'!T22+'JOUR 5'!T22+'JOUR 6'!T22+'JOUR 7'!T22+'JOUR 8'!T22+'JOUR 9'!T22+'JOUR 10'!T22+'JOUR 11'!T22+'JOUR 12'!T22+'JOUR 13'!T22+'JOUR 14'!T22+#REF!+#REF!</f>
        <v>#REF!</v>
      </c>
      <c r="U22" s="31" t="e">
        <f>'JOUR 1'!U22+'JOUR 2'!U22+'JOUR 3'!U22+'JOUR 4'!U22+'JOUR 5'!U22+'JOUR 6'!U22+'JOUR 7'!U22+'JOUR 8'!U22+'JOUR 9'!U22+'JOUR 10'!U22+'JOUR 11'!U22+'JOUR 12'!U22+'JOUR 13'!U22+'JOUR 14'!U22+#REF!+#REF!</f>
        <v>#REF!</v>
      </c>
      <c r="V22" s="32" t="e">
        <f>'JOUR 1'!V22+'JOUR 2'!V22+'JOUR 3'!V22+'JOUR 4'!V22+'JOUR 5'!V22+'JOUR 6'!V22+'JOUR 7'!V22+'JOUR 8'!V22+'JOUR 9'!V22+'JOUR 10'!V22+'JOUR 11'!V22+'JOUR 12'!V22+'JOUR 13'!V22+'JOUR 14'!V22+#REF!+#REF!</f>
        <v>#REF!</v>
      </c>
      <c r="W22" s="32" t="e">
        <f>'JOUR 1'!W22+'JOUR 2'!W22+'JOUR 3'!W22+'JOUR 4'!W22+'JOUR 5'!W22+'JOUR 6'!W22+'JOUR 7'!W22+'JOUR 8'!W22+'JOUR 9'!W22+'JOUR 10'!W22+'JOUR 11'!W22+'JOUR 12'!W22+'JOUR 13'!W22+'JOUR 14'!W22+#REF!+#REF!</f>
        <v>#REF!</v>
      </c>
      <c r="X22" s="32" t="e">
        <f>'JOUR 1'!X22+'JOUR 2'!X22+'JOUR 3'!X22+'JOUR 4'!X22+'JOUR 5'!X22+'JOUR 6'!X22+'JOUR 7'!X22+'JOUR 8'!X22+'JOUR 9'!X22+'JOUR 10'!X22+'JOUR 11'!X22+'JOUR 12'!X22+'JOUR 13'!X22+'JOUR 14'!X22+#REF!+#REF!</f>
        <v>#REF!</v>
      </c>
      <c r="Y22" s="75" t="e">
        <f>'JOUR 1'!Y22+'JOUR 2'!Y22+'JOUR 3'!Y22+'JOUR 4'!Y22+'JOUR 5'!Y22+'JOUR 6'!Y22+'JOUR 7'!Y22+'JOUR 8'!Y22+'JOUR 9'!Y22+'JOUR 10'!Y22+'JOUR 11'!Y22+'JOUR 12'!Y22+'JOUR 13'!Y22+'JOUR 14'!Y22+#REF!+#REF!</f>
        <v>#REF!</v>
      </c>
      <c r="Z22" s="33" t="e">
        <f>'JOUR 1'!Z22+'JOUR 2'!Z22+'JOUR 3'!Z22+'JOUR 4'!Z22+'JOUR 5'!Z22+'JOUR 6'!Z22+'JOUR 7'!Z22+'JOUR 8'!Z22+'JOUR 9'!Z22+'JOUR 10'!Z22+'JOUR 11'!Z22+'JOUR 12'!Z22+'JOUR 13'!Z22+'JOUR 14'!Z22+#REF!+#REF!</f>
        <v>#REF!</v>
      </c>
      <c r="AA22" s="34" t="e">
        <f>'JOUR 1'!AA22+'JOUR 2'!AA22+'JOUR 3'!AA22+'JOUR 4'!AA22+'JOUR 5'!AA22+'JOUR 6'!AA22+'JOUR 7'!AA22+'JOUR 8'!AA22+'JOUR 9'!AA22+'JOUR 10'!AA22+'JOUR 11'!AA22+'JOUR 12'!AA22+'JOUR 13'!AA22+'JOUR 14'!AA22+#REF!+#REF!</f>
        <v>#REF!</v>
      </c>
      <c r="AB22" s="34" t="e">
        <f>'JOUR 1'!AB22+'JOUR 2'!AB22+'JOUR 3'!AB22+'JOUR 4'!AB22+'JOUR 5'!AB22+'JOUR 6'!AB22+'JOUR 7'!AB22+'JOUR 8'!AB22+'JOUR 9'!AB22+'JOUR 10'!AB22+'JOUR 11'!AB22+'JOUR 12'!AB22+'JOUR 13'!AB22+'JOUR 14'!AB22+#REF!+#REF!</f>
        <v>#REF!</v>
      </c>
      <c r="AC22" s="34" t="e">
        <f>'JOUR 1'!AC22+'JOUR 2'!AC22+'JOUR 3'!AC22+'JOUR 4'!AC22+'JOUR 5'!AC22+'JOUR 6'!AC22+'JOUR 7'!AC22+'JOUR 8'!AC22+'JOUR 9'!AC22+'JOUR 10'!AC22+'JOUR 11'!AC22+'JOUR 12'!AC22+'JOUR 13'!AC22+'JOUR 14'!AC22+#REF!+#REF!</f>
        <v>#REF!</v>
      </c>
      <c r="AD22" s="35" t="e">
        <f>'JOUR 1'!AD22+'JOUR 2'!AD22+'JOUR 3'!AD22+'JOUR 4'!AD22+'JOUR 5'!AD22+'JOUR 6'!AD22+'JOUR 7'!AD22+'JOUR 8'!AD22+'JOUR 9'!AD22+'JOUR 10'!AD22+'JOUR 11'!AD22+'JOUR 12'!AD22+'JOUR 13'!AD22+'JOUR 14'!AD22+#REF!+#REF!</f>
        <v>#REF!</v>
      </c>
      <c r="AE22" s="34" t="e">
        <f>'JOUR 1'!AE22+'JOUR 2'!AE22+'JOUR 3'!AE22+'JOUR 4'!AE22+'JOUR 5'!AE22+'JOUR 6'!AE22+'JOUR 7'!AE22+'JOUR 8'!AE22+'JOUR 9'!AE22+'JOUR 10'!AE22+'JOUR 11'!AE22+'JOUR 12'!AE22+'JOUR 13'!AE22+'JOUR 14'!AE22+#REF!+#REF!</f>
        <v>#REF!</v>
      </c>
      <c r="AF22" s="34" t="e">
        <f>'JOUR 1'!AF22+'JOUR 2'!AF22+'JOUR 3'!AF22+'JOUR 4'!AF22+'JOUR 5'!AF22+'JOUR 6'!AF22+'JOUR 7'!AF22+'JOUR 8'!AF22+'JOUR 9'!AF22+'JOUR 10'!AF22+'JOUR 11'!AF22+'JOUR 12'!AF22+'JOUR 13'!AF22+'JOUR 14'!AF22+#REF!+#REF!</f>
        <v>#REF!</v>
      </c>
      <c r="AG22" s="34" t="e">
        <f>'JOUR 1'!AG22+'JOUR 2'!AG22+'JOUR 3'!AG22+'JOUR 4'!AG22+'JOUR 5'!AG22+'JOUR 6'!AG22+'JOUR 7'!AG22+'JOUR 8'!AG22+'JOUR 9'!AG22+'JOUR 10'!AG22+'JOUR 11'!AG22+'JOUR 12'!AG22+'JOUR 13'!AG22+'JOUR 14'!AG22+#REF!+#REF!</f>
        <v>#REF!</v>
      </c>
      <c r="AH22" s="21"/>
      <c r="AI22" s="22"/>
      <c r="AK22" s="87" t="e">
        <f t="shared" si="1"/>
        <v>#REF!</v>
      </c>
      <c r="AL22" s="87" t="e">
        <f t="shared" si="1"/>
        <v>#REF!</v>
      </c>
      <c r="AM22" s="87" t="e">
        <f t="shared" si="1"/>
        <v>#REF!</v>
      </c>
      <c r="AN22" s="87" t="e">
        <f t="shared" si="1"/>
        <v>#REF!</v>
      </c>
      <c r="AO22" s="87" t="e">
        <f t="shared" si="1"/>
        <v>#REF!</v>
      </c>
      <c r="AP22" s="87"/>
      <c r="AQ22" s="87"/>
      <c r="AR22" s="87"/>
      <c r="AS22" s="87" t="e">
        <f t="shared" si="2"/>
        <v>#REF!</v>
      </c>
      <c r="AT22" s="87"/>
      <c r="AU22" s="87"/>
      <c r="AV22" s="87"/>
      <c r="AW22" s="87"/>
      <c r="AX22" s="87"/>
      <c r="AY22" s="89"/>
    </row>
    <row r="23" spans="2:51" ht="17.399999999999999" x14ac:dyDescent="0.25">
      <c r="B23" s="16" t="s">
        <v>45</v>
      </c>
      <c r="C23" s="16" t="s">
        <v>63</v>
      </c>
      <c r="D23" s="17" t="e">
        <f>'JOUR 1'!D23+'JOUR 2'!D23+'JOUR 3'!D23+'JOUR 4'!D23+'JOUR 5'!D23+'JOUR 6'!D23+'JOUR 7'!D23+'JOUR 8'!D23+'JOUR 9'!D23+'JOUR 10'!D23+'JOUR 11'!D23+'JOUR 12'!D23+'JOUR 13'!D23+'JOUR 14'!D23+#REF!+#REF!</f>
        <v>#REF!</v>
      </c>
      <c r="E23" s="17" t="e">
        <f>'JOUR 1'!E23+'JOUR 2'!E23+'JOUR 3'!E23+'JOUR 4'!E23+'JOUR 5'!E23+'JOUR 6'!E23+'JOUR 7'!E23+'JOUR 8'!E23+'JOUR 9'!E23+'JOUR 10'!E23+'JOUR 11'!E23+'JOUR 12'!E23+'JOUR 13'!E23+'JOUR 14'!E23+#REF!+#REF!</f>
        <v>#REF!</v>
      </c>
      <c r="F23" s="17" t="e">
        <f>'JOUR 1'!F23+'JOUR 2'!F23+'JOUR 3'!F23+'JOUR 4'!F23+'JOUR 5'!F23+'JOUR 6'!F23+'JOUR 7'!F23+'JOUR 8'!F23+'JOUR 9'!F23+'JOUR 10'!F23+'JOUR 11'!F23+'JOUR 12'!F23+'JOUR 13'!F23+'JOUR 14'!F23+#REF!+#REF!</f>
        <v>#REF!</v>
      </c>
      <c r="G23" s="17" t="e">
        <f>'JOUR 1'!G23+'JOUR 2'!G23+'JOUR 3'!G23+'JOUR 4'!G23+'JOUR 5'!G23+'JOUR 6'!G23+'JOUR 7'!G23+'JOUR 8'!G23+'JOUR 9'!G23+'JOUR 10'!G23+'JOUR 11'!G23+'JOUR 12'!G23+'JOUR 13'!G23+'JOUR 14'!G23+#REF!+#REF!</f>
        <v>#REF!</v>
      </c>
      <c r="H23" s="17" t="e">
        <f>'JOUR 1'!H23+'JOUR 2'!H23+'JOUR 3'!H23+'JOUR 4'!H23+'JOUR 5'!H23+'JOUR 6'!H23+'JOUR 7'!H23+'JOUR 8'!H23+'JOUR 9'!H23+'JOUR 10'!H23+'JOUR 11'!H23+'JOUR 12'!H23+'JOUR 13'!H23+'JOUR 14'!H23+#REF!+#REF!</f>
        <v>#REF!</v>
      </c>
      <c r="I23" s="17" t="e">
        <f>'JOUR 1'!I23+'JOUR 2'!I23+'JOUR 3'!I23+'JOUR 4'!I23+'JOUR 5'!I23+'JOUR 6'!I23+'JOUR 7'!I23+'JOUR 8'!I23+'JOUR 9'!I23+'JOUR 10'!I23+'JOUR 11'!I23+'JOUR 12'!I23+'JOUR 13'!I23+'JOUR 14'!I23+#REF!+#REF!</f>
        <v>#REF!</v>
      </c>
      <c r="J23" s="17" t="e">
        <f>'JOUR 1'!J23+'JOUR 2'!J23+'JOUR 3'!J23+'JOUR 4'!J23+'JOUR 5'!J23+'JOUR 6'!J23+'JOUR 7'!J23+'JOUR 8'!J23+'JOUR 9'!J23+'JOUR 10'!J23+'JOUR 11'!J23+'JOUR 12'!J23+'JOUR 13'!J23+'JOUR 14'!J23+#REF!+#REF!</f>
        <v>#REF!</v>
      </c>
      <c r="K23" s="17" t="e">
        <f>'JOUR 1'!K23+'JOUR 2'!K23+'JOUR 3'!K23+'JOUR 4'!K23+'JOUR 5'!K23+'JOUR 6'!K23+'JOUR 7'!K23+'JOUR 8'!K23+'JOUR 9'!K23+'JOUR 10'!K23+'JOUR 11'!K23+'JOUR 12'!K23+'JOUR 13'!K23+'JOUR 14'!K23+#REF!+#REF!</f>
        <v>#REF!</v>
      </c>
      <c r="L23" s="17" t="e">
        <f>'JOUR 1'!L23+'JOUR 2'!L23+'JOUR 3'!L23+'JOUR 4'!L23+'JOUR 5'!L23+'JOUR 6'!L23+'JOUR 7'!L23+'JOUR 8'!L23+'JOUR 9'!L23+'JOUR 10'!L23+'JOUR 11'!L23+'JOUR 12'!L23+'JOUR 13'!L23+'JOUR 14'!L23+#REF!+#REF!</f>
        <v>#REF!</v>
      </c>
      <c r="M23" s="17" t="e">
        <f>'JOUR 1'!M23+'JOUR 2'!M23+'JOUR 3'!M23+'JOUR 4'!M23+'JOUR 5'!M23+'JOUR 6'!M23+'JOUR 7'!M23+'JOUR 8'!M23+'JOUR 9'!M23+'JOUR 10'!M23+'JOUR 11'!M23+'JOUR 12'!M23+'JOUR 13'!M23+'JOUR 14'!M23+#REF!+#REF!</f>
        <v>#REF!</v>
      </c>
      <c r="N23" s="17" t="e">
        <f>'JOUR 1'!N23+'JOUR 2'!N23+'JOUR 3'!N23+'JOUR 4'!N23+'JOUR 5'!N23+'JOUR 6'!N23+'JOUR 7'!N23+'JOUR 8'!N23+'JOUR 9'!N23+'JOUR 10'!N23+'JOUR 11'!N23+'JOUR 12'!N23+'JOUR 13'!N23+'JOUR 14'!N23+#REF!+#REF!</f>
        <v>#REF!</v>
      </c>
      <c r="O23" s="17" t="e">
        <f>'JOUR 1'!O23+'JOUR 2'!O23+'JOUR 3'!O23+'JOUR 4'!O23+'JOUR 5'!O23+'JOUR 6'!O23+'JOUR 7'!O23+'JOUR 8'!O23+'JOUR 9'!O23+'JOUR 10'!O23+'JOUR 11'!O23+'JOUR 12'!O23+'JOUR 13'!O23+'JOUR 14'!O23+#REF!+#REF!</f>
        <v>#REF!</v>
      </c>
      <c r="P23" s="17" t="e">
        <f>'JOUR 1'!P23+'JOUR 2'!P23+'JOUR 3'!P23+'JOUR 4'!P23+'JOUR 5'!P23+'JOUR 6'!P23+'JOUR 7'!P23+'JOUR 8'!P23+'JOUR 9'!P23+'JOUR 10'!P23+'JOUR 11'!P23+'JOUR 12'!P23+'JOUR 13'!P23+'JOUR 14'!P23+#REF!+#REF!</f>
        <v>#REF!</v>
      </c>
      <c r="Q23" s="17" t="e">
        <f>'JOUR 1'!Q23+'JOUR 2'!Q23+'JOUR 3'!Q23+'JOUR 4'!Q23+'JOUR 5'!Q23+'JOUR 6'!Q23+'JOUR 7'!Q23+'JOUR 8'!Q23+'JOUR 9'!Q23+'JOUR 10'!Q23+'JOUR 11'!Q23+'JOUR 12'!Q23+'JOUR 13'!Q23+'JOUR 14'!Q23+#REF!+#REF!</f>
        <v>#REF!</v>
      </c>
      <c r="R23" s="17" t="e">
        <f>'JOUR 1'!R23+'JOUR 2'!R23+'JOUR 3'!R23+'JOUR 4'!R23+'JOUR 5'!R23+'JOUR 6'!R23+'JOUR 7'!R23+'JOUR 8'!R23+'JOUR 9'!R23+'JOUR 10'!R23+'JOUR 11'!R23+'JOUR 12'!R23+'JOUR 13'!R23+'JOUR 14'!R23+#REF!+#REF!</f>
        <v>#REF!</v>
      </c>
      <c r="S23" s="31" t="e">
        <f>'JOUR 1'!S23+'JOUR 2'!S23+'JOUR 3'!S23+'JOUR 4'!S23+'JOUR 5'!S23+'JOUR 6'!S23+'JOUR 7'!S23+'JOUR 8'!S23+'JOUR 9'!S23+'JOUR 10'!S23+'JOUR 11'!S23+'JOUR 12'!S23+'JOUR 13'!S23+'JOUR 14'!S23+#REF!+#REF!</f>
        <v>#REF!</v>
      </c>
      <c r="T23" s="31" t="e">
        <f>'JOUR 1'!T23+'JOUR 2'!T23+'JOUR 3'!T23+'JOUR 4'!T23+'JOUR 5'!T23+'JOUR 6'!T23+'JOUR 7'!T23+'JOUR 8'!T23+'JOUR 9'!T23+'JOUR 10'!T23+'JOUR 11'!T23+'JOUR 12'!T23+'JOUR 13'!T23+'JOUR 14'!T23+#REF!+#REF!</f>
        <v>#REF!</v>
      </c>
      <c r="U23" s="31" t="e">
        <f>'JOUR 1'!U23+'JOUR 2'!U23+'JOUR 3'!U23+'JOUR 4'!U23+'JOUR 5'!U23+'JOUR 6'!U23+'JOUR 7'!U23+'JOUR 8'!U23+'JOUR 9'!U23+'JOUR 10'!U23+'JOUR 11'!U23+'JOUR 12'!U23+'JOUR 13'!U23+'JOUR 14'!U23+#REF!+#REF!</f>
        <v>#REF!</v>
      </c>
      <c r="V23" s="32" t="e">
        <f>'JOUR 1'!V23+'JOUR 2'!V23+'JOUR 3'!V23+'JOUR 4'!V23+'JOUR 5'!V23+'JOUR 6'!V23+'JOUR 7'!V23+'JOUR 8'!V23+'JOUR 9'!V23+'JOUR 10'!V23+'JOUR 11'!V23+'JOUR 12'!V23+'JOUR 13'!V23+'JOUR 14'!V23+#REF!+#REF!</f>
        <v>#REF!</v>
      </c>
      <c r="W23" s="32" t="e">
        <f>'JOUR 1'!W23+'JOUR 2'!W23+'JOUR 3'!W23+'JOUR 4'!W23+'JOUR 5'!W23+'JOUR 6'!W23+'JOUR 7'!W23+'JOUR 8'!W23+'JOUR 9'!W23+'JOUR 10'!W23+'JOUR 11'!W23+'JOUR 12'!W23+'JOUR 13'!W23+'JOUR 14'!W23+#REF!+#REF!</f>
        <v>#REF!</v>
      </c>
      <c r="X23" s="32" t="e">
        <f>'JOUR 1'!X23+'JOUR 2'!X23+'JOUR 3'!X23+'JOUR 4'!X23+'JOUR 5'!X23+'JOUR 6'!X23+'JOUR 7'!X23+'JOUR 8'!X23+'JOUR 9'!X23+'JOUR 10'!X23+'JOUR 11'!X23+'JOUR 12'!X23+'JOUR 13'!X23+'JOUR 14'!X23+#REF!+#REF!</f>
        <v>#REF!</v>
      </c>
      <c r="Y23" s="75" t="e">
        <f>'JOUR 1'!Y23+'JOUR 2'!Y23+'JOUR 3'!Y23+'JOUR 4'!Y23+'JOUR 5'!Y23+'JOUR 6'!Y23+'JOUR 7'!Y23+'JOUR 8'!Y23+'JOUR 9'!Y23+'JOUR 10'!Y23+'JOUR 11'!Y23+'JOUR 12'!Y23+'JOUR 13'!Y23+'JOUR 14'!Y23+#REF!+#REF!</f>
        <v>#REF!</v>
      </c>
      <c r="Z23" s="33" t="e">
        <f>'JOUR 1'!Z23+'JOUR 2'!Z23+'JOUR 3'!Z23+'JOUR 4'!Z23+'JOUR 5'!Z23+'JOUR 6'!Z23+'JOUR 7'!Z23+'JOUR 8'!Z23+'JOUR 9'!Z23+'JOUR 10'!Z23+'JOUR 11'!Z23+'JOUR 12'!Z23+'JOUR 13'!Z23+'JOUR 14'!Z23+#REF!+#REF!</f>
        <v>#REF!</v>
      </c>
      <c r="AA23" s="34" t="e">
        <f>'JOUR 1'!AA23+'JOUR 2'!AA23+'JOUR 3'!AA23+'JOUR 4'!AA23+'JOUR 5'!AA23+'JOUR 6'!AA23+'JOUR 7'!AA23+'JOUR 8'!AA23+'JOUR 9'!AA23+'JOUR 10'!AA23+'JOUR 11'!AA23+'JOUR 12'!AA23+'JOUR 13'!AA23+'JOUR 14'!AA23+#REF!+#REF!</f>
        <v>#REF!</v>
      </c>
      <c r="AB23" s="34" t="e">
        <f>'JOUR 1'!AB23+'JOUR 2'!AB23+'JOUR 3'!AB23+'JOUR 4'!AB23+'JOUR 5'!AB23+'JOUR 6'!AB23+'JOUR 7'!AB23+'JOUR 8'!AB23+'JOUR 9'!AB23+'JOUR 10'!AB23+'JOUR 11'!AB23+'JOUR 12'!AB23+'JOUR 13'!AB23+'JOUR 14'!AB23+#REF!+#REF!</f>
        <v>#REF!</v>
      </c>
      <c r="AC23" s="34" t="e">
        <f>'JOUR 1'!AC23+'JOUR 2'!AC23+'JOUR 3'!AC23+'JOUR 4'!AC23+'JOUR 5'!AC23+'JOUR 6'!AC23+'JOUR 7'!AC23+'JOUR 8'!AC23+'JOUR 9'!AC23+'JOUR 10'!AC23+'JOUR 11'!AC23+'JOUR 12'!AC23+'JOUR 13'!AC23+'JOUR 14'!AC23+#REF!+#REF!</f>
        <v>#REF!</v>
      </c>
      <c r="AD23" s="35" t="e">
        <f>'JOUR 1'!AD23+'JOUR 2'!AD23+'JOUR 3'!AD23+'JOUR 4'!AD23+'JOUR 5'!AD23+'JOUR 6'!AD23+'JOUR 7'!AD23+'JOUR 8'!AD23+'JOUR 9'!AD23+'JOUR 10'!AD23+'JOUR 11'!AD23+'JOUR 12'!AD23+'JOUR 13'!AD23+'JOUR 14'!AD23+#REF!+#REF!</f>
        <v>#REF!</v>
      </c>
      <c r="AE23" s="34" t="e">
        <f>'JOUR 1'!AE23+'JOUR 2'!AE23+'JOUR 3'!AE23+'JOUR 4'!AE23+'JOUR 5'!AE23+'JOUR 6'!AE23+'JOUR 7'!AE23+'JOUR 8'!AE23+'JOUR 9'!AE23+'JOUR 10'!AE23+'JOUR 11'!AE23+'JOUR 12'!AE23+'JOUR 13'!AE23+'JOUR 14'!AE23+#REF!+#REF!</f>
        <v>#REF!</v>
      </c>
      <c r="AF23" s="34" t="e">
        <f>'JOUR 1'!AF23+'JOUR 2'!AF23+'JOUR 3'!AF23+'JOUR 4'!AF23+'JOUR 5'!AF23+'JOUR 6'!AF23+'JOUR 7'!AF23+'JOUR 8'!AF23+'JOUR 9'!AF23+'JOUR 10'!AF23+'JOUR 11'!AF23+'JOUR 12'!AF23+'JOUR 13'!AF23+'JOUR 14'!AF23+#REF!+#REF!</f>
        <v>#REF!</v>
      </c>
      <c r="AG23" s="34" t="e">
        <f>'JOUR 1'!AG23+'JOUR 2'!AG23+'JOUR 3'!AG23+'JOUR 4'!AG23+'JOUR 5'!AG23+'JOUR 6'!AG23+'JOUR 7'!AG23+'JOUR 8'!AG23+'JOUR 9'!AG23+'JOUR 10'!AG23+'JOUR 11'!AG23+'JOUR 12'!AG23+'JOUR 13'!AG23+'JOUR 14'!AG23+#REF!+#REF!</f>
        <v>#REF!</v>
      </c>
      <c r="AH23" s="21"/>
      <c r="AI23" s="22"/>
      <c r="AK23" s="87" t="e">
        <f t="shared" si="1"/>
        <v>#REF!</v>
      </c>
      <c r="AL23" s="87" t="e">
        <f t="shared" si="1"/>
        <v>#REF!</v>
      </c>
      <c r="AM23" s="87" t="e">
        <f t="shared" si="1"/>
        <v>#REF!</v>
      </c>
      <c r="AN23" s="87" t="e">
        <f t="shared" si="1"/>
        <v>#REF!</v>
      </c>
      <c r="AO23" s="87" t="e">
        <f t="shared" si="1"/>
        <v>#REF!</v>
      </c>
      <c r="AP23" s="87"/>
      <c r="AQ23" s="87"/>
      <c r="AR23" s="87"/>
      <c r="AS23" s="87" t="e">
        <f t="shared" si="2"/>
        <v>#REF!</v>
      </c>
      <c r="AT23" s="87"/>
      <c r="AU23" s="87"/>
      <c r="AV23" s="87"/>
      <c r="AW23" s="87"/>
      <c r="AX23" s="87"/>
      <c r="AY23" s="89"/>
    </row>
    <row r="24" spans="2:51" ht="17.399999999999999" x14ac:dyDescent="0.25">
      <c r="B24" s="16" t="s">
        <v>45</v>
      </c>
      <c r="C24" s="16" t="s">
        <v>64</v>
      </c>
      <c r="D24" s="17" t="e">
        <f>'JOUR 1'!D24+'JOUR 2'!D24+'JOUR 3'!D24+'JOUR 4'!D24+'JOUR 5'!D24+'JOUR 6'!D24+'JOUR 7'!D24+'JOUR 8'!D24+'JOUR 9'!D24+'JOUR 10'!D24+'JOUR 11'!D24+'JOUR 12'!D24+'JOUR 13'!D24+'JOUR 14'!D24+#REF!+#REF!</f>
        <v>#REF!</v>
      </c>
      <c r="E24" s="17" t="e">
        <f>'JOUR 1'!E24+'JOUR 2'!E24+'JOUR 3'!E24+'JOUR 4'!E24+'JOUR 5'!E24+'JOUR 6'!E24+'JOUR 7'!E24+'JOUR 8'!E24+'JOUR 9'!E24+'JOUR 10'!E24+'JOUR 11'!E24+'JOUR 12'!E24+'JOUR 13'!E24+'JOUR 14'!E24+#REF!+#REF!</f>
        <v>#REF!</v>
      </c>
      <c r="F24" s="17" t="e">
        <f>'JOUR 1'!F24+'JOUR 2'!F24+'JOUR 3'!F24+'JOUR 4'!F24+'JOUR 5'!F24+'JOUR 6'!F24+'JOUR 7'!F24+'JOUR 8'!F24+'JOUR 9'!F24+'JOUR 10'!F24+'JOUR 11'!F24+'JOUR 12'!F24+'JOUR 13'!F24+'JOUR 14'!F24+#REF!+#REF!</f>
        <v>#REF!</v>
      </c>
      <c r="G24" s="17" t="e">
        <f>'JOUR 1'!G24+'JOUR 2'!G24+'JOUR 3'!G24+'JOUR 4'!G24+'JOUR 5'!G24+'JOUR 6'!G24+'JOUR 7'!G24+'JOUR 8'!G24+'JOUR 9'!G24+'JOUR 10'!G24+'JOUR 11'!G24+'JOUR 12'!G24+'JOUR 13'!G24+'JOUR 14'!G24+#REF!+#REF!</f>
        <v>#REF!</v>
      </c>
      <c r="H24" s="17" t="e">
        <f>'JOUR 1'!H24+'JOUR 2'!H24+'JOUR 3'!H24+'JOUR 4'!H24+'JOUR 5'!H24+'JOUR 6'!H24+'JOUR 7'!H24+'JOUR 8'!H24+'JOUR 9'!H24+'JOUR 10'!H24+'JOUR 11'!H24+'JOUR 12'!H24+'JOUR 13'!H24+'JOUR 14'!H24+#REF!+#REF!</f>
        <v>#REF!</v>
      </c>
      <c r="I24" s="17" t="e">
        <f>'JOUR 1'!I24+'JOUR 2'!I24+'JOUR 3'!I24+'JOUR 4'!I24+'JOUR 5'!I24+'JOUR 6'!I24+'JOUR 7'!I24+'JOUR 8'!I24+'JOUR 9'!I24+'JOUR 10'!I24+'JOUR 11'!I24+'JOUR 12'!I24+'JOUR 13'!I24+'JOUR 14'!I24+#REF!+#REF!</f>
        <v>#REF!</v>
      </c>
      <c r="J24" s="17" t="e">
        <f>'JOUR 1'!J24+'JOUR 2'!J24+'JOUR 3'!J24+'JOUR 4'!J24+'JOUR 5'!J24+'JOUR 6'!J24+'JOUR 7'!J24+'JOUR 8'!J24+'JOUR 9'!J24+'JOUR 10'!J24+'JOUR 11'!J24+'JOUR 12'!J24+'JOUR 13'!J24+'JOUR 14'!J24+#REF!+#REF!</f>
        <v>#REF!</v>
      </c>
      <c r="K24" s="17" t="e">
        <f>'JOUR 1'!K24+'JOUR 2'!K24+'JOUR 3'!K24+'JOUR 4'!K24+'JOUR 5'!K24+'JOUR 6'!K24+'JOUR 7'!K24+'JOUR 8'!K24+'JOUR 9'!K24+'JOUR 10'!K24+'JOUR 11'!K24+'JOUR 12'!K24+'JOUR 13'!K24+'JOUR 14'!K24+#REF!+#REF!</f>
        <v>#REF!</v>
      </c>
      <c r="L24" s="17" t="e">
        <f>'JOUR 1'!L24+'JOUR 2'!L24+'JOUR 3'!L24+'JOUR 4'!L24+'JOUR 5'!L24+'JOUR 6'!L24+'JOUR 7'!L24+'JOUR 8'!L24+'JOUR 9'!L24+'JOUR 10'!L24+'JOUR 11'!L24+'JOUR 12'!L24+'JOUR 13'!L24+'JOUR 14'!L24+#REF!+#REF!</f>
        <v>#REF!</v>
      </c>
      <c r="M24" s="17" t="e">
        <f>'JOUR 1'!M24+'JOUR 2'!M24+'JOUR 3'!M24+'JOUR 4'!M24+'JOUR 5'!M24+'JOUR 6'!M24+'JOUR 7'!M24+'JOUR 8'!M24+'JOUR 9'!M24+'JOUR 10'!M24+'JOUR 11'!M24+'JOUR 12'!M24+'JOUR 13'!M24+'JOUR 14'!M24+#REF!+#REF!</f>
        <v>#REF!</v>
      </c>
      <c r="N24" s="17" t="e">
        <f>'JOUR 1'!N24+'JOUR 2'!N24+'JOUR 3'!N24+'JOUR 4'!N24+'JOUR 5'!N24+'JOUR 6'!N24+'JOUR 7'!N24+'JOUR 8'!N24+'JOUR 9'!N24+'JOUR 10'!N24+'JOUR 11'!N24+'JOUR 12'!N24+'JOUR 13'!N24+'JOUR 14'!N24+#REF!+#REF!</f>
        <v>#REF!</v>
      </c>
      <c r="O24" s="17" t="e">
        <f>'JOUR 1'!O24+'JOUR 2'!O24+'JOUR 3'!O24+'JOUR 4'!O24+'JOUR 5'!O24+'JOUR 6'!O24+'JOUR 7'!O24+'JOUR 8'!O24+'JOUR 9'!O24+'JOUR 10'!O24+'JOUR 11'!O24+'JOUR 12'!O24+'JOUR 13'!O24+'JOUR 14'!O24+#REF!+#REF!</f>
        <v>#REF!</v>
      </c>
      <c r="P24" s="17" t="e">
        <f>'JOUR 1'!P24+'JOUR 2'!P24+'JOUR 3'!P24+'JOUR 4'!P24+'JOUR 5'!P24+'JOUR 6'!P24+'JOUR 7'!P24+'JOUR 8'!P24+'JOUR 9'!P24+'JOUR 10'!P24+'JOUR 11'!P24+'JOUR 12'!P24+'JOUR 13'!P24+'JOUR 14'!P24+#REF!+#REF!</f>
        <v>#REF!</v>
      </c>
      <c r="Q24" s="17" t="e">
        <f>'JOUR 1'!Q24+'JOUR 2'!Q24+'JOUR 3'!Q24+'JOUR 4'!Q24+'JOUR 5'!Q24+'JOUR 6'!Q24+'JOUR 7'!Q24+'JOUR 8'!Q24+'JOUR 9'!Q24+'JOUR 10'!Q24+'JOUR 11'!Q24+'JOUR 12'!Q24+'JOUR 13'!Q24+'JOUR 14'!Q24+#REF!+#REF!</f>
        <v>#REF!</v>
      </c>
      <c r="R24" s="17" t="e">
        <f>'JOUR 1'!R24+'JOUR 2'!R24+'JOUR 3'!R24+'JOUR 4'!R24+'JOUR 5'!R24+'JOUR 6'!R24+'JOUR 7'!R24+'JOUR 8'!R24+'JOUR 9'!R24+'JOUR 10'!R24+'JOUR 11'!R24+'JOUR 12'!R24+'JOUR 13'!R24+'JOUR 14'!R24+#REF!+#REF!</f>
        <v>#REF!</v>
      </c>
      <c r="S24" s="31" t="e">
        <f>'JOUR 1'!S24+'JOUR 2'!S24+'JOUR 3'!S24+'JOUR 4'!S24+'JOUR 5'!S24+'JOUR 6'!S24+'JOUR 7'!S24+'JOUR 8'!S24+'JOUR 9'!S24+'JOUR 10'!S24+'JOUR 11'!S24+'JOUR 12'!S24+'JOUR 13'!S24+'JOUR 14'!S24+#REF!+#REF!</f>
        <v>#REF!</v>
      </c>
      <c r="T24" s="31" t="e">
        <f>'JOUR 1'!T24+'JOUR 2'!T24+'JOUR 3'!T24+'JOUR 4'!T24+'JOUR 5'!T24+'JOUR 6'!T24+'JOUR 7'!T24+'JOUR 8'!T24+'JOUR 9'!T24+'JOUR 10'!T24+'JOUR 11'!T24+'JOUR 12'!T24+'JOUR 13'!T24+'JOUR 14'!T24+#REF!+#REF!</f>
        <v>#REF!</v>
      </c>
      <c r="U24" s="31" t="e">
        <f>'JOUR 1'!U24+'JOUR 2'!U24+'JOUR 3'!U24+'JOUR 4'!U24+'JOUR 5'!U24+'JOUR 6'!U24+'JOUR 7'!U24+'JOUR 8'!U24+'JOUR 9'!U24+'JOUR 10'!U24+'JOUR 11'!U24+'JOUR 12'!U24+'JOUR 13'!U24+'JOUR 14'!U24+#REF!+#REF!</f>
        <v>#REF!</v>
      </c>
      <c r="V24" s="32" t="e">
        <f>'JOUR 1'!V24+'JOUR 2'!V24+'JOUR 3'!V24+'JOUR 4'!V24+'JOUR 5'!V24+'JOUR 6'!V24+'JOUR 7'!V24+'JOUR 8'!V24+'JOUR 9'!V24+'JOUR 10'!V24+'JOUR 11'!V24+'JOUR 12'!V24+'JOUR 13'!V24+'JOUR 14'!V24+#REF!+#REF!</f>
        <v>#REF!</v>
      </c>
      <c r="W24" s="32" t="e">
        <f>'JOUR 1'!W24+'JOUR 2'!W24+'JOUR 3'!W24+'JOUR 4'!W24+'JOUR 5'!W24+'JOUR 6'!W24+'JOUR 7'!W24+'JOUR 8'!W24+'JOUR 9'!W24+'JOUR 10'!W24+'JOUR 11'!W24+'JOUR 12'!W24+'JOUR 13'!W24+'JOUR 14'!W24+#REF!+#REF!</f>
        <v>#REF!</v>
      </c>
      <c r="X24" s="32" t="e">
        <f>'JOUR 1'!X24+'JOUR 2'!X24+'JOUR 3'!X24+'JOUR 4'!X24+'JOUR 5'!X24+'JOUR 6'!X24+'JOUR 7'!X24+'JOUR 8'!X24+'JOUR 9'!X24+'JOUR 10'!X24+'JOUR 11'!X24+'JOUR 12'!X24+'JOUR 13'!X24+'JOUR 14'!X24+#REF!+#REF!</f>
        <v>#REF!</v>
      </c>
      <c r="Y24" s="75" t="e">
        <f>'JOUR 1'!Y24+'JOUR 2'!Y24+'JOUR 3'!Y24+'JOUR 4'!Y24+'JOUR 5'!Y24+'JOUR 6'!Y24+'JOUR 7'!Y24+'JOUR 8'!Y24+'JOUR 9'!Y24+'JOUR 10'!Y24+'JOUR 11'!Y24+'JOUR 12'!Y24+'JOUR 13'!Y24+'JOUR 14'!Y24+#REF!+#REF!</f>
        <v>#REF!</v>
      </c>
      <c r="Z24" s="33" t="e">
        <f>'JOUR 1'!Z24+'JOUR 2'!Z24+'JOUR 3'!Z24+'JOUR 4'!Z24+'JOUR 5'!Z24+'JOUR 6'!Z24+'JOUR 7'!Z24+'JOUR 8'!Z24+'JOUR 9'!Z24+'JOUR 10'!Z24+'JOUR 11'!Z24+'JOUR 12'!Z24+'JOUR 13'!Z24+'JOUR 14'!Z24+#REF!+#REF!</f>
        <v>#REF!</v>
      </c>
      <c r="AA24" s="34" t="e">
        <f>'JOUR 1'!AA24+'JOUR 2'!AA24+'JOUR 3'!AA24+'JOUR 4'!AA24+'JOUR 5'!AA24+'JOUR 6'!AA24+'JOUR 7'!AA24+'JOUR 8'!AA24+'JOUR 9'!AA24+'JOUR 10'!AA24+'JOUR 11'!AA24+'JOUR 12'!AA24+'JOUR 13'!AA24+'JOUR 14'!AA24+#REF!+#REF!</f>
        <v>#REF!</v>
      </c>
      <c r="AB24" s="34" t="e">
        <f>'JOUR 1'!AB24+'JOUR 2'!AB24+'JOUR 3'!AB24+'JOUR 4'!AB24+'JOUR 5'!AB24+'JOUR 6'!AB24+'JOUR 7'!AB24+'JOUR 8'!AB24+'JOUR 9'!AB24+'JOUR 10'!AB24+'JOUR 11'!AB24+'JOUR 12'!AB24+'JOUR 13'!AB24+'JOUR 14'!AB24+#REF!+#REF!</f>
        <v>#REF!</v>
      </c>
      <c r="AC24" s="34" t="e">
        <f>'JOUR 1'!AC24+'JOUR 2'!AC24+'JOUR 3'!AC24+'JOUR 4'!AC24+'JOUR 5'!AC24+'JOUR 6'!AC24+'JOUR 7'!AC24+'JOUR 8'!AC24+'JOUR 9'!AC24+'JOUR 10'!AC24+'JOUR 11'!AC24+'JOUR 12'!AC24+'JOUR 13'!AC24+'JOUR 14'!AC24+#REF!+#REF!</f>
        <v>#REF!</v>
      </c>
      <c r="AD24" s="35" t="e">
        <f>'JOUR 1'!AD24+'JOUR 2'!AD24+'JOUR 3'!AD24+'JOUR 4'!AD24+'JOUR 5'!AD24+'JOUR 6'!AD24+'JOUR 7'!AD24+'JOUR 8'!AD24+'JOUR 9'!AD24+'JOUR 10'!AD24+'JOUR 11'!AD24+'JOUR 12'!AD24+'JOUR 13'!AD24+'JOUR 14'!AD24+#REF!+#REF!</f>
        <v>#REF!</v>
      </c>
      <c r="AE24" s="34" t="e">
        <f>'JOUR 1'!AE24+'JOUR 2'!AE24+'JOUR 3'!AE24+'JOUR 4'!AE24+'JOUR 5'!AE24+'JOUR 6'!AE24+'JOUR 7'!AE24+'JOUR 8'!AE24+'JOUR 9'!AE24+'JOUR 10'!AE24+'JOUR 11'!AE24+'JOUR 12'!AE24+'JOUR 13'!AE24+'JOUR 14'!AE24+#REF!+#REF!</f>
        <v>#REF!</v>
      </c>
      <c r="AF24" s="34" t="e">
        <f>'JOUR 1'!AF24+'JOUR 2'!AF24+'JOUR 3'!AF24+'JOUR 4'!AF24+'JOUR 5'!AF24+'JOUR 6'!AF24+'JOUR 7'!AF24+'JOUR 8'!AF24+'JOUR 9'!AF24+'JOUR 10'!AF24+'JOUR 11'!AF24+'JOUR 12'!AF24+'JOUR 13'!AF24+'JOUR 14'!AF24+#REF!+#REF!</f>
        <v>#REF!</v>
      </c>
      <c r="AG24" s="34" t="e">
        <f>'JOUR 1'!AG24+'JOUR 2'!AG24+'JOUR 3'!AG24+'JOUR 4'!AG24+'JOUR 5'!AG24+'JOUR 6'!AG24+'JOUR 7'!AG24+'JOUR 8'!AG24+'JOUR 9'!AG24+'JOUR 10'!AG24+'JOUR 11'!AG24+'JOUR 12'!AG24+'JOUR 13'!AG24+'JOUR 14'!AG24+#REF!+#REF!</f>
        <v>#REF!</v>
      </c>
      <c r="AH24" s="21"/>
      <c r="AI24" s="22"/>
      <c r="AK24" s="87" t="e">
        <f t="shared" si="1"/>
        <v>#REF!</v>
      </c>
      <c r="AL24" s="87" t="e">
        <f t="shared" si="1"/>
        <v>#REF!</v>
      </c>
      <c r="AM24" s="87" t="e">
        <f t="shared" si="1"/>
        <v>#REF!</v>
      </c>
      <c r="AN24" s="87" t="e">
        <f t="shared" si="1"/>
        <v>#REF!</v>
      </c>
      <c r="AO24" s="87" t="e">
        <f t="shared" si="1"/>
        <v>#REF!</v>
      </c>
      <c r="AP24" s="87"/>
      <c r="AQ24" s="87"/>
      <c r="AR24" s="87"/>
      <c r="AS24" s="87" t="e">
        <f t="shared" si="2"/>
        <v>#REF!</v>
      </c>
      <c r="AT24" s="87"/>
      <c r="AU24" s="87"/>
      <c r="AV24" s="87"/>
      <c r="AW24" s="87"/>
      <c r="AX24" s="87"/>
      <c r="AY24" s="89"/>
    </row>
    <row r="25" spans="2:51" ht="17.399999999999999" x14ac:dyDescent="0.25">
      <c r="B25" s="16" t="s">
        <v>45</v>
      </c>
      <c r="C25" s="16" t="s">
        <v>65</v>
      </c>
      <c r="D25" s="17" t="e">
        <f>'JOUR 1'!D25+'JOUR 2'!D25+'JOUR 3'!D25+'JOUR 4'!D25+'JOUR 5'!D25+'JOUR 6'!D25+'JOUR 7'!D25+'JOUR 8'!D25+'JOUR 9'!D25+'JOUR 10'!D25+'JOUR 11'!D25+'JOUR 12'!D25+'JOUR 13'!D25+'JOUR 14'!D25+#REF!+#REF!</f>
        <v>#REF!</v>
      </c>
      <c r="E25" s="17" t="e">
        <f>'JOUR 1'!E25+'JOUR 2'!E25+'JOUR 3'!E25+'JOUR 4'!E25+'JOUR 5'!E25+'JOUR 6'!E25+'JOUR 7'!E25+'JOUR 8'!E25+'JOUR 9'!E25+'JOUR 10'!E25+'JOUR 11'!E25+'JOUR 12'!E25+'JOUR 13'!E25+'JOUR 14'!E25+#REF!+#REF!</f>
        <v>#REF!</v>
      </c>
      <c r="F25" s="17" t="e">
        <f>'JOUR 1'!F25+'JOUR 2'!F25+'JOUR 3'!F25+'JOUR 4'!F25+'JOUR 5'!F25+'JOUR 6'!F25+'JOUR 7'!F25+'JOUR 8'!F25+'JOUR 9'!F25+'JOUR 10'!F25+'JOUR 11'!F25+'JOUR 12'!F25+'JOUR 13'!F25+'JOUR 14'!F25+#REF!+#REF!</f>
        <v>#REF!</v>
      </c>
      <c r="G25" s="17" t="e">
        <f>'JOUR 1'!G25+'JOUR 2'!G25+'JOUR 3'!G25+'JOUR 4'!G25+'JOUR 5'!G25+'JOUR 6'!G25+'JOUR 7'!G25+'JOUR 8'!G25+'JOUR 9'!G25+'JOUR 10'!G25+'JOUR 11'!G25+'JOUR 12'!G25+'JOUR 13'!G25+'JOUR 14'!G25+#REF!+#REF!</f>
        <v>#REF!</v>
      </c>
      <c r="H25" s="17" t="e">
        <f>'JOUR 1'!H25+'JOUR 2'!H25+'JOUR 3'!H25+'JOUR 4'!H25+'JOUR 5'!H25+'JOUR 6'!H25+'JOUR 7'!H25+'JOUR 8'!H25+'JOUR 9'!H25+'JOUR 10'!H25+'JOUR 11'!H25+'JOUR 12'!H25+'JOUR 13'!H25+'JOUR 14'!H25+#REF!+#REF!</f>
        <v>#REF!</v>
      </c>
      <c r="I25" s="17" t="e">
        <f>'JOUR 1'!I25+'JOUR 2'!I25+'JOUR 3'!I25+'JOUR 4'!I25+'JOUR 5'!I25+'JOUR 6'!I25+'JOUR 7'!I25+'JOUR 8'!I25+'JOUR 9'!I25+'JOUR 10'!I25+'JOUR 11'!I25+'JOUR 12'!I25+'JOUR 13'!I25+'JOUR 14'!I25+#REF!+#REF!</f>
        <v>#REF!</v>
      </c>
      <c r="J25" s="17" t="e">
        <f>'JOUR 1'!J25+'JOUR 2'!J25+'JOUR 3'!J25+'JOUR 4'!J25+'JOUR 5'!J25+'JOUR 6'!J25+'JOUR 7'!J25+'JOUR 8'!J25+'JOUR 9'!J25+'JOUR 10'!J25+'JOUR 11'!J25+'JOUR 12'!J25+'JOUR 13'!J25+'JOUR 14'!J25+#REF!+#REF!</f>
        <v>#REF!</v>
      </c>
      <c r="K25" s="17" t="e">
        <f>'JOUR 1'!K25+'JOUR 2'!K25+'JOUR 3'!K25+'JOUR 4'!K25+'JOUR 5'!K25+'JOUR 6'!K25+'JOUR 7'!K25+'JOUR 8'!K25+'JOUR 9'!K25+'JOUR 10'!K25+'JOUR 11'!K25+'JOUR 12'!K25+'JOUR 13'!K25+'JOUR 14'!K25+#REF!+#REF!</f>
        <v>#REF!</v>
      </c>
      <c r="L25" s="17" t="e">
        <f>'JOUR 1'!L25+'JOUR 2'!L25+'JOUR 3'!L25+'JOUR 4'!L25+'JOUR 5'!L25+'JOUR 6'!L25+'JOUR 7'!L25+'JOUR 8'!L25+'JOUR 9'!L25+'JOUR 10'!L25+'JOUR 11'!L25+'JOUR 12'!L25+'JOUR 13'!L25+'JOUR 14'!L25+#REF!+#REF!</f>
        <v>#REF!</v>
      </c>
      <c r="M25" s="17" t="e">
        <f>'JOUR 1'!M25+'JOUR 2'!M25+'JOUR 3'!M25+'JOUR 4'!M25+'JOUR 5'!M25+'JOUR 6'!M25+'JOUR 7'!M25+'JOUR 8'!M25+'JOUR 9'!M25+'JOUR 10'!M25+'JOUR 11'!M25+'JOUR 12'!M25+'JOUR 13'!M25+'JOUR 14'!M25+#REF!+#REF!</f>
        <v>#REF!</v>
      </c>
      <c r="N25" s="17" t="e">
        <f>'JOUR 1'!N25+'JOUR 2'!N25+'JOUR 3'!N25+'JOUR 4'!N25+'JOUR 5'!N25+'JOUR 6'!N25+'JOUR 7'!N25+'JOUR 8'!N25+'JOUR 9'!N25+'JOUR 10'!N25+'JOUR 11'!N25+'JOUR 12'!N25+'JOUR 13'!N25+'JOUR 14'!N25+#REF!+#REF!</f>
        <v>#REF!</v>
      </c>
      <c r="O25" s="17" t="e">
        <f>'JOUR 1'!O25+'JOUR 2'!O25+'JOUR 3'!O25+'JOUR 4'!O25+'JOUR 5'!O25+'JOUR 6'!O25+'JOUR 7'!O25+'JOUR 8'!O25+'JOUR 9'!O25+'JOUR 10'!O25+'JOUR 11'!O25+'JOUR 12'!O25+'JOUR 13'!O25+'JOUR 14'!O25+#REF!+#REF!</f>
        <v>#REF!</v>
      </c>
      <c r="P25" s="17" t="e">
        <f>'JOUR 1'!P25+'JOUR 2'!P25+'JOUR 3'!P25+'JOUR 4'!P25+'JOUR 5'!P25+'JOUR 6'!P25+'JOUR 7'!P25+'JOUR 8'!P25+'JOUR 9'!P25+'JOUR 10'!P25+'JOUR 11'!P25+'JOUR 12'!P25+'JOUR 13'!P25+'JOUR 14'!P25+#REF!+#REF!</f>
        <v>#REF!</v>
      </c>
      <c r="Q25" s="17" t="e">
        <f>'JOUR 1'!Q25+'JOUR 2'!Q25+'JOUR 3'!Q25+'JOUR 4'!Q25+'JOUR 5'!Q25+'JOUR 6'!Q25+'JOUR 7'!Q25+'JOUR 8'!Q25+'JOUR 9'!Q25+'JOUR 10'!Q25+'JOUR 11'!Q25+'JOUR 12'!Q25+'JOUR 13'!Q25+'JOUR 14'!Q25+#REF!+#REF!</f>
        <v>#REF!</v>
      </c>
      <c r="R25" s="17" t="e">
        <f>'JOUR 1'!R25+'JOUR 2'!R25+'JOUR 3'!R25+'JOUR 4'!R25+'JOUR 5'!R25+'JOUR 6'!R25+'JOUR 7'!R25+'JOUR 8'!R25+'JOUR 9'!R25+'JOUR 10'!R25+'JOUR 11'!R25+'JOUR 12'!R25+'JOUR 13'!R25+'JOUR 14'!R25+#REF!+#REF!</f>
        <v>#REF!</v>
      </c>
      <c r="S25" s="31" t="e">
        <f>'JOUR 1'!S25+'JOUR 2'!S25+'JOUR 3'!S25+'JOUR 4'!S25+'JOUR 5'!S25+'JOUR 6'!S25+'JOUR 7'!S25+'JOUR 8'!S25+'JOUR 9'!S25+'JOUR 10'!S25+'JOUR 11'!S25+'JOUR 12'!S25+'JOUR 13'!S25+'JOUR 14'!S25+#REF!+#REF!</f>
        <v>#REF!</v>
      </c>
      <c r="T25" s="31" t="e">
        <f>'JOUR 1'!T25+'JOUR 2'!T25+'JOUR 3'!T25+'JOUR 4'!T25+'JOUR 5'!T25+'JOUR 6'!T25+'JOUR 7'!T25+'JOUR 8'!T25+'JOUR 9'!T25+'JOUR 10'!T25+'JOUR 11'!T25+'JOUR 12'!T25+'JOUR 13'!T25+'JOUR 14'!T25+#REF!+#REF!</f>
        <v>#REF!</v>
      </c>
      <c r="U25" s="31" t="e">
        <f>'JOUR 1'!U25+'JOUR 2'!U25+'JOUR 3'!U25+'JOUR 4'!U25+'JOUR 5'!U25+'JOUR 6'!U25+'JOUR 7'!U25+'JOUR 8'!U25+'JOUR 9'!U25+'JOUR 10'!U25+'JOUR 11'!U25+'JOUR 12'!U25+'JOUR 13'!U25+'JOUR 14'!U25+#REF!+#REF!</f>
        <v>#REF!</v>
      </c>
      <c r="V25" s="32" t="e">
        <f>'JOUR 1'!V25+'JOUR 2'!V25+'JOUR 3'!V25+'JOUR 4'!V25+'JOUR 5'!V25+'JOUR 6'!V25+'JOUR 7'!V25+'JOUR 8'!V25+'JOUR 9'!V25+'JOUR 10'!V25+'JOUR 11'!V25+'JOUR 12'!V25+'JOUR 13'!V25+'JOUR 14'!V25+#REF!+#REF!</f>
        <v>#REF!</v>
      </c>
      <c r="W25" s="32" t="e">
        <f>'JOUR 1'!W25+'JOUR 2'!W25+'JOUR 3'!W25+'JOUR 4'!W25+'JOUR 5'!W25+'JOUR 6'!W25+'JOUR 7'!W25+'JOUR 8'!W25+'JOUR 9'!W25+'JOUR 10'!W25+'JOUR 11'!W25+'JOUR 12'!W25+'JOUR 13'!W25+'JOUR 14'!W25+#REF!+#REF!</f>
        <v>#REF!</v>
      </c>
      <c r="X25" s="32" t="e">
        <f>'JOUR 1'!X25+'JOUR 2'!X25+'JOUR 3'!X25+'JOUR 4'!X25+'JOUR 5'!X25+'JOUR 6'!X25+'JOUR 7'!X25+'JOUR 8'!X25+'JOUR 9'!X25+'JOUR 10'!X25+'JOUR 11'!X25+'JOUR 12'!X25+'JOUR 13'!X25+'JOUR 14'!X25+#REF!+#REF!</f>
        <v>#REF!</v>
      </c>
      <c r="Y25" s="75" t="e">
        <f>'JOUR 1'!Y25+'JOUR 2'!Y25+'JOUR 3'!Y25+'JOUR 4'!Y25+'JOUR 5'!Y25+'JOUR 6'!Y25+'JOUR 7'!Y25+'JOUR 8'!Y25+'JOUR 9'!Y25+'JOUR 10'!Y25+'JOUR 11'!Y25+'JOUR 12'!Y25+'JOUR 13'!Y25+'JOUR 14'!Y25+#REF!+#REF!</f>
        <v>#REF!</v>
      </c>
      <c r="Z25" s="33" t="e">
        <f>'JOUR 1'!Z25+'JOUR 2'!Z25+'JOUR 3'!Z25+'JOUR 4'!Z25+'JOUR 5'!Z25+'JOUR 6'!Z25+'JOUR 7'!Z25+'JOUR 8'!Z25+'JOUR 9'!Z25+'JOUR 10'!Z25+'JOUR 11'!Z25+'JOUR 12'!Z25+'JOUR 13'!Z25+'JOUR 14'!Z25+#REF!+#REF!</f>
        <v>#REF!</v>
      </c>
      <c r="AA25" s="34" t="e">
        <f>'JOUR 1'!AA25+'JOUR 2'!AA25+'JOUR 3'!AA25+'JOUR 4'!AA25+'JOUR 5'!AA25+'JOUR 6'!AA25+'JOUR 7'!AA25+'JOUR 8'!AA25+'JOUR 9'!AA25+'JOUR 10'!AA25+'JOUR 11'!AA25+'JOUR 12'!AA25+'JOUR 13'!AA25+'JOUR 14'!AA25+#REF!+#REF!</f>
        <v>#REF!</v>
      </c>
      <c r="AB25" s="34" t="e">
        <f>'JOUR 1'!AB25+'JOUR 2'!AB25+'JOUR 3'!AB25+'JOUR 4'!AB25+'JOUR 5'!AB25+'JOUR 6'!AB25+'JOUR 7'!AB25+'JOUR 8'!AB25+'JOUR 9'!AB25+'JOUR 10'!AB25+'JOUR 11'!AB25+'JOUR 12'!AB25+'JOUR 13'!AB25+'JOUR 14'!AB25+#REF!+#REF!</f>
        <v>#REF!</v>
      </c>
      <c r="AC25" s="34" t="e">
        <f>'JOUR 1'!AC25+'JOUR 2'!AC25+'JOUR 3'!AC25+'JOUR 4'!AC25+'JOUR 5'!AC25+'JOUR 6'!AC25+'JOUR 7'!AC25+'JOUR 8'!AC25+'JOUR 9'!AC25+'JOUR 10'!AC25+'JOUR 11'!AC25+'JOUR 12'!AC25+'JOUR 13'!AC25+'JOUR 14'!AC25+#REF!+#REF!</f>
        <v>#REF!</v>
      </c>
      <c r="AD25" s="35" t="e">
        <f>'JOUR 1'!AD25+'JOUR 2'!AD25+'JOUR 3'!AD25+'JOUR 4'!AD25+'JOUR 5'!AD25+'JOUR 6'!AD25+'JOUR 7'!AD25+'JOUR 8'!AD25+'JOUR 9'!AD25+'JOUR 10'!AD25+'JOUR 11'!AD25+'JOUR 12'!AD25+'JOUR 13'!AD25+'JOUR 14'!AD25+#REF!+#REF!</f>
        <v>#REF!</v>
      </c>
      <c r="AE25" s="34" t="e">
        <f>'JOUR 1'!AE25+'JOUR 2'!AE25+'JOUR 3'!AE25+'JOUR 4'!AE25+'JOUR 5'!AE25+'JOUR 6'!AE25+'JOUR 7'!AE25+'JOUR 8'!AE25+'JOUR 9'!AE25+'JOUR 10'!AE25+'JOUR 11'!AE25+'JOUR 12'!AE25+'JOUR 13'!AE25+'JOUR 14'!AE25+#REF!+#REF!</f>
        <v>#REF!</v>
      </c>
      <c r="AF25" s="34" t="e">
        <f>'JOUR 1'!AF25+'JOUR 2'!AF25+'JOUR 3'!AF25+'JOUR 4'!AF25+'JOUR 5'!AF25+'JOUR 6'!AF25+'JOUR 7'!AF25+'JOUR 8'!AF25+'JOUR 9'!AF25+'JOUR 10'!AF25+'JOUR 11'!AF25+'JOUR 12'!AF25+'JOUR 13'!AF25+'JOUR 14'!AF25+#REF!+#REF!</f>
        <v>#REF!</v>
      </c>
      <c r="AG25" s="34" t="e">
        <f>'JOUR 1'!AG25+'JOUR 2'!AG25+'JOUR 3'!AG25+'JOUR 4'!AG25+'JOUR 5'!AG25+'JOUR 6'!AG25+'JOUR 7'!AG25+'JOUR 8'!AG25+'JOUR 9'!AG25+'JOUR 10'!AG25+'JOUR 11'!AG25+'JOUR 12'!AG25+'JOUR 13'!AG25+'JOUR 14'!AG25+#REF!+#REF!</f>
        <v>#REF!</v>
      </c>
      <c r="AH25" s="21"/>
      <c r="AI25" s="22"/>
      <c r="AK25" s="87" t="e">
        <f t="shared" si="1"/>
        <v>#REF!</v>
      </c>
      <c r="AL25" s="87" t="e">
        <f t="shared" si="1"/>
        <v>#REF!</v>
      </c>
      <c r="AM25" s="87" t="e">
        <f t="shared" si="1"/>
        <v>#REF!</v>
      </c>
      <c r="AN25" s="87" t="e">
        <f t="shared" si="1"/>
        <v>#REF!</v>
      </c>
      <c r="AO25" s="87" t="e">
        <f t="shared" si="1"/>
        <v>#REF!</v>
      </c>
      <c r="AP25" s="87"/>
      <c r="AQ25" s="87"/>
      <c r="AR25" s="87"/>
      <c r="AS25" s="87" t="e">
        <f t="shared" si="2"/>
        <v>#REF!</v>
      </c>
      <c r="AT25" s="87"/>
      <c r="AU25" s="87"/>
      <c r="AV25" s="87"/>
      <c r="AW25" s="87"/>
      <c r="AX25" s="87"/>
      <c r="AY25" s="89"/>
    </row>
    <row r="26" spans="2:51" ht="17.399999999999999" x14ac:dyDescent="0.25">
      <c r="B26" s="16" t="s">
        <v>45</v>
      </c>
      <c r="C26" s="16" t="s">
        <v>66</v>
      </c>
      <c r="D26" s="17" t="e">
        <f>'JOUR 1'!D26+'JOUR 2'!D26+'JOUR 3'!D26+'JOUR 4'!D26+'JOUR 5'!D26+'JOUR 6'!D26+'JOUR 7'!D26+'JOUR 8'!D26+'JOUR 9'!D26+'JOUR 10'!D26+'JOUR 11'!D26+'JOUR 12'!D26+'JOUR 13'!D26+'JOUR 14'!D26+#REF!+#REF!</f>
        <v>#REF!</v>
      </c>
      <c r="E26" s="17" t="e">
        <f>'JOUR 1'!E26+'JOUR 2'!E26+'JOUR 3'!E26+'JOUR 4'!E26+'JOUR 5'!E26+'JOUR 6'!E26+'JOUR 7'!E26+'JOUR 8'!E26+'JOUR 9'!E26+'JOUR 10'!E26+'JOUR 11'!E26+'JOUR 12'!E26+'JOUR 13'!E26+'JOUR 14'!E26+#REF!+#REF!</f>
        <v>#REF!</v>
      </c>
      <c r="F26" s="17" t="e">
        <f>'JOUR 1'!F26+'JOUR 2'!F26+'JOUR 3'!F26+'JOUR 4'!F26+'JOUR 5'!F26+'JOUR 6'!F26+'JOUR 7'!F26+'JOUR 8'!F26+'JOUR 9'!F26+'JOUR 10'!F26+'JOUR 11'!F26+'JOUR 12'!F26+'JOUR 13'!F26+'JOUR 14'!F26+#REF!+#REF!</f>
        <v>#REF!</v>
      </c>
      <c r="G26" s="17" t="e">
        <f>'JOUR 1'!G26+'JOUR 2'!G26+'JOUR 3'!G26+'JOUR 4'!G26+'JOUR 5'!G26+'JOUR 6'!G26+'JOUR 7'!G26+'JOUR 8'!G26+'JOUR 9'!G26+'JOUR 10'!G26+'JOUR 11'!G26+'JOUR 12'!G26+'JOUR 13'!G26+'JOUR 14'!G26+#REF!+#REF!</f>
        <v>#REF!</v>
      </c>
      <c r="H26" s="17" t="e">
        <f>'JOUR 1'!H26+'JOUR 2'!H26+'JOUR 3'!H26+'JOUR 4'!H26+'JOUR 5'!H26+'JOUR 6'!H26+'JOUR 7'!H26+'JOUR 8'!H26+'JOUR 9'!H26+'JOUR 10'!H26+'JOUR 11'!H26+'JOUR 12'!H26+'JOUR 13'!H26+'JOUR 14'!H26+#REF!+#REF!</f>
        <v>#REF!</v>
      </c>
      <c r="I26" s="17" t="e">
        <f>'JOUR 1'!I26+'JOUR 2'!I26+'JOUR 3'!I26+'JOUR 4'!I26+'JOUR 5'!I26+'JOUR 6'!I26+'JOUR 7'!I26+'JOUR 8'!I26+'JOUR 9'!I26+'JOUR 10'!I26+'JOUR 11'!I26+'JOUR 12'!I26+'JOUR 13'!I26+'JOUR 14'!I26+#REF!+#REF!</f>
        <v>#REF!</v>
      </c>
      <c r="J26" s="17" t="e">
        <f>'JOUR 1'!J26+'JOUR 2'!J26+'JOUR 3'!J26+'JOUR 4'!J26+'JOUR 5'!J26+'JOUR 6'!J26+'JOUR 7'!J26+'JOUR 8'!J26+'JOUR 9'!J26+'JOUR 10'!J26+'JOUR 11'!J26+'JOUR 12'!J26+'JOUR 13'!J26+'JOUR 14'!J26+#REF!+#REF!</f>
        <v>#REF!</v>
      </c>
      <c r="K26" s="17" t="e">
        <f>'JOUR 1'!K26+'JOUR 2'!K26+'JOUR 3'!K26+'JOUR 4'!K26+'JOUR 5'!K26+'JOUR 6'!K26+'JOUR 7'!K26+'JOUR 8'!K26+'JOUR 9'!K26+'JOUR 10'!K26+'JOUR 11'!K26+'JOUR 12'!K26+'JOUR 13'!K26+'JOUR 14'!K26+#REF!+#REF!</f>
        <v>#REF!</v>
      </c>
      <c r="L26" s="17" t="e">
        <f>'JOUR 1'!L26+'JOUR 2'!L26+'JOUR 3'!L26+'JOUR 4'!L26+'JOUR 5'!L26+'JOUR 6'!L26+'JOUR 7'!L26+'JOUR 8'!L26+'JOUR 9'!L26+'JOUR 10'!L26+'JOUR 11'!L26+'JOUR 12'!L26+'JOUR 13'!L26+'JOUR 14'!L26+#REF!+#REF!</f>
        <v>#REF!</v>
      </c>
      <c r="M26" s="17" t="e">
        <f>'JOUR 1'!M26+'JOUR 2'!M26+'JOUR 3'!M26+'JOUR 4'!M26+'JOUR 5'!M26+'JOUR 6'!M26+'JOUR 7'!M26+'JOUR 8'!M26+'JOUR 9'!M26+'JOUR 10'!M26+'JOUR 11'!M26+'JOUR 12'!M26+'JOUR 13'!M26+'JOUR 14'!M26+#REF!+#REF!</f>
        <v>#REF!</v>
      </c>
      <c r="N26" s="17" t="e">
        <f>'JOUR 1'!N26+'JOUR 2'!N26+'JOUR 3'!N26+'JOUR 4'!N26+'JOUR 5'!N26+'JOUR 6'!N26+'JOUR 7'!N26+'JOUR 8'!N26+'JOUR 9'!N26+'JOUR 10'!N26+'JOUR 11'!N26+'JOUR 12'!N26+'JOUR 13'!N26+'JOUR 14'!N26+#REF!+#REF!</f>
        <v>#REF!</v>
      </c>
      <c r="O26" s="17" t="e">
        <f>'JOUR 1'!O26+'JOUR 2'!O26+'JOUR 3'!O26+'JOUR 4'!O26+'JOUR 5'!O26+'JOUR 6'!O26+'JOUR 7'!O26+'JOUR 8'!O26+'JOUR 9'!O26+'JOUR 10'!O26+'JOUR 11'!O26+'JOUR 12'!O26+'JOUR 13'!O26+'JOUR 14'!O26+#REF!+#REF!</f>
        <v>#REF!</v>
      </c>
      <c r="P26" s="17" t="e">
        <f>'JOUR 1'!P26+'JOUR 2'!P26+'JOUR 3'!P26+'JOUR 4'!P26+'JOUR 5'!P26+'JOUR 6'!P26+'JOUR 7'!P26+'JOUR 8'!P26+'JOUR 9'!P26+'JOUR 10'!P26+'JOUR 11'!P26+'JOUR 12'!P26+'JOUR 13'!P26+'JOUR 14'!P26+#REF!+#REF!</f>
        <v>#REF!</v>
      </c>
      <c r="Q26" s="17" t="e">
        <f>'JOUR 1'!Q26+'JOUR 2'!Q26+'JOUR 3'!Q26+'JOUR 4'!Q26+'JOUR 5'!Q26+'JOUR 6'!Q26+'JOUR 7'!Q26+'JOUR 8'!Q26+'JOUR 9'!Q26+'JOUR 10'!Q26+'JOUR 11'!Q26+'JOUR 12'!Q26+'JOUR 13'!Q26+'JOUR 14'!Q26+#REF!+#REF!</f>
        <v>#REF!</v>
      </c>
      <c r="R26" s="17" t="e">
        <f>'JOUR 1'!R26+'JOUR 2'!R26+'JOUR 3'!R26+'JOUR 4'!R26+'JOUR 5'!R26+'JOUR 6'!R26+'JOUR 7'!R26+'JOUR 8'!R26+'JOUR 9'!R26+'JOUR 10'!R26+'JOUR 11'!R26+'JOUR 12'!R26+'JOUR 13'!R26+'JOUR 14'!R26+#REF!+#REF!</f>
        <v>#REF!</v>
      </c>
      <c r="S26" s="31" t="e">
        <f>'JOUR 1'!S26+'JOUR 2'!S26+'JOUR 3'!S26+'JOUR 4'!S26+'JOUR 5'!S26+'JOUR 6'!S26+'JOUR 7'!S26+'JOUR 8'!S26+'JOUR 9'!S26+'JOUR 10'!S26+'JOUR 11'!S26+'JOUR 12'!S26+'JOUR 13'!S26+'JOUR 14'!S26+#REF!+#REF!</f>
        <v>#REF!</v>
      </c>
      <c r="T26" s="31" t="e">
        <f>'JOUR 1'!T26+'JOUR 2'!T26+'JOUR 3'!T26+'JOUR 4'!T26+'JOUR 5'!T26+'JOUR 6'!T26+'JOUR 7'!T26+'JOUR 8'!T26+'JOUR 9'!T26+'JOUR 10'!T26+'JOUR 11'!T26+'JOUR 12'!T26+'JOUR 13'!T26+'JOUR 14'!T26+#REF!+#REF!</f>
        <v>#REF!</v>
      </c>
      <c r="U26" s="31" t="e">
        <f>'JOUR 1'!U26+'JOUR 2'!U26+'JOUR 3'!U26+'JOUR 4'!U26+'JOUR 5'!U26+'JOUR 6'!U26+'JOUR 7'!U26+'JOUR 8'!U26+'JOUR 9'!U26+'JOUR 10'!U26+'JOUR 11'!U26+'JOUR 12'!U26+'JOUR 13'!U26+'JOUR 14'!U26+#REF!+#REF!</f>
        <v>#REF!</v>
      </c>
      <c r="V26" s="32" t="e">
        <f>'JOUR 1'!V26+'JOUR 2'!V26+'JOUR 3'!V26+'JOUR 4'!V26+'JOUR 5'!V26+'JOUR 6'!V26+'JOUR 7'!V26+'JOUR 8'!V26+'JOUR 9'!V26+'JOUR 10'!V26+'JOUR 11'!V26+'JOUR 12'!V26+'JOUR 13'!V26+'JOUR 14'!V26+#REF!+#REF!</f>
        <v>#REF!</v>
      </c>
      <c r="W26" s="32" t="e">
        <f>'JOUR 1'!W26+'JOUR 2'!W26+'JOUR 3'!W26+'JOUR 4'!W26+'JOUR 5'!W26+'JOUR 6'!W26+'JOUR 7'!W26+'JOUR 8'!W26+'JOUR 9'!W26+'JOUR 10'!W26+'JOUR 11'!W26+'JOUR 12'!W26+'JOUR 13'!W26+'JOUR 14'!W26+#REF!+#REF!</f>
        <v>#REF!</v>
      </c>
      <c r="X26" s="32" t="e">
        <f>'JOUR 1'!X26+'JOUR 2'!X26+'JOUR 3'!X26+'JOUR 4'!X26+'JOUR 5'!X26+'JOUR 6'!X26+'JOUR 7'!X26+'JOUR 8'!X26+'JOUR 9'!X26+'JOUR 10'!X26+'JOUR 11'!X26+'JOUR 12'!X26+'JOUR 13'!X26+'JOUR 14'!X26+#REF!+#REF!</f>
        <v>#REF!</v>
      </c>
      <c r="Y26" s="75" t="e">
        <f>'JOUR 1'!Y26+'JOUR 2'!Y26+'JOUR 3'!Y26+'JOUR 4'!Y26+'JOUR 5'!Y26+'JOUR 6'!Y26+'JOUR 7'!Y26+'JOUR 8'!Y26+'JOUR 9'!Y26+'JOUR 10'!Y26+'JOUR 11'!Y26+'JOUR 12'!Y26+'JOUR 13'!Y26+'JOUR 14'!Y26+#REF!+#REF!</f>
        <v>#REF!</v>
      </c>
      <c r="Z26" s="33" t="e">
        <f>'JOUR 1'!Z26+'JOUR 2'!Z26+'JOUR 3'!Z26+'JOUR 4'!Z26+'JOUR 5'!Z26+'JOUR 6'!Z26+'JOUR 7'!Z26+'JOUR 8'!Z26+'JOUR 9'!Z26+'JOUR 10'!Z26+'JOUR 11'!Z26+'JOUR 12'!Z26+'JOUR 13'!Z26+'JOUR 14'!Z26+#REF!+#REF!</f>
        <v>#REF!</v>
      </c>
      <c r="AA26" s="34" t="e">
        <f>'JOUR 1'!AA26+'JOUR 2'!AA26+'JOUR 3'!AA26+'JOUR 4'!AA26+'JOUR 5'!AA26+'JOUR 6'!AA26+'JOUR 7'!AA26+'JOUR 8'!AA26+'JOUR 9'!AA26+'JOUR 10'!AA26+'JOUR 11'!AA26+'JOUR 12'!AA26+'JOUR 13'!AA26+'JOUR 14'!AA26+#REF!+#REF!</f>
        <v>#REF!</v>
      </c>
      <c r="AB26" s="34" t="e">
        <f>'JOUR 1'!AB26+'JOUR 2'!AB26+'JOUR 3'!AB26+'JOUR 4'!AB26+'JOUR 5'!AB26+'JOUR 6'!AB26+'JOUR 7'!AB26+'JOUR 8'!AB26+'JOUR 9'!AB26+'JOUR 10'!AB26+'JOUR 11'!AB26+'JOUR 12'!AB26+'JOUR 13'!AB26+'JOUR 14'!AB26+#REF!+#REF!</f>
        <v>#REF!</v>
      </c>
      <c r="AC26" s="34" t="e">
        <f>'JOUR 1'!AC26+'JOUR 2'!AC26+'JOUR 3'!AC26+'JOUR 4'!AC26+'JOUR 5'!AC26+'JOUR 6'!AC26+'JOUR 7'!AC26+'JOUR 8'!AC26+'JOUR 9'!AC26+'JOUR 10'!AC26+'JOUR 11'!AC26+'JOUR 12'!AC26+'JOUR 13'!AC26+'JOUR 14'!AC26+#REF!+#REF!</f>
        <v>#REF!</v>
      </c>
      <c r="AD26" s="35" t="e">
        <f>'JOUR 1'!AD26+'JOUR 2'!AD26+'JOUR 3'!AD26+'JOUR 4'!AD26+'JOUR 5'!AD26+'JOUR 6'!AD26+'JOUR 7'!AD26+'JOUR 8'!AD26+'JOUR 9'!AD26+'JOUR 10'!AD26+'JOUR 11'!AD26+'JOUR 12'!AD26+'JOUR 13'!AD26+'JOUR 14'!AD26+#REF!+#REF!</f>
        <v>#REF!</v>
      </c>
      <c r="AE26" s="34" t="e">
        <f>'JOUR 1'!AE26+'JOUR 2'!AE26+'JOUR 3'!AE26+'JOUR 4'!AE26+'JOUR 5'!AE26+'JOUR 6'!AE26+'JOUR 7'!AE26+'JOUR 8'!AE26+'JOUR 9'!AE26+'JOUR 10'!AE26+'JOUR 11'!AE26+'JOUR 12'!AE26+'JOUR 13'!AE26+'JOUR 14'!AE26+#REF!+#REF!</f>
        <v>#REF!</v>
      </c>
      <c r="AF26" s="34" t="e">
        <f>'JOUR 1'!AF26+'JOUR 2'!AF26+'JOUR 3'!AF26+'JOUR 4'!AF26+'JOUR 5'!AF26+'JOUR 6'!AF26+'JOUR 7'!AF26+'JOUR 8'!AF26+'JOUR 9'!AF26+'JOUR 10'!AF26+'JOUR 11'!AF26+'JOUR 12'!AF26+'JOUR 13'!AF26+'JOUR 14'!AF26+#REF!+#REF!</f>
        <v>#REF!</v>
      </c>
      <c r="AG26" s="34" t="e">
        <f>'JOUR 1'!AG26+'JOUR 2'!AG26+'JOUR 3'!AG26+'JOUR 4'!AG26+'JOUR 5'!AG26+'JOUR 6'!AG26+'JOUR 7'!AG26+'JOUR 8'!AG26+'JOUR 9'!AG26+'JOUR 10'!AG26+'JOUR 11'!AG26+'JOUR 12'!AG26+'JOUR 13'!AG26+'JOUR 14'!AG26+#REF!+#REF!</f>
        <v>#REF!</v>
      </c>
      <c r="AH26" s="21"/>
      <c r="AI26" s="22"/>
      <c r="AK26" s="87" t="e">
        <f t="shared" si="1"/>
        <v>#REF!</v>
      </c>
      <c r="AL26" s="87" t="e">
        <f t="shared" si="1"/>
        <v>#REF!</v>
      </c>
      <c r="AM26" s="87" t="e">
        <f t="shared" si="1"/>
        <v>#REF!</v>
      </c>
      <c r="AN26" s="87" t="e">
        <f t="shared" si="1"/>
        <v>#REF!</v>
      </c>
      <c r="AO26" s="87" t="e">
        <f t="shared" si="1"/>
        <v>#REF!</v>
      </c>
      <c r="AP26" s="87"/>
      <c r="AQ26" s="87"/>
      <c r="AR26" s="87"/>
      <c r="AS26" s="87" t="e">
        <f t="shared" si="2"/>
        <v>#REF!</v>
      </c>
      <c r="AT26" s="87"/>
      <c r="AU26" s="87"/>
      <c r="AV26" s="87"/>
      <c r="AW26" s="87"/>
      <c r="AX26" s="87"/>
      <c r="AY26" s="89"/>
    </row>
    <row r="27" spans="2:51" ht="17.399999999999999" x14ac:dyDescent="0.25">
      <c r="B27" s="16" t="s">
        <v>45</v>
      </c>
      <c r="C27" s="16" t="s">
        <v>67</v>
      </c>
      <c r="D27" s="17" t="e">
        <f>'JOUR 1'!D27+'JOUR 2'!D27+'JOUR 3'!D27+'JOUR 4'!D27+'JOUR 5'!D27+'JOUR 6'!D27+'JOUR 7'!D27+'JOUR 8'!D27+'JOUR 9'!D27+'JOUR 10'!D27+'JOUR 11'!D27+'JOUR 12'!D27+'JOUR 13'!D27+'JOUR 14'!D27+#REF!+#REF!</f>
        <v>#REF!</v>
      </c>
      <c r="E27" s="17" t="e">
        <f>'JOUR 1'!E27+'JOUR 2'!E27+'JOUR 3'!E27+'JOUR 4'!E27+'JOUR 5'!E27+'JOUR 6'!E27+'JOUR 7'!E27+'JOUR 8'!E27+'JOUR 9'!E27+'JOUR 10'!E27+'JOUR 11'!E27+'JOUR 12'!E27+'JOUR 13'!E27+'JOUR 14'!E27+#REF!+#REF!</f>
        <v>#REF!</v>
      </c>
      <c r="F27" s="17" t="e">
        <f>'JOUR 1'!F27+'JOUR 2'!F27+'JOUR 3'!F27+'JOUR 4'!F27+'JOUR 5'!F27+'JOUR 6'!F27+'JOUR 7'!F27+'JOUR 8'!F27+'JOUR 9'!F27+'JOUR 10'!F27+'JOUR 11'!F27+'JOUR 12'!F27+'JOUR 13'!F27+'JOUR 14'!F27+#REF!+#REF!</f>
        <v>#REF!</v>
      </c>
      <c r="G27" s="17" t="e">
        <f>'JOUR 1'!G27+'JOUR 2'!G27+'JOUR 3'!G27+'JOUR 4'!G27+'JOUR 5'!G27+'JOUR 6'!G27+'JOUR 7'!G27+'JOUR 8'!G27+'JOUR 9'!G27+'JOUR 10'!G27+'JOUR 11'!G27+'JOUR 12'!G27+'JOUR 13'!G27+'JOUR 14'!G27+#REF!+#REF!</f>
        <v>#REF!</v>
      </c>
      <c r="H27" s="17" t="e">
        <f>'JOUR 1'!H27+'JOUR 2'!H27+'JOUR 3'!H27+'JOUR 4'!H27+'JOUR 5'!H27+'JOUR 6'!H27+'JOUR 7'!H27+'JOUR 8'!H27+'JOUR 9'!H27+'JOUR 10'!H27+'JOUR 11'!H27+'JOUR 12'!H27+'JOUR 13'!H27+'JOUR 14'!H27+#REF!+#REF!</f>
        <v>#REF!</v>
      </c>
      <c r="I27" s="17" t="e">
        <f>'JOUR 1'!I27+'JOUR 2'!I27+'JOUR 3'!I27+'JOUR 4'!I27+'JOUR 5'!I27+'JOUR 6'!I27+'JOUR 7'!I27+'JOUR 8'!I27+'JOUR 9'!I27+'JOUR 10'!I27+'JOUR 11'!I27+'JOUR 12'!I27+'JOUR 13'!I27+'JOUR 14'!I27+#REF!+#REF!</f>
        <v>#REF!</v>
      </c>
      <c r="J27" s="17" t="e">
        <f>'JOUR 1'!J27+'JOUR 2'!J27+'JOUR 3'!J27+'JOUR 4'!J27+'JOUR 5'!J27+'JOUR 6'!J27+'JOUR 7'!J27+'JOUR 8'!J27+'JOUR 9'!J27+'JOUR 10'!J27+'JOUR 11'!J27+'JOUR 12'!J27+'JOUR 13'!J27+'JOUR 14'!J27+#REF!+#REF!</f>
        <v>#REF!</v>
      </c>
      <c r="K27" s="17" t="e">
        <f>'JOUR 1'!K27+'JOUR 2'!K27+'JOUR 3'!K27+'JOUR 4'!K27+'JOUR 5'!K27+'JOUR 6'!K27+'JOUR 7'!K27+'JOUR 8'!K27+'JOUR 9'!K27+'JOUR 10'!K27+'JOUR 11'!K27+'JOUR 12'!K27+'JOUR 13'!K27+'JOUR 14'!K27+#REF!+#REF!</f>
        <v>#REF!</v>
      </c>
      <c r="L27" s="17" t="e">
        <f>'JOUR 1'!L27+'JOUR 2'!L27+'JOUR 3'!L27+'JOUR 4'!L27+'JOUR 5'!L27+'JOUR 6'!L27+'JOUR 7'!L27+'JOUR 8'!L27+'JOUR 9'!L27+'JOUR 10'!L27+'JOUR 11'!L27+'JOUR 12'!L27+'JOUR 13'!L27+'JOUR 14'!L27+#REF!+#REF!</f>
        <v>#REF!</v>
      </c>
      <c r="M27" s="17" t="e">
        <f>'JOUR 1'!M27+'JOUR 2'!M27+'JOUR 3'!M27+'JOUR 4'!M27+'JOUR 5'!M27+'JOUR 6'!M27+'JOUR 7'!M27+'JOUR 8'!M27+'JOUR 9'!M27+'JOUR 10'!M27+'JOUR 11'!M27+'JOUR 12'!M27+'JOUR 13'!M27+'JOUR 14'!M27+#REF!+#REF!</f>
        <v>#REF!</v>
      </c>
      <c r="N27" s="17" t="e">
        <f>'JOUR 1'!N27+'JOUR 2'!N27+'JOUR 3'!N27+'JOUR 4'!N27+'JOUR 5'!N27+'JOUR 6'!N27+'JOUR 7'!N27+'JOUR 8'!N27+'JOUR 9'!N27+'JOUR 10'!N27+'JOUR 11'!N27+'JOUR 12'!N27+'JOUR 13'!N27+'JOUR 14'!N27+#REF!+#REF!</f>
        <v>#REF!</v>
      </c>
      <c r="O27" s="17" t="e">
        <f>'JOUR 1'!O27+'JOUR 2'!O27+'JOUR 3'!O27+'JOUR 4'!O27+'JOUR 5'!O27+'JOUR 6'!O27+'JOUR 7'!O27+'JOUR 8'!O27+'JOUR 9'!O27+'JOUR 10'!O27+'JOUR 11'!O27+'JOUR 12'!O27+'JOUR 13'!O27+'JOUR 14'!O27+#REF!+#REF!</f>
        <v>#REF!</v>
      </c>
      <c r="P27" s="17" t="e">
        <f>'JOUR 1'!P27+'JOUR 2'!P27+'JOUR 3'!P27+'JOUR 4'!P27+'JOUR 5'!P27+'JOUR 6'!P27+'JOUR 7'!P27+'JOUR 8'!P27+'JOUR 9'!P27+'JOUR 10'!P27+'JOUR 11'!P27+'JOUR 12'!P27+'JOUR 13'!P27+'JOUR 14'!P27+#REF!+#REF!</f>
        <v>#REF!</v>
      </c>
      <c r="Q27" s="17" t="e">
        <f>'JOUR 1'!Q27+'JOUR 2'!Q27+'JOUR 3'!Q27+'JOUR 4'!Q27+'JOUR 5'!Q27+'JOUR 6'!Q27+'JOUR 7'!Q27+'JOUR 8'!Q27+'JOUR 9'!Q27+'JOUR 10'!Q27+'JOUR 11'!Q27+'JOUR 12'!Q27+'JOUR 13'!Q27+'JOUR 14'!Q27+#REF!+#REF!</f>
        <v>#REF!</v>
      </c>
      <c r="R27" s="17" t="e">
        <f>'JOUR 1'!R27+'JOUR 2'!R27+'JOUR 3'!R27+'JOUR 4'!R27+'JOUR 5'!R27+'JOUR 6'!R27+'JOUR 7'!R27+'JOUR 8'!R27+'JOUR 9'!R27+'JOUR 10'!R27+'JOUR 11'!R27+'JOUR 12'!R27+'JOUR 13'!R27+'JOUR 14'!R27+#REF!+#REF!</f>
        <v>#REF!</v>
      </c>
      <c r="S27" s="31" t="e">
        <f>'JOUR 1'!S27+'JOUR 2'!S27+'JOUR 3'!S27+'JOUR 4'!S27+'JOUR 5'!S27+'JOUR 6'!S27+'JOUR 7'!S27+'JOUR 8'!S27+'JOUR 9'!S27+'JOUR 10'!S27+'JOUR 11'!S27+'JOUR 12'!S27+'JOUR 13'!S27+'JOUR 14'!S27+#REF!+#REF!</f>
        <v>#REF!</v>
      </c>
      <c r="T27" s="31" t="e">
        <f>'JOUR 1'!T27+'JOUR 2'!T27+'JOUR 3'!T27+'JOUR 4'!T27+'JOUR 5'!T27+'JOUR 6'!T27+'JOUR 7'!T27+'JOUR 8'!T27+'JOUR 9'!T27+'JOUR 10'!T27+'JOUR 11'!T27+'JOUR 12'!T27+'JOUR 13'!T27+'JOUR 14'!T27+#REF!+#REF!</f>
        <v>#REF!</v>
      </c>
      <c r="U27" s="31" t="e">
        <f>'JOUR 1'!U27+'JOUR 2'!U27+'JOUR 3'!U27+'JOUR 4'!U27+'JOUR 5'!U27+'JOUR 6'!U27+'JOUR 7'!U27+'JOUR 8'!U27+'JOUR 9'!U27+'JOUR 10'!U27+'JOUR 11'!U27+'JOUR 12'!U27+'JOUR 13'!U27+'JOUR 14'!U27+#REF!+#REF!</f>
        <v>#REF!</v>
      </c>
      <c r="V27" s="32" t="e">
        <f>'JOUR 1'!V27+'JOUR 2'!V27+'JOUR 3'!V27+'JOUR 4'!V27+'JOUR 5'!V27+'JOUR 6'!V27+'JOUR 7'!V27+'JOUR 8'!V27+'JOUR 9'!V27+'JOUR 10'!V27+'JOUR 11'!V27+'JOUR 12'!V27+'JOUR 13'!V27+'JOUR 14'!V27+#REF!+#REF!</f>
        <v>#REF!</v>
      </c>
      <c r="W27" s="32" t="e">
        <f>'JOUR 1'!W27+'JOUR 2'!W27+'JOUR 3'!W27+'JOUR 4'!W27+'JOUR 5'!W27+'JOUR 6'!W27+'JOUR 7'!W27+'JOUR 8'!W27+'JOUR 9'!W27+'JOUR 10'!W27+'JOUR 11'!W27+'JOUR 12'!W27+'JOUR 13'!W27+'JOUR 14'!W27+#REF!+#REF!</f>
        <v>#REF!</v>
      </c>
      <c r="X27" s="32" t="e">
        <f>'JOUR 1'!X27+'JOUR 2'!X27+'JOUR 3'!X27+'JOUR 4'!X27+'JOUR 5'!X27+'JOUR 6'!X27+'JOUR 7'!X27+'JOUR 8'!X27+'JOUR 9'!X27+'JOUR 10'!X27+'JOUR 11'!X27+'JOUR 12'!X27+'JOUR 13'!X27+'JOUR 14'!X27+#REF!+#REF!</f>
        <v>#REF!</v>
      </c>
      <c r="Y27" s="75" t="e">
        <f>'JOUR 1'!Y27+'JOUR 2'!Y27+'JOUR 3'!Y27+'JOUR 4'!Y27+'JOUR 5'!Y27+'JOUR 6'!Y27+'JOUR 7'!Y27+'JOUR 8'!Y27+'JOUR 9'!Y27+'JOUR 10'!Y27+'JOUR 11'!Y27+'JOUR 12'!Y27+'JOUR 13'!Y27+'JOUR 14'!Y27+#REF!+#REF!</f>
        <v>#REF!</v>
      </c>
      <c r="Z27" s="33" t="e">
        <f>'JOUR 1'!Z27+'JOUR 2'!Z27+'JOUR 3'!Z27+'JOUR 4'!Z27+'JOUR 5'!Z27+'JOUR 6'!Z27+'JOUR 7'!Z27+'JOUR 8'!Z27+'JOUR 9'!Z27+'JOUR 10'!Z27+'JOUR 11'!Z27+'JOUR 12'!Z27+'JOUR 13'!Z27+'JOUR 14'!Z27+#REF!+#REF!</f>
        <v>#REF!</v>
      </c>
      <c r="AA27" s="34" t="e">
        <f>'JOUR 1'!AA27+'JOUR 2'!AA27+'JOUR 3'!AA27+'JOUR 4'!AA27+'JOUR 5'!AA27+'JOUR 6'!AA27+'JOUR 7'!AA27+'JOUR 8'!AA27+'JOUR 9'!AA27+'JOUR 10'!AA27+'JOUR 11'!AA27+'JOUR 12'!AA27+'JOUR 13'!AA27+'JOUR 14'!AA27+#REF!+#REF!</f>
        <v>#REF!</v>
      </c>
      <c r="AB27" s="34" t="e">
        <f>'JOUR 1'!AB27+'JOUR 2'!AB27+'JOUR 3'!AB27+'JOUR 4'!AB27+'JOUR 5'!AB27+'JOUR 6'!AB27+'JOUR 7'!AB27+'JOUR 8'!AB27+'JOUR 9'!AB27+'JOUR 10'!AB27+'JOUR 11'!AB27+'JOUR 12'!AB27+'JOUR 13'!AB27+'JOUR 14'!AB27+#REF!+#REF!</f>
        <v>#REF!</v>
      </c>
      <c r="AC27" s="34" t="e">
        <f>'JOUR 1'!AC27+'JOUR 2'!AC27+'JOUR 3'!AC27+'JOUR 4'!AC27+'JOUR 5'!AC27+'JOUR 6'!AC27+'JOUR 7'!AC27+'JOUR 8'!AC27+'JOUR 9'!AC27+'JOUR 10'!AC27+'JOUR 11'!AC27+'JOUR 12'!AC27+'JOUR 13'!AC27+'JOUR 14'!AC27+#REF!+#REF!</f>
        <v>#REF!</v>
      </c>
      <c r="AD27" s="35" t="e">
        <f>'JOUR 1'!AD27+'JOUR 2'!AD27+'JOUR 3'!AD27+'JOUR 4'!AD27+'JOUR 5'!AD27+'JOUR 6'!AD27+'JOUR 7'!AD27+'JOUR 8'!AD27+'JOUR 9'!AD27+'JOUR 10'!AD27+'JOUR 11'!AD27+'JOUR 12'!AD27+'JOUR 13'!AD27+'JOUR 14'!AD27+#REF!+#REF!</f>
        <v>#REF!</v>
      </c>
      <c r="AE27" s="34" t="e">
        <f>'JOUR 1'!AE27+'JOUR 2'!AE27+'JOUR 3'!AE27+'JOUR 4'!AE27+'JOUR 5'!AE27+'JOUR 6'!AE27+'JOUR 7'!AE27+'JOUR 8'!AE27+'JOUR 9'!AE27+'JOUR 10'!AE27+'JOUR 11'!AE27+'JOUR 12'!AE27+'JOUR 13'!AE27+'JOUR 14'!AE27+#REF!+#REF!</f>
        <v>#REF!</v>
      </c>
      <c r="AF27" s="34" t="e">
        <f>'JOUR 1'!AF27+'JOUR 2'!AF27+'JOUR 3'!AF27+'JOUR 4'!AF27+'JOUR 5'!AF27+'JOUR 6'!AF27+'JOUR 7'!AF27+'JOUR 8'!AF27+'JOUR 9'!AF27+'JOUR 10'!AF27+'JOUR 11'!AF27+'JOUR 12'!AF27+'JOUR 13'!AF27+'JOUR 14'!AF27+#REF!+#REF!</f>
        <v>#REF!</v>
      </c>
      <c r="AG27" s="34" t="e">
        <f>'JOUR 1'!AG27+'JOUR 2'!AG27+'JOUR 3'!AG27+'JOUR 4'!AG27+'JOUR 5'!AG27+'JOUR 6'!AG27+'JOUR 7'!AG27+'JOUR 8'!AG27+'JOUR 9'!AG27+'JOUR 10'!AG27+'JOUR 11'!AG27+'JOUR 12'!AG27+'JOUR 13'!AG27+'JOUR 14'!AG27+#REF!+#REF!</f>
        <v>#REF!</v>
      </c>
      <c r="AH27" s="21"/>
      <c r="AI27" s="22"/>
      <c r="AK27" s="87" t="e">
        <f t="shared" si="1"/>
        <v>#REF!</v>
      </c>
      <c r="AL27" s="87" t="e">
        <f t="shared" si="1"/>
        <v>#REF!</v>
      </c>
      <c r="AM27" s="87" t="e">
        <f t="shared" si="1"/>
        <v>#REF!</v>
      </c>
      <c r="AN27" s="87" t="e">
        <f t="shared" si="1"/>
        <v>#REF!</v>
      </c>
      <c r="AO27" s="87" t="e">
        <f t="shared" si="1"/>
        <v>#REF!</v>
      </c>
      <c r="AP27" s="87"/>
      <c r="AQ27" s="87"/>
      <c r="AR27" s="87"/>
      <c r="AS27" s="87" t="e">
        <f t="shared" si="2"/>
        <v>#REF!</v>
      </c>
      <c r="AT27" s="87"/>
      <c r="AU27" s="87"/>
      <c r="AV27" s="87"/>
      <c r="AW27" s="87"/>
      <c r="AX27" s="87"/>
      <c r="AY27" s="89"/>
    </row>
    <row r="28" spans="2:51" ht="17.399999999999999" x14ac:dyDescent="0.25">
      <c r="B28" s="16" t="s">
        <v>45</v>
      </c>
      <c r="C28" s="16" t="s">
        <v>68</v>
      </c>
      <c r="D28" s="17" t="e">
        <f>'JOUR 1'!D28+'JOUR 2'!D28+'JOUR 3'!D28+'JOUR 4'!D28+'JOUR 5'!D28+'JOUR 6'!D28+'JOUR 7'!D28+'JOUR 8'!D28+'JOUR 9'!D28+'JOUR 10'!D28+'JOUR 11'!D28+'JOUR 12'!D28+'JOUR 13'!D28+'JOUR 14'!D28+#REF!+#REF!</f>
        <v>#REF!</v>
      </c>
      <c r="E28" s="17" t="e">
        <f>'JOUR 1'!E28+'JOUR 2'!E28+'JOUR 3'!E28+'JOUR 4'!E28+'JOUR 5'!E28+'JOUR 6'!E28+'JOUR 7'!E28+'JOUR 8'!E28+'JOUR 9'!E28+'JOUR 10'!E28+'JOUR 11'!E28+'JOUR 12'!E28+'JOUR 13'!E28+'JOUR 14'!E28+#REF!+#REF!</f>
        <v>#REF!</v>
      </c>
      <c r="F28" s="17" t="e">
        <f>'JOUR 1'!F28+'JOUR 2'!F28+'JOUR 3'!F28+'JOUR 4'!F28+'JOUR 5'!F28+'JOUR 6'!F28+'JOUR 7'!F28+'JOUR 8'!F28+'JOUR 9'!F28+'JOUR 10'!F28+'JOUR 11'!F28+'JOUR 12'!F28+'JOUR 13'!F28+'JOUR 14'!F28+#REF!+#REF!</f>
        <v>#REF!</v>
      </c>
      <c r="G28" s="17" t="e">
        <f>'JOUR 1'!G28+'JOUR 2'!G28+'JOUR 3'!G28+'JOUR 4'!G28+'JOUR 5'!G28+'JOUR 6'!G28+'JOUR 7'!G28+'JOUR 8'!G28+'JOUR 9'!G28+'JOUR 10'!G28+'JOUR 11'!G28+'JOUR 12'!G28+'JOUR 13'!G28+'JOUR 14'!G28+#REF!+#REF!</f>
        <v>#REF!</v>
      </c>
      <c r="H28" s="17" t="e">
        <f>'JOUR 1'!H28+'JOUR 2'!H28+'JOUR 3'!H28+'JOUR 4'!H28+'JOUR 5'!H28+'JOUR 6'!H28+'JOUR 7'!H28+'JOUR 8'!H28+'JOUR 9'!H28+'JOUR 10'!H28+'JOUR 11'!H28+'JOUR 12'!H28+'JOUR 13'!H28+'JOUR 14'!H28+#REF!+#REF!</f>
        <v>#REF!</v>
      </c>
      <c r="I28" s="17" t="e">
        <f>'JOUR 1'!I28+'JOUR 2'!I28+'JOUR 3'!I28+'JOUR 4'!I28+'JOUR 5'!I28+'JOUR 6'!I28+'JOUR 7'!I28+'JOUR 8'!I28+'JOUR 9'!I28+'JOUR 10'!I28+'JOUR 11'!I28+'JOUR 12'!I28+'JOUR 13'!I28+'JOUR 14'!I28+#REF!+#REF!</f>
        <v>#REF!</v>
      </c>
      <c r="J28" s="17" t="e">
        <f>'JOUR 1'!J28+'JOUR 2'!J28+'JOUR 3'!J28+'JOUR 4'!J28+'JOUR 5'!J28+'JOUR 6'!J28+'JOUR 7'!J28+'JOUR 8'!J28+'JOUR 9'!J28+'JOUR 10'!J28+'JOUR 11'!J28+'JOUR 12'!J28+'JOUR 13'!J28+'JOUR 14'!J28+#REF!+#REF!</f>
        <v>#REF!</v>
      </c>
      <c r="K28" s="17" t="e">
        <f>'JOUR 1'!K28+'JOUR 2'!K28+'JOUR 3'!K28+'JOUR 4'!K28+'JOUR 5'!K28+'JOUR 6'!K28+'JOUR 7'!K28+'JOUR 8'!K28+'JOUR 9'!K28+'JOUR 10'!K28+'JOUR 11'!K28+'JOUR 12'!K28+'JOUR 13'!K28+'JOUR 14'!K28+#REF!+#REF!</f>
        <v>#REF!</v>
      </c>
      <c r="L28" s="17" t="e">
        <f>'JOUR 1'!L28+'JOUR 2'!L28+'JOUR 3'!L28+'JOUR 4'!L28+'JOUR 5'!L28+'JOUR 6'!L28+'JOUR 7'!L28+'JOUR 8'!L28+'JOUR 9'!L28+'JOUR 10'!L28+'JOUR 11'!L28+'JOUR 12'!L28+'JOUR 13'!L28+'JOUR 14'!L28+#REF!+#REF!</f>
        <v>#REF!</v>
      </c>
      <c r="M28" s="17" t="e">
        <f>'JOUR 1'!M28+'JOUR 2'!M28+'JOUR 3'!M28+'JOUR 4'!M28+'JOUR 5'!M28+'JOUR 6'!M28+'JOUR 7'!M28+'JOUR 8'!M28+'JOUR 9'!M28+'JOUR 10'!M28+'JOUR 11'!M28+'JOUR 12'!M28+'JOUR 13'!M28+'JOUR 14'!M28+#REF!+#REF!</f>
        <v>#REF!</v>
      </c>
      <c r="N28" s="17" t="e">
        <f>'JOUR 1'!N28+'JOUR 2'!N28+'JOUR 3'!N28+'JOUR 4'!N28+'JOUR 5'!N28+'JOUR 6'!N28+'JOUR 7'!N28+'JOUR 8'!N28+'JOUR 9'!N28+'JOUR 10'!N28+'JOUR 11'!N28+'JOUR 12'!N28+'JOUR 13'!N28+'JOUR 14'!N28+#REF!+#REF!</f>
        <v>#REF!</v>
      </c>
      <c r="O28" s="17" t="e">
        <f>'JOUR 1'!O28+'JOUR 2'!O28+'JOUR 3'!O28+'JOUR 4'!O28+'JOUR 5'!O28+'JOUR 6'!O28+'JOUR 7'!O28+'JOUR 8'!O28+'JOUR 9'!O28+'JOUR 10'!O28+'JOUR 11'!O28+'JOUR 12'!O28+'JOUR 13'!O28+'JOUR 14'!O28+#REF!+#REF!</f>
        <v>#REF!</v>
      </c>
      <c r="P28" s="17" t="e">
        <f>'JOUR 1'!P28+'JOUR 2'!P28+'JOUR 3'!P28+'JOUR 4'!P28+'JOUR 5'!P28+'JOUR 6'!P28+'JOUR 7'!P28+'JOUR 8'!P28+'JOUR 9'!P28+'JOUR 10'!P28+'JOUR 11'!P28+'JOUR 12'!P28+'JOUR 13'!P28+'JOUR 14'!P28+#REF!+#REF!</f>
        <v>#REF!</v>
      </c>
      <c r="Q28" s="17" t="e">
        <f>'JOUR 1'!Q28+'JOUR 2'!Q28+'JOUR 3'!Q28+'JOUR 4'!Q28+'JOUR 5'!Q28+'JOUR 6'!Q28+'JOUR 7'!Q28+'JOUR 8'!Q28+'JOUR 9'!Q28+'JOUR 10'!Q28+'JOUR 11'!Q28+'JOUR 12'!Q28+'JOUR 13'!Q28+'JOUR 14'!Q28+#REF!+#REF!</f>
        <v>#REF!</v>
      </c>
      <c r="R28" s="17" t="e">
        <f>'JOUR 1'!R28+'JOUR 2'!R28+'JOUR 3'!R28+'JOUR 4'!R28+'JOUR 5'!R28+'JOUR 6'!R28+'JOUR 7'!R28+'JOUR 8'!R28+'JOUR 9'!R28+'JOUR 10'!R28+'JOUR 11'!R28+'JOUR 12'!R28+'JOUR 13'!R28+'JOUR 14'!R28+#REF!+#REF!</f>
        <v>#REF!</v>
      </c>
      <c r="S28" s="31" t="e">
        <f>'JOUR 1'!S28+'JOUR 2'!S28+'JOUR 3'!S28+'JOUR 4'!S28+'JOUR 5'!S28+'JOUR 6'!S28+'JOUR 7'!S28+'JOUR 8'!S28+'JOUR 9'!S28+'JOUR 10'!S28+'JOUR 11'!S28+'JOUR 12'!S28+'JOUR 13'!S28+'JOUR 14'!S28+#REF!+#REF!</f>
        <v>#REF!</v>
      </c>
      <c r="T28" s="31" t="e">
        <f>'JOUR 1'!T28+'JOUR 2'!T28+'JOUR 3'!T28+'JOUR 4'!T28+'JOUR 5'!T28+'JOUR 6'!T28+'JOUR 7'!T28+'JOUR 8'!T28+'JOUR 9'!T28+'JOUR 10'!T28+'JOUR 11'!T28+'JOUR 12'!T28+'JOUR 13'!T28+'JOUR 14'!T28+#REF!+#REF!</f>
        <v>#REF!</v>
      </c>
      <c r="U28" s="31" t="e">
        <f>'JOUR 1'!U28+'JOUR 2'!U28+'JOUR 3'!U28+'JOUR 4'!U28+'JOUR 5'!U28+'JOUR 6'!U28+'JOUR 7'!U28+'JOUR 8'!U28+'JOUR 9'!U28+'JOUR 10'!U28+'JOUR 11'!U28+'JOUR 12'!U28+'JOUR 13'!U28+'JOUR 14'!U28+#REF!+#REF!</f>
        <v>#REF!</v>
      </c>
      <c r="V28" s="32" t="e">
        <f>'JOUR 1'!V28+'JOUR 2'!V28+'JOUR 3'!V28+'JOUR 4'!V28+'JOUR 5'!V28+'JOUR 6'!V28+'JOUR 7'!V28+'JOUR 8'!V28+'JOUR 9'!V28+'JOUR 10'!V28+'JOUR 11'!V28+'JOUR 12'!V28+'JOUR 13'!V28+'JOUR 14'!V28+#REF!+#REF!</f>
        <v>#REF!</v>
      </c>
      <c r="W28" s="32" t="e">
        <f>'JOUR 1'!W28+'JOUR 2'!W28+'JOUR 3'!W28+'JOUR 4'!W28+'JOUR 5'!W28+'JOUR 6'!W28+'JOUR 7'!W28+'JOUR 8'!W28+'JOUR 9'!W28+'JOUR 10'!W28+'JOUR 11'!W28+'JOUR 12'!W28+'JOUR 13'!W28+'JOUR 14'!W28+#REF!+#REF!</f>
        <v>#REF!</v>
      </c>
      <c r="X28" s="32" t="e">
        <f>'JOUR 1'!X28+'JOUR 2'!X28+'JOUR 3'!X28+'JOUR 4'!X28+'JOUR 5'!X28+'JOUR 6'!X28+'JOUR 7'!X28+'JOUR 8'!X28+'JOUR 9'!X28+'JOUR 10'!X28+'JOUR 11'!X28+'JOUR 12'!X28+'JOUR 13'!X28+'JOUR 14'!X28+#REF!+#REF!</f>
        <v>#VALUE!</v>
      </c>
      <c r="Y28" s="75" t="e">
        <f>'JOUR 1'!Y28+'JOUR 2'!Y28+'JOUR 3'!Y28+'JOUR 4'!Y28+'JOUR 5'!Y28+'JOUR 6'!Y28+'JOUR 7'!Y28+'JOUR 8'!Y28+'JOUR 9'!Y28+'JOUR 10'!Y28+'JOUR 11'!Y28+'JOUR 12'!Y28+'JOUR 13'!Y28+'JOUR 14'!Y28+#REF!+#REF!</f>
        <v>#REF!</v>
      </c>
      <c r="Z28" s="33" t="e">
        <f>'JOUR 1'!Z28+'JOUR 2'!Z28+'JOUR 3'!Z28+'JOUR 4'!Z28+'JOUR 5'!Z28+'JOUR 6'!Z28+'JOUR 7'!Z28+'JOUR 8'!Z28+'JOUR 9'!Z28+'JOUR 10'!Z28+'JOUR 11'!Z28+'JOUR 12'!Z28+'JOUR 13'!Z28+'JOUR 14'!Z28+#REF!+#REF!</f>
        <v>#REF!</v>
      </c>
      <c r="AA28" s="34" t="e">
        <f>'JOUR 1'!AA28+'JOUR 2'!AA28+'JOUR 3'!AA28+'JOUR 4'!AA28+'JOUR 5'!AA28+'JOUR 6'!AA28+'JOUR 7'!AA28+'JOUR 8'!AA28+'JOUR 9'!AA28+'JOUR 10'!AA28+'JOUR 11'!AA28+'JOUR 12'!AA28+'JOUR 13'!AA28+'JOUR 14'!AA28+#REF!+#REF!</f>
        <v>#REF!</v>
      </c>
      <c r="AB28" s="34" t="e">
        <f>'JOUR 1'!AB28+'JOUR 2'!AB28+'JOUR 3'!AB28+'JOUR 4'!AB28+'JOUR 5'!AB28+'JOUR 6'!AB28+'JOUR 7'!AB28+'JOUR 8'!AB28+'JOUR 9'!AB28+'JOUR 10'!AB28+'JOUR 11'!AB28+'JOUR 12'!AB28+'JOUR 13'!AB28+'JOUR 14'!AB28+#REF!+#REF!</f>
        <v>#REF!</v>
      </c>
      <c r="AC28" s="34" t="e">
        <f>'JOUR 1'!AC28+'JOUR 2'!AC28+'JOUR 3'!AC28+'JOUR 4'!AC28+'JOUR 5'!AC28+'JOUR 6'!AC28+'JOUR 7'!AC28+'JOUR 8'!AC28+'JOUR 9'!AC28+'JOUR 10'!AC28+'JOUR 11'!AC28+'JOUR 12'!AC28+'JOUR 13'!AC28+'JOUR 14'!AC28+#REF!+#REF!</f>
        <v>#REF!</v>
      </c>
      <c r="AD28" s="35" t="e">
        <f>'JOUR 1'!AD28+'JOUR 2'!AD28+'JOUR 3'!AD28+'JOUR 4'!AD28+'JOUR 5'!AD28+'JOUR 6'!AD28+'JOUR 7'!AD28+'JOUR 8'!AD28+'JOUR 9'!AD28+'JOUR 10'!AD28+'JOUR 11'!AD28+'JOUR 12'!AD28+'JOUR 13'!AD28+'JOUR 14'!AD28+#REF!+#REF!</f>
        <v>#REF!</v>
      </c>
      <c r="AE28" s="34" t="e">
        <f>'JOUR 1'!AE28+'JOUR 2'!AE28+'JOUR 3'!AE28+'JOUR 4'!AE28+'JOUR 5'!AE28+'JOUR 6'!AE28+'JOUR 7'!AE28+'JOUR 8'!AE28+'JOUR 9'!AE28+'JOUR 10'!AE28+'JOUR 11'!AE28+'JOUR 12'!AE28+'JOUR 13'!AE28+'JOUR 14'!AE28+#REF!+#REF!</f>
        <v>#REF!</v>
      </c>
      <c r="AF28" s="34" t="e">
        <f>'JOUR 1'!AF28+'JOUR 2'!AF28+'JOUR 3'!AF28+'JOUR 4'!AF28+'JOUR 5'!AF28+'JOUR 6'!AF28+'JOUR 7'!AF28+'JOUR 8'!AF28+'JOUR 9'!AF28+'JOUR 10'!AF28+'JOUR 11'!AF28+'JOUR 12'!AF28+'JOUR 13'!AF28+'JOUR 14'!AF28+#REF!+#REF!</f>
        <v>#REF!</v>
      </c>
      <c r="AG28" s="34" t="e">
        <f>'JOUR 1'!AG28+'JOUR 2'!AG28+'JOUR 3'!AG28+'JOUR 4'!AG28+'JOUR 5'!AG28+'JOUR 6'!AG28+'JOUR 7'!AG28+'JOUR 8'!AG28+'JOUR 9'!AG28+'JOUR 10'!AG28+'JOUR 11'!AG28+'JOUR 12'!AG28+'JOUR 13'!AG28+'JOUR 14'!AG28+#REF!+#REF!</f>
        <v>#REF!</v>
      </c>
      <c r="AH28" s="21"/>
      <c r="AI28" s="22"/>
      <c r="AK28" s="87" t="e">
        <f t="shared" si="1"/>
        <v>#REF!</v>
      </c>
      <c r="AL28" s="87" t="e">
        <f t="shared" si="1"/>
        <v>#REF!</v>
      </c>
      <c r="AM28" s="87" t="e">
        <f t="shared" si="1"/>
        <v>#REF!</v>
      </c>
      <c r="AN28" s="87" t="e">
        <f t="shared" si="1"/>
        <v>#REF!</v>
      </c>
      <c r="AO28" s="87" t="e">
        <f t="shared" si="1"/>
        <v>#REF!</v>
      </c>
      <c r="AP28" s="87"/>
      <c r="AQ28" s="87"/>
      <c r="AR28" s="87"/>
      <c r="AS28" s="87" t="e">
        <f t="shared" si="2"/>
        <v>#REF!</v>
      </c>
      <c r="AT28" s="87"/>
      <c r="AU28" s="87"/>
      <c r="AV28" s="87"/>
      <c r="AW28" s="87"/>
      <c r="AX28" s="87"/>
      <c r="AY28" s="89"/>
    </row>
    <row r="29" spans="2:51" ht="17.399999999999999" x14ac:dyDescent="0.25">
      <c r="B29" s="16" t="s">
        <v>45</v>
      </c>
      <c r="C29" s="16" t="s">
        <v>69</v>
      </c>
      <c r="D29" s="17" t="e">
        <f>'JOUR 1'!D29+'JOUR 2'!D29+'JOUR 3'!D29+'JOUR 4'!D29+'JOUR 5'!D29+'JOUR 6'!D29+'JOUR 7'!D29+'JOUR 8'!D29+'JOUR 9'!D29+'JOUR 10'!D29+'JOUR 11'!D29+'JOUR 12'!D29+'JOUR 13'!D29+'JOUR 14'!D29+#REF!+#REF!</f>
        <v>#REF!</v>
      </c>
      <c r="E29" s="17" t="e">
        <f>'JOUR 1'!E29+'JOUR 2'!E29+'JOUR 3'!E29+'JOUR 4'!E29+'JOUR 5'!E29+'JOUR 6'!E29+'JOUR 7'!E29+'JOUR 8'!E29+'JOUR 9'!E29+'JOUR 10'!E29+'JOUR 11'!E29+'JOUR 12'!E29+'JOUR 13'!E29+'JOUR 14'!E29+#REF!+#REF!</f>
        <v>#REF!</v>
      </c>
      <c r="F29" s="17" t="e">
        <f>'JOUR 1'!F29+'JOUR 2'!F29+'JOUR 3'!F29+'JOUR 4'!F29+'JOUR 5'!F29+'JOUR 6'!F29+'JOUR 7'!F29+'JOUR 8'!F29+'JOUR 9'!F29+'JOUR 10'!F29+'JOUR 11'!F29+'JOUR 12'!F29+'JOUR 13'!F29+'JOUR 14'!F29+#REF!+#REF!</f>
        <v>#REF!</v>
      </c>
      <c r="G29" s="17" t="e">
        <f>'JOUR 1'!G29+'JOUR 2'!G29+'JOUR 3'!G29+'JOUR 4'!G29+'JOUR 5'!G29+'JOUR 6'!G29+'JOUR 7'!G29+'JOUR 8'!G29+'JOUR 9'!G29+'JOUR 10'!G29+'JOUR 11'!G29+'JOUR 12'!G29+'JOUR 13'!G29+'JOUR 14'!G29+#REF!+#REF!</f>
        <v>#REF!</v>
      </c>
      <c r="H29" s="17" t="e">
        <f>'JOUR 1'!H29+'JOUR 2'!H29+'JOUR 3'!H29+'JOUR 4'!H29+'JOUR 5'!H29+'JOUR 6'!H29+'JOUR 7'!H29+'JOUR 8'!H29+'JOUR 9'!H29+'JOUR 10'!H29+'JOUR 11'!H29+'JOUR 12'!H29+'JOUR 13'!H29+'JOUR 14'!H29+#REF!+#REF!</f>
        <v>#REF!</v>
      </c>
      <c r="I29" s="17" t="e">
        <f>'JOUR 1'!I29+'JOUR 2'!I29+'JOUR 3'!I29+'JOUR 4'!I29+'JOUR 5'!I29+'JOUR 6'!I29+'JOUR 7'!I29+'JOUR 8'!I29+'JOUR 9'!I29+'JOUR 10'!I29+'JOUR 11'!I29+'JOUR 12'!I29+'JOUR 13'!I29+'JOUR 14'!I29+#REF!+#REF!</f>
        <v>#REF!</v>
      </c>
      <c r="J29" s="17" t="e">
        <f>'JOUR 1'!J29+'JOUR 2'!J29+'JOUR 3'!J29+'JOUR 4'!J29+'JOUR 5'!J29+'JOUR 6'!J29+'JOUR 7'!J29+'JOUR 8'!J29+'JOUR 9'!J29+'JOUR 10'!J29+'JOUR 11'!J29+'JOUR 12'!J29+'JOUR 13'!J29+'JOUR 14'!J29+#REF!+#REF!</f>
        <v>#REF!</v>
      </c>
      <c r="K29" s="17" t="e">
        <f>'JOUR 1'!K29+'JOUR 2'!K29+'JOUR 3'!K29+'JOUR 4'!K29+'JOUR 5'!K29+'JOUR 6'!K29+'JOUR 7'!K29+'JOUR 8'!K29+'JOUR 9'!K29+'JOUR 10'!K29+'JOUR 11'!K29+'JOUR 12'!K29+'JOUR 13'!K29+'JOUR 14'!K29+#REF!+#REF!</f>
        <v>#REF!</v>
      </c>
      <c r="L29" s="17" t="e">
        <f>'JOUR 1'!L29+'JOUR 2'!L29+'JOUR 3'!L29+'JOUR 4'!L29+'JOUR 5'!L29+'JOUR 6'!L29+'JOUR 7'!L29+'JOUR 8'!L29+'JOUR 9'!L29+'JOUR 10'!L29+'JOUR 11'!L29+'JOUR 12'!L29+'JOUR 13'!L29+'JOUR 14'!L29+#REF!+#REF!</f>
        <v>#REF!</v>
      </c>
      <c r="M29" s="17" t="e">
        <f>'JOUR 1'!M29+'JOUR 2'!M29+'JOUR 3'!M29+'JOUR 4'!M29+'JOUR 5'!M29+'JOUR 6'!M29+'JOUR 7'!M29+'JOUR 8'!M29+'JOUR 9'!M29+'JOUR 10'!M29+'JOUR 11'!M29+'JOUR 12'!M29+'JOUR 13'!M29+'JOUR 14'!M29+#REF!+#REF!</f>
        <v>#REF!</v>
      </c>
      <c r="N29" s="17" t="e">
        <f>'JOUR 1'!N29+'JOUR 2'!N29+'JOUR 3'!N29+'JOUR 4'!N29+'JOUR 5'!N29+'JOUR 6'!N29+'JOUR 7'!N29+'JOUR 8'!N29+'JOUR 9'!N29+'JOUR 10'!N29+'JOUR 11'!N29+'JOUR 12'!N29+'JOUR 13'!N29+'JOUR 14'!N29+#REF!+#REF!</f>
        <v>#REF!</v>
      </c>
      <c r="O29" s="17" t="e">
        <f>'JOUR 1'!O29+'JOUR 2'!O29+'JOUR 3'!O29+'JOUR 4'!O29+'JOUR 5'!O29+'JOUR 6'!O29+'JOUR 7'!O29+'JOUR 8'!O29+'JOUR 9'!O29+'JOUR 10'!O29+'JOUR 11'!O29+'JOUR 12'!O29+'JOUR 13'!O29+'JOUR 14'!O29+#REF!+#REF!</f>
        <v>#REF!</v>
      </c>
      <c r="P29" s="17" t="e">
        <f>'JOUR 1'!P29+'JOUR 2'!P29+'JOUR 3'!P29+'JOUR 4'!P29+'JOUR 5'!P29+'JOUR 6'!P29+'JOUR 7'!P29+'JOUR 8'!P29+'JOUR 9'!P29+'JOUR 10'!P29+'JOUR 11'!P29+'JOUR 12'!P29+'JOUR 13'!P29+'JOUR 14'!P29+#REF!+#REF!</f>
        <v>#REF!</v>
      </c>
      <c r="Q29" s="17" t="e">
        <f>'JOUR 1'!Q29+'JOUR 2'!Q29+'JOUR 3'!Q29+'JOUR 4'!Q29+'JOUR 5'!Q29+'JOUR 6'!Q29+'JOUR 7'!Q29+'JOUR 8'!Q29+'JOUR 9'!Q29+'JOUR 10'!Q29+'JOUR 11'!Q29+'JOUR 12'!Q29+'JOUR 13'!Q29+'JOUR 14'!Q29+#REF!+#REF!</f>
        <v>#REF!</v>
      </c>
      <c r="R29" s="17" t="e">
        <f>'JOUR 1'!R29+'JOUR 2'!R29+'JOUR 3'!R29+'JOUR 4'!R29+'JOUR 5'!R29+'JOUR 6'!R29+'JOUR 7'!R29+'JOUR 8'!R29+'JOUR 9'!R29+'JOUR 10'!R29+'JOUR 11'!R29+'JOUR 12'!R29+'JOUR 13'!R29+'JOUR 14'!R29+#REF!+#REF!</f>
        <v>#REF!</v>
      </c>
      <c r="S29" s="31" t="e">
        <f>'JOUR 1'!S29+'JOUR 2'!S29+'JOUR 3'!S29+'JOUR 4'!S29+'JOUR 5'!S29+'JOUR 6'!S29+'JOUR 7'!S29+'JOUR 8'!S29+'JOUR 9'!S29+'JOUR 10'!S29+'JOUR 11'!S29+'JOUR 12'!S29+'JOUR 13'!S29+'JOUR 14'!S29+#REF!+#REF!</f>
        <v>#REF!</v>
      </c>
      <c r="T29" s="31" t="e">
        <f>'JOUR 1'!T29+'JOUR 2'!T29+'JOUR 3'!T29+'JOUR 4'!T29+'JOUR 5'!T29+'JOUR 6'!T29+'JOUR 7'!T29+'JOUR 8'!T29+'JOUR 9'!T29+'JOUR 10'!T29+'JOUR 11'!T29+'JOUR 12'!T29+'JOUR 13'!T29+'JOUR 14'!T29+#REF!+#REF!</f>
        <v>#REF!</v>
      </c>
      <c r="U29" s="31" t="e">
        <f>'JOUR 1'!U29+'JOUR 2'!U29+'JOUR 3'!U29+'JOUR 4'!U29+'JOUR 5'!U29+'JOUR 6'!U29+'JOUR 7'!U29+'JOUR 8'!U29+'JOUR 9'!U29+'JOUR 10'!U29+'JOUR 11'!U29+'JOUR 12'!U29+'JOUR 13'!U29+'JOUR 14'!U29+#REF!+#REF!</f>
        <v>#REF!</v>
      </c>
      <c r="V29" s="32" t="e">
        <f>'JOUR 1'!V29+'JOUR 2'!V29+'JOUR 3'!V29+'JOUR 4'!V29+'JOUR 5'!V29+'JOUR 6'!V29+'JOUR 7'!V29+'JOUR 8'!V29+'JOUR 9'!V29+'JOUR 10'!V29+'JOUR 11'!V29+'JOUR 12'!V29+'JOUR 13'!V29+'JOUR 14'!V29+#REF!+#REF!</f>
        <v>#REF!</v>
      </c>
      <c r="W29" s="32" t="e">
        <f>'JOUR 1'!W29+'JOUR 2'!W29+'JOUR 3'!W29+'JOUR 4'!W29+'JOUR 5'!W29+'JOUR 6'!W29+'JOUR 7'!W29+'JOUR 8'!W29+'JOUR 9'!W29+'JOUR 10'!W29+'JOUR 11'!W29+'JOUR 12'!W29+'JOUR 13'!W29+'JOUR 14'!W29+#REF!+#REF!</f>
        <v>#REF!</v>
      </c>
      <c r="X29" s="32" t="e">
        <f>'JOUR 1'!X29+'JOUR 2'!X29+'JOUR 3'!X29+'JOUR 4'!X29+'JOUR 5'!X29+'JOUR 6'!X29+'JOUR 7'!X29+'JOUR 8'!X29+'JOUR 9'!X29+'JOUR 10'!X29+'JOUR 11'!X29+'JOUR 12'!X29+'JOUR 13'!X29+'JOUR 14'!X29+#REF!+#REF!</f>
        <v>#REF!</v>
      </c>
      <c r="Y29" s="75" t="e">
        <f>'JOUR 1'!Y29+'JOUR 2'!Y29+'JOUR 3'!Y29+'JOUR 4'!Y29+'JOUR 5'!Y29+'JOUR 6'!Y29+'JOUR 7'!Y29+'JOUR 8'!Y29+'JOUR 9'!Y29+'JOUR 10'!Y29+'JOUR 11'!Y29+'JOUR 12'!Y29+'JOUR 13'!Y29+'JOUR 14'!Y29+#REF!+#REF!</f>
        <v>#REF!</v>
      </c>
      <c r="Z29" s="33" t="e">
        <f>'JOUR 1'!Z29+'JOUR 2'!Z29+'JOUR 3'!Z29+'JOUR 4'!Z29+'JOUR 5'!Z29+'JOUR 6'!Z29+'JOUR 7'!Z29+'JOUR 8'!Z29+'JOUR 9'!Z29+'JOUR 10'!Z29+'JOUR 11'!Z29+'JOUR 12'!Z29+'JOUR 13'!Z29+'JOUR 14'!Z29+#REF!+#REF!</f>
        <v>#REF!</v>
      </c>
      <c r="AA29" s="34" t="e">
        <f>'JOUR 1'!AA29+'JOUR 2'!AA29+'JOUR 3'!AA29+'JOUR 4'!AA29+'JOUR 5'!AA29+'JOUR 6'!AA29+'JOUR 7'!AA29+'JOUR 8'!AA29+'JOUR 9'!AA29+'JOUR 10'!AA29+'JOUR 11'!AA29+'JOUR 12'!AA29+'JOUR 13'!AA29+'JOUR 14'!AA29+#REF!+#REF!</f>
        <v>#REF!</v>
      </c>
      <c r="AB29" s="34" t="e">
        <f>'JOUR 1'!AB29+'JOUR 2'!AB29+'JOUR 3'!AB29+'JOUR 4'!AB29+'JOUR 5'!AB29+'JOUR 6'!AB29+'JOUR 7'!AB29+'JOUR 8'!AB29+'JOUR 9'!AB29+'JOUR 10'!AB29+'JOUR 11'!AB29+'JOUR 12'!AB29+'JOUR 13'!AB29+'JOUR 14'!AB29+#REF!+#REF!</f>
        <v>#REF!</v>
      </c>
      <c r="AC29" s="34" t="e">
        <f>'JOUR 1'!AC29+'JOUR 2'!AC29+'JOUR 3'!AC29+'JOUR 4'!AC29+'JOUR 5'!AC29+'JOUR 6'!AC29+'JOUR 7'!AC29+'JOUR 8'!AC29+'JOUR 9'!AC29+'JOUR 10'!AC29+'JOUR 11'!AC29+'JOUR 12'!AC29+'JOUR 13'!AC29+'JOUR 14'!AC29+#REF!+#REF!</f>
        <v>#REF!</v>
      </c>
      <c r="AD29" s="35" t="e">
        <f>'JOUR 1'!AD29+'JOUR 2'!AD29+'JOUR 3'!AD29+'JOUR 4'!AD29+'JOUR 5'!AD29+'JOUR 6'!AD29+'JOUR 7'!AD29+'JOUR 8'!AD29+'JOUR 9'!AD29+'JOUR 10'!AD29+'JOUR 11'!AD29+'JOUR 12'!AD29+'JOUR 13'!AD29+'JOUR 14'!AD29+#REF!+#REF!</f>
        <v>#REF!</v>
      </c>
      <c r="AE29" s="34" t="e">
        <f>'JOUR 1'!AE29+'JOUR 2'!AE29+'JOUR 3'!AE29+'JOUR 4'!AE29+'JOUR 5'!AE29+'JOUR 6'!AE29+'JOUR 7'!AE29+'JOUR 8'!AE29+'JOUR 9'!AE29+'JOUR 10'!AE29+'JOUR 11'!AE29+'JOUR 12'!AE29+'JOUR 13'!AE29+'JOUR 14'!AE29+#REF!+#REF!</f>
        <v>#REF!</v>
      </c>
      <c r="AF29" s="34" t="e">
        <f>'JOUR 1'!AF29+'JOUR 2'!AF29+'JOUR 3'!AF29+'JOUR 4'!AF29+'JOUR 5'!AF29+'JOUR 6'!AF29+'JOUR 7'!AF29+'JOUR 8'!AF29+'JOUR 9'!AF29+'JOUR 10'!AF29+'JOUR 11'!AF29+'JOUR 12'!AF29+'JOUR 13'!AF29+'JOUR 14'!AF29+#REF!+#REF!</f>
        <v>#REF!</v>
      </c>
      <c r="AG29" s="34" t="e">
        <f>'JOUR 1'!AG29+'JOUR 2'!AG29+'JOUR 3'!AG29+'JOUR 4'!AG29+'JOUR 5'!AG29+'JOUR 6'!AG29+'JOUR 7'!AG29+'JOUR 8'!AG29+'JOUR 9'!AG29+'JOUR 10'!AG29+'JOUR 11'!AG29+'JOUR 12'!AG29+'JOUR 13'!AG29+'JOUR 14'!AG29+#REF!+#REF!</f>
        <v>#REF!</v>
      </c>
      <c r="AH29" s="21"/>
      <c r="AI29" s="22"/>
      <c r="AK29" s="87" t="e">
        <f t="shared" si="1"/>
        <v>#REF!</v>
      </c>
      <c r="AL29" s="87" t="e">
        <f t="shared" si="1"/>
        <v>#REF!</v>
      </c>
      <c r="AM29" s="87" t="e">
        <f t="shared" si="1"/>
        <v>#REF!</v>
      </c>
      <c r="AN29" s="87" t="e">
        <f t="shared" si="1"/>
        <v>#REF!</v>
      </c>
      <c r="AO29" s="87" t="e">
        <f t="shared" si="1"/>
        <v>#REF!</v>
      </c>
      <c r="AP29" s="87"/>
      <c r="AQ29" s="87"/>
      <c r="AR29" s="87"/>
      <c r="AS29" s="87" t="e">
        <f t="shared" si="2"/>
        <v>#REF!</v>
      </c>
      <c r="AT29" s="87"/>
      <c r="AU29" s="87"/>
      <c r="AV29" s="87"/>
      <c r="AW29" s="87"/>
      <c r="AX29" s="87"/>
      <c r="AY29" s="89"/>
    </row>
    <row r="30" spans="2:51" ht="17.399999999999999" x14ac:dyDescent="0.25">
      <c r="B30" s="16" t="s">
        <v>45</v>
      </c>
      <c r="C30" s="16" t="s">
        <v>70</v>
      </c>
      <c r="D30" s="17" t="e">
        <f>'JOUR 1'!D30+'JOUR 2'!D30+'JOUR 3'!D30+'JOUR 4'!D30+'JOUR 5'!D30+'JOUR 6'!D30+'JOUR 7'!D30+'JOUR 8'!D30+'JOUR 9'!D30+'JOUR 10'!D30+'JOUR 11'!D30+'JOUR 12'!D30+'JOUR 13'!D30+'JOUR 14'!D30+#REF!+#REF!</f>
        <v>#REF!</v>
      </c>
      <c r="E30" s="17" t="e">
        <f>'JOUR 1'!E30+'JOUR 2'!E30+'JOUR 3'!E30+'JOUR 4'!E30+'JOUR 5'!E30+'JOUR 6'!E30+'JOUR 7'!E30+'JOUR 8'!E30+'JOUR 9'!E30+'JOUR 10'!E30+'JOUR 11'!E30+'JOUR 12'!E30+'JOUR 13'!E30+'JOUR 14'!E30+#REF!+#REF!</f>
        <v>#REF!</v>
      </c>
      <c r="F30" s="17" t="e">
        <f>'JOUR 1'!F30+'JOUR 2'!F30+'JOUR 3'!F30+'JOUR 4'!F30+'JOUR 5'!F30+'JOUR 6'!F30+'JOUR 7'!F30+'JOUR 8'!F30+'JOUR 9'!F30+'JOUR 10'!F30+'JOUR 11'!F30+'JOUR 12'!F30+'JOUR 13'!F30+'JOUR 14'!F30+#REF!+#REF!</f>
        <v>#REF!</v>
      </c>
      <c r="G30" s="17" t="e">
        <f>'JOUR 1'!G30+'JOUR 2'!G30+'JOUR 3'!G30+'JOUR 4'!G30+'JOUR 5'!G30+'JOUR 6'!G30+'JOUR 7'!G30+'JOUR 8'!G30+'JOUR 9'!G30+'JOUR 10'!G30+'JOUR 11'!G30+'JOUR 12'!G30+'JOUR 13'!G30+'JOUR 14'!G30+#REF!+#REF!</f>
        <v>#REF!</v>
      </c>
      <c r="H30" s="17" t="e">
        <f>'JOUR 1'!H30+'JOUR 2'!H30+'JOUR 3'!H30+'JOUR 4'!H30+'JOUR 5'!H30+'JOUR 6'!H30+'JOUR 7'!H30+'JOUR 8'!H30+'JOUR 9'!H30+'JOUR 10'!H30+'JOUR 11'!H30+'JOUR 12'!H30+'JOUR 13'!H30+'JOUR 14'!H30+#REF!+#REF!</f>
        <v>#REF!</v>
      </c>
      <c r="I30" s="17" t="e">
        <f>'JOUR 1'!I30+'JOUR 2'!I30+'JOUR 3'!I30+'JOUR 4'!I30+'JOUR 5'!I30+'JOUR 6'!I30+'JOUR 7'!I30+'JOUR 8'!I30+'JOUR 9'!I30+'JOUR 10'!I30+'JOUR 11'!I30+'JOUR 12'!I30+'JOUR 13'!I30+'JOUR 14'!I30+#REF!+#REF!</f>
        <v>#REF!</v>
      </c>
      <c r="J30" s="17" t="e">
        <f>'JOUR 1'!J30+'JOUR 2'!J30+'JOUR 3'!J30+'JOUR 4'!J30+'JOUR 5'!J30+'JOUR 6'!J30+'JOUR 7'!J30+'JOUR 8'!J30+'JOUR 9'!J30+'JOUR 10'!J30+'JOUR 11'!J30+'JOUR 12'!J30+'JOUR 13'!J30+'JOUR 14'!J30+#REF!+#REF!</f>
        <v>#REF!</v>
      </c>
      <c r="K30" s="17" t="e">
        <f>'JOUR 1'!K30+'JOUR 2'!K30+'JOUR 3'!K30+'JOUR 4'!K30+'JOUR 5'!K30+'JOUR 6'!K30+'JOUR 7'!K30+'JOUR 8'!K30+'JOUR 9'!K30+'JOUR 10'!K30+'JOUR 11'!K30+'JOUR 12'!K30+'JOUR 13'!K30+'JOUR 14'!K30+#REF!+#REF!</f>
        <v>#REF!</v>
      </c>
      <c r="L30" s="17" t="e">
        <f>'JOUR 1'!L30+'JOUR 2'!L30+'JOUR 3'!L30+'JOUR 4'!L30+'JOUR 5'!L30+'JOUR 6'!L30+'JOUR 7'!L30+'JOUR 8'!L30+'JOUR 9'!L30+'JOUR 10'!L30+'JOUR 11'!L30+'JOUR 12'!L30+'JOUR 13'!L30+'JOUR 14'!L30+#REF!+#REF!</f>
        <v>#REF!</v>
      </c>
      <c r="M30" s="17" t="e">
        <f>'JOUR 1'!M30+'JOUR 2'!M30+'JOUR 3'!M30+'JOUR 4'!M30+'JOUR 5'!M30+'JOUR 6'!M30+'JOUR 7'!M30+'JOUR 8'!M30+'JOUR 9'!M30+'JOUR 10'!M30+'JOUR 11'!M30+'JOUR 12'!M30+'JOUR 13'!M30+'JOUR 14'!M30+#REF!+#REF!</f>
        <v>#REF!</v>
      </c>
      <c r="N30" s="17" t="e">
        <f>'JOUR 1'!N30+'JOUR 2'!N30+'JOUR 3'!N30+'JOUR 4'!N30+'JOUR 5'!N30+'JOUR 6'!N30+'JOUR 7'!N30+'JOUR 8'!N30+'JOUR 9'!N30+'JOUR 10'!N30+'JOUR 11'!N30+'JOUR 12'!N30+'JOUR 13'!N30+'JOUR 14'!N30+#REF!+#REF!</f>
        <v>#REF!</v>
      </c>
      <c r="O30" s="17" t="e">
        <f>'JOUR 1'!O30+'JOUR 2'!O30+'JOUR 3'!O30+'JOUR 4'!O30+'JOUR 5'!O30+'JOUR 6'!O30+'JOUR 7'!O30+'JOUR 8'!O30+'JOUR 9'!O30+'JOUR 10'!O30+'JOUR 11'!O30+'JOUR 12'!O30+'JOUR 13'!O30+'JOUR 14'!O30+#REF!+#REF!</f>
        <v>#REF!</v>
      </c>
      <c r="P30" s="17" t="e">
        <f>'JOUR 1'!P30+'JOUR 2'!P30+'JOUR 3'!P30+'JOUR 4'!P30+'JOUR 5'!P30+'JOUR 6'!P30+'JOUR 7'!P30+'JOUR 8'!P30+'JOUR 9'!P30+'JOUR 10'!P30+'JOUR 11'!P30+'JOUR 12'!P30+'JOUR 13'!P30+'JOUR 14'!P30+#REF!+#REF!</f>
        <v>#REF!</v>
      </c>
      <c r="Q30" s="17" t="e">
        <f>'JOUR 1'!Q30+'JOUR 2'!Q30+'JOUR 3'!Q30+'JOUR 4'!Q30+'JOUR 5'!Q30+'JOUR 6'!Q30+'JOUR 7'!Q30+'JOUR 8'!Q30+'JOUR 9'!Q30+'JOUR 10'!Q30+'JOUR 11'!Q30+'JOUR 12'!Q30+'JOUR 13'!Q30+'JOUR 14'!Q30+#REF!+#REF!</f>
        <v>#REF!</v>
      </c>
      <c r="R30" s="17" t="e">
        <f>'JOUR 1'!R30+'JOUR 2'!R30+'JOUR 3'!R30+'JOUR 4'!R30+'JOUR 5'!R30+'JOUR 6'!R30+'JOUR 7'!R30+'JOUR 8'!R30+'JOUR 9'!R30+'JOUR 10'!R30+'JOUR 11'!R30+'JOUR 12'!R30+'JOUR 13'!R30+'JOUR 14'!R30+#REF!+#REF!</f>
        <v>#REF!</v>
      </c>
      <c r="S30" s="31" t="e">
        <f>'JOUR 1'!S30+'JOUR 2'!S30+'JOUR 3'!S30+'JOUR 4'!S30+'JOUR 5'!S30+'JOUR 6'!S30+'JOUR 7'!S30+'JOUR 8'!S30+'JOUR 9'!S30+'JOUR 10'!S30+'JOUR 11'!S30+'JOUR 12'!S30+'JOUR 13'!S30+'JOUR 14'!S30+#REF!+#REF!</f>
        <v>#REF!</v>
      </c>
      <c r="T30" s="31" t="e">
        <f>'JOUR 1'!T30+'JOUR 2'!T30+'JOUR 3'!T30+'JOUR 4'!T30+'JOUR 5'!T30+'JOUR 6'!T30+'JOUR 7'!T30+'JOUR 8'!T30+'JOUR 9'!T30+'JOUR 10'!T30+'JOUR 11'!T30+'JOUR 12'!T30+'JOUR 13'!T30+'JOUR 14'!T30+#REF!+#REF!</f>
        <v>#REF!</v>
      </c>
      <c r="U30" s="31" t="e">
        <f>'JOUR 1'!U30+'JOUR 2'!U30+'JOUR 3'!U30+'JOUR 4'!U30+'JOUR 5'!U30+'JOUR 6'!U30+'JOUR 7'!U30+'JOUR 8'!U30+'JOUR 9'!U30+'JOUR 10'!U30+'JOUR 11'!U30+'JOUR 12'!U30+'JOUR 13'!U30+'JOUR 14'!U30+#REF!+#REF!</f>
        <v>#REF!</v>
      </c>
      <c r="V30" s="32" t="e">
        <f>'JOUR 1'!V30+'JOUR 2'!V30+'JOUR 3'!V30+'JOUR 4'!V30+'JOUR 5'!V30+'JOUR 6'!V30+'JOUR 7'!V30+'JOUR 8'!V30+'JOUR 9'!V30+'JOUR 10'!V30+'JOUR 11'!V30+'JOUR 12'!V30+'JOUR 13'!V30+'JOUR 14'!V30+#REF!+#REF!</f>
        <v>#REF!</v>
      </c>
      <c r="W30" s="32" t="e">
        <f>'JOUR 1'!W30+'JOUR 2'!W30+'JOUR 3'!W30+'JOUR 4'!W30+'JOUR 5'!W30+'JOUR 6'!W30+'JOUR 7'!W30+'JOUR 8'!W30+'JOUR 9'!W30+'JOUR 10'!W30+'JOUR 11'!W30+'JOUR 12'!W30+'JOUR 13'!W30+'JOUR 14'!W30+#REF!+#REF!</f>
        <v>#REF!</v>
      </c>
      <c r="X30" s="32" t="e">
        <f>'JOUR 1'!X30+'JOUR 2'!X30+'JOUR 3'!X30+'JOUR 4'!X30+'JOUR 5'!X30+'JOUR 6'!X30+'JOUR 7'!X30+'JOUR 8'!X30+'JOUR 9'!X30+'JOUR 10'!X30+'JOUR 11'!X30+'JOUR 12'!X30+'JOUR 13'!X30+'JOUR 14'!X30+#REF!+#REF!</f>
        <v>#REF!</v>
      </c>
      <c r="Y30" s="75" t="e">
        <f>'JOUR 1'!Y30+'JOUR 2'!Y30+'JOUR 3'!Y30+'JOUR 4'!Y30+'JOUR 5'!Y30+'JOUR 6'!Y30+'JOUR 7'!Y30+'JOUR 8'!Y30+'JOUR 9'!Y30+'JOUR 10'!Y30+'JOUR 11'!Y30+'JOUR 12'!Y30+'JOUR 13'!Y30+'JOUR 14'!Y30+#REF!+#REF!</f>
        <v>#REF!</v>
      </c>
      <c r="Z30" s="33" t="e">
        <f>'JOUR 1'!Z30+'JOUR 2'!Z30+'JOUR 3'!Z30+'JOUR 4'!Z30+'JOUR 5'!Z30+'JOUR 6'!Z30+'JOUR 7'!Z30+'JOUR 8'!Z30+'JOUR 9'!Z30+'JOUR 10'!Z30+'JOUR 11'!Z30+'JOUR 12'!Z30+'JOUR 13'!Z30+'JOUR 14'!Z30+#REF!+#REF!</f>
        <v>#REF!</v>
      </c>
      <c r="AA30" s="34" t="e">
        <f>'JOUR 1'!AA30+'JOUR 2'!AA30+'JOUR 3'!AA30+'JOUR 4'!AA30+'JOUR 5'!AA30+'JOUR 6'!AA30+'JOUR 7'!AA30+'JOUR 8'!AA30+'JOUR 9'!AA30+'JOUR 10'!AA30+'JOUR 11'!AA30+'JOUR 12'!AA30+'JOUR 13'!AA30+'JOUR 14'!AA30+#REF!+#REF!</f>
        <v>#REF!</v>
      </c>
      <c r="AB30" s="34" t="e">
        <f>'JOUR 1'!AB30+'JOUR 2'!AB30+'JOUR 3'!AB30+'JOUR 4'!AB30+'JOUR 5'!AB30+'JOUR 6'!AB30+'JOUR 7'!AB30+'JOUR 8'!AB30+'JOUR 9'!AB30+'JOUR 10'!AB30+'JOUR 11'!AB30+'JOUR 12'!AB30+'JOUR 13'!AB30+'JOUR 14'!AB30+#REF!+#REF!</f>
        <v>#REF!</v>
      </c>
      <c r="AC30" s="34" t="e">
        <f>'JOUR 1'!AC30+'JOUR 2'!AC30+'JOUR 3'!AC30+'JOUR 4'!AC30+'JOUR 5'!AC30+'JOUR 6'!AC30+'JOUR 7'!AC30+'JOUR 8'!AC30+'JOUR 9'!AC30+'JOUR 10'!AC30+'JOUR 11'!AC30+'JOUR 12'!AC30+'JOUR 13'!AC30+'JOUR 14'!AC30+#REF!+#REF!</f>
        <v>#REF!</v>
      </c>
      <c r="AD30" s="35" t="e">
        <f>'JOUR 1'!AD30+'JOUR 2'!AD30+'JOUR 3'!AD30+'JOUR 4'!AD30+'JOUR 5'!AD30+'JOUR 6'!AD30+'JOUR 7'!AD30+'JOUR 8'!AD30+'JOUR 9'!AD30+'JOUR 10'!AD30+'JOUR 11'!AD30+'JOUR 12'!AD30+'JOUR 13'!AD30+'JOUR 14'!AD30+#REF!+#REF!</f>
        <v>#REF!</v>
      </c>
      <c r="AE30" s="34" t="e">
        <f>'JOUR 1'!AE30+'JOUR 2'!AE30+'JOUR 3'!AE30+'JOUR 4'!AE30+'JOUR 5'!AE30+'JOUR 6'!AE30+'JOUR 7'!AE30+'JOUR 8'!AE30+'JOUR 9'!AE30+'JOUR 10'!AE30+'JOUR 11'!AE30+'JOUR 12'!AE30+'JOUR 13'!AE30+'JOUR 14'!AE30+#REF!+#REF!</f>
        <v>#REF!</v>
      </c>
      <c r="AF30" s="34" t="e">
        <f>'JOUR 1'!AF30+'JOUR 2'!AF30+'JOUR 3'!AF30+'JOUR 4'!AF30+'JOUR 5'!AF30+'JOUR 6'!AF30+'JOUR 7'!AF30+'JOUR 8'!AF30+'JOUR 9'!AF30+'JOUR 10'!AF30+'JOUR 11'!AF30+'JOUR 12'!AF30+'JOUR 13'!AF30+'JOUR 14'!AF30+#REF!+#REF!</f>
        <v>#REF!</v>
      </c>
      <c r="AG30" s="34" t="e">
        <f>'JOUR 1'!AG30+'JOUR 2'!AG30+'JOUR 3'!AG30+'JOUR 4'!AG30+'JOUR 5'!AG30+'JOUR 6'!AG30+'JOUR 7'!AG30+'JOUR 8'!AG30+'JOUR 9'!AG30+'JOUR 10'!AG30+'JOUR 11'!AG30+'JOUR 12'!AG30+'JOUR 13'!AG30+'JOUR 14'!AG30+#REF!+#REF!</f>
        <v>#REF!</v>
      </c>
      <c r="AH30" s="21"/>
      <c r="AI30" s="22"/>
      <c r="AK30" s="87" t="e">
        <f t="shared" si="1"/>
        <v>#REF!</v>
      </c>
      <c r="AL30" s="87" t="e">
        <f t="shared" si="1"/>
        <v>#REF!</v>
      </c>
      <c r="AM30" s="87" t="e">
        <f t="shared" si="1"/>
        <v>#REF!</v>
      </c>
      <c r="AN30" s="87" t="e">
        <f t="shared" si="1"/>
        <v>#REF!</v>
      </c>
      <c r="AO30" s="87" t="e">
        <f t="shared" si="1"/>
        <v>#REF!</v>
      </c>
      <c r="AP30" s="87"/>
      <c r="AQ30" s="87"/>
      <c r="AR30" s="87"/>
      <c r="AS30" s="87" t="e">
        <f t="shared" si="2"/>
        <v>#REF!</v>
      </c>
      <c r="AT30" s="87"/>
      <c r="AU30" s="87"/>
      <c r="AV30" s="87"/>
      <c r="AW30" s="87"/>
      <c r="AX30" s="87"/>
      <c r="AY30" s="89"/>
    </row>
    <row r="31" spans="2:51" ht="17.399999999999999" x14ac:dyDescent="0.25">
      <c r="B31" s="16" t="s">
        <v>45</v>
      </c>
      <c r="C31" s="16" t="s">
        <v>71</v>
      </c>
      <c r="D31" s="17" t="e">
        <f>'JOUR 1'!D31+'JOUR 2'!D31+'JOUR 3'!D31+'JOUR 4'!D31+'JOUR 5'!D31+'JOUR 6'!D31+'JOUR 7'!D31+'JOUR 8'!D31+'JOUR 9'!D31+'JOUR 10'!D31+'JOUR 11'!D31+'JOUR 12'!D31+'JOUR 13'!D31+'JOUR 14'!D31+#REF!+#REF!</f>
        <v>#REF!</v>
      </c>
      <c r="E31" s="17" t="e">
        <f>'JOUR 1'!E31+'JOUR 2'!E31+'JOUR 3'!E31+'JOUR 4'!E31+'JOUR 5'!E31+'JOUR 6'!E31+'JOUR 7'!E31+'JOUR 8'!E31+'JOUR 9'!E31+'JOUR 10'!E31+'JOUR 11'!E31+'JOUR 12'!E31+'JOUR 13'!E31+'JOUR 14'!E31+#REF!+#REF!</f>
        <v>#REF!</v>
      </c>
      <c r="F31" s="17" t="e">
        <f>'JOUR 1'!F31+'JOUR 2'!F31+'JOUR 3'!F31+'JOUR 4'!F31+'JOUR 5'!F31+'JOUR 6'!F31+'JOUR 7'!F31+'JOUR 8'!F31+'JOUR 9'!F31+'JOUR 10'!F31+'JOUR 11'!F31+'JOUR 12'!F31+'JOUR 13'!F31+'JOUR 14'!F31+#REF!+#REF!</f>
        <v>#REF!</v>
      </c>
      <c r="G31" s="17" t="e">
        <f>'JOUR 1'!G31+'JOUR 2'!G31+'JOUR 3'!G31+'JOUR 4'!G31+'JOUR 5'!G31+'JOUR 6'!G31+'JOUR 7'!G31+'JOUR 8'!G31+'JOUR 9'!G31+'JOUR 10'!G31+'JOUR 11'!G31+'JOUR 12'!G31+'JOUR 13'!G31+'JOUR 14'!G31+#REF!+#REF!</f>
        <v>#REF!</v>
      </c>
      <c r="H31" s="17" t="e">
        <f>'JOUR 1'!H31+'JOUR 2'!H31+'JOUR 3'!H31+'JOUR 4'!H31+'JOUR 5'!H31+'JOUR 6'!H31+'JOUR 7'!H31+'JOUR 8'!H31+'JOUR 9'!H31+'JOUR 10'!H31+'JOUR 11'!H31+'JOUR 12'!H31+'JOUR 13'!H31+'JOUR 14'!H31+#REF!+#REF!</f>
        <v>#REF!</v>
      </c>
      <c r="I31" s="17" t="e">
        <f>'JOUR 1'!I31+'JOUR 2'!I31+'JOUR 3'!I31+'JOUR 4'!I31+'JOUR 5'!I31+'JOUR 6'!I31+'JOUR 7'!I31+'JOUR 8'!I31+'JOUR 9'!I31+'JOUR 10'!I31+'JOUR 11'!I31+'JOUR 12'!I31+'JOUR 13'!I31+'JOUR 14'!I31+#REF!+#REF!</f>
        <v>#REF!</v>
      </c>
      <c r="J31" s="17" t="e">
        <f>'JOUR 1'!J31+'JOUR 2'!J31+'JOUR 3'!J31+'JOUR 4'!J31+'JOUR 5'!J31+'JOUR 6'!J31+'JOUR 7'!J31+'JOUR 8'!J31+'JOUR 9'!J31+'JOUR 10'!J31+'JOUR 11'!J31+'JOUR 12'!J31+'JOUR 13'!J31+'JOUR 14'!J31+#REF!+#REF!</f>
        <v>#REF!</v>
      </c>
      <c r="K31" s="17" t="e">
        <f>'JOUR 1'!K31+'JOUR 2'!K31+'JOUR 3'!K31+'JOUR 4'!K31+'JOUR 5'!K31+'JOUR 6'!K31+'JOUR 7'!K31+'JOUR 8'!K31+'JOUR 9'!K31+'JOUR 10'!K31+'JOUR 11'!K31+'JOUR 12'!K31+'JOUR 13'!K31+'JOUR 14'!K31+#REF!+#REF!</f>
        <v>#REF!</v>
      </c>
      <c r="L31" s="17" t="e">
        <f>'JOUR 1'!L31+'JOUR 2'!L31+'JOUR 3'!L31+'JOUR 4'!L31+'JOUR 5'!L31+'JOUR 6'!L31+'JOUR 7'!L31+'JOUR 8'!L31+'JOUR 9'!L31+'JOUR 10'!L31+'JOUR 11'!L31+'JOUR 12'!L31+'JOUR 13'!L31+'JOUR 14'!L31+#REF!+#REF!</f>
        <v>#REF!</v>
      </c>
      <c r="M31" s="17" t="e">
        <f>'JOUR 1'!M31+'JOUR 2'!M31+'JOUR 3'!M31+'JOUR 4'!M31+'JOUR 5'!M31+'JOUR 6'!M31+'JOUR 7'!M31+'JOUR 8'!M31+'JOUR 9'!M31+'JOUR 10'!M31+'JOUR 11'!M31+'JOUR 12'!M31+'JOUR 13'!M31+'JOUR 14'!M31+#REF!+#REF!</f>
        <v>#REF!</v>
      </c>
      <c r="N31" s="17" t="e">
        <f>'JOUR 1'!N31+'JOUR 2'!N31+'JOUR 3'!N31+'JOUR 4'!N31+'JOUR 5'!N31+'JOUR 6'!N31+'JOUR 7'!N31+'JOUR 8'!N31+'JOUR 9'!N31+'JOUR 10'!N31+'JOUR 11'!N31+'JOUR 12'!N31+'JOUR 13'!N31+'JOUR 14'!N31+#REF!+#REF!</f>
        <v>#REF!</v>
      </c>
      <c r="O31" s="17" t="e">
        <f>'JOUR 1'!O31+'JOUR 2'!O31+'JOUR 3'!O31+'JOUR 4'!O31+'JOUR 5'!O31+'JOUR 6'!O31+'JOUR 7'!O31+'JOUR 8'!O31+'JOUR 9'!O31+'JOUR 10'!O31+'JOUR 11'!O31+'JOUR 12'!O31+'JOUR 13'!O31+'JOUR 14'!O31+#REF!+#REF!</f>
        <v>#REF!</v>
      </c>
      <c r="P31" s="17" t="e">
        <f>'JOUR 1'!P31+'JOUR 2'!P31+'JOUR 3'!P31+'JOUR 4'!P31+'JOUR 5'!P31+'JOUR 6'!P31+'JOUR 7'!P31+'JOUR 8'!P31+'JOUR 9'!P31+'JOUR 10'!P31+'JOUR 11'!P31+'JOUR 12'!P31+'JOUR 13'!P31+'JOUR 14'!P31+#REF!+#REF!</f>
        <v>#REF!</v>
      </c>
      <c r="Q31" s="17" t="e">
        <f>'JOUR 1'!Q31+'JOUR 2'!Q31+'JOUR 3'!Q31+'JOUR 4'!Q31+'JOUR 5'!Q31+'JOUR 6'!Q31+'JOUR 7'!Q31+'JOUR 8'!Q31+'JOUR 9'!Q31+'JOUR 10'!Q31+'JOUR 11'!Q31+'JOUR 12'!Q31+'JOUR 13'!Q31+'JOUR 14'!Q31+#REF!+#REF!</f>
        <v>#REF!</v>
      </c>
      <c r="R31" s="17" t="e">
        <f>'JOUR 1'!R31+'JOUR 2'!R31+'JOUR 3'!R31+'JOUR 4'!R31+'JOUR 5'!R31+'JOUR 6'!R31+'JOUR 7'!R31+'JOUR 8'!R31+'JOUR 9'!R31+'JOUR 10'!R31+'JOUR 11'!R31+'JOUR 12'!R31+'JOUR 13'!R31+'JOUR 14'!R31+#REF!+#REF!</f>
        <v>#REF!</v>
      </c>
      <c r="S31" s="31" t="e">
        <f>'JOUR 1'!S31+'JOUR 2'!S31+'JOUR 3'!S31+'JOUR 4'!S31+'JOUR 5'!S31+'JOUR 6'!S31+'JOUR 7'!S31+'JOUR 8'!S31+'JOUR 9'!S31+'JOUR 10'!S31+'JOUR 11'!S31+'JOUR 12'!S31+'JOUR 13'!S31+'JOUR 14'!S31+#REF!+#REF!</f>
        <v>#REF!</v>
      </c>
      <c r="T31" s="31" t="e">
        <f>'JOUR 1'!T31+'JOUR 2'!T31+'JOUR 3'!T31+'JOUR 4'!T31+'JOUR 5'!T31+'JOUR 6'!T31+'JOUR 7'!T31+'JOUR 8'!T31+'JOUR 9'!T31+'JOUR 10'!T31+'JOUR 11'!T31+'JOUR 12'!T31+'JOUR 13'!T31+'JOUR 14'!T31+#REF!+#REF!</f>
        <v>#REF!</v>
      </c>
      <c r="U31" s="31" t="e">
        <f>'JOUR 1'!U31+'JOUR 2'!U31+'JOUR 3'!U31+'JOUR 4'!U31+'JOUR 5'!U31+'JOUR 6'!U31+'JOUR 7'!U31+'JOUR 8'!U31+'JOUR 9'!U31+'JOUR 10'!U31+'JOUR 11'!U31+'JOUR 12'!U31+'JOUR 13'!U31+'JOUR 14'!U31+#REF!+#REF!</f>
        <v>#REF!</v>
      </c>
      <c r="V31" s="32" t="e">
        <f>'JOUR 1'!V31+'JOUR 2'!V31+'JOUR 3'!V31+'JOUR 4'!V31+'JOUR 5'!V31+'JOUR 6'!V31+'JOUR 7'!V31+'JOUR 8'!V31+'JOUR 9'!V31+'JOUR 10'!V31+'JOUR 11'!V31+'JOUR 12'!V31+'JOUR 13'!V31+'JOUR 14'!V31+#REF!+#REF!</f>
        <v>#REF!</v>
      </c>
      <c r="W31" s="32" t="e">
        <f>'JOUR 1'!W31+'JOUR 2'!W31+'JOUR 3'!W31+'JOUR 4'!W31+'JOUR 5'!W31+'JOUR 6'!W31+'JOUR 7'!W31+'JOUR 8'!W31+'JOUR 9'!W31+'JOUR 10'!W31+'JOUR 11'!W31+'JOUR 12'!W31+'JOUR 13'!W31+'JOUR 14'!W31+#REF!+#REF!</f>
        <v>#REF!</v>
      </c>
      <c r="X31" s="32" t="e">
        <f>'JOUR 1'!X31+'JOUR 2'!X31+'JOUR 3'!X31+'JOUR 4'!X31+'JOUR 5'!X31+'JOUR 6'!X31+'JOUR 7'!X31+'JOUR 8'!X31+'JOUR 9'!X31+'JOUR 10'!X31+'JOUR 11'!X31+'JOUR 12'!X31+'JOUR 13'!X31+'JOUR 14'!X31+#REF!+#REF!</f>
        <v>#REF!</v>
      </c>
      <c r="Y31" s="75" t="e">
        <f>'JOUR 1'!Y31+'JOUR 2'!Y31+'JOUR 3'!Y31+'JOUR 4'!Y31+'JOUR 5'!Y31+'JOUR 6'!Y31+'JOUR 7'!Y31+'JOUR 8'!Y31+'JOUR 9'!Y31+'JOUR 10'!Y31+'JOUR 11'!Y31+'JOUR 12'!Y31+'JOUR 13'!Y31+'JOUR 14'!Y31+#REF!+#REF!</f>
        <v>#REF!</v>
      </c>
      <c r="Z31" s="33" t="e">
        <f>'JOUR 1'!Z31+'JOUR 2'!Z31+'JOUR 3'!Z31+'JOUR 4'!Z31+'JOUR 5'!Z31+'JOUR 6'!Z31+'JOUR 7'!Z31+'JOUR 8'!Z31+'JOUR 9'!Z31+'JOUR 10'!Z31+'JOUR 11'!Z31+'JOUR 12'!Z31+'JOUR 13'!Z31+'JOUR 14'!Z31+#REF!+#REF!</f>
        <v>#REF!</v>
      </c>
      <c r="AA31" s="34" t="e">
        <f>'JOUR 1'!AA31+'JOUR 2'!AA31+'JOUR 3'!AA31+'JOUR 4'!AA31+'JOUR 5'!AA31+'JOUR 6'!AA31+'JOUR 7'!AA31+'JOUR 8'!AA31+'JOUR 9'!AA31+'JOUR 10'!AA31+'JOUR 11'!AA31+'JOUR 12'!AA31+'JOUR 13'!AA31+'JOUR 14'!AA31+#REF!+#REF!</f>
        <v>#REF!</v>
      </c>
      <c r="AB31" s="34" t="e">
        <f>'JOUR 1'!AB31+'JOUR 2'!AB31+'JOUR 3'!AB31+'JOUR 4'!AB31+'JOUR 5'!AB31+'JOUR 6'!AB31+'JOUR 7'!AB31+'JOUR 8'!AB31+'JOUR 9'!AB31+'JOUR 10'!AB31+'JOUR 11'!AB31+'JOUR 12'!AB31+'JOUR 13'!AB31+'JOUR 14'!AB31+#REF!+#REF!</f>
        <v>#REF!</v>
      </c>
      <c r="AC31" s="34" t="e">
        <f>'JOUR 1'!AC31+'JOUR 2'!AC31+'JOUR 3'!AC31+'JOUR 4'!AC31+'JOUR 5'!AC31+'JOUR 6'!AC31+'JOUR 7'!AC31+'JOUR 8'!AC31+'JOUR 9'!AC31+'JOUR 10'!AC31+'JOUR 11'!AC31+'JOUR 12'!AC31+'JOUR 13'!AC31+'JOUR 14'!AC31+#REF!+#REF!</f>
        <v>#REF!</v>
      </c>
      <c r="AD31" s="35" t="e">
        <f>'JOUR 1'!AD31+'JOUR 2'!AD31+'JOUR 3'!AD31+'JOUR 4'!AD31+'JOUR 5'!AD31+'JOUR 6'!AD31+'JOUR 7'!AD31+'JOUR 8'!AD31+'JOUR 9'!AD31+'JOUR 10'!AD31+'JOUR 11'!AD31+'JOUR 12'!AD31+'JOUR 13'!AD31+'JOUR 14'!AD31+#REF!+#REF!</f>
        <v>#REF!</v>
      </c>
      <c r="AE31" s="34" t="e">
        <f>'JOUR 1'!AE31+'JOUR 2'!AE31+'JOUR 3'!AE31+'JOUR 4'!AE31+'JOUR 5'!AE31+'JOUR 6'!AE31+'JOUR 7'!AE31+'JOUR 8'!AE31+'JOUR 9'!AE31+'JOUR 10'!AE31+'JOUR 11'!AE31+'JOUR 12'!AE31+'JOUR 13'!AE31+'JOUR 14'!AE31+#REF!+#REF!</f>
        <v>#REF!</v>
      </c>
      <c r="AF31" s="34" t="e">
        <f>'JOUR 1'!AF31+'JOUR 2'!AF31+'JOUR 3'!AF31+'JOUR 4'!AF31+'JOUR 5'!AF31+'JOUR 6'!AF31+'JOUR 7'!AF31+'JOUR 8'!AF31+'JOUR 9'!AF31+'JOUR 10'!AF31+'JOUR 11'!AF31+'JOUR 12'!AF31+'JOUR 13'!AF31+'JOUR 14'!AF31+#REF!+#REF!</f>
        <v>#REF!</v>
      </c>
      <c r="AG31" s="34" t="e">
        <f>'JOUR 1'!AG31+'JOUR 2'!AG31+'JOUR 3'!AG31+'JOUR 4'!AG31+'JOUR 5'!AG31+'JOUR 6'!AG31+'JOUR 7'!AG31+'JOUR 8'!AG31+'JOUR 9'!AG31+'JOUR 10'!AG31+'JOUR 11'!AG31+'JOUR 12'!AG31+'JOUR 13'!AG31+'JOUR 14'!AG31+#REF!+#REF!</f>
        <v>#REF!</v>
      </c>
      <c r="AH31" s="21"/>
      <c r="AI31" s="22"/>
      <c r="AK31" s="87" t="e">
        <f t="shared" si="1"/>
        <v>#REF!</v>
      </c>
      <c r="AL31" s="87" t="e">
        <f t="shared" si="1"/>
        <v>#REF!</v>
      </c>
      <c r="AM31" s="87" t="e">
        <f t="shared" si="1"/>
        <v>#REF!</v>
      </c>
      <c r="AN31" s="87" t="e">
        <f t="shared" si="1"/>
        <v>#REF!</v>
      </c>
      <c r="AO31" s="87" t="e">
        <f t="shared" si="1"/>
        <v>#REF!</v>
      </c>
      <c r="AP31" s="87"/>
      <c r="AQ31" s="87"/>
      <c r="AR31" s="87"/>
      <c r="AS31" s="87" t="e">
        <f t="shared" si="2"/>
        <v>#REF!</v>
      </c>
      <c r="AT31" s="87"/>
      <c r="AU31" s="87"/>
      <c r="AV31" s="87"/>
      <c r="AW31" s="87"/>
      <c r="AX31" s="87"/>
      <c r="AY31" s="89"/>
    </row>
    <row r="32" spans="2:51" ht="17.399999999999999" x14ac:dyDescent="0.25">
      <c r="B32" s="16" t="s">
        <v>45</v>
      </c>
      <c r="C32" s="16" t="s">
        <v>72</v>
      </c>
      <c r="D32" s="17" t="e">
        <f>'JOUR 1'!D32+'JOUR 2'!D32+'JOUR 3'!D32+'JOUR 4'!D32+'JOUR 5'!D32+'JOUR 6'!D32+'JOUR 7'!D32+'JOUR 8'!D32+'JOUR 9'!D32+'JOUR 10'!D32+'JOUR 11'!D32+'JOUR 12'!D32+'JOUR 13'!D32+'JOUR 14'!D32+#REF!+#REF!</f>
        <v>#REF!</v>
      </c>
      <c r="E32" s="17" t="e">
        <f>'JOUR 1'!E32+'JOUR 2'!E32+'JOUR 3'!E32+'JOUR 4'!E32+'JOUR 5'!E32+'JOUR 6'!E32+'JOUR 7'!E32+'JOUR 8'!E32+'JOUR 9'!E32+'JOUR 10'!E32+'JOUR 11'!E32+'JOUR 12'!E32+'JOUR 13'!E32+'JOUR 14'!E32+#REF!+#REF!</f>
        <v>#REF!</v>
      </c>
      <c r="F32" s="17" t="e">
        <f>'JOUR 1'!F32+'JOUR 2'!F32+'JOUR 3'!F32+'JOUR 4'!F32+'JOUR 5'!F32+'JOUR 6'!F32+'JOUR 7'!F32+'JOUR 8'!F32+'JOUR 9'!F32+'JOUR 10'!F32+'JOUR 11'!F32+'JOUR 12'!F32+'JOUR 13'!F32+'JOUR 14'!F32+#REF!+#REF!</f>
        <v>#REF!</v>
      </c>
      <c r="G32" s="17" t="e">
        <f>'JOUR 1'!G32+'JOUR 2'!G32+'JOUR 3'!G32+'JOUR 4'!G32+'JOUR 5'!G32+'JOUR 6'!G32+'JOUR 7'!G32+'JOUR 8'!G32+'JOUR 9'!G32+'JOUR 10'!G32+'JOUR 11'!G32+'JOUR 12'!G32+'JOUR 13'!G32+'JOUR 14'!G32+#REF!+#REF!</f>
        <v>#REF!</v>
      </c>
      <c r="H32" s="17" t="e">
        <f>'JOUR 1'!H32+'JOUR 2'!H32+'JOUR 3'!H32+'JOUR 4'!H32+'JOUR 5'!H32+'JOUR 6'!H32+'JOUR 7'!H32+'JOUR 8'!H32+'JOUR 9'!H32+'JOUR 10'!H32+'JOUR 11'!H32+'JOUR 12'!H32+'JOUR 13'!H32+'JOUR 14'!H32+#REF!+#REF!</f>
        <v>#REF!</v>
      </c>
      <c r="I32" s="17" t="e">
        <f>'JOUR 1'!I32+'JOUR 2'!I32+'JOUR 3'!I32+'JOUR 4'!I32+'JOUR 5'!I32+'JOUR 6'!I32+'JOUR 7'!I32+'JOUR 8'!I32+'JOUR 9'!I32+'JOUR 10'!I32+'JOUR 11'!I32+'JOUR 12'!I32+'JOUR 13'!I32+'JOUR 14'!I32+#REF!+#REF!</f>
        <v>#REF!</v>
      </c>
      <c r="J32" s="17" t="e">
        <f>'JOUR 1'!J32+'JOUR 2'!J32+'JOUR 3'!J32+'JOUR 4'!J32+'JOUR 5'!J32+'JOUR 6'!J32+'JOUR 7'!J32+'JOUR 8'!J32+'JOUR 9'!J32+'JOUR 10'!J32+'JOUR 11'!J32+'JOUR 12'!J32+'JOUR 13'!J32+'JOUR 14'!J32+#REF!+#REF!</f>
        <v>#REF!</v>
      </c>
      <c r="K32" s="17" t="e">
        <f>'JOUR 1'!K32+'JOUR 2'!K32+'JOUR 3'!K32+'JOUR 4'!K32+'JOUR 5'!K32+'JOUR 6'!K32+'JOUR 7'!K32+'JOUR 8'!K32+'JOUR 9'!K32+'JOUR 10'!K32+'JOUR 11'!K32+'JOUR 12'!K32+'JOUR 13'!K32+'JOUR 14'!K32+#REF!+#REF!</f>
        <v>#REF!</v>
      </c>
      <c r="L32" s="17" t="e">
        <f>'JOUR 1'!L32+'JOUR 2'!L32+'JOUR 3'!L32+'JOUR 4'!L32+'JOUR 5'!L32+'JOUR 6'!L32+'JOUR 7'!L32+'JOUR 8'!L32+'JOUR 9'!L32+'JOUR 10'!L32+'JOUR 11'!L32+'JOUR 12'!L32+'JOUR 13'!L32+'JOUR 14'!L32+#REF!+#REF!</f>
        <v>#REF!</v>
      </c>
      <c r="M32" s="17" t="e">
        <f>'JOUR 1'!M32+'JOUR 2'!M32+'JOUR 3'!M32+'JOUR 4'!M32+'JOUR 5'!M32+'JOUR 6'!M32+'JOUR 7'!M32+'JOUR 8'!M32+'JOUR 9'!M32+'JOUR 10'!M32+'JOUR 11'!M32+'JOUR 12'!M32+'JOUR 13'!M32+'JOUR 14'!M32+#REF!+#REF!</f>
        <v>#REF!</v>
      </c>
      <c r="N32" s="17" t="e">
        <f>'JOUR 1'!N32+'JOUR 2'!N32+'JOUR 3'!N32+'JOUR 4'!N32+'JOUR 5'!N32+'JOUR 6'!N32+'JOUR 7'!N32+'JOUR 8'!N32+'JOUR 9'!N32+'JOUR 10'!N32+'JOUR 11'!N32+'JOUR 12'!N32+'JOUR 13'!N32+'JOUR 14'!N32+#REF!+#REF!</f>
        <v>#REF!</v>
      </c>
      <c r="O32" s="17" t="e">
        <f>'JOUR 1'!O32+'JOUR 2'!O32+'JOUR 3'!O32+'JOUR 4'!O32+'JOUR 5'!O32+'JOUR 6'!O32+'JOUR 7'!O32+'JOUR 8'!O32+'JOUR 9'!O32+'JOUR 10'!O32+'JOUR 11'!O32+'JOUR 12'!O32+'JOUR 13'!O32+'JOUR 14'!O32+#REF!+#REF!</f>
        <v>#REF!</v>
      </c>
      <c r="P32" s="17" t="e">
        <f>'JOUR 1'!P32+'JOUR 2'!P32+'JOUR 3'!P32+'JOUR 4'!P32+'JOUR 5'!P32+'JOUR 6'!P32+'JOUR 7'!P32+'JOUR 8'!P32+'JOUR 9'!P32+'JOUR 10'!P32+'JOUR 11'!P32+'JOUR 12'!P32+'JOUR 13'!P32+'JOUR 14'!P32+#REF!+#REF!</f>
        <v>#REF!</v>
      </c>
      <c r="Q32" s="17" t="e">
        <f>'JOUR 1'!Q32+'JOUR 2'!Q32+'JOUR 3'!Q32+'JOUR 4'!Q32+'JOUR 5'!Q32+'JOUR 6'!Q32+'JOUR 7'!Q32+'JOUR 8'!Q32+'JOUR 9'!Q32+'JOUR 10'!Q32+'JOUR 11'!Q32+'JOUR 12'!Q32+'JOUR 13'!Q32+'JOUR 14'!Q32+#REF!+#REF!</f>
        <v>#REF!</v>
      </c>
      <c r="R32" s="17" t="e">
        <f>'JOUR 1'!R32+'JOUR 2'!R32+'JOUR 3'!R32+'JOUR 4'!R32+'JOUR 5'!R32+'JOUR 6'!R32+'JOUR 7'!R32+'JOUR 8'!R32+'JOUR 9'!R32+'JOUR 10'!R32+'JOUR 11'!R32+'JOUR 12'!R32+'JOUR 13'!R32+'JOUR 14'!R32+#REF!+#REF!</f>
        <v>#REF!</v>
      </c>
      <c r="S32" s="31" t="e">
        <f>'JOUR 1'!S32+'JOUR 2'!S32+'JOUR 3'!S32+'JOUR 4'!S32+'JOUR 5'!S32+'JOUR 6'!S32+'JOUR 7'!S32+'JOUR 8'!S32+'JOUR 9'!S32+'JOUR 10'!S32+'JOUR 11'!S32+'JOUR 12'!S32+'JOUR 13'!S32+'JOUR 14'!S32+#REF!+#REF!</f>
        <v>#REF!</v>
      </c>
      <c r="T32" s="31" t="e">
        <f>'JOUR 1'!T32+'JOUR 2'!T32+'JOUR 3'!T32+'JOUR 4'!T32+'JOUR 5'!T32+'JOUR 6'!T32+'JOUR 7'!T32+'JOUR 8'!T32+'JOUR 9'!T32+'JOUR 10'!T32+'JOUR 11'!T32+'JOUR 12'!T32+'JOUR 13'!T32+'JOUR 14'!T32+#REF!+#REF!</f>
        <v>#REF!</v>
      </c>
      <c r="U32" s="31" t="e">
        <f>'JOUR 1'!U32+'JOUR 2'!U32+'JOUR 3'!U32+'JOUR 4'!U32+'JOUR 5'!U32+'JOUR 6'!U32+'JOUR 7'!U32+'JOUR 8'!U32+'JOUR 9'!U32+'JOUR 10'!U32+'JOUR 11'!U32+'JOUR 12'!U32+'JOUR 13'!U32+'JOUR 14'!U32+#REF!+#REF!</f>
        <v>#REF!</v>
      </c>
      <c r="V32" s="32" t="e">
        <f>'JOUR 1'!V32+'JOUR 2'!V32+'JOUR 3'!V32+'JOUR 4'!V32+'JOUR 5'!V32+'JOUR 6'!V32+'JOUR 7'!V32+'JOUR 8'!V32+'JOUR 9'!V32+'JOUR 10'!V32+'JOUR 11'!V32+'JOUR 12'!V32+'JOUR 13'!V32+'JOUR 14'!V32+#REF!+#REF!</f>
        <v>#REF!</v>
      </c>
      <c r="W32" s="32" t="e">
        <f>'JOUR 1'!W32+'JOUR 2'!W32+'JOUR 3'!W32+'JOUR 4'!W32+'JOUR 5'!W32+'JOUR 6'!W32+'JOUR 7'!W32+'JOUR 8'!W32+'JOUR 9'!W32+'JOUR 10'!W32+'JOUR 11'!W32+'JOUR 12'!W32+'JOUR 13'!W32+'JOUR 14'!W32+#REF!+#REF!</f>
        <v>#REF!</v>
      </c>
      <c r="X32" s="32" t="e">
        <f>'JOUR 1'!X32+'JOUR 2'!X32+'JOUR 3'!X32+'JOUR 4'!X32+'JOUR 5'!X32+'JOUR 6'!X32+'JOUR 7'!X32+'JOUR 8'!X32+'JOUR 9'!X32+'JOUR 10'!X32+'JOUR 11'!X32+'JOUR 12'!X32+'JOUR 13'!X32+'JOUR 14'!X32+#REF!+#REF!</f>
        <v>#REF!</v>
      </c>
      <c r="Y32" s="75" t="e">
        <f>'JOUR 1'!Y32+'JOUR 2'!Y32+'JOUR 3'!Y32+'JOUR 4'!Y32+'JOUR 5'!Y32+'JOUR 6'!Y32+'JOUR 7'!Y32+'JOUR 8'!Y32+'JOUR 9'!Y32+'JOUR 10'!Y32+'JOUR 11'!Y32+'JOUR 12'!Y32+'JOUR 13'!Y32+'JOUR 14'!Y32+#REF!+#REF!</f>
        <v>#REF!</v>
      </c>
      <c r="Z32" s="33" t="e">
        <f>'JOUR 1'!Z32+'JOUR 2'!Z32+'JOUR 3'!Z32+'JOUR 4'!Z32+'JOUR 5'!Z32+'JOUR 6'!Z32+'JOUR 7'!Z32+'JOUR 8'!Z32+'JOUR 9'!Z32+'JOUR 10'!Z32+'JOUR 11'!Z32+'JOUR 12'!Z32+'JOUR 13'!Z32+'JOUR 14'!Z32+#REF!+#REF!</f>
        <v>#REF!</v>
      </c>
      <c r="AA32" s="34" t="e">
        <f>'JOUR 1'!AA32+'JOUR 2'!AA32+'JOUR 3'!AA32+'JOUR 4'!AA32+'JOUR 5'!AA32+'JOUR 6'!AA32+'JOUR 7'!AA32+'JOUR 8'!AA32+'JOUR 9'!AA32+'JOUR 10'!AA32+'JOUR 11'!AA32+'JOUR 12'!AA32+'JOUR 13'!AA32+'JOUR 14'!AA32+#REF!+#REF!</f>
        <v>#REF!</v>
      </c>
      <c r="AB32" s="34" t="e">
        <f>'JOUR 1'!AB32+'JOUR 2'!AB32+'JOUR 3'!AB32+'JOUR 4'!AB32+'JOUR 5'!AB32+'JOUR 6'!AB32+'JOUR 7'!AB32+'JOUR 8'!AB32+'JOUR 9'!AB32+'JOUR 10'!AB32+'JOUR 11'!AB32+'JOUR 12'!AB32+'JOUR 13'!AB32+'JOUR 14'!AB32+#REF!+#REF!</f>
        <v>#REF!</v>
      </c>
      <c r="AC32" s="34" t="e">
        <f>'JOUR 1'!AC32+'JOUR 2'!AC32+'JOUR 3'!AC32+'JOUR 4'!AC32+'JOUR 5'!AC32+'JOUR 6'!AC32+'JOUR 7'!AC32+'JOUR 8'!AC32+'JOUR 9'!AC32+'JOUR 10'!AC32+'JOUR 11'!AC32+'JOUR 12'!AC32+'JOUR 13'!AC32+'JOUR 14'!AC32+#REF!+#REF!</f>
        <v>#REF!</v>
      </c>
      <c r="AD32" s="35" t="e">
        <f>'JOUR 1'!AD32+'JOUR 2'!AD32+'JOUR 3'!AD32+'JOUR 4'!AD32+'JOUR 5'!AD32+'JOUR 6'!AD32+'JOUR 7'!AD32+'JOUR 8'!AD32+'JOUR 9'!AD32+'JOUR 10'!AD32+'JOUR 11'!AD32+'JOUR 12'!AD32+'JOUR 13'!AD32+'JOUR 14'!AD32+#REF!+#REF!</f>
        <v>#REF!</v>
      </c>
      <c r="AE32" s="34" t="e">
        <f>'JOUR 1'!AE32+'JOUR 2'!AE32+'JOUR 3'!AE32+'JOUR 4'!AE32+'JOUR 5'!AE32+'JOUR 6'!AE32+'JOUR 7'!AE32+'JOUR 8'!AE32+'JOUR 9'!AE32+'JOUR 10'!AE32+'JOUR 11'!AE32+'JOUR 12'!AE32+'JOUR 13'!AE32+'JOUR 14'!AE32+#REF!+#REF!</f>
        <v>#REF!</v>
      </c>
      <c r="AF32" s="34" t="e">
        <f>'JOUR 1'!AF32+'JOUR 2'!AF32+'JOUR 3'!AF32+'JOUR 4'!AF32+'JOUR 5'!AF32+'JOUR 6'!AF32+'JOUR 7'!AF32+'JOUR 8'!AF32+'JOUR 9'!AF32+'JOUR 10'!AF32+'JOUR 11'!AF32+'JOUR 12'!AF32+'JOUR 13'!AF32+'JOUR 14'!AF32+#REF!+#REF!</f>
        <v>#REF!</v>
      </c>
      <c r="AG32" s="34" t="e">
        <f>'JOUR 1'!AG32+'JOUR 2'!AG32+'JOUR 3'!AG32+'JOUR 4'!AG32+'JOUR 5'!AG32+'JOUR 6'!AG32+'JOUR 7'!AG32+'JOUR 8'!AG32+'JOUR 9'!AG32+'JOUR 10'!AG32+'JOUR 11'!AG32+'JOUR 12'!AG32+'JOUR 13'!AG32+'JOUR 14'!AG32+#REF!+#REF!</f>
        <v>#REF!</v>
      </c>
      <c r="AH32" s="21"/>
      <c r="AI32" s="22"/>
      <c r="AK32" s="87" t="e">
        <f t="shared" si="1"/>
        <v>#REF!</v>
      </c>
      <c r="AL32" s="87" t="e">
        <f t="shared" si="1"/>
        <v>#REF!</v>
      </c>
      <c r="AM32" s="87" t="e">
        <f t="shared" si="1"/>
        <v>#REF!</v>
      </c>
      <c r="AN32" s="87" t="e">
        <f t="shared" si="1"/>
        <v>#REF!</v>
      </c>
      <c r="AO32" s="87" t="e">
        <f t="shared" si="1"/>
        <v>#REF!</v>
      </c>
      <c r="AP32" s="87"/>
      <c r="AQ32" s="87"/>
      <c r="AR32" s="87"/>
      <c r="AS32" s="87" t="e">
        <f t="shared" si="2"/>
        <v>#REF!</v>
      </c>
      <c r="AT32" s="87"/>
      <c r="AU32" s="87"/>
      <c r="AV32" s="87"/>
      <c r="AW32" s="87"/>
      <c r="AX32" s="87"/>
      <c r="AY32" s="89"/>
    </row>
    <row r="33" spans="2:51" ht="17.399999999999999" x14ac:dyDescent="0.25">
      <c r="B33" s="16" t="s">
        <v>45</v>
      </c>
      <c r="C33" s="16" t="s">
        <v>73</v>
      </c>
      <c r="D33" s="17" t="e">
        <f>'JOUR 1'!D33+'JOUR 2'!D33+'JOUR 3'!D33+'JOUR 4'!D33+'JOUR 5'!D33+'JOUR 6'!D33+'JOUR 7'!D33+'JOUR 8'!D33+'JOUR 9'!D33+'JOUR 10'!D33+'JOUR 11'!D33+'JOUR 12'!D33+'JOUR 13'!D33+'JOUR 14'!D33+#REF!+#REF!</f>
        <v>#REF!</v>
      </c>
      <c r="E33" s="17" t="e">
        <f>'JOUR 1'!E33+'JOUR 2'!E33+'JOUR 3'!E33+'JOUR 4'!E33+'JOUR 5'!E33+'JOUR 6'!E33+'JOUR 7'!E33+'JOUR 8'!E33+'JOUR 9'!E33+'JOUR 10'!E33+'JOUR 11'!E33+'JOUR 12'!E33+'JOUR 13'!E33+'JOUR 14'!E33+#REF!+#REF!</f>
        <v>#REF!</v>
      </c>
      <c r="F33" s="17" t="e">
        <f>'JOUR 1'!F33+'JOUR 2'!F33+'JOUR 3'!F33+'JOUR 4'!F33+'JOUR 5'!F33+'JOUR 6'!F33+'JOUR 7'!F33+'JOUR 8'!F33+'JOUR 9'!F33+'JOUR 10'!F33+'JOUR 11'!F33+'JOUR 12'!F33+'JOUR 13'!F33+'JOUR 14'!F33+#REF!+#REF!</f>
        <v>#REF!</v>
      </c>
      <c r="G33" s="17" t="e">
        <f>'JOUR 1'!G33+'JOUR 2'!G33+'JOUR 3'!G33+'JOUR 4'!G33+'JOUR 5'!G33+'JOUR 6'!G33+'JOUR 7'!G33+'JOUR 8'!G33+'JOUR 9'!G33+'JOUR 10'!G33+'JOUR 11'!G33+'JOUR 12'!G33+'JOUR 13'!G33+'JOUR 14'!G33+#REF!+#REF!</f>
        <v>#REF!</v>
      </c>
      <c r="H33" s="17" t="e">
        <f>'JOUR 1'!H33+'JOUR 2'!H33+'JOUR 3'!H33+'JOUR 4'!H33+'JOUR 5'!H33+'JOUR 6'!H33+'JOUR 7'!H33+'JOUR 8'!H33+'JOUR 9'!H33+'JOUR 10'!H33+'JOUR 11'!H33+'JOUR 12'!H33+'JOUR 13'!H33+'JOUR 14'!H33+#REF!+#REF!</f>
        <v>#REF!</v>
      </c>
      <c r="I33" s="17" t="e">
        <f>'JOUR 1'!I33+'JOUR 2'!I33+'JOUR 3'!I33+'JOUR 4'!I33+'JOUR 5'!I33+'JOUR 6'!I33+'JOUR 7'!I33+'JOUR 8'!I33+'JOUR 9'!I33+'JOUR 10'!I33+'JOUR 11'!I33+'JOUR 12'!I33+'JOUR 13'!I33+'JOUR 14'!I33+#REF!+#REF!</f>
        <v>#REF!</v>
      </c>
      <c r="J33" s="17" t="e">
        <f>'JOUR 1'!J33+'JOUR 2'!J33+'JOUR 3'!J33+'JOUR 4'!J33+'JOUR 5'!J33+'JOUR 6'!J33+'JOUR 7'!J33+'JOUR 8'!J33+'JOUR 9'!J33+'JOUR 10'!J33+'JOUR 11'!J33+'JOUR 12'!J33+'JOUR 13'!J33+'JOUR 14'!J33+#REF!+#REF!</f>
        <v>#REF!</v>
      </c>
      <c r="K33" s="17" t="e">
        <f>'JOUR 1'!K33+'JOUR 2'!K33+'JOUR 3'!K33+'JOUR 4'!K33+'JOUR 5'!K33+'JOUR 6'!K33+'JOUR 7'!K33+'JOUR 8'!K33+'JOUR 9'!K33+'JOUR 10'!K33+'JOUR 11'!K33+'JOUR 12'!K33+'JOUR 13'!K33+'JOUR 14'!K33+#REF!+#REF!</f>
        <v>#REF!</v>
      </c>
      <c r="L33" s="17" t="e">
        <f>'JOUR 1'!L33+'JOUR 2'!L33+'JOUR 3'!L33+'JOUR 4'!L33+'JOUR 5'!L33+'JOUR 6'!L33+'JOUR 7'!L33+'JOUR 8'!L33+'JOUR 9'!L33+'JOUR 10'!L33+'JOUR 11'!L33+'JOUR 12'!L33+'JOUR 13'!L33+'JOUR 14'!L33+#REF!+#REF!</f>
        <v>#REF!</v>
      </c>
      <c r="M33" s="17" t="e">
        <f>'JOUR 1'!M33+'JOUR 2'!M33+'JOUR 3'!M33+'JOUR 4'!M33+'JOUR 5'!M33+'JOUR 6'!M33+'JOUR 7'!M33+'JOUR 8'!M33+'JOUR 9'!M33+'JOUR 10'!M33+'JOUR 11'!M33+'JOUR 12'!M33+'JOUR 13'!M33+'JOUR 14'!M33+#REF!+#REF!</f>
        <v>#REF!</v>
      </c>
      <c r="N33" s="17" t="e">
        <f>'JOUR 1'!N33+'JOUR 2'!N33+'JOUR 3'!N33+'JOUR 4'!N33+'JOUR 5'!N33+'JOUR 6'!N33+'JOUR 7'!N33+'JOUR 8'!N33+'JOUR 9'!N33+'JOUR 10'!N33+'JOUR 11'!N33+'JOUR 12'!N33+'JOUR 13'!N33+'JOUR 14'!N33+#REF!+#REF!</f>
        <v>#REF!</v>
      </c>
      <c r="O33" s="17" t="e">
        <f>'JOUR 1'!O33+'JOUR 2'!O33+'JOUR 3'!O33+'JOUR 4'!O33+'JOUR 5'!O33+'JOUR 6'!O33+'JOUR 7'!O33+'JOUR 8'!O33+'JOUR 9'!O33+'JOUR 10'!O33+'JOUR 11'!O33+'JOUR 12'!O33+'JOUR 13'!O33+'JOUR 14'!O33+#REF!+#REF!</f>
        <v>#REF!</v>
      </c>
      <c r="P33" s="17" t="e">
        <f>'JOUR 1'!P33+'JOUR 2'!P33+'JOUR 3'!P33+'JOUR 4'!P33+'JOUR 5'!P33+'JOUR 6'!P33+'JOUR 7'!P33+'JOUR 8'!P33+'JOUR 9'!P33+'JOUR 10'!P33+'JOUR 11'!P33+'JOUR 12'!P33+'JOUR 13'!P33+'JOUR 14'!P33+#REF!+#REF!</f>
        <v>#REF!</v>
      </c>
      <c r="Q33" s="17" t="e">
        <f>'JOUR 1'!Q33+'JOUR 2'!Q33+'JOUR 3'!Q33+'JOUR 4'!Q33+'JOUR 5'!Q33+'JOUR 6'!Q33+'JOUR 7'!Q33+'JOUR 8'!Q33+'JOUR 9'!Q33+'JOUR 10'!Q33+'JOUR 11'!Q33+'JOUR 12'!Q33+'JOUR 13'!Q33+'JOUR 14'!Q33+#REF!+#REF!</f>
        <v>#REF!</v>
      </c>
      <c r="R33" s="17" t="e">
        <f>'JOUR 1'!R33+'JOUR 2'!R33+'JOUR 3'!R33+'JOUR 4'!R33+'JOUR 5'!R33+'JOUR 6'!R33+'JOUR 7'!R33+'JOUR 8'!R33+'JOUR 9'!R33+'JOUR 10'!R33+'JOUR 11'!R33+'JOUR 12'!R33+'JOUR 13'!R33+'JOUR 14'!R33+#REF!+#REF!</f>
        <v>#REF!</v>
      </c>
      <c r="S33" s="31" t="e">
        <f>'JOUR 1'!S33+'JOUR 2'!S33+'JOUR 3'!S33+'JOUR 4'!S33+'JOUR 5'!S33+'JOUR 6'!S33+'JOUR 7'!S33+'JOUR 8'!S33+'JOUR 9'!S33+'JOUR 10'!S33+'JOUR 11'!S33+'JOUR 12'!S33+'JOUR 13'!S33+'JOUR 14'!S33+#REF!+#REF!</f>
        <v>#REF!</v>
      </c>
      <c r="T33" s="31" t="e">
        <f>'JOUR 1'!T33+'JOUR 2'!T33+'JOUR 3'!T33+'JOUR 4'!T33+'JOUR 5'!T33+'JOUR 6'!T33+'JOUR 7'!T33+'JOUR 8'!T33+'JOUR 9'!T33+'JOUR 10'!T33+'JOUR 11'!T33+'JOUR 12'!T33+'JOUR 13'!T33+'JOUR 14'!T33+#REF!+#REF!</f>
        <v>#REF!</v>
      </c>
      <c r="U33" s="31" t="e">
        <f>'JOUR 1'!U33+'JOUR 2'!U33+'JOUR 3'!U33+'JOUR 4'!U33+'JOUR 5'!U33+'JOUR 6'!U33+'JOUR 7'!U33+'JOUR 8'!U33+'JOUR 9'!U33+'JOUR 10'!U33+'JOUR 11'!U33+'JOUR 12'!U33+'JOUR 13'!U33+'JOUR 14'!U33+#REF!+#REF!</f>
        <v>#REF!</v>
      </c>
      <c r="V33" s="32" t="e">
        <f>'JOUR 1'!V33+'JOUR 2'!V33+'JOUR 3'!V33+'JOUR 4'!V33+'JOUR 5'!V33+'JOUR 6'!V33+'JOUR 7'!V33+'JOUR 8'!V33+'JOUR 9'!V33+'JOUR 10'!V33+'JOUR 11'!V33+'JOUR 12'!V33+'JOUR 13'!V33+'JOUR 14'!V33+#REF!+#REF!</f>
        <v>#REF!</v>
      </c>
      <c r="W33" s="32" t="e">
        <f>'JOUR 1'!W33+'JOUR 2'!W33+'JOUR 3'!W33+'JOUR 4'!W33+'JOUR 5'!W33+'JOUR 6'!W33+'JOUR 7'!W33+'JOUR 8'!W33+'JOUR 9'!W33+'JOUR 10'!W33+'JOUR 11'!W33+'JOUR 12'!W33+'JOUR 13'!W33+'JOUR 14'!W33+#REF!+#REF!</f>
        <v>#REF!</v>
      </c>
      <c r="X33" s="32" t="e">
        <f>'JOUR 1'!X33+'JOUR 2'!X33+'JOUR 3'!X33+'JOUR 4'!X33+'JOUR 5'!X33+'JOUR 6'!X33+'JOUR 7'!X33+'JOUR 8'!X33+'JOUR 9'!X33+'JOUR 10'!X33+'JOUR 11'!X33+'JOUR 12'!X33+'JOUR 13'!X33+'JOUR 14'!X33+#REF!+#REF!</f>
        <v>#REF!</v>
      </c>
      <c r="Y33" s="75" t="e">
        <f>'JOUR 1'!Y33+'JOUR 2'!Y33+'JOUR 3'!Y33+'JOUR 4'!Y33+'JOUR 5'!Y33+'JOUR 6'!Y33+'JOUR 7'!Y33+'JOUR 8'!Y33+'JOUR 9'!Y33+'JOUR 10'!Y33+'JOUR 11'!Y33+'JOUR 12'!Y33+'JOUR 13'!Y33+'JOUR 14'!Y33+#REF!+#REF!</f>
        <v>#REF!</v>
      </c>
      <c r="Z33" s="33" t="e">
        <f>'JOUR 1'!Z33+'JOUR 2'!Z33+'JOUR 3'!Z33+'JOUR 4'!Z33+'JOUR 5'!Z33+'JOUR 6'!Z33+'JOUR 7'!Z33+'JOUR 8'!Z33+'JOUR 9'!Z33+'JOUR 10'!Z33+'JOUR 11'!Z33+'JOUR 12'!Z33+'JOUR 13'!Z33+'JOUR 14'!Z33+#REF!+#REF!</f>
        <v>#REF!</v>
      </c>
      <c r="AA33" s="34" t="e">
        <f>'JOUR 1'!AA33+'JOUR 2'!AA33+'JOUR 3'!AA33+'JOUR 4'!AA33+'JOUR 5'!AA33+'JOUR 6'!AA33+'JOUR 7'!AA33+'JOUR 8'!AA33+'JOUR 9'!AA33+'JOUR 10'!AA33+'JOUR 11'!AA33+'JOUR 12'!AA33+'JOUR 13'!AA33+'JOUR 14'!AA33+#REF!+#REF!</f>
        <v>#REF!</v>
      </c>
      <c r="AB33" s="34" t="e">
        <f>'JOUR 1'!AB33+'JOUR 2'!AB33+'JOUR 3'!AB33+'JOUR 4'!AB33+'JOUR 5'!AB33+'JOUR 6'!AB33+'JOUR 7'!AB33+'JOUR 8'!AB33+'JOUR 9'!AB33+'JOUR 10'!AB33+'JOUR 11'!AB33+'JOUR 12'!AB33+'JOUR 13'!AB33+'JOUR 14'!AB33+#REF!+#REF!</f>
        <v>#REF!</v>
      </c>
      <c r="AC33" s="34" t="e">
        <f>'JOUR 1'!AC33+'JOUR 2'!AC33+'JOUR 3'!AC33+'JOUR 4'!AC33+'JOUR 5'!AC33+'JOUR 6'!AC33+'JOUR 7'!AC33+'JOUR 8'!AC33+'JOUR 9'!AC33+'JOUR 10'!AC33+'JOUR 11'!AC33+'JOUR 12'!AC33+'JOUR 13'!AC33+'JOUR 14'!AC33+#REF!+#REF!</f>
        <v>#REF!</v>
      </c>
      <c r="AD33" s="35" t="e">
        <f>'JOUR 1'!AD33+'JOUR 2'!AD33+'JOUR 3'!AD33+'JOUR 4'!AD33+'JOUR 5'!AD33+'JOUR 6'!AD33+'JOUR 7'!AD33+'JOUR 8'!AD33+'JOUR 9'!AD33+'JOUR 10'!AD33+'JOUR 11'!AD33+'JOUR 12'!AD33+'JOUR 13'!AD33+'JOUR 14'!AD33+#REF!+#REF!</f>
        <v>#REF!</v>
      </c>
      <c r="AE33" s="34" t="e">
        <f>'JOUR 1'!AE33+'JOUR 2'!AE33+'JOUR 3'!AE33+'JOUR 4'!AE33+'JOUR 5'!AE33+'JOUR 6'!AE33+'JOUR 7'!AE33+'JOUR 8'!AE33+'JOUR 9'!AE33+'JOUR 10'!AE33+'JOUR 11'!AE33+'JOUR 12'!AE33+'JOUR 13'!AE33+'JOUR 14'!AE33+#REF!+#REF!</f>
        <v>#REF!</v>
      </c>
      <c r="AF33" s="34" t="e">
        <f>'JOUR 1'!AF33+'JOUR 2'!AF33+'JOUR 3'!AF33+'JOUR 4'!AF33+'JOUR 5'!AF33+'JOUR 6'!AF33+'JOUR 7'!AF33+'JOUR 8'!AF33+'JOUR 9'!AF33+'JOUR 10'!AF33+'JOUR 11'!AF33+'JOUR 12'!AF33+'JOUR 13'!AF33+'JOUR 14'!AF33+#REF!+#REF!</f>
        <v>#REF!</v>
      </c>
      <c r="AG33" s="34" t="e">
        <f>'JOUR 1'!AG33+'JOUR 2'!AG33+'JOUR 3'!AG33+'JOUR 4'!AG33+'JOUR 5'!AG33+'JOUR 6'!AG33+'JOUR 7'!AG33+'JOUR 8'!AG33+'JOUR 9'!AG33+'JOUR 10'!AG33+'JOUR 11'!AG33+'JOUR 12'!AG33+'JOUR 13'!AG33+'JOUR 14'!AG33+#REF!+#REF!</f>
        <v>#REF!</v>
      </c>
      <c r="AH33" s="21"/>
      <c r="AI33" s="22"/>
      <c r="AK33" s="87" t="e">
        <f t="shared" si="1"/>
        <v>#REF!</v>
      </c>
      <c r="AL33" s="87" t="e">
        <f t="shared" si="1"/>
        <v>#REF!</v>
      </c>
      <c r="AM33" s="87" t="e">
        <f t="shared" si="1"/>
        <v>#REF!</v>
      </c>
      <c r="AN33" s="87" t="e">
        <f t="shared" si="1"/>
        <v>#REF!</v>
      </c>
      <c r="AO33" s="87" t="e">
        <f t="shared" si="1"/>
        <v>#REF!</v>
      </c>
      <c r="AP33" s="87"/>
      <c r="AQ33" s="87"/>
      <c r="AR33" s="87"/>
      <c r="AS33" s="87" t="e">
        <f t="shared" si="2"/>
        <v>#REF!</v>
      </c>
      <c r="AT33" s="87"/>
      <c r="AU33" s="87"/>
      <c r="AV33" s="87"/>
      <c r="AW33" s="87"/>
      <c r="AX33" s="87"/>
      <c r="AY33" s="89"/>
    </row>
    <row r="34" spans="2:51" ht="17.399999999999999" x14ac:dyDescent="0.25">
      <c r="B34" s="16" t="s">
        <v>44</v>
      </c>
      <c r="C34" s="16" t="s">
        <v>74</v>
      </c>
      <c r="D34" s="17" t="e">
        <f>'JOUR 1'!D34+'JOUR 2'!D34+'JOUR 3'!D34+'JOUR 4'!D34+'JOUR 5'!D34+'JOUR 6'!D34+'JOUR 7'!D34+'JOUR 8'!D34+'JOUR 9'!D34+'JOUR 10'!D34+'JOUR 11'!D34+'JOUR 12'!D34+'JOUR 13'!D34+'JOUR 14'!D34+#REF!+#REF!</f>
        <v>#REF!</v>
      </c>
      <c r="E34" s="17" t="e">
        <f>'JOUR 1'!E34+'JOUR 2'!E34+'JOUR 3'!E34+'JOUR 4'!E34+'JOUR 5'!E34+'JOUR 6'!E34+'JOUR 7'!E34+'JOUR 8'!E34+'JOUR 9'!E34+'JOUR 10'!E34+'JOUR 11'!E34+'JOUR 12'!E34+'JOUR 13'!E34+'JOUR 14'!E34+#REF!+#REF!</f>
        <v>#REF!</v>
      </c>
      <c r="F34" s="17" t="e">
        <f>'JOUR 1'!F34+'JOUR 2'!F34+'JOUR 3'!F34+'JOUR 4'!F34+'JOUR 5'!F34+'JOUR 6'!F34+'JOUR 7'!F34+'JOUR 8'!F34+'JOUR 9'!F34+'JOUR 10'!F34+'JOUR 11'!F34+'JOUR 12'!F34+'JOUR 13'!F34+'JOUR 14'!F34+#REF!+#REF!</f>
        <v>#REF!</v>
      </c>
      <c r="G34" s="17" t="e">
        <f>'JOUR 1'!G34+'JOUR 2'!G34+'JOUR 3'!G34+'JOUR 4'!G34+'JOUR 5'!G34+'JOUR 6'!G34+'JOUR 7'!G34+'JOUR 8'!G34+'JOUR 9'!G34+'JOUR 10'!G34+'JOUR 11'!G34+'JOUR 12'!G34+'JOUR 13'!G34+'JOUR 14'!G34+#REF!+#REF!</f>
        <v>#REF!</v>
      </c>
      <c r="H34" s="17" t="e">
        <f>'JOUR 1'!H34+'JOUR 2'!H34+'JOUR 3'!H34+'JOUR 4'!H34+'JOUR 5'!H34+'JOUR 6'!H34+'JOUR 7'!H34+'JOUR 8'!H34+'JOUR 9'!H34+'JOUR 10'!H34+'JOUR 11'!H34+'JOUR 12'!H34+'JOUR 13'!H34+'JOUR 14'!H34+#REF!+#REF!</f>
        <v>#REF!</v>
      </c>
      <c r="I34" s="17" t="e">
        <f>'JOUR 1'!I34+'JOUR 2'!I34+'JOUR 3'!I34+'JOUR 4'!I34+'JOUR 5'!I34+'JOUR 6'!I34+'JOUR 7'!I34+'JOUR 8'!I34+'JOUR 9'!I34+'JOUR 10'!I34+'JOUR 11'!I34+'JOUR 12'!I34+'JOUR 13'!I34+'JOUR 14'!I34+#REF!+#REF!</f>
        <v>#REF!</v>
      </c>
      <c r="J34" s="17" t="e">
        <f>'JOUR 1'!J34+'JOUR 2'!J34+'JOUR 3'!J34+'JOUR 4'!J34+'JOUR 5'!J34+'JOUR 6'!J34+'JOUR 7'!J34+'JOUR 8'!J34+'JOUR 9'!J34+'JOUR 10'!J34+'JOUR 11'!J34+'JOUR 12'!J34+'JOUR 13'!J34+'JOUR 14'!J34+#REF!+#REF!</f>
        <v>#REF!</v>
      </c>
      <c r="K34" s="17" t="e">
        <f>'JOUR 1'!K34+'JOUR 2'!K34+'JOUR 3'!K34+'JOUR 4'!K34+'JOUR 5'!K34+'JOUR 6'!K34+'JOUR 7'!K34+'JOUR 8'!K34+'JOUR 9'!K34+'JOUR 10'!K34+'JOUR 11'!K34+'JOUR 12'!K34+'JOUR 13'!K34+'JOUR 14'!K34+#REF!+#REF!</f>
        <v>#REF!</v>
      </c>
      <c r="L34" s="17" t="e">
        <f>'JOUR 1'!L34+'JOUR 2'!L34+'JOUR 3'!L34+'JOUR 4'!L34+'JOUR 5'!L34+'JOUR 6'!L34+'JOUR 7'!L34+'JOUR 8'!L34+'JOUR 9'!L34+'JOUR 10'!L34+'JOUR 11'!L34+'JOUR 12'!L34+'JOUR 13'!L34+'JOUR 14'!L34+#REF!+#REF!</f>
        <v>#REF!</v>
      </c>
      <c r="M34" s="17" t="e">
        <f>'JOUR 1'!M34+'JOUR 2'!M34+'JOUR 3'!M34+'JOUR 4'!M34+'JOUR 5'!M34+'JOUR 6'!M34+'JOUR 7'!M34+'JOUR 8'!M34+'JOUR 9'!M34+'JOUR 10'!M34+'JOUR 11'!M34+'JOUR 12'!M34+'JOUR 13'!M34+'JOUR 14'!M34+#REF!+#REF!</f>
        <v>#REF!</v>
      </c>
      <c r="N34" s="17" t="e">
        <f>'JOUR 1'!N34+'JOUR 2'!N34+'JOUR 3'!N34+'JOUR 4'!N34+'JOUR 5'!N34+'JOUR 6'!N34+'JOUR 7'!N34+'JOUR 8'!N34+'JOUR 9'!N34+'JOUR 10'!N34+'JOUR 11'!N34+'JOUR 12'!N34+'JOUR 13'!N34+'JOUR 14'!N34+#REF!+#REF!</f>
        <v>#REF!</v>
      </c>
      <c r="O34" s="17" t="e">
        <f>'JOUR 1'!O34+'JOUR 2'!O34+'JOUR 3'!O34+'JOUR 4'!O34+'JOUR 5'!O34+'JOUR 6'!O34+'JOUR 7'!O34+'JOUR 8'!O34+'JOUR 9'!O34+'JOUR 10'!O34+'JOUR 11'!O34+'JOUR 12'!O34+'JOUR 13'!O34+'JOUR 14'!O34+#REF!+#REF!</f>
        <v>#REF!</v>
      </c>
      <c r="P34" s="17" t="e">
        <f>'JOUR 1'!P34+'JOUR 2'!P34+'JOUR 3'!P34+'JOUR 4'!P34+'JOUR 5'!P34+'JOUR 6'!P34+'JOUR 7'!P34+'JOUR 8'!P34+'JOUR 9'!P34+'JOUR 10'!P34+'JOUR 11'!P34+'JOUR 12'!P34+'JOUR 13'!P34+'JOUR 14'!P34+#REF!+#REF!</f>
        <v>#REF!</v>
      </c>
      <c r="Q34" s="17" t="e">
        <f>'JOUR 1'!Q34+'JOUR 2'!Q34+'JOUR 3'!Q34+'JOUR 4'!Q34+'JOUR 5'!Q34+'JOUR 6'!Q34+'JOUR 7'!Q34+'JOUR 8'!Q34+'JOUR 9'!Q34+'JOUR 10'!Q34+'JOUR 11'!Q34+'JOUR 12'!Q34+'JOUR 13'!Q34+'JOUR 14'!Q34+#REF!+#REF!</f>
        <v>#REF!</v>
      </c>
      <c r="R34" s="17" t="e">
        <f>'JOUR 1'!R34+'JOUR 2'!R34+'JOUR 3'!R34+'JOUR 4'!R34+'JOUR 5'!R34+'JOUR 6'!R34+'JOUR 7'!R34+'JOUR 8'!R34+'JOUR 9'!R34+'JOUR 10'!R34+'JOUR 11'!R34+'JOUR 12'!R34+'JOUR 13'!R34+'JOUR 14'!R34+#REF!+#REF!</f>
        <v>#REF!</v>
      </c>
      <c r="S34" s="31" t="e">
        <f>'JOUR 1'!S34+'JOUR 2'!S34+'JOUR 3'!S34+'JOUR 4'!S34+'JOUR 5'!S34+'JOUR 6'!S34+'JOUR 7'!S34+'JOUR 8'!S34+'JOUR 9'!S34+'JOUR 10'!S34+'JOUR 11'!S34+'JOUR 12'!S34+'JOUR 13'!S34+'JOUR 14'!S34+#REF!+#REF!</f>
        <v>#REF!</v>
      </c>
      <c r="T34" s="31" t="e">
        <f>'JOUR 1'!T34+'JOUR 2'!T34+'JOUR 3'!T34+'JOUR 4'!T34+'JOUR 5'!T34+'JOUR 6'!T34+'JOUR 7'!T34+'JOUR 8'!T34+'JOUR 9'!T34+'JOUR 10'!T34+'JOUR 11'!T34+'JOUR 12'!T34+'JOUR 13'!T34+'JOUR 14'!T34+#REF!+#REF!</f>
        <v>#REF!</v>
      </c>
      <c r="U34" s="31" t="e">
        <f>'JOUR 1'!U34+'JOUR 2'!U34+'JOUR 3'!U34+'JOUR 4'!U34+'JOUR 5'!U34+'JOUR 6'!U34+'JOUR 7'!U34+'JOUR 8'!U34+'JOUR 9'!U34+'JOUR 10'!U34+'JOUR 11'!U34+'JOUR 12'!U34+'JOUR 13'!U34+'JOUR 14'!U34+#REF!+#REF!</f>
        <v>#REF!</v>
      </c>
      <c r="V34" s="32" t="e">
        <f>'JOUR 1'!V34+'JOUR 2'!V34+'JOUR 3'!V34+'JOUR 4'!V34+'JOUR 5'!V34+'JOUR 6'!V34+'JOUR 7'!V34+'JOUR 8'!V34+'JOUR 9'!V34+'JOUR 10'!V34+'JOUR 11'!V34+'JOUR 12'!V34+'JOUR 13'!V34+'JOUR 14'!V34+#REF!+#REF!</f>
        <v>#REF!</v>
      </c>
      <c r="W34" s="32" t="e">
        <f>'JOUR 1'!W34+'JOUR 2'!W34+'JOUR 3'!W34+'JOUR 4'!W34+'JOUR 5'!W34+'JOUR 6'!W34+'JOUR 7'!W34+'JOUR 8'!W34+'JOUR 9'!W34+'JOUR 10'!W34+'JOUR 11'!W34+'JOUR 12'!W34+'JOUR 13'!W34+'JOUR 14'!W34+#REF!+#REF!</f>
        <v>#REF!</v>
      </c>
      <c r="X34" s="32" t="e">
        <f>'JOUR 1'!X34+'JOUR 2'!X34+'JOUR 3'!X34+'JOUR 4'!X34+'JOUR 5'!X34+'JOUR 6'!X34+'JOUR 7'!X34+'JOUR 8'!X34+'JOUR 9'!X34+'JOUR 10'!X34+'JOUR 11'!X34+'JOUR 12'!X34+'JOUR 13'!X34+'JOUR 14'!X34+#REF!+#REF!</f>
        <v>#REF!</v>
      </c>
      <c r="Y34" s="75" t="e">
        <f>'JOUR 1'!Y34+'JOUR 2'!Y34+'JOUR 3'!Y34+'JOUR 4'!Y34+'JOUR 5'!Y34+'JOUR 6'!Y34+'JOUR 7'!Y34+'JOUR 8'!Y34+'JOUR 9'!Y34+'JOUR 10'!Y34+'JOUR 11'!Y34+'JOUR 12'!Y34+'JOUR 13'!Y34+'JOUR 14'!Y34+#REF!+#REF!</f>
        <v>#REF!</v>
      </c>
      <c r="Z34" s="33" t="e">
        <f>'JOUR 1'!Z34+'JOUR 2'!Z34+'JOUR 3'!Z34+'JOUR 4'!Z34+'JOUR 5'!Z34+'JOUR 6'!Z34+'JOUR 7'!Z34+'JOUR 8'!Z34+'JOUR 9'!Z34+'JOUR 10'!Z34+'JOUR 11'!Z34+'JOUR 12'!Z34+'JOUR 13'!Z34+'JOUR 14'!Z34+#REF!+#REF!</f>
        <v>#REF!</v>
      </c>
      <c r="AA34" s="34" t="e">
        <f>'JOUR 1'!AA34+'JOUR 2'!AA34+'JOUR 3'!AA34+'JOUR 4'!AA34+'JOUR 5'!AA34+'JOUR 6'!AA34+'JOUR 7'!AA34+'JOUR 8'!AA34+'JOUR 9'!AA34+'JOUR 10'!AA34+'JOUR 11'!AA34+'JOUR 12'!AA34+'JOUR 13'!AA34+'JOUR 14'!AA34+#REF!+#REF!</f>
        <v>#REF!</v>
      </c>
      <c r="AB34" s="34" t="e">
        <f>'JOUR 1'!AB34+'JOUR 2'!AB34+'JOUR 3'!AB34+'JOUR 4'!AB34+'JOUR 5'!AB34+'JOUR 6'!AB34+'JOUR 7'!AB34+'JOUR 8'!AB34+'JOUR 9'!AB34+'JOUR 10'!AB34+'JOUR 11'!AB34+'JOUR 12'!AB34+'JOUR 13'!AB34+'JOUR 14'!AB34+#REF!+#REF!</f>
        <v>#REF!</v>
      </c>
      <c r="AC34" s="34" t="e">
        <f>'JOUR 1'!AC34+'JOUR 2'!AC34+'JOUR 3'!AC34+'JOUR 4'!AC34+'JOUR 5'!AC34+'JOUR 6'!AC34+'JOUR 7'!AC34+'JOUR 8'!AC34+'JOUR 9'!AC34+'JOUR 10'!AC34+'JOUR 11'!AC34+'JOUR 12'!AC34+'JOUR 13'!AC34+'JOUR 14'!AC34+#REF!+#REF!</f>
        <v>#REF!</v>
      </c>
      <c r="AD34" s="35" t="e">
        <f>'JOUR 1'!AD34+'JOUR 2'!AD34+'JOUR 3'!AD34+'JOUR 4'!AD34+'JOUR 5'!AD34+'JOUR 6'!AD34+'JOUR 7'!AD34+'JOUR 8'!AD34+'JOUR 9'!AD34+'JOUR 10'!AD34+'JOUR 11'!AD34+'JOUR 12'!AD34+'JOUR 13'!AD34+'JOUR 14'!AD34+#REF!+#REF!</f>
        <v>#REF!</v>
      </c>
      <c r="AE34" s="34" t="e">
        <f>'JOUR 1'!AE34+'JOUR 2'!AE34+'JOUR 3'!AE34+'JOUR 4'!AE34+'JOUR 5'!AE34+'JOUR 6'!AE34+'JOUR 7'!AE34+'JOUR 8'!AE34+'JOUR 9'!AE34+'JOUR 10'!AE34+'JOUR 11'!AE34+'JOUR 12'!AE34+'JOUR 13'!AE34+'JOUR 14'!AE34+#REF!+#REF!</f>
        <v>#REF!</v>
      </c>
      <c r="AF34" s="34" t="e">
        <f>'JOUR 1'!AF34+'JOUR 2'!AF34+'JOUR 3'!AF34+'JOUR 4'!AF34+'JOUR 5'!AF34+'JOUR 6'!AF34+'JOUR 7'!AF34+'JOUR 8'!AF34+'JOUR 9'!AF34+'JOUR 10'!AF34+'JOUR 11'!AF34+'JOUR 12'!AF34+'JOUR 13'!AF34+'JOUR 14'!AF34+#REF!+#REF!</f>
        <v>#REF!</v>
      </c>
      <c r="AG34" s="34" t="e">
        <f>'JOUR 1'!AG34+'JOUR 2'!AG34+'JOUR 3'!AG34+'JOUR 4'!AG34+'JOUR 5'!AG34+'JOUR 6'!AG34+'JOUR 7'!AG34+'JOUR 8'!AG34+'JOUR 9'!AG34+'JOUR 10'!AG34+'JOUR 11'!AG34+'JOUR 12'!AG34+'JOUR 13'!AG34+'JOUR 14'!AG34+#REF!+#REF!</f>
        <v>#REF!</v>
      </c>
      <c r="AH34" s="21"/>
      <c r="AI34" s="22"/>
      <c r="AK34" s="87" t="e">
        <f t="shared" si="1"/>
        <v>#REF!</v>
      </c>
      <c r="AL34" s="87" t="e">
        <f t="shared" si="1"/>
        <v>#REF!</v>
      </c>
      <c r="AM34" s="87" t="e">
        <f t="shared" si="1"/>
        <v>#REF!</v>
      </c>
      <c r="AN34" s="87" t="e">
        <f t="shared" si="1"/>
        <v>#REF!</v>
      </c>
      <c r="AO34" s="87" t="e">
        <f t="shared" si="1"/>
        <v>#REF!</v>
      </c>
      <c r="AP34" s="87"/>
      <c r="AQ34" s="87"/>
      <c r="AR34" s="87"/>
      <c r="AS34" s="87" t="e">
        <f t="shared" si="2"/>
        <v>#REF!</v>
      </c>
      <c r="AT34" s="87"/>
      <c r="AU34" s="87"/>
      <c r="AV34" s="87"/>
      <c r="AW34" s="87"/>
      <c r="AX34" s="87"/>
      <c r="AY34" s="89"/>
    </row>
    <row r="35" spans="2:51" ht="17.399999999999999" x14ac:dyDescent="0.25">
      <c r="B35" s="16" t="s">
        <v>44</v>
      </c>
      <c r="C35" s="16" t="s">
        <v>75</v>
      </c>
      <c r="D35" s="17" t="e">
        <f>'JOUR 1'!D35+'JOUR 2'!D35+'JOUR 3'!D35+'JOUR 4'!D35+'JOUR 5'!D35+'JOUR 6'!D35+'JOUR 7'!D35+'JOUR 8'!D35+'JOUR 9'!D35+'JOUR 10'!D35+'JOUR 11'!D35+'JOUR 12'!D35+'JOUR 13'!D35+'JOUR 14'!D35+#REF!+#REF!</f>
        <v>#REF!</v>
      </c>
      <c r="E35" s="17" t="e">
        <f>'JOUR 1'!E35+'JOUR 2'!E35+'JOUR 3'!E35+'JOUR 4'!E35+'JOUR 5'!E35+'JOUR 6'!E35+'JOUR 7'!E35+'JOUR 8'!E35+'JOUR 9'!E35+'JOUR 10'!E35+'JOUR 11'!E35+'JOUR 12'!E35+'JOUR 13'!E35+'JOUR 14'!E35+#REF!+#REF!</f>
        <v>#REF!</v>
      </c>
      <c r="F35" s="17" t="e">
        <f>'JOUR 1'!F35+'JOUR 2'!F35+'JOUR 3'!F35+'JOUR 4'!F35+'JOUR 5'!F35+'JOUR 6'!F35+'JOUR 7'!F35+'JOUR 8'!F35+'JOUR 9'!F35+'JOUR 10'!F35+'JOUR 11'!F35+'JOUR 12'!F35+'JOUR 13'!F35+'JOUR 14'!F35+#REF!+#REF!</f>
        <v>#REF!</v>
      </c>
      <c r="G35" s="17" t="e">
        <f>'JOUR 1'!G35+'JOUR 2'!G35+'JOUR 3'!G35+'JOUR 4'!G35+'JOUR 5'!G35+'JOUR 6'!G35+'JOUR 7'!G35+'JOUR 8'!G35+'JOUR 9'!G35+'JOUR 10'!G35+'JOUR 11'!G35+'JOUR 12'!G35+'JOUR 13'!G35+'JOUR 14'!G35+#REF!+#REF!</f>
        <v>#REF!</v>
      </c>
      <c r="H35" s="17" t="e">
        <f>'JOUR 1'!H35+'JOUR 2'!H35+'JOUR 3'!H35+'JOUR 4'!H35+'JOUR 5'!H35+'JOUR 6'!H35+'JOUR 7'!H35+'JOUR 8'!H35+'JOUR 9'!H35+'JOUR 10'!H35+'JOUR 11'!H35+'JOUR 12'!H35+'JOUR 13'!H35+'JOUR 14'!H35+#REF!+#REF!</f>
        <v>#REF!</v>
      </c>
      <c r="I35" s="17" t="e">
        <f>'JOUR 1'!I35+'JOUR 2'!I35+'JOUR 3'!I35+'JOUR 4'!I35+'JOUR 5'!I35+'JOUR 6'!I35+'JOUR 7'!I35+'JOUR 8'!I35+'JOUR 9'!I35+'JOUR 10'!I35+'JOUR 11'!I35+'JOUR 12'!I35+'JOUR 13'!I35+'JOUR 14'!I35+#REF!+#REF!</f>
        <v>#REF!</v>
      </c>
      <c r="J35" s="17" t="e">
        <f>'JOUR 1'!J35+'JOUR 2'!J35+'JOUR 3'!J35+'JOUR 4'!J35+'JOUR 5'!J35+'JOUR 6'!J35+'JOUR 7'!J35+'JOUR 8'!J35+'JOUR 9'!J35+'JOUR 10'!J35+'JOUR 11'!J35+'JOUR 12'!J35+'JOUR 13'!J35+'JOUR 14'!J35+#REF!+#REF!</f>
        <v>#REF!</v>
      </c>
      <c r="K35" s="17" t="e">
        <f>'JOUR 1'!K35+'JOUR 2'!K35+'JOUR 3'!K35+'JOUR 4'!K35+'JOUR 5'!K35+'JOUR 6'!K35+'JOUR 7'!K35+'JOUR 8'!K35+'JOUR 9'!K35+'JOUR 10'!K35+'JOUR 11'!K35+'JOUR 12'!K35+'JOUR 13'!K35+'JOUR 14'!K35+#REF!+#REF!</f>
        <v>#REF!</v>
      </c>
      <c r="L35" s="17" t="e">
        <f>'JOUR 1'!L35+'JOUR 2'!L35+'JOUR 3'!L35+'JOUR 4'!L35+'JOUR 5'!L35+'JOUR 6'!L35+'JOUR 7'!L35+'JOUR 8'!L35+'JOUR 9'!L35+'JOUR 10'!L35+'JOUR 11'!L35+'JOUR 12'!L35+'JOUR 13'!L35+'JOUR 14'!L35+#REF!+#REF!</f>
        <v>#REF!</v>
      </c>
      <c r="M35" s="17" t="e">
        <f>'JOUR 1'!M35+'JOUR 2'!M35+'JOUR 3'!M35+'JOUR 4'!M35+'JOUR 5'!M35+'JOUR 6'!M35+'JOUR 7'!M35+'JOUR 8'!M35+'JOUR 9'!M35+'JOUR 10'!M35+'JOUR 11'!M35+'JOUR 12'!M35+'JOUR 13'!M35+'JOUR 14'!M35+#REF!+#REF!</f>
        <v>#REF!</v>
      </c>
      <c r="N35" s="17" t="e">
        <f>'JOUR 1'!N35+'JOUR 2'!N35+'JOUR 3'!N35+'JOUR 4'!N35+'JOUR 5'!N35+'JOUR 6'!N35+'JOUR 7'!N35+'JOUR 8'!N35+'JOUR 9'!N35+'JOUR 10'!N35+'JOUR 11'!N35+'JOUR 12'!N35+'JOUR 13'!N35+'JOUR 14'!N35+#REF!+#REF!</f>
        <v>#REF!</v>
      </c>
      <c r="O35" s="17" t="e">
        <f>'JOUR 1'!O35+'JOUR 2'!O35+'JOUR 3'!O35+'JOUR 4'!O35+'JOUR 5'!O35+'JOUR 6'!O35+'JOUR 7'!O35+'JOUR 8'!O35+'JOUR 9'!O35+'JOUR 10'!O35+'JOUR 11'!O35+'JOUR 12'!O35+'JOUR 13'!O35+'JOUR 14'!O35+#REF!+#REF!</f>
        <v>#REF!</v>
      </c>
      <c r="P35" s="17" t="e">
        <f>'JOUR 1'!P35+'JOUR 2'!P35+'JOUR 3'!P35+'JOUR 4'!P35+'JOUR 5'!P35+'JOUR 6'!P35+'JOUR 7'!P35+'JOUR 8'!P35+'JOUR 9'!P35+'JOUR 10'!P35+'JOUR 11'!P35+'JOUR 12'!P35+'JOUR 13'!P35+'JOUR 14'!P35+#REF!+#REF!</f>
        <v>#REF!</v>
      </c>
      <c r="Q35" s="17" t="e">
        <f>'JOUR 1'!Q35+'JOUR 2'!Q35+'JOUR 3'!Q35+'JOUR 4'!Q35+'JOUR 5'!Q35+'JOUR 6'!Q35+'JOUR 7'!Q35+'JOUR 8'!Q35+'JOUR 9'!Q35+'JOUR 10'!Q35+'JOUR 11'!Q35+'JOUR 12'!Q35+'JOUR 13'!Q35+'JOUR 14'!Q35+#REF!+#REF!</f>
        <v>#REF!</v>
      </c>
      <c r="R35" s="17" t="e">
        <f>'JOUR 1'!R35+'JOUR 2'!R35+'JOUR 3'!R35+'JOUR 4'!R35+'JOUR 5'!R35+'JOUR 6'!R35+'JOUR 7'!R35+'JOUR 8'!R35+'JOUR 9'!R35+'JOUR 10'!R35+'JOUR 11'!R35+'JOUR 12'!R35+'JOUR 13'!R35+'JOUR 14'!R35+#REF!+#REF!</f>
        <v>#REF!</v>
      </c>
      <c r="S35" s="31" t="e">
        <f>'JOUR 1'!S35+'JOUR 2'!S35+'JOUR 3'!S35+'JOUR 4'!S35+'JOUR 5'!S35+'JOUR 6'!S35+'JOUR 7'!S35+'JOUR 8'!S35+'JOUR 9'!S35+'JOUR 10'!S35+'JOUR 11'!S35+'JOUR 12'!S35+'JOUR 13'!S35+'JOUR 14'!S35+#REF!+#REF!</f>
        <v>#REF!</v>
      </c>
      <c r="T35" s="31" t="e">
        <f>'JOUR 1'!T35+'JOUR 2'!T35+'JOUR 3'!T35+'JOUR 4'!T35+'JOUR 5'!T35+'JOUR 6'!T35+'JOUR 7'!T35+'JOUR 8'!T35+'JOUR 9'!T35+'JOUR 10'!T35+'JOUR 11'!T35+'JOUR 12'!T35+'JOUR 13'!T35+'JOUR 14'!T35+#REF!+#REF!</f>
        <v>#REF!</v>
      </c>
      <c r="U35" s="31" t="e">
        <f>'JOUR 1'!U35+'JOUR 2'!U35+'JOUR 3'!U35+'JOUR 4'!U35+'JOUR 5'!U35+'JOUR 6'!U35+'JOUR 7'!U35+'JOUR 8'!U35+'JOUR 9'!U35+'JOUR 10'!U35+'JOUR 11'!U35+'JOUR 12'!U35+'JOUR 13'!U35+'JOUR 14'!U35+#REF!+#REF!</f>
        <v>#REF!</v>
      </c>
      <c r="V35" s="32" t="e">
        <f>'JOUR 1'!V35+'JOUR 2'!V35+'JOUR 3'!V35+'JOUR 4'!V35+'JOUR 5'!V35+'JOUR 6'!V35+'JOUR 7'!V35+'JOUR 8'!V35+'JOUR 9'!V35+'JOUR 10'!V35+'JOUR 11'!V35+'JOUR 12'!V35+'JOUR 13'!V35+'JOUR 14'!V35+#REF!+#REF!</f>
        <v>#REF!</v>
      </c>
      <c r="W35" s="32" t="e">
        <f>'JOUR 1'!W35+'JOUR 2'!W35+'JOUR 3'!W35+'JOUR 4'!W35+'JOUR 5'!W35+'JOUR 6'!W35+'JOUR 7'!W35+'JOUR 8'!W35+'JOUR 9'!W35+'JOUR 10'!W35+'JOUR 11'!W35+'JOUR 12'!W35+'JOUR 13'!W35+'JOUR 14'!W35+#REF!+#REF!</f>
        <v>#REF!</v>
      </c>
      <c r="X35" s="32" t="e">
        <f>'JOUR 1'!X35+'JOUR 2'!X35+'JOUR 3'!X35+'JOUR 4'!X35+'JOUR 5'!X35+'JOUR 6'!X35+'JOUR 7'!X35+'JOUR 8'!X35+'JOUR 9'!X35+'JOUR 10'!X35+'JOUR 11'!X35+'JOUR 12'!X35+'JOUR 13'!X35+'JOUR 14'!X35+#REF!+#REF!</f>
        <v>#REF!</v>
      </c>
      <c r="Y35" s="75" t="e">
        <f>'JOUR 1'!Y35+'JOUR 2'!Y35+'JOUR 3'!Y35+'JOUR 4'!Y35+'JOUR 5'!Y35+'JOUR 6'!Y35+'JOUR 7'!Y35+'JOUR 8'!Y35+'JOUR 9'!Y35+'JOUR 10'!Y35+'JOUR 11'!Y35+'JOUR 12'!Y35+'JOUR 13'!Y35+'JOUR 14'!Y35+#REF!+#REF!</f>
        <v>#REF!</v>
      </c>
      <c r="Z35" s="33" t="e">
        <f>'JOUR 1'!Z35+'JOUR 2'!Z35+'JOUR 3'!Z35+'JOUR 4'!Z35+'JOUR 5'!Z35+'JOUR 6'!Z35+'JOUR 7'!Z35+'JOUR 8'!Z35+'JOUR 9'!Z35+'JOUR 10'!Z35+'JOUR 11'!Z35+'JOUR 12'!Z35+'JOUR 13'!Z35+'JOUR 14'!Z35+#REF!+#REF!</f>
        <v>#REF!</v>
      </c>
      <c r="AA35" s="34" t="e">
        <f>'JOUR 1'!AA35+'JOUR 2'!AA35+'JOUR 3'!AA35+'JOUR 4'!AA35+'JOUR 5'!AA35+'JOUR 6'!AA35+'JOUR 7'!AA35+'JOUR 8'!AA35+'JOUR 9'!AA35+'JOUR 10'!AA35+'JOUR 11'!AA35+'JOUR 12'!AA35+'JOUR 13'!AA35+'JOUR 14'!AA35+#REF!+#REF!</f>
        <v>#REF!</v>
      </c>
      <c r="AB35" s="34" t="e">
        <f>'JOUR 1'!AB35+'JOUR 2'!AB35+'JOUR 3'!AB35+'JOUR 4'!AB35+'JOUR 5'!AB35+'JOUR 6'!AB35+'JOUR 7'!AB35+'JOUR 8'!AB35+'JOUR 9'!AB35+'JOUR 10'!AB35+'JOUR 11'!AB35+'JOUR 12'!AB35+'JOUR 13'!AB35+'JOUR 14'!AB35+#REF!+#REF!</f>
        <v>#REF!</v>
      </c>
      <c r="AC35" s="34" t="e">
        <f>'JOUR 1'!AC35+'JOUR 2'!AC35+'JOUR 3'!AC35+'JOUR 4'!AC35+'JOUR 5'!AC35+'JOUR 6'!AC35+'JOUR 7'!AC35+'JOUR 8'!AC35+'JOUR 9'!AC35+'JOUR 10'!AC35+'JOUR 11'!AC35+'JOUR 12'!AC35+'JOUR 13'!AC35+'JOUR 14'!AC35+#REF!+#REF!</f>
        <v>#REF!</v>
      </c>
      <c r="AD35" s="35" t="e">
        <f>'JOUR 1'!AD35+'JOUR 2'!AD35+'JOUR 3'!AD35+'JOUR 4'!AD35+'JOUR 5'!AD35+'JOUR 6'!AD35+'JOUR 7'!AD35+'JOUR 8'!AD35+'JOUR 9'!AD35+'JOUR 10'!AD35+'JOUR 11'!AD35+'JOUR 12'!AD35+'JOUR 13'!AD35+'JOUR 14'!AD35+#REF!+#REF!</f>
        <v>#REF!</v>
      </c>
      <c r="AE35" s="34" t="e">
        <f>'JOUR 1'!AE35+'JOUR 2'!AE35+'JOUR 3'!AE35+'JOUR 4'!AE35+'JOUR 5'!AE35+'JOUR 6'!AE35+'JOUR 7'!AE35+'JOUR 8'!AE35+'JOUR 9'!AE35+'JOUR 10'!AE35+'JOUR 11'!AE35+'JOUR 12'!AE35+'JOUR 13'!AE35+'JOUR 14'!AE35+#REF!+#REF!</f>
        <v>#REF!</v>
      </c>
      <c r="AF35" s="34" t="e">
        <f>'JOUR 1'!AF35+'JOUR 2'!AF35+'JOUR 3'!AF35+'JOUR 4'!AF35+'JOUR 5'!AF35+'JOUR 6'!AF35+'JOUR 7'!AF35+'JOUR 8'!AF35+'JOUR 9'!AF35+'JOUR 10'!AF35+'JOUR 11'!AF35+'JOUR 12'!AF35+'JOUR 13'!AF35+'JOUR 14'!AF35+#REF!+#REF!</f>
        <v>#REF!</v>
      </c>
      <c r="AG35" s="34" t="e">
        <f>'JOUR 1'!AG35+'JOUR 2'!AG35+'JOUR 3'!AG35+'JOUR 4'!AG35+'JOUR 5'!AG35+'JOUR 6'!AG35+'JOUR 7'!AG35+'JOUR 8'!AG35+'JOUR 9'!AG35+'JOUR 10'!AG35+'JOUR 11'!AG35+'JOUR 12'!AG35+'JOUR 13'!AG35+'JOUR 14'!AG35+#REF!+#REF!</f>
        <v>#REF!</v>
      </c>
      <c r="AH35" s="21"/>
      <c r="AI35" s="22"/>
      <c r="AK35" s="87" t="e">
        <f t="shared" si="1"/>
        <v>#REF!</v>
      </c>
      <c r="AL35" s="87" t="e">
        <f t="shared" si="1"/>
        <v>#REF!</v>
      </c>
      <c r="AM35" s="87" t="e">
        <f t="shared" si="1"/>
        <v>#REF!</v>
      </c>
      <c r="AN35" s="87" t="e">
        <f t="shared" si="1"/>
        <v>#REF!</v>
      </c>
      <c r="AO35" s="87" t="e">
        <f t="shared" si="1"/>
        <v>#REF!</v>
      </c>
      <c r="AP35" s="87"/>
      <c r="AQ35" s="87"/>
      <c r="AR35" s="87"/>
      <c r="AS35" s="87" t="e">
        <f t="shared" si="2"/>
        <v>#REF!</v>
      </c>
      <c r="AT35" s="87"/>
      <c r="AU35" s="87"/>
      <c r="AV35" s="87"/>
      <c r="AW35" s="87"/>
      <c r="AX35" s="87"/>
      <c r="AY35" s="89"/>
    </row>
    <row r="36" spans="2:51" ht="17.399999999999999" x14ac:dyDescent="0.25">
      <c r="B36" s="16" t="s">
        <v>44</v>
      </c>
      <c r="C36" s="16" t="s">
        <v>76</v>
      </c>
      <c r="D36" s="17" t="e">
        <f>'JOUR 1'!D36+'JOUR 2'!D36+'JOUR 3'!D36+'JOUR 4'!D36+'JOUR 5'!D36+'JOUR 6'!D36+'JOUR 7'!D36+'JOUR 8'!D36+'JOUR 9'!D36+'JOUR 10'!D36+'JOUR 11'!D36+'JOUR 12'!D36+'JOUR 13'!D36+'JOUR 14'!D36+#REF!+#REF!</f>
        <v>#REF!</v>
      </c>
      <c r="E36" s="17" t="e">
        <f>'JOUR 1'!E36+'JOUR 2'!E36+'JOUR 3'!E36+'JOUR 4'!E36+'JOUR 5'!E36+'JOUR 6'!E36+'JOUR 7'!E36+'JOUR 8'!E36+'JOUR 9'!E36+'JOUR 10'!E36+'JOUR 11'!E36+'JOUR 12'!E36+'JOUR 13'!E36+'JOUR 14'!E36+#REF!+#REF!</f>
        <v>#REF!</v>
      </c>
      <c r="F36" s="17" t="e">
        <f>'JOUR 1'!F36+'JOUR 2'!F36+'JOUR 3'!F36+'JOUR 4'!F36+'JOUR 5'!F36+'JOUR 6'!F36+'JOUR 7'!F36+'JOUR 8'!F36+'JOUR 9'!F36+'JOUR 10'!F36+'JOUR 11'!F36+'JOUR 12'!F36+'JOUR 13'!F36+'JOUR 14'!F36+#REF!+#REF!</f>
        <v>#REF!</v>
      </c>
      <c r="G36" s="17" t="e">
        <f>'JOUR 1'!G36+'JOUR 2'!G36+'JOUR 3'!G36+'JOUR 4'!G36+'JOUR 5'!G36+'JOUR 6'!G36+'JOUR 7'!G36+'JOUR 8'!G36+'JOUR 9'!G36+'JOUR 10'!G36+'JOUR 11'!G36+'JOUR 12'!G36+'JOUR 13'!G36+'JOUR 14'!G36+#REF!+#REF!</f>
        <v>#REF!</v>
      </c>
      <c r="H36" s="17" t="e">
        <f>'JOUR 1'!H36+'JOUR 2'!H36+'JOUR 3'!H36+'JOUR 4'!H36+'JOUR 5'!H36+'JOUR 6'!H36+'JOUR 7'!H36+'JOUR 8'!H36+'JOUR 9'!H36+'JOUR 10'!H36+'JOUR 11'!H36+'JOUR 12'!H36+'JOUR 13'!H36+'JOUR 14'!H36+#REF!+#REF!</f>
        <v>#REF!</v>
      </c>
      <c r="I36" s="17" t="e">
        <f>'JOUR 1'!I36+'JOUR 2'!I36+'JOUR 3'!I36+'JOUR 4'!I36+'JOUR 5'!I36+'JOUR 6'!I36+'JOUR 7'!I36+'JOUR 8'!I36+'JOUR 9'!I36+'JOUR 10'!I36+'JOUR 11'!I36+'JOUR 12'!I36+'JOUR 13'!I36+'JOUR 14'!I36+#REF!+#REF!</f>
        <v>#REF!</v>
      </c>
      <c r="J36" s="17" t="e">
        <f>'JOUR 1'!J36+'JOUR 2'!J36+'JOUR 3'!J36+'JOUR 4'!J36+'JOUR 5'!J36+'JOUR 6'!J36+'JOUR 7'!J36+'JOUR 8'!J36+'JOUR 9'!J36+'JOUR 10'!J36+'JOUR 11'!J36+'JOUR 12'!J36+'JOUR 13'!J36+'JOUR 14'!J36+#REF!+#REF!</f>
        <v>#REF!</v>
      </c>
      <c r="K36" s="17" t="e">
        <f>'JOUR 1'!K36+'JOUR 2'!K36+'JOUR 3'!K36+'JOUR 4'!K36+'JOUR 5'!K36+'JOUR 6'!K36+'JOUR 7'!K36+'JOUR 8'!K36+'JOUR 9'!K36+'JOUR 10'!K36+'JOUR 11'!K36+'JOUR 12'!K36+'JOUR 13'!K36+'JOUR 14'!K36+#REF!+#REF!</f>
        <v>#REF!</v>
      </c>
      <c r="L36" s="17" t="e">
        <f>'JOUR 1'!L36+'JOUR 2'!L36+'JOUR 3'!L36+'JOUR 4'!L36+'JOUR 5'!L36+'JOUR 6'!L36+'JOUR 7'!L36+'JOUR 8'!L36+'JOUR 9'!L36+'JOUR 10'!L36+'JOUR 11'!L36+'JOUR 12'!L36+'JOUR 13'!L36+'JOUR 14'!L36+#REF!+#REF!</f>
        <v>#REF!</v>
      </c>
      <c r="M36" s="17" t="e">
        <f>'JOUR 1'!M36+'JOUR 2'!M36+'JOUR 3'!M36+'JOUR 4'!M36+'JOUR 5'!M36+'JOUR 6'!M36+'JOUR 7'!M36+'JOUR 8'!M36+'JOUR 9'!M36+'JOUR 10'!M36+'JOUR 11'!M36+'JOUR 12'!M36+'JOUR 13'!M36+'JOUR 14'!M36+#REF!+#REF!</f>
        <v>#REF!</v>
      </c>
      <c r="N36" s="17" t="e">
        <f>'JOUR 1'!N36+'JOUR 2'!N36+'JOUR 3'!N36+'JOUR 4'!N36+'JOUR 5'!N36+'JOUR 6'!N36+'JOUR 7'!N36+'JOUR 8'!N36+'JOUR 9'!N36+'JOUR 10'!N36+'JOUR 11'!N36+'JOUR 12'!N36+'JOUR 13'!N36+'JOUR 14'!N36+#REF!+#REF!</f>
        <v>#REF!</v>
      </c>
      <c r="O36" s="17" t="e">
        <f>'JOUR 1'!O36+'JOUR 2'!O36+'JOUR 3'!O36+'JOUR 4'!O36+'JOUR 5'!O36+'JOUR 6'!O36+'JOUR 7'!O36+'JOUR 8'!O36+'JOUR 9'!O36+'JOUR 10'!O36+'JOUR 11'!O36+'JOUR 12'!O36+'JOUR 13'!O36+'JOUR 14'!O36+#REF!+#REF!</f>
        <v>#REF!</v>
      </c>
      <c r="P36" s="17" t="e">
        <f>'JOUR 1'!P36+'JOUR 2'!P36+'JOUR 3'!P36+'JOUR 4'!P36+'JOUR 5'!P36+'JOUR 6'!P36+'JOUR 7'!P36+'JOUR 8'!P36+'JOUR 9'!P36+'JOUR 10'!P36+'JOUR 11'!P36+'JOUR 12'!P36+'JOUR 13'!P36+'JOUR 14'!P36+#REF!+#REF!</f>
        <v>#REF!</v>
      </c>
      <c r="Q36" s="17" t="e">
        <f>'JOUR 1'!Q36+'JOUR 2'!Q36+'JOUR 3'!Q36+'JOUR 4'!Q36+'JOUR 5'!Q36+'JOUR 6'!Q36+'JOUR 7'!Q36+'JOUR 8'!Q36+'JOUR 9'!Q36+'JOUR 10'!Q36+'JOUR 11'!Q36+'JOUR 12'!Q36+'JOUR 13'!Q36+'JOUR 14'!Q36+#REF!+#REF!</f>
        <v>#REF!</v>
      </c>
      <c r="R36" s="17" t="e">
        <f>'JOUR 1'!R36+'JOUR 2'!R36+'JOUR 3'!R36+'JOUR 4'!R36+'JOUR 5'!R36+'JOUR 6'!R36+'JOUR 7'!R36+'JOUR 8'!R36+'JOUR 9'!R36+'JOUR 10'!R36+'JOUR 11'!R36+'JOUR 12'!R36+'JOUR 13'!R36+'JOUR 14'!R36+#REF!+#REF!</f>
        <v>#REF!</v>
      </c>
      <c r="S36" s="31" t="e">
        <f>'JOUR 1'!S36+'JOUR 2'!S36+'JOUR 3'!S36+'JOUR 4'!S36+'JOUR 5'!S36+'JOUR 6'!S36+'JOUR 7'!S36+'JOUR 8'!S36+'JOUR 9'!S36+'JOUR 10'!S36+'JOUR 11'!S36+'JOUR 12'!S36+'JOUR 13'!S36+'JOUR 14'!S36+#REF!+#REF!</f>
        <v>#REF!</v>
      </c>
      <c r="T36" s="31" t="e">
        <f>'JOUR 1'!T36+'JOUR 2'!T36+'JOUR 3'!T36+'JOUR 4'!T36+'JOUR 5'!T36+'JOUR 6'!T36+'JOUR 7'!T36+'JOUR 8'!T36+'JOUR 9'!T36+'JOUR 10'!T36+'JOUR 11'!T36+'JOUR 12'!T36+'JOUR 13'!T36+'JOUR 14'!T36+#REF!+#REF!</f>
        <v>#REF!</v>
      </c>
      <c r="U36" s="31" t="e">
        <f>'JOUR 1'!U36+'JOUR 2'!U36+'JOUR 3'!U36+'JOUR 4'!U36+'JOUR 5'!U36+'JOUR 6'!U36+'JOUR 7'!U36+'JOUR 8'!U36+'JOUR 9'!U36+'JOUR 10'!U36+'JOUR 11'!U36+'JOUR 12'!U36+'JOUR 13'!U36+'JOUR 14'!U36+#REF!+#REF!</f>
        <v>#REF!</v>
      </c>
      <c r="V36" s="32" t="e">
        <f>'JOUR 1'!V36+'JOUR 2'!V36+'JOUR 3'!V36+'JOUR 4'!V36+'JOUR 5'!V36+'JOUR 6'!V36+'JOUR 7'!V36+'JOUR 8'!V36+'JOUR 9'!V36+'JOUR 10'!V36+'JOUR 11'!V36+'JOUR 12'!V36+'JOUR 13'!V36+'JOUR 14'!V36+#REF!+#REF!</f>
        <v>#REF!</v>
      </c>
      <c r="W36" s="32" t="e">
        <f>'JOUR 1'!W36+'JOUR 2'!W36+'JOUR 3'!W36+'JOUR 4'!W36+'JOUR 5'!W36+'JOUR 6'!W36+'JOUR 7'!W36+'JOUR 8'!W36+'JOUR 9'!W36+'JOUR 10'!W36+'JOUR 11'!W36+'JOUR 12'!W36+'JOUR 13'!W36+'JOUR 14'!W36+#REF!+#REF!</f>
        <v>#REF!</v>
      </c>
      <c r="X36" s="32" t="e">
        <f>'JOUR 1'!X36+'JOUR 2'!X36+'JOUR 3'!X36+'JOUR 4'!X36+'JOUR 5'!X36+'JOUR 6'!X36+'JOUR 7'!X36+'JOUR 8'!X36+'JOUR 9'!X36+'JOUR 10'!X36+'JOUR 11'!X36+'JOUR 12'!X36+'JOUR 13'!X36+'JOUR 14'!X36+#REF!+#REF!</f>
        <v>#REF!</v>
      </c>
      <c r="Y36" s="75" t="e">
        <f>'JOUR 1'!Y36+'JOUR 2'!Y36+'JOUR 3'!Y36+'JOUR 4'!Y36+'JOUR 5'!Y36+'JOUR 6'!Y36+'JOUR 7'!Y36+'JOUR 8'!Y36+'JOUR 9'!Y36+'JOUR 10'!Y36+'JOUR 11'!Y36+'JOUR 12'!Y36+'JOUR 13'!Y36+'JOUR 14'!Y36+#REF!+#REF!</f>
        <v>#REF!</v>
      </c>
      <c r="Z36" s="33" t="e">
        <f>'JOUR 1'!Z36+'JOUR 2'!Z36+'JOUR 3'!Z36+'JOUR 4'!Z36+'JOUR 5'!Z36+'JOUR 6'!Z36+'JOUR 7'!Z36+'JOUR 8'!Z36+'JOUR 9'!Z36+'JOUR 10'!Z36+'JOUR 11'!Z36+'JOUR 12'!Z36+'JOUR 13'!Z36+'JOUR 14'!Z36+#REF!+#REF!</f>
        <v>#REF!</v>
      </c>
      <c r="AA36" s="34" t="e">
        <f>'JOUR 1'!AA36+'JOUR 2'!AA36+'JOUR 3'!AA36+'JOUR 4'!AA36+'JOUR 5'!AA36+'JOUR 6'!AA36+'JOUR 7'!AA36+'JOUR 8'!AA36+'JOUR 9'!AA36+'JOUR 10'!AA36+'JOUR 11'!AA36+'JOUR 12'!AA36+'JOUR 13'!AA36+'JOUR 14'!AA36+#REF!+#REF!</f>
        <v>#REF!</v>
      </c>
      <c r="AB36" s="34" t="e">
        <f>'JOUR 1'!AB36+'JOUR 2'!AB36+'JOUR 3'!AB36+'JOUR 4'!AB36+'JOUR 5'!AB36+'JOUR 6'!AB36+'JOUR 7'!AB36+'JOUR 8'!AB36+'JOUR 9'!AB36+'JOUR 10'!AB36+'JOUR 11'!AB36+'JOUR 12'!AB36+'JOUR 13'!AB36+'JOUR 14'!AB36+#REF!+#REF!</f>
        <v>#REF!</v>
      </c>
      <c r="AC36" s="34" t="e">
        <f>'JOUR 1'!AC36+'JOUR 2'!AC36+'JOUR 3'!AC36+'JOUR 4'!AC36+'JOUR 5'!AC36+'JOUR 6'!AC36+'JOUR 7'!AC36+'JOUR 8'!AC36+'JOUR 9'!AC36+'JOUR 10'!AC36+'JOUR 11'!AC36+'JOUR 12'!AC36+'JOUR 13'!AC36+'JOUR 14'!AC36+#REF!+#REF!</f>
        <v>#REF!</v>
      </c>
      <c r="AD36" s="35" t="e">
        <f>'JOUR 1'!AD36+'JOUR 2'!AD36+'JOUR 3'!AD36+'JOUR 4'!AD36+'JOUR 5'!AD36+'JOUR 6'!AD36+'JOUR 7'!AD36+'JOUR 8'!AD36+'JOUR 9'!AD36+'JOUR 10'!AD36+'JOUR 11'!AD36+'JOUR 12'!AD36+'JOUR 13'!AD36+'JOUR 14'!AD36+#REF!+#REF!</f>
        <v>#REF!</v>
      </c>
      <c r="AE36" s="34" t="e">
        <f>'JOUR 1'!AE36+'JOUR 2'!AE36+'JOUR 3'!AE36+'JOUR 4'!AE36+'JOUR 5'!AE36+'JOUR 6'!AE36+'JOUR 7'!AE36+'JOUR 8'!AE36+'JOUR 9'!AE36+'JOUR 10'!AE36+'JOUR 11'!AE36+'JOUR 12'!AE36+'JOUR 13'!AE36+'JOUR 14'!AE36+#REF!+#REF!</f>
        <v>#REF!</v>
      </c>
      <c r="AF36" s="34" t="e">
        <f>'JOUR 1'!AF36+'JOUR 2'!AF36+'JOUR 3'!AF36+'JOUR 4'!AF36+'JOUR 5'!AF36+'JOUR 6'!AF36+'JOUR 7'!AF36+'JOUR 8'!AF36+'JOUR 9'!AF36+'JOUR 10'!AF36+'JOUR 11'!AF36+'JOUR 12'!AF36+'JOUR 13'!AF36+'JOUR 14'!AF36+#REF!+#REF!</f>
        <v>#REF!</v>
      </c>
      <c r="AG36" s="34" t="e">
        <f>'JOUR 1'!AG36+'JOUR 2'!AG36+'JOUR 3'!AG36+'JOUR 4'!AG36+'JOUR 5'!AG36+'JOUR 6'!AG36+'JOUR 7'!AG36+'JOUR 8'!AG36+'JOUR 9'!AG36+'JOUR 10'!AG36+'JOUR 11'!AG36+'JOUR 12'!AG36+'JOUR 13'!AG36+'JOUR 14'!AG36+#REF!+#REF!</f>
        <v>#REF!</v>
      </c>
      <c r="AH36" s="21"/>
      <c r="AI36" s="22"/>
      <c r="AK36" s="87" t="e">
        <f t="shared" si="1"/>
        <v>#REF!</v>
      </c>
      <c r="AL36" s="87" t="e">
        <f t="shared" si="1"/>
        <v>#REF!</v>
      </c>
      <c r="AM36" s="87" t="e">
        <f t="shared" si="1"/>
        <v>#REF!</v>
      </c>
      <c r="AN36" s="87" t="e">
        <f t="shared" si="1"/>
        <v>#REF!</v>
      </c>
      <c r="AO36" s="87" t="e">
        <f t="shared" si="1"/>
        <v>#REF!</v>
      </c>
      <c r="AP36" s="87"/>
      <c r="AQ36" s="87"/>
      <c r="AR36" s="87"/>
      <c r="AS36" s="87" t="e">
        <f t="shared" si="2"/>
        <v>#REF!</v>
      </c>
      <c r="AT36" s="87"/>
      <c r="AU36" s="87"/>
      <c r="AV36" s="87"/>
      <c r="AW36" s="87"/>
      <c r="AX36" s="87"/>
      <c r="AY36" s="89"/>
    </row>
    <row r="37" spans="2:51" ht="17.399999999999999" x14ac:dyDescent="0.25">
      <c r="B37" s="16" t="s">
        <v>44</v>
      </c>
      <c r="C37" s="16" t="s">
        <v>77</v>
      </c>
      <c r="D37" s="17" t="e">
        <f>'JOUR 1'!D37+'JOUR 2'!D37+'JOUR 3'!D37+'JOUR 4'!D37+'JOUR 5'!D37+'JOUR 6'!D37+'JOUR 7'!D37+'JOUR 8'!D37+'JOUR 9'!D37+'JOUR 10'!D37+'JOUR 11'!D37+'JOUR 12'!D37+'JOUR 13'!D37+'JOUR 14'!D37+#REF!+#REF!</f>
        <v>#REF!</v>
      </c>
      <c r="E37" s="17" t="e">
        <f>'JOUR 1'!E37+'JOUR 2'!E37+'JOUR 3'!E37+'JOUR 4'!E37+'JOUR 5'!E37+'JOUR 6'!E37+'JOUR 7'!E37+'JOUR 8'!E37+'JOUR 9'!E37+'JOUR 10'!E37+'JOUR 11'!E37+'JOUR 12'!E37+'JOUR 13'!E37+'JOUR 14'!E37+#REF!+#REF!</f>
        <v>#REF!</v>
      </c>
      <c r="F37" s="17" t="e">
        <f>'JOUR 1'!F37+'JOUR 2'!F37+'JOUR 3'!F37+'JOUR 4'!F37+'JOUR 5'!F37+'JOUR 6'!F37+'JOUR 7'!F37+'JOUR 8'!F37+'JOUR 9'!F37+'JOUR 10'!F37+'JOUR 11'!F37+'JOUR 12'!F37+'JOUR 13'!F37+'JOUR 14'!F37+#REF!+#REF!</f>
        <v>#REF!</v>
      </c>
      <c r="G37" s="17" t="e">
        <f>'JOUR 1'!G37+'JOUR 2'!G37+'JOUR 3'!G37+'JOUR 4'!G37+'JOUR 5'!G37+'JOUR 6'!G37+'JOUR 7'!G37+'JOUR 8'!G37+'JOUR 9'!G37+'JOUR 10'!G37+'JOUR 11'!G37+'JOUR 12'!G37+'JOUR 13'!G37+'JOUR 14'!G37+#REF!+#REF!</f>
        <v>#REF!</v>
      </c>
      <c r="H37" s="17" t="e">
        <f>'JOUR 1'!H37+'JOUR 2'!H37+'JOUR 3'!H37+'JOUR 4'!H37+'JOUR 5'!H37+'JOUR 6'!H37+'JOUR 7'!H37+'JOUR 8'!H37+'JOUR 9'!H37+'JOUR 10'!H37+'JOUR 11'!H37+'JOUR 12'!H37+'JOUR 13'!H37+'JOUR 14'!H37+#REF!+#REF!</f>
        <v>#REF!</v>
      </c>
      <c r="I37" s="17" t="e">
        <f>'JOUR 1'!I37+'JOUR 2'!I37+'JOUR 3'!I37+'JOUR 4'!I37+'JOUR 5'!I37+'JOUR 6'!I37+'JOUR 7'!I37+'JOUR 8'!I37+'JOUR 9'!I37+'JOUR 10'!I37+'JOUR 11'!I37+'JOUR 12'!I37+'JOUR 13'!I37+'JOUR 14'!I37+#REF!+#REF!</f>
        <v>#REF!</v>
      </c>
      <c r="J37" s="17" t="e">
        <f>'JOUR 1'!J37+'JOUR 2'!J37+'JOUR 3'!J37+'JOUR 4'!J37+'JOUR 5'!J37+'JOUR 6'!J37+'JOUR 7'!J37+'JOUR 8'!J37+'JOUR 9'!J37+'JOUR 10'!J37+'JOUR 11'!J37+'JOUR 12'!J37+'JOUR 13'!J37+'JOUR 14'!J37+#REF!+#REF!</f>
        <v>#REF!</v>
      </c>
      <c r="K37" s="17" t="e">
        <f>'JOUR 1'!K37+'JOUR 2'!K37+'JOUR 3'!K37+'JOUR 4'!K37+'JOUR 5'!K37+'JOUR 6'!K37+'JOUR 7'!K37+'JOUR 8'!K37+'JOUR 9'!K37+'JOUR 10'!K37+'JOUR 11'!K37+'JOUR 12'!K37+'JOUR 13'!K37+'JOUR 14'!K37+#REF!+#REF!</f>
        <v>#REF!</v>
      </c>
      <c r="L37" s="17" t="e">
        <f>'JOUR 1'!L37+'JOUR 2'!L37+'JOUR 3'!L37+'JOUR 4'!L37+'JOUR 5'!L37+'JOUR 6'!L37+'JOUR 7'!L37+'JOUR 8'!L37+'JOUR 9'!L37+'JOUR 10'!L37+'JOUR 11'!L37+'JOUR 12'!L37+'JOUR 13'!L37+'JOUR 14'!L37+#REF!+#REF!</f>
        <v>#REF!</v>
      </c>
      <c r="M37" s="17" t="e">
        <f>'JOUR 1'!M37+'JOUR 2'!M37+'JOUR 3'!M37+'JOUR 4'!M37+'JOUR 5'!M37+'JOUR 6'!M37+'JOUR 7'!M37+'JOUR 8'!M37+'JOUR 9'!M37+'JOUR 10'!M37+'JOUR 11'!M37+'JOUR 12'!M37+'JOUR 13'!M37+'JOUR 14'!M37+#REF!+#REF!</f>
        <v>#REF!</v>
      </c>
      <c r="N37" s="17" t="e">
        <f>'JOUR 1'!N37+'JOUR 2'!N37+'JOUR 3'!N37+'JOUR 4'!N37+'JOUR 5'!N37+'JOUR 6'!N37+'JOUR 7'!N37+'JOUR 8'!N37+'JOUR 9'!N37+'JOUR 10'!N37+'JOUR 11'!N37+'JOUR 12'!N37+'JOUR 13'!N37+'JOUR 14'!N37+#REF!+#REF!</f>
        <v>#REF!</v>
      </c>
      <c r="O37" s="17" t="e">
        <f>'JOUR 1'!O37+'JOUR 2'!O37+'JOUR 3'!O37+'JOUR 4'!O37+'JOUR 5'!O37+'JOUR 6'!O37+'JOUR 7'!O37+'JOUR 8'!O37+'JOUR 9'!O37+'JOUR 10'!O37+'JOUR 11'!O37+'JOUR 12'!O37+'JOUR 13'!O37+'JOUR 14'!O37+#REF!+#REF!</f>
        <v>#REF!</v>
      </c>
      <c r="P37" s="17" t="e">
        <f>'JOUR 1'!P37+'JOUR 2'!P37+'JOUR 3'!P37+'JOUR 4'!P37+'JOUR 5'!P37+'JOUR 6'!P37+'JOUR 7'!P37+'JOUR 8'!P37+'JOUR 9'!P37+'JOUR 10'!P37+'JOUR 11'!P37+'JOUR 12'!P37+'JOUR 13'!P37+'JOUR 14'!P37+#REF!+#REF!</f>
        <v>#REF!</v>
      </c>
      <c r="Q37" s="17" t="e">
        <f>'JOUR 1'!Q37+'JOUR 2'!Q37+'JOUR 3'!Q37+'JOUR 4'!Q37+'JOUR 5'!Q37+'JOUR 6'!Q37+'JOUR 7'!Q37+'JOUR 8'!Q37+'JOUR 9'!Q37+'JOUR 10'!Q37+'JOUR 11'!Q37+'JOUR 12'!Q37+'JOUR 13'!Q37+'JOUR 14'!Q37+#REF!+#REF!</f>
        <v>#REF!</v>
      </c>
      <c r="R37" s="17" t="e">
        <f>'JOUR 1'!R37+'JOUR 2'!R37+'JOUR 3'!R37+'JOUR 4'!R37+'JOUR 5'!R37+'JOUR 6'!R37+'JOUR 7'!R37+'JOUR 8'!R37+'JOUR 9'!R37+'JOUR 10'!R37+'JOUR 11'!R37+'JOUR 12'!R37+'JOUR 13'!R37+'JOUR 14'!R37+#REF!+#REF!</f>
        <v>#REF!</v>
      </c>
      <c r="S37" s="31" t="e">
        <f>'JOUR 1'!S37+'JOUR 2'!S37+'JOUR 3'!S37+'JOUR 4'!S37+'JOUR 5'!S37+'JOUR 6'!S37+'JOUR 7'!S37+'JOUR 8'!S37+'JOUR 9'!S37+'JOUR 10'!S37+'JOUR 11'!S37+'JOUR 12'!S37+'JOUR 13'!S37+'JOUR 14'!S37+#REF!+#REF!</f>
        <v>#REF!</v>
      </c>
      <c r="T37" s="31" t="e">
        <f>'JOUR 1'!T37+'JOUR 2'!T37+'JOUR 3'!T37+'JOUR 4'!T37+'JOUR 5'!T37+'JOUR 6'!T37+'JOUR 7'!T37+'JOUR 8'!T37+'JOUR 9'!T37+'JOUR 10'!T37+'JOUR 11'!T37+'JOUR 12'!T37+'JOUR 13'!T37+'JOUR 14'!T37+#REF!+#REF!</f>
        <v>#REF!</v>
      </c>
      <c r="U37" s="31" t="e">
        <f>'JOUR 1'!U37+'JOUR 2'!U37+'JOUR 3'!U37+'JOUR 4'!U37+'JOUR 5'!U37+'JOUR 6'!U37+'JOUR 7'!U37+'JOUR 8'!U37+'JOUR 9'!U37+'JOUR 10'!U37+'JOUR 11'!U37+'JOUR 12'!U37+'JOUR 13'!U37+'JOUR 14'!U37+#REF!+#REF!</f>
        <v>#REF!</v>
      </c>
      <c r="V37" s="32" t="e">
        <f>'JOUR 1'!V37+'JOUR 2'!V37+'JOUR 3'!V37+'JOUR 4'!V37+'JOUR 5'!V37+'JOUR 6'!V37+'JOUR 7'!V37+'JOUR 8'!V37+'JOUR 9'!V37+'JOUR 10'!V37+'JOUR 11'!V37+'JOUR 12'!V37+'JOUR 13'!V37+'JOUR 14'!V37+#REF!+#REF!</f>
        <v>#REF!</v>
      </c>
      <c r="W37" s="32" t="e">
        <f>'JOUR 1'!W37+'JOUR 2'!W37+'JOUR 3'!W37+'JOUR 4'!W37+'JOUR 5'!W37+'JOUR 6'!W37+'JOUR 7'!W37+'JOUR 8'!W37+'JOUR 9'!W37+'JOUR 10'!W37+'JOUR 11'!W37+'JOUR 12'!W37+'JOUR 13'!W37+'JOUR 14'!W37+#REF!+#REF!</f>
        <v>#REF!</v>
      </c>
      <c r="X37" s="32" t="e">
        <f>'JOUR 1'!X37+'JOUR 2'!X37+'JOUR 3'!X37+'JOUR 4'!X37+'JOUR 5'!X37+'JOUR 6'!X37+'JOUR 7'!X37+'JOUR 8'!X37+'JOUR 9'!X37+'JOUR 10'!X37+'JOUR 11'!X37+'JOUR 12'!X37+'JOUR 13'!X37+'JOUR 14'!X37+#REF!+#REF!</f>
        <v>#REF!</v>
      </c>
      <c r="Y37" s="75" t="e">
        <f>'JOUR 1'!Y37+'JOUR 2'!Y37+'JOUR 3'!Y37+'JOUR 4'!Y37+'JOUR 5'!Y37+'JOUR 6'!Y37+'JOUR 7'!Y37+'JOUR 8'!Y37+'JOUR 9'!Y37+'JOUR 10'!Y37+'JOUR 11'!Y37+'JOUR 12'!Y37+'JOUR 13'!Y37+'JOUR 14'!Y37+#REF!+#REF!</f>
        <v>#REF!</v>
      </c>
      <c r="Z37" s="33" t="e">
        <f>'JOUR 1'!Z37+'JOUR 2'!Z37+'JOUR 3'!Z37+'JOUR 4'!Z37+'JOUR 5'!Z37+'JOUR 6'!Z37+'JOUR 7'!Z37+'JOUR 8'!Z37+'JOUR 9'!Z37+'JOUR 10'!Z37+'JOUR 11'!Z37+'JOUR 12'!Z37+'JOUR 13'!Z37+'JOUR 14'!Z37+#REF!+#REF!</f>
        <v>#REF!</v>
      </c>
      <c r="AA37" s="34" t="e">
        <f>'JOUR 1'!AA37+'JOUR 2'!AA37+'JOUR 3'!AA37+'JOUR 4'!AA37+'JOUR 5'!AA37+'JOUR 6'!AA37+'JOUR 7'!AA37+'JOUR 8'!AA37+'JOUR 9'!AA37+'JOUR 10'!AA37+'JOUR 11'!AA37+'JOUR 12'!AA37+'JOUR 13'!AA37+'JOUR 14'!AA37+#REF!+#REF!</f>
        <v>#REF!</v>
      </c>
      <c r="AB37" s="34" t="e">
        <f>'JOUR 1'!AB37+'JOUR 2'!AB37+'JOUR 3'!AB37+'JOUR 4'!AB37+'JOUR 5'!AB37+'JOUR 6'!AB37+'JOUR 7'!AB37+'JOUR 8'!AB37+'JOUR 9'!AB37+'JOUR 10'!AB37+'JOUR 11'!AB37+'JOUR 12'!AB37+'JOUR 13'!AB37+'JOUR 14'!AB37+#REF!+#REF!</f>
        <v>#REF!</v>
      </c>
      <c r="AC37" s="34" t="e">
        <f>'JOUR 1'!AC37+'JOUR 2'!AC37+'JOUR 3'!AC37+'JOUR 4'!AC37+'JOUR 5'!AC37+'JOUR 6'!AC37+'JOUR 7'!AC37+'JOUR 8'!AC37+'JOUR 9'!AC37+'JOUR 10'!AC37+'JOUR 11'!AC37+'JOUR 12'!AC37+'JOUR 13'!AC37+'JOUR 14'!AC37+#REF!+#REF!</f>
        <v>#REF!</v>
      </c>
      <c r="AD37" s="35" t="e">
        <f>'JOUR 1'!AD37+'JOUR 2'!AD37+'JOUR 3'!AD37+'JOUR 4'!AD37+'JOUR 5'!AD37+'JOUR 6'!AD37+'JOUR 7'!AD37+'JOUR 8'!AD37+'JOUR 9'!AD37+'JOUR 10'!AD37+'JOUR 11'!AD37+'JOUR 12'!AD37+'JOUR 13'!AD37+'JOUR 14'!AD37+#REF!+#REF!</f>
        <v>#REF!</v>
      </c>
      <c r="AE37" s="34" t="e">
        <f>'JOUR 1'!AE37+'JOUR 2'!AE37+'JOUR 3'!AE37+'JOUR 4'!AE37+'JOUR 5'!AE37+'JOUR 6'!AE37+'JOUR 7'!AE37+'JOUR 8'!AE37+'JOUR 9'!AE37+'JOUR 10'!AE37+'JOUR 11'!AE37+'JOUR 12'!AE37+'JOUR 13'!AE37+'JOUR 14'!AE37+#REF!+#REF!</f>
        <v>#REF!</v>
      </c>
      <c r="AF37" s="34" t="e">
        <f>'JOUR 1'!AF37+'JOUR 2'!AF37+'JOUR 3'!AF37+'JOUR 4'!AF37+'JOUR 5'!AF37+'JOUR 6'!AF37+'JOUR 7'!AF37+'JOUR 8'!AF37+'JOUR 9'!AF37+'JOUR 10'!AF37+'JOUR 11'!AF37+'JOUR 12'!AF37+'JOUR 13'!AF37+'JOUR 14'!AF37+#REF!+#REF!</f>
        <v>#REF!</v>
      </c>
      <c r="AG37" s="34" t="e">
        <f>'JOUR 1'!AG37+'JOUR 2'!AG37+'JOUR 3'!AG37+'JOUR 4'!AG37+'JOUR 5'!AG37+'JOUR 6'!AG37+'JOUR 7'!AG37+'JOUR 8'!AG37+'JOUR 9'!AG37+'JOUR 10'!AG37+'JOUR 11'!AG37+'JOUR 12'!AG37+'JOUR 13'!AG37+'JOUR 14'!AG37+#REF!+#REF!</f>
        <v>#REF!</v>
      </c>
      <c r="AH37" s="21"/>
      <c r="AI37" s="22"/>
      <c r="AK37" s="87" t="e">
        <f t="shared" si="1"/>
        <v>#REF!</v>
      </c>
      <c r="AL37" s="87" t="e">
        <f t="shared" si="1"/>
        <v>#REF!</v>
      </c>
      <c r="AM37" s="87" t="e">
        <f t="shared" si="1"/>
        <v>#REF!</v>
      </c>
      <c r="AN37" s="87" t="e">
        <f t="shared" si="1"/>
        <v>#REF!</v>
      </c>
      <c r="AO37" s="87" t="e">
        <f t="shared" si="1"/>
        <v>#REF!</v>
      </c>
      <c r="AP37" s="87"/>
      <c r="AQ37" s="87"/>
      <c r="AR37" s="87"/>
      <c r="AS37" s="87" t="e">
        <f t="shared" si="2"/>
        <v>#REF!</v>
      </c>
      <c r="AT37" s="87"/>
      <c r="AU37" s="87"/>
      <c r="AV37" s="87"/>
      <c r="AW37" s="87"/>
      <c r="AX37" s="87"/>
      <c r="AY37" s="89"/>
    </row>
    <row r="38" spans="2:51" ht="17.399999999999999" x14ac:dyDescent="0.25">
      <c r="B38" s="16" t="s">
        <v>44</v>
      </c>
      <c r="C38" s="16" t="s">
        <v>78</v>
      </c>
      <c r="D38" s="17" t="e">
        <f>'JOUR 1'!D38+'JOUR 2'!D38+'JOUR 3'!D38+'JOUR 4'!D38+'JOUR 5'!D38+'JOUR 6'!D38+'JOUR 7'!D38+'JOUR 8'!D38+'JOUR 9'!D38+'JOUR 10'!D38+'JOUR 11'!D38+'JOUR 12'!D38+'JOUR 13'!D38+'JOUR 14'!D38+#REF!+#REF!</f>
        <v>#REF!</v>
      </c>
      <c r="E38" s="17" t="e">
        <f>'JOUR 1'!E38+'JOUR 2'!E38+'JOUR 3'!E38+'JOUR 4'!E38+'JOUR 5'!E38+'JOUR 6'!E38+'JOUR 7'!E38+'JOUR 8'!E38+'JOUR 9'!E38+'JOUR 10'!E38+'JOUR 11'!E38+'JOUR 12'!E38+'JOUR 13'!E38+'JOUR 14'!E38+#REF!+#REF!</f>
        <v>#REF!</v>
      </c>
      <c r="F38" s="17" t="e">
        <f>'JOUR 1'!F38+'JOUR 2'!F38+'JOUR 3'!F38+'JOUR 4'!F38+'JOUR 5'!F38+'JOUR 6'!F38+'JOUR 7'!F38+'JOUR 8'!F38+'JOUR 9'!F38+'JOUR 10'!F38+'JOUR 11'!F38+'JOUR 12'!F38+'JOUR 13'!F38+'JOUR 14'!F38+#REF!+#REF!</f>
        <v>#REF!</v>
      </c>
      <c r="G38" s="17" t="e">
        <f>'JOUR 1'!G38+'JOUR 2'!G38+'JOUR 3'!G38+'JOUR 4'!G38+'JOUR 5'!G38+'JOUR 6'!G38+'JOUR 7'!G38+'JOUR 8'!G38+'JOUR 9'!G38+'JOUR 10'!G38+'JOUR 11'!G38+'JOUR 12'!G38+'JOUR 13'!G38+'JOUR 14'!G38+#REF!+#REF!</f>
        <v>#REF!</v>
      </c>
      <c r="H38" s="17" t="e">
        <f>'JOUR 1'!H38+'JOUR 2'!H38+'JOUR 3'!H38+'JOUR 4'!H38+'JOUR 5'!H38+'JOUR 6'!H38+'JOUR 7'!H38+'JOUR 8'!H38+'JOUR 9'!H38+'JOUR 10'!H38+'JOUR 11'!H38+'JOUR 12'!H38+'JOUR 13'!H38+'JOUR 14'!H38+#REF!+#REF!</f>
        <v>#REF!</v>
      </c>
      <c r="I38" s="17" t="e">
        <f>'JOUR 1'!I38+'JOUR 2'!I38+'JOUR 3'!I38+'JOUR 4'!I38+'JOUR 5'!I38+'JOUR 6'!I38+'JOUR 7'!I38+'JOUR 8'!I38+'JOUR 9'!I38+'JOUR 10'!I38+'JOUR 11'!I38+'JOUR 12'!I38+'JOUR 13'!I38+'JOUR 14'!I38+#REF!+#REF!</f>
        <v>#REF!</v>
      </c>
      <c r="J38" s="17" t="e">
        <f>'JOUR 1'!J38+'JOUR 2'!J38+'JOUR 3'!J38+'JOUR 4'!J38+'JOUR 5'!J38+'JOUR 6'!J38+'JOUR 7'!J38+'JOUR 8'!J38+'JOUR 9'!J38+'JOUR 10'!J38+'JOUR 11'!J38+'JOUR 12'!J38+'JOUR 13'!J38+'JOUR 14'!J38+#REF!+#REF!</f>
        <v>#REF!</v>
      </c>
      <c r="K38" s="17" t="e">
        <f>'JOUR 1'!K38+'JOUR 2'!K38+'JOUR 3'!K38+'JOUR 4'!K38+'JOUR 5'!K38+'JOUR 6'!K38+'JOUR 7'!K38+'JOUR 8'!K38+'JOUR 9'!K38+'JOUR 10'!K38+'JOUR 11'!K38+'JOUR 12'!K38+'JOUR 13'!K38+'JOUR 14'!K38+#REF!+#REF!</f>
        <v>#REF!</v>
      </c>
      <c r="L38" s="17" t="e">
        <f>'JOUR 1'!L38+'JOUR 2'!L38+'JOUR 3'!L38+'JOUR 4'!L38+'JOUR 5'!L38+'JOUR 6'!L38+'JOUR 7'!L38+'JOUR 8'!L38+'JOUR 9'!L38+'JOUR 10'!L38+'JOUR 11'!L38+'JOUR 12'!L38+'JOUR 13'!L38+'JOUR 14'!L38+#REF!+#REF!</f>
        <v>#REF!</v>
      </c>
      <c r="M38" s="17" t="e">
        <f>'JOUR 1'!M38+'JOUR 2'!M38+'JOUR 3'!M38+'JOUR 4'!M38+'JOUR 5'!M38+'JOUR 6'!M38+'JOUR 7'!M38+'JOUR 8'!M38+'JOUR 9'!M38+'JOUR 10'!M38+'JOUR 11'!M38+'JOUR 12'!M38+'JOUR 13'!M38+'JOUR 14'!M38+#REF!+#REF!</f>
        <v>#REF!</v>
      </c>
      <c r="N38" s="17" t="e">
        <f>'JOUR 1'!N38+'JOUR 2'!N38+'JOUR 3'!N38+'JOUR 4'!N38+'JOUR 5'!N38+'JOUR 6'!N38+'JOUR 7'!N38+'JOUR 8'!N38+'JOUR 9'!N38+'JOUR 10'!N38+'JOUR 11'!N38+'JOUR 12'!N38+'JOUR 13'!N38+'JOUR 14'!N38+#REF!+#REF!</f>
        <v>#REF!</v>
      </c>
      <c r="O38" s="17" t="e">
        <f>'JOUR 1'!O38+'JOUR 2'!O38+'JOUR 3'!O38+'JOUR 4'!O38+'JOUR 5'!O38+'JOUR 6'!O38+'JOUR 7'!O38+'JOUR 8'!O38+'JOUR 9'!O38+'JOUR 10'!O38+'JOUR 11'!O38+'JOUR 12'!O38+'JOUR 13'!O38+'JOUR 14'!O38+#REF!+#REF!</f>
        <v>#REF!</v>
      </c>
      <c r="P38" s="17" t="e">
        <f>'JOUR 1'!P38+'JOUR 2'!P38+'JOUR 3'!P38+'JOUR 4'!P38+'JOUR 5'!P38+'JOUR 6'!P38+'JOUR 7'!P38+'JOUR 8'!P38+'JOUR 9'!P38+'JOUR 10'!P38+'JOUR 11'!P38+'JOUR 12'!P38+'JOUR 13'!P38+'JOUR 14'!P38+#REF!+#REF!</f>
        <v>#REF!</v>
      </c>
      <c r="Q38" s="17" t="e">
        <f>'JOUR 1'!Q38+'JOUR 2'!Q38+'JOUR 3'!Q38+'JOUR 4'!Q38+'JOUR 5'!Q38+'JOUR 6'!Q38+'JOUR 7'!Q38+'JOUR 8'!Q38+'JOUR 9'!Q38+'JOUR 10'!Q38+'JOUR 11'!Q38+'JOUR 12'!Q38+'JOUR 13'!Q38+'JOUR 14'!Q38+#REF!+#REF!</f>
        <v>#REF!</v>
      </c>
      <c r="R38" s="17" t="e">
        <f>'JOUR 1'!R38+'JOUR 2'!R38+'JOUR 3'!R38+'JOUR 4'!R38+'JOUR 5'!R38+'JOUR 6'!R38+'JOUR 7'!R38+'JOUR 8'!R38+'JOUR 9'!R38+'JOUR 10'!R38+'JOUR 11'!R38+'JOUR 12'!R38+'JOUR 13'!R38+'JOUR 14'!R38+#REF!+#REF!</f>
        <v>#REF!</v>
      </c>
      <c r="S38" s="31" t="e">
        <f>'JOUR 1'!S38+'JOUR 2'!S38+'JOUR 3'!S38+'JOUR 4'!S38+'JOUR 5'!S38+'JOUR 6'!S38+'JOUR 7'!S38+'JOUR 8'!S38+'JOUR 9'!S38+'JOUR 10'!S38+'JOUR 11'!S38+'JOUR 12'!S38+'JOUR 13'!S38+'JOUR 14'!S38+#REF!+#REF!</f>
        <v>#REF!</v>
      </c>
      <c r="T38" s="31" t="e">
        <f>'JOUR 1'!T38+'JOUR 2'!T38+'JOUR 3'!T38+'JOUR 4'!T38+'JOUR 5'!T38+'JOUR 6'!T38+'JOUR 7'!T38+'JOUR 8'!T38+'JOUR 9'!T38+'JOUR 10'!T38+'JOUR 11'!T38+'JOUR 12'!T38+'JOUR 13'!T38+'JOUR 14'!T38+#REF!+#REF!</f>
        <v>#REF!</v>
      </c>
      <c r="U38" s="31" t="e">
        <f>'JOUR 1'!U38+'JOUR 2'!U38+'JOUR 3'!U38+'JOUR 4'!U38+'JOUR 5'!U38+'JOUR 6'!U38+'JOUR 7'!U38+'JOUR 8'!U38+'JOUR 9'!U38+'JOUR 10'!U38+'JOUR 11'!U38+'JOUR 12'!U38+'JOUR 13'!U38+'JOUR 14'!U38+#REF!+#REF!</f>
        <v>#REF!</v>
      </c>
      <c r="V38" s="32" t="e">
        <f>'JOUR 1'!V38+'JOUR 2'!V38+'JOUR 3'!V38+'JOUR 4'!V38+'JOUR 5'!V38+'JOUR 6'!V38+'JOUR 7'!V38+'JOUR 8'!V38+'JOUR 9'!V38+'JOUR 10'!V38+'JOUR 11'!V38+'JOUR 12'!V38+'JOUR 13'!V38+'JOUR 14'!V38+#REF!+#REF!</f>
        <v>#REF!</v>
      </c>
      <c r="W38" s="32" t="e">
        <f>'JOUR 1'!W38+'JOUR 2'!W38+'JOUR 3'!W38+'JOUR 4'!W38+'JOUR 5'!W38+'JOUR 6'!W38+'JOUR 7'!W38+'JOUR 8'!W38+'JOUR 9'!W38+'JOUR 10'!W38+'JOUR 11'!W38+'JOUR 12'!W38+'JOUR 13'!W38+'JOUR 14'!W38+#REF!+#REF!</f>
        <v>#REF!</v>
      </c>
      <c r="X38" s="32" t="e">
        <f>'JOUR 1'!X38+'JOUR 2'!X38+'JOUR 3'!X38+'JOUR 4'!X38+'JOUR 5'!X38+'JOUR 6'!X38+'JOUR 7'!X38+'JOUR 8'!X38+'JOUR 9'!X38+'JOUR 10'!X38+'JOUR 11'!X38+'JOUR 12'!X38+'JOUR 13'!X38+'JOUR 14'!X38+#REF!+#REF!</f>
        <v>#REF!</v>
      </c>
      <c r="Y38" s="75" t="e">
        <f>'JOUR 1'!Y38+'JOUR 2'!Y38+'JOUR 3'!Y38+'JOUR 4'!Y38+'JOUR 5'!Y38+'JOUR 6'!Y38+'JOUR 7'!Y38+'JOUR 8'!Y38+'JOUR 9'!Y38+'JOUR 10'!Y38+'JOUR 11'!Y38+'JOUR 12'!Y38+'JOUR 13'!Y38+'JOUR 14'!Y38+#REF!+#REF!</f>
        <v>#REF!</v>
      </c>
      <c r="Z38" s="33" t="e">
        <f>'JOUR 1'!Z38+'JOUR 2'!Z38+'JOUR 3'!Z38+'JOUR 4'!Z38+'JOUR 5'!Z38+'JOUR 6'!Z38+'JOUR 7'!Z38+'JOUR 8'!Z38+'JOUR 9'!Z38+'JOUR 10'!Z38+'JOUR 11'!Z38+'JOUR 12'!Z38+'JOUR 13'!Z38+'JOUR 14'!Z38+#REF!+#REF!</f>
        <v>#REF!</v>
      </c>
      <c r="AA38" s="34" t="e">
        <f>'JOUR 1'!AA38+'JOUR 2'!AA38+'JOUR 3'!AA38+'JOUR 4'!AA38+'JOUR 5'!AA38+'JOUR 6'!AA38+'JOUR 7'!AA38+'JOUR 8'!AA38+'JOUR 9'!AA38+'JOUR 10'!AA38+'JOUR 11'!AA38+'JOUR 12'!AA38+'JOUR 13'!AA38+'JOUR 14'!AA38+#REF!+#REF!</f>
        <v>#REF!</v>
      </c>
      <c r="AB38" s="34" t="e">
        <f>'JOUR 1'!AB38+'JOUR 2'!AB38+'JOUR 3'!AB38+'JOUR 4'!AB38+'JOUR 5'!AB38+'JOUR 6'!AB38+'JOUR 7'!AB38+'JOUR 8'!AB38+'JOUR 9'!AB38+'JOUR 10'!AB38+'JOUR 11'!AB38+'JOUR 12'!AB38+'JOUR 13'!AB38+'JOUR 14'!AB38+#REF!+#REF!</f>
        <v>#REF!</v>
      </c>
      <c r="AC38" s="34" t="e">
        <f>'JOUR 1'!AC38+'JOUR 2'!AC38+'JOUR 3'!AC38+'JOUR 4'!AC38+'JOUR 5'!AC38+'JOUR 6'!AC38+'JOUR 7'!AC38+'JOUR 8'!AC38+'JOUR 9'!AC38+'JOUR 10'!AC38+'JOUR 11'!AC38+'JOUR 12'!AC38+'JOUR 13'!AC38+'JOUR 14'!AC38+#REF!+#REF!</f>
        <v>#REF!</v>
      </c>
      <c r="AD38" s="35" t="e">
        <f>'JOUR 1'!AD38+'JOUR 2'!AD38+'JOUR 3'!AD38+'JOUR 4'!AD38+'JOUR 5'!AD38+'JOUR 6'!AD38+'JOUR 7'!AD38+'JOUR 8'!AD38+'JOUR 9'!AD38+'JOUR 10'!AD38+'JOUR 11'!AD38+'JOUR 12'!AD38+'JOUR 13'!AD38+'JOUR 14'!AD38+#REF!+#REF!</f>
        <v>#REF!</v>
      </c>
      <c r="AE38" s="34" t="e">
        <f>'JOUR 1'!AE38+'JOUR 2'!AE38+'JOUR 3'!AE38+'JOUR 4'!AE38+'JOUR 5'!AE38+'JOUR 6'!AE38+'JOUR 7'!AE38+'JOUR 8'!AE38+'JOUR 9'!AE38+'JOUR 10'!AE38+'JOUR 11'!AE38+'JOUR 12'!AE38+'JOUR 13'!AE38+'JOUR 14'!AE38+#REF!+#REF!</f>
        <v>#REF!</v>
      </c>
      <c r="AF38" s="34" t="e">
        <f>'JOUR 1'!AF38+'JOUR 2'!AF38+'JOUR 3'!AF38+'JOUR 4'!AF38+'JOUR 5'!AF38+'JOUR 6'!AF38+'JOUR 7'!AF38+'JOUR 8'!AF38+'JOUR 9'!AF38+'JOUR 10'!AF38+'JOUR 11'!AF38+'JOUR 12'!AF38+'JOUR 13'!AF38+'JOUR 14'!AF38+#REF!+#REF!</f>
        <v>#REF!</v>
      </c>
      <c r="AG38" s="34" t="e">
        <f>'JOUR 1'!AG38+'JOUR 2'!AG38+'JOUR 3'!AG38+'JOUR 4'!AG38+'JOUR 5'!AG38+'JOUR 6'!AG38+'JOUR 7'!AG38+'JOUR 8'!AG38+'JOUR 9'!AG38+'JOUR 10'!AG38+'JOUR 11'!AG38+'JOUR 12'!AG38+'JOUR 13'!AG38+'JOUR 14'!AG38+#REF!+#REF!</f>
        <v>#REF!</v>
      </c>
      <c r="AH38" s="21"/>
      <c r="AI38" s="22"/>
      <c r="AK38" s="87" t="e">
        <f t="shared" si="1"/>
        <v>#REF!</v>
      </c>
      <c r="AL38" s="87" t="e">
        <f t="shared" si="1"/>
        <v>#REF!</v>
      </c>
      <c r="AM38" s="87" t="e">
        <f t="shared" si="1"/>
        <v>#REF!</v>
      </c>
      <c r="AN38" s="87" t="e">
        <f t="shared" si="1"/>
        <v>#REF!</v>
      </c>
      <c r="AO38" s="87" t="e">
        <f t="shared" si="1"/>
        <v>#REF!</v>
      </c>
      <c r="AP38" s="87"/>
      <c r="AQ38" s="87"/>
      <c r="AR38" s="87"/>
      <c r="AS38" s="87" t="e">
        <f t="shared" si="2"/>
        <v>#REF!</v>
      </c>
      <c r="AT38" s="87"/>
      <c r="AU38" s="87"/>
      <c r="AV38" s="87"/>
      <c r="AW38" s="87"/>
      <c r="AX38" s="87"/>
      <c r="AY38" s="89"/>
    </row>
    <row r="39" spans="2:51" ht="17.399999999999999" x14ac:dyDescent="0.25">
      <c r="B39" s="16" t="s">
        <v>44</v>
      </c>
      <c r="C39" s="16" t="s">
        <v>79</v>
      </c>
      <c r="D39" s="17" t="e">
        <f>'JOUR 1'!D39+'JOUR 2'!D39+'JOUR 3'!D39+'JOUR 4'!D39+'JOUR 5'!D39+'JOUR 6'!D39+'JOUR 7'!D39+'JOUR 8'!D39+'JOUR 9'!D39+'JOUR 10'!D39+'JOUR 11'!D39+'JOUR 12'!D39+'JOUR 13'!D39+'JOUR 14'!D39+#REF!+#REF!</f>
        <v>#REF!</v>
      </c>
      <c r="E39" s="17" t="e">
        <f>'JOUR 1'!E39+'JOUR 2'!E39+'JOUR 3'!E39+'JOUR 4'!E39+'JOUR 5'!E39+'JOUR 6'!E39+'JOUR 7'!E39+'JOUR 8'!E39+'JOUR 9'!E39+'JOUR 10'!E39+'JOUR 11'!E39+'JOUR 12'!E39+'JOUR 13'!E39+'JOUR 14'!E39+#REF!+#REF!</f>
        <v>#REF!</v>
      </c>
      <c r="F39" s="17" t="e">
        <f>'JOUR 1'!F39+'JOUR 2'!F39+'JOUR 3'!F39+'JOUR 4'!F39+'JOUR 5'!F39+'JOUR 6'!F39+'JOUR 7'!F39+'JOUR 8'!F39+'JOUR 9'!F39+'JOUR 10'!F39+'JOUR 11'!F39+'JOUR 12'!F39+'JOUR 13'!F39+'JOUR 14'!F39+#REF!+#REF!</f>
        <v>#REF!</v>
      </c>
      <c r="G39" s="17" t="e">
        <f>'JOUR 1'!G39+'JOUR 2'!G39+'JOUR 3'!G39+'JOUR 4'!G39+'JOUR 5'!G39+'JOUR 6'!G39+'JOUR 7'!G39+'JOUR 8'!G39+'JOUR 9'!G39+'JOUR 10'!G39+'JOUR 11'!G39+'JOUR 12'!G39+'JOUR 13'!G39+'JOUR 14'!G39+#REF!+#REF!</f>
        <v>#REF!</v>
      </c>
      <c r="H39" s="17" t="e">
        <f>'JOUR 1'!H39+'JOUR 2'!H39+'JOUR 3'!H39+'JOUR 4'!H39+'JOUR 5'!H39+'JOUR 6'!H39+'JOUR 7'!H39+'JOUR 8'!H39+'JOUR 9'!H39+'JOUR 10'!H39+'JOUR 11'!H39+'JOUR 12'!H39+'JOUR 13'!H39+'JOUR 14'!H39+#REF!+#REF!</f>
        <v>#REF!</v>
      </c>
      <c r="I39" s="17" t="e">
        <f>'JOUR 1'!I39+'JOUR 2'!I39+'JOUR 3'!I39+'JOUR 4'!I39+'JOUR 5'!I39+'JOUR 6'!I39+'JOUR 7'!I39+'JOUR 8'!I39+'JOUR 9'!I39+'JOUR 10'!I39+'JOUR 11'!I39+'JOUR 12'!I39+'JOUR 13'!I39+'JOUR 14'!I39+#REF!+#REF!</f>
        <v>#REF!</v>
      </c>
      <c r="J39" s="17" t="e">
        <f>'JOUR 1'!J39+'JOUR 2'!J39+'JOUR 3'!J39+'JOUR 4'!J39+'JOUR 5'!J39+'JOUR 6'!J39+'JOUR 7'!J39+'JOUR 8'!J39+'JOUR 9'!J39+'JOUR 10'!J39+'JOUR 11'!J39+'JOUR 12'!J39+'JOUR 13'!J39+'JOUR 14'!J39+#REF!+#REF!</f>
        <v>#REF!</v>
      </c>
      <c r="K39" s="17" t="e">
        <f>'JOUR 1'!K39+'JOUR 2'!K39+'JOUR 3'!K39+'JOUR 4'!K39+'JOUR 5'!K39+'JOUR 6'!K39+'JOUR 7'!K39+'JOUR 8'!K39+'JOUR 9'!K39+'JOUR 10'!K39+'JOUR 11'!K39+'JOUR 12'!K39+'JOUR 13'!K39+'JOUR 14'!K39+#REF!+#REF!</f>
        <v>#REF!</v>
      </c>
      <c r="L39" s="17" t="e">
        <f>'JOUR 1'!L39+'JOUR 2'!L39+'JOUR 3'!L39+'JOUR 4'!L39+'JOUR 5'!L39+'JOUR 6'!L39+'JOUR 7'!L39+'JOUR 8'!L39+'JOUR 9'!L39+'JOUR 10'!L39+'JOUR 11'!L39+'JOUR 12'!L39+'JOUR 13'!L39+'JOUR 14'!L39+#REF!+#REF!</f>
        <v>#REF!</v>
      </c>
      <c r="M39" s="17" t="e">
        <f>'JOUR 1'!M39+'JOUR 2'!M39+'JOUR 3'!M39+'JOUR 4'!M39+'JOUR 5'!M39+'JOUR 6'!M39+'JOUR 7'!M39+'JOUR 8'!M39+'JOUR 9'!M39+'JOUR 10'!M39+'JOUR 11'!M39+'JOUR 12'!M39+'JOUR 13'!M39+'JOUR 14'!M39+#REF!+#REF!</f>
        <v>#REF!</v>
      </c>
      <c r="N39" s="17" t="e">
        <f>'JOUR 1'!N39+'JOUR 2'!N39+'JOUR 3'!N39+'JOUR 4'!N39+'JOUR 5'!N39+'JOUR 6'!N39+'JOUR 7'!N39+'JOUR 8'!N39+'JOUR 9'!N39+'JOUR 10'!N39+'JOUR 11'!N39+'JOUR 12'!N39+'JOUR 13'!N39+'JOUR 14'!N39+#REF!+#REF!</f>
        <v>#REF!</v>
      </c>
      <c r="O39" s="17" t="e">
        <f>'JOUR 1'!O39+'JOUR 2'!O39+'JOUR 3'!O39+'JOUR 4'!O39+'JOUR 5'!O39+'JOUR 6'!O39+'JOUR 7'!O39+'JOUR 8'!O39+'JOUR 9'!O39+'JOUR 10'!O39+'JOUR 11'!O39+'JOUR 12'!O39+'JOUR 13'!O39+'JOUR 14'!O39+#REF!+#REF!</f>
        <v>#REF!</v>
      </c>
      <c r="P39" s="17" t="e">
        <f>'JOUR 1'!P39+'JOUR 2'!P39+'JOUR 3'!P39+'JOUR 4'!P39+'JOUR 5'!P39+'JOUR 6'!P39+'JOUR 7'!P39+'JOUR 8'!P39+'JOUR 9'!P39+'JOUR 10'!P39+'JOUR 11'!P39+'JOUR 12'!P39+'JOUR 13'!P39+'JOUR 14'!P39+#REF!+#REF!</f>
        <v>#REF!</v>
      </c>
      <c r="Q39" s="17" t="e">
        <f>'JOUR 1'!Q39+'JOUR 2'!Q39+'JOUR 3'!Q39+'JOUR 4'!Q39+'JOUR 5'!Q39+'JOUR 6'!Q39+'JOUR 7'!Q39+'JOUR 8'!Q39+'JOUR 9'!Q39+'JOUR 10'!Q39+'JOUR 11'!Q39+'JOUR 12'!Q39+'JOUR 13'!Q39+'JOUR 14'!Q39+#REF!+#REF!</f>
        <v>#REF!</v>
      </c>
      <c r="R39" s="17" t="e">
        <f>'JOUR 1'!R39+'JOUR 2'!R39+'JOUR 3'!R39+'JOUR 4'!R39+'JOUR 5'!R39+'JOUR 6'!R39+'JOUR 7'!R39+'JOUR 8'!R39+'JOUR 9'!R39+'JOUR 10'!R39+'JOUR 11'!R39+'JOUR 12'!R39+'JOUR 13'!R39+'JOUR 14'!R39+#REF!+#REF!</f>
        <v>#REF!</v>
      </c>
      <c r="S39" s="31" t="e">
        <f>'JOUR 1'!S39+'JOUR 2'!S39+'JOUR 3'!S39+'JOUR 4'!S39+'JOUR 5'!S39+'JOUR 6'!S39+'JOUR 7'!S39+'JOUR 8'!S39+'JOUR 9'!S39+'JOUR 10'!S39+'JOUR 11'!S39+'JOUR 12'!S39+'JOUR 13'!S39+'JOUR 14'!S39+#REF!+#REF!</f>
        <v>#REF!</v>
      </c>
      <c r="T39" s="31" t="e">
        <f>'JOUR 1'!T39+'JOUR 2'!T39+'JOUR 3'!T39+'JOUR 4'!T39+'JOUR 5'!T39+'JOUR 6'!T39+'JOUR 7'!T39+'JOUR 8'!T39+'JOUR 9'!T39+'JOUR 10'!T39+'JOUR 11'!T39+'JOUR 12'!T39+'JOUR 13'!T39+'JOUR 14'!T39+#REF!+#REF!</f>
        <v>#REF!</v>
      </c>
      <c r="U39" s="31" t="e">
        <f>'JOUR 1'!U39+'JOUR 2'!U39+'JOUR 3'!U39+'JOUR 4'!U39+'JOUR 5'!U39+'JOUR 6'!U39+'JOUR 7'!U39+'JOUR 8'!U39+'JOUR 9'!U39+'JOUR 10'!U39+'JOUR 11'!U39+'JOUR 12'!U39+'JOUR 13'!U39+'JOUR 14'!U39+#REF!+#REF!</f>
        <v>#REF!</v>
      </c>
      <c r="V39" s="32" t="e">
        <f>'JOUR 1'!V39+'JOUR 2'!V39+'JOUR 3'!V39+'JOUR 4'!V39+'JOUR 5'!V39+'JOUR 6'!V39+'JOUR 7'!V39+'JOUR 8'!V39+'JOUR 9'!V39+'JOUR 10'!V39+'JOUR 11'!V39+'JOUR 12'!V39+'JOUR 13'!V39+'JOUR 14'!V39+#REF!+#REF!</f>
        <v>#REF!</v>
      </c>
      <c r="W39" s="32" t="e">
        <f>'JOUR 1'!W39+'JOUR 2'!W39+'JOUR 3'!W39+'JOUR 4'!W39+'JOUR 5'!W39+'JOUR 6'!W39+'JOUR 7'!W39+'JOUR 8'!W39+'JOUR 9'!W39+'JOUR 10'!W39+'JOUR 11'!W39+'JOUR 12'!W39+'JOUR 13'!W39+'JOUR 14'!W39+#REF!+#REF!</f>
        <v>#REF!</v>
      </c>
      <c r="X39" s="32" t="e">
        <f>'JOUR 1'!X39+'JOUR 2'!X39+'JOUR 3'!X39+'JOUR 4'!X39+'JOUR 5'!X39+'JOUR 6'!X39+'JOUR 7'!X39+'JOUR 8'!X39+'JOUR 9'!X39+'JOUR 10'!X39+'JOUR 11'!X39+'JOUR 12'!X39+'JOUR 13'!X39+'JOUR 14'!X39+#REF!+#REF!</f>
        <v>#REF!</v>
      </c>
      <c r="Y39" s="75" t="e">
        <f>'JOUR 1'!Y39+'JOUR 2'!Y39+'JOUR 3'!Y39+'JOUR 4'!Y39+'JOUR 5'!Y39+'JOUR 6'!Y39+'JOUR 7'!Y39+'JOUR 8'!Y39+'JOUR 9'!Y39+'JOUR 10'!Y39+'JOUR 11'!Y39+'JOUR 12'!Y39+'JOUR 13'!Y39+'JOUR 14'!Y39+#REF!+#REF!</f>
        <v>#REF!</v>
      </c>
      <c r="Z39" s="33" t="e">
        <f>'JOUR 1'!Z39+'JOUR 2'!Z39+'JOUR 3'!Z39+'JOUR 4'!Z39+'JOUR 5'!Z39+'JOUR 6'!Z39+'JOUR 7'!Z39+'JOUR 8'!Z39+'JOUR 9'!Z39+'JOUR 10'!Z39+'JOUR 11'!Z39+'JOUR 12'!Z39+'JOUR 13'!Z39+'JOUR 14'!Z39+#REF!+#REF!</f>
        <v>#REF!</v>
      </c>
      <c r="AA39" s="34" t="e">
        <f>'JOUR 1'!AA39+'JOUR 2'!AA39+'JOUR 3'!AA39+'JOUR 4'!AA39+'JOUR 5'!AA39+'JOUR 6'!AA39+'JOUR 7'!AA39+'JOUR 8'!AA39+'JOUR 9'!AA39+'JOUR 10'!AA39+'JOUR 11'!AA39+'JOUR 12'!AA39+'JOUR 13'!AA39+'JOUR 14'!AA39+#REF!+#REF!</f>
        <v>#REF!</v>
      </c>
      <c r="AB39" s="34" t="e">
        <f>'JOUR 1'!AB39+'JOUR 2'!AB39+'JOUR 3'!AB39+'JOUR 4'!AB39+'JOUR 5'!AB39+'JOUR 6'!AB39+'JOUR 7'!AB39+'JOUR 8'!AB39+'JOUR 9'!AB39+'JOUR 10'!AB39+'JOUR 11'!AB39+'JOUR 12'!AB39+'JOUR 13'!AB39+'JOUR 14'!AB39+#REF!+#REF!</f>
        <v>#REF!</v>
      </c>
      <c r="AC39" s="34" t="e">
        <f>'JOUR 1'!AC39+'JOUR 2'!AC39+'JOUR 3'!AC39+'JOUR 4'!AC39+'JOUR 5'!AC39+'JOUR 6'!AC39+'JOUR 7'!AC39+'JOUR 8'!AC39+'JOUR 9'!AC39+'JOUR 10'!AC39+'JOUR 11'!AC39+'JOUR 12'!AC39+'JOUR 13'!AC39+'JOUR 14'!AC39+#REF!+#REF!</f>
        <v>#REF!</v>
      </c>
      <c r="AD39" s="35" t="e">
        <f>'JOUR 1'!AD39+'JOUR 2'!AD39+'JOUR 3'!AD39+'JOUR 4'!AD39+'JOUR 5'!AD39+'JOUR 6'!AD39+'JOUR 7'!AD39+'JOUR 8'!AD39+'JOUR 9'!AD39+'JOUR 10'!AD39+'JOUR 11'!AD39+'JOUR 12'!AD39+'JOUR 13'!AD39+'JOUR 14'!AD39+#REF!+#REF!</f>
        <v>#REF!</v>
      </c>
      <c r="AE39" s="34" t="e">
        <f>'JOUR 1'!AE39+'JOUR 2'!AE39+'JOUR 3'!AE39+'JOUR 4'!AE39+'JOUR 5'!AE39+'JOUR 6'!AE39+'JOUR 7'!AE39+'JOUR 8'!AE39+'JOUR 9'!AE39+'JOUR 10'!AE39+'JOUR 11'!AE39+'JOUR 12'!AE39+'JOUR 13'!AE39+'JOUR 14'!AE39+#REF!+#REF!</f>
        <v>#REF!</v>
      </c>
      <c r="AF39" s="34" t="e">
        <f>'JOUR 1'!AF39+'JOUR 2'!AF39+'JOUR 3'!AF39+'JOUR 4'!AF39+'JOUR 5'!AF39+'JOUR 6'!AF39+'JOUR 7'!AF39+'JOUR 8'!AF39+'JOUR 9'!AF39+'JOUR 10'!AF39+'JOUR 11'!AF39+'JOUR 12'!AF39+'JOUR 13'!AF39+'JOUR 14'!AF39+#REF!+#REF!</f>
        <v>#REF!</v>
      </c>
      <c r="AG39" s="34" t="e">
        <f>'JOUR 1'!AG39+'JOUR 2'!AG39+'JOUR 3'!AG39+'JOUR 4'!AG39+'JOUR 5'!AG39+'JOUR 6'!AG39+'JOUR 7'!AG39+'JOUR 8'!AG39+'JOUR 9'!AG39+'JOUR 10'!AG39+'JOUR 11'!AG39+'JOUR 12'!AG39+'JOUR 13'!AG39+'JOUR 14'!AG39+#REF!+#REF!</f>
        <v>#REF!</v>
      </c>
      <c r="AH39" s="21"/>
      <c r="AI39" s="22"/>
      <c r="AK39" s="87" t="e">
        <f t="shared" si="1"/>
        <v>#REF!</v>
      </c>
      <c r="AL39" s="87" t="e">
        <f t="shared" si="1"/>
        <v>#REF!</v>
      </c>
      <c r="AM39" s="87" t="e">
        <f t="shared" si="1"/>
        <v>#REF!</v>
      </c>
      <c r="AN39" s="87" t="e">
        <f t="shared" si="1"/>
        <v>#REF!</v>
      </c>
      <c r="AO39" s="87" t="e">
        <f t="shared" si="1"/>
        <v>#REF!</v>
      </c>
      <c r="AP39" s="87"/>
      <c r="AQ39" s="87"/>
      <c r="AR39" s="87"/>
      <c r="AS39" s="87" t="e">
        <f t="shared" si="2"/>
        <v>#REF!</v>
      </c>
      <c r="AT39" s="87"/>
      <c r="AU39" s="87"/>
      <c r="AV39" s="87"/>
      <c r="AW39" s="87"/>
      <c r="AX39" s="87"/>
      <c r="AY39" s="89"/>
    </row>
    <row r="40" spans="2:51" ht="17.399999999999999" x14ac:dyDescent="0.25">
      <c r="B40" s="16" t="s">
        <v>44</v>
      </c>
      <c r="C40" s="16" t="s">
        <v>80</v>
      </c>
      <c r="D40" s="17" t="e">
        <f>'JOUR 1'!D40+'JOUR 2'!D40+'JOUR 3'!D40+'JOUR 4'!D40+'JOUR 5'!D40+'JOUR 6'!D40+'JOUR 7'!D40+'JOUR 8'!D40+'JOUR 9'!D40+'JOUR 10'!D40+'JOUR 11'!D40+'JOUR 12'!D40+'JOUR 13'!D40+'JOUR 14'!D40+#REF!+#REF!</f>
        <v>#REF!</v>
      </c>
      <c r="E40" s="17" t="e">
        <f>'JOUR 1'!E40+'JOUR 2'!E40+'JOUR 3'!E40+'JOUR 4'!E40+'JOUR 5'!E40+'JOUR 6'!E40+'JOUR 7'!E40+'JOUR 8'!E40+'JOUR 9'!E40+'JOUR 10'!E40+'JOUR 11'!E40+'JOUR 12'!E40+'JOUR 13'!E40+'JOUR 14'!E40+#REF!+#REF!</f>
        <v>#REF!</v>
      </c>
      <c r="F40" s="17" t="e">
        <f>'JOUR 1'!F40+'JOUR 2'!F40+'JOUR 3'!F40+'JOUR 4'!F40+'JOUR 5'!F40+'JOUR 6'!F40+'JOUR 7'!F40+'JOUR 8'!F40+'JOUR 9'!F40+'JOUR 10'!F40+'JOUR 11'!F40+'JOUR 12'!F40+'JOUR 13'!F40+'JOUR 14'!F40+#REF!+#REF!</f>
        <v>#REF!</v>
      </c>
      <c r="G40" s="17" t="e">
        <f>'JOUR 1'!G40+'JOUR 2'!G40+'JOUR 3'!G40+'JOUR 4'!G40+'JOUR 5'!G40+'JOUR 6'!G40+'JOUR 7'!G40+'JOUR 8'!G40+'JOUR 9'!G40+'JOUR 10'!G40+'JOUR 11'!G40+'JOUR 12'!G40+'JOUR 13'!G40+'JOUR 14'!G40+#REF!+#REF!</f>
        <v>#REF!</v>
      </c>
      <c r="H40" s="17" t="e">
        <f>'JOUR 1'!H40+'JOUR 2'!H40+'JOUR 3'!H40+'JOUR 4'!H40+'JOUR 5'!H40+'JOUR 6'!H40+'JOUR 7'!H40+'JOUR 8'!H40+'JOUR 9'!H40+'JOUR 10'!H40+'JOUR 11'!H40+'JOUR 12'!H40+'JOUR 13'!H40+'JOUR 14'!H40+#REF!+#REF!</f>
        <v>#REF!</v>
      </c>
      <c r="I40" s="17" t="e">
        <f>'JOUR 1'!I40+'JOUR 2'!I40+'JOUR 3'!I40+'JOUR 4'!I40+'JOUR 5'!I40+'JOUR 6'!I40+'JOUR 7'!I40+'JOUR 8'!I40+'JOUR 9'!I40+'JOUR 10'!I40+'JOUR 11'!I40+'JOUR 12'!I40+'JOUR 13'!I40+'JOUR 14'!I40+#REF!+#REF!</f>
        <v>#REF!</v>
      </c>
      <c r="J40" s="17" t="e">
        <f>'JOUR 1'!J40+'JOUR 2'!J40+'JOUR 3'!J40+'JOUR 4'!J40+'JOUR 5'!J40+'JOUR 6'!J40+'JOUR 7'!J40+'JOUR 8'!J40+'JOUR 9'!J40+'JOUR 10'!J40+'JOUR 11'!J40+'JOUR 12'!J40+'JOUR 13'!J40+'JOUR 14'!J40+#REF!+#REF!</f>
        <v>#REF!</v>
      </c>
      <c r="K40" s="17" t="e">
        <f>'JOUR 1'!K40+'JOUR 2'!K40+'JOUR 3'!K40+'JOUR 4'!K40+'JOUR 5'!K40+'JOUR 6'!K40+'JOUR 7'!K40+'JOUR 8'!K40+'JOUR 9'!K40+'JOUR 10'!K40+'JOUR 11'!K40+'JOUR 12'!K40+'JOUR 13'!K40+'JOUR 14'!K40+#REF!+#REF!</f>
        <v>#REF!</v>
      </c>
      <c r="L40" s="17" t="e">
        <f>'JOUR 1'!L40+'JOUR 2'!L40+'JOUR 3'!L40+'JOUR 4'!L40+'JOUR 5'!L40+'JOUR 6'!L40+'JOUR 7'!L40+'JOUR 8'!L40+'JOUR 9'!L40+'JOUR 10'!L40+'JOUR 11'!L40+'JOUR 12'!L40+'JOUR 13'!L40+'JOUR 14'!L40+#REF!+#REF!</f>
        <v>#REF!</v>
      </c>
      <c r="M40" s="17" t="e">
        <f>'JOUR 1'!M40+'JOUR 2'!M40+'JOUR 3'!M40+'JOUR 4'!M40+'JOUR 5'!M40+'JOUR 6'!M40+'JOUR 7'!M40+'JOUR 8'!M40+'JOUR 9'!M40+'JOUR 10'!M40+'JOUR 11'!M40+'JOUR 12'!M40+'JOUR 13'!M40+'JOUR 14'!M40+#REF!+#REF!</f>
        <v>#REF!</v>
      </c>
      <c r="N40" s="17" t="e">
        <f>'JOUR 1'!N40+'JOUR 2'!N40+'JOUR 3'!N40+'JOUR 4'!N40+'JOUR 5'!N40+'JOUR 6'!N40+'JOUR 7'!N40+'JOUR 8'!N40+'JOUR 9'!N40+'JOUR 10'!N40+'JOUR 11'!N40+'JOUR 12'!N40+'JOUR 13'!N40+'JOUR 14'!N40+#REF!+#REF!</f>
        <v>#REF!</v>
      </c>
      <c r="O40" s="17" t="e">
        <f>'JOUR 1'!O40+'JOUR 2'!O40+'JOUR 3'!O40+'JOUR 4'!O40+'JOUR 5'!O40+'JOUR 6'!O40+'JOUR 7'!O40+'JOUR 8'!O40+'JOUR 9'!O40+'JOUR 10'!O40+'JOUR 11'!O40+'JOUR 12'!O40+'JOUR 13'!O40+'JOUR 14'!O40+#REF!+#REF!</f>
        <v>#REF!</v>
      </c>
      <c r="P40" s="17" t="e">
        <f>'JOUR 1'!P40+'JOUR 2'!P40+'JOUR 3'!P40+'JOUR 4'!P40+'JOUR 5'!P40+'JOUR 6'!P40+'JOUR 7'!P40+'JOUR 8'!P40+'JOUR 9'!P40+'JOUR 10'!P40+'JOUR 11'!P40+'JOUR 12'!P40+'JOUR 13'!P40+'JOUR 14'!P40+#REF!+#REF!</f>
        <v>#REF!</v>
      </c>
      <c r="Q40" s="17" t="e">
        <f>'JOUR 1'!Q40+'JOUR 2'!Q40+'JOUR 3'!Q40+'JOUR 4'!Q40+'JOUR 5'!Q40+'JOUR 6'!Q40+'JOUR 7'!Q40+'JOUR 8'!Q40+'JOUR 9'!Q40+'JOUR 10'!Q40+'JOUR 11'!Q40+'JOUR 12'!Q40+'JOUR 13'!Q40+'JOUR 14'!Q40+#REF!+#REF!</f>
        <v>#REF!</v>
      </c>
      <c r="R40" s="17" t="e">
        <f>'JOUR 1'!R40+'JOUR 2'!R40+'JOUR 3'!R40+'JOUR 4'!R40+'JOUR 5'!R40+'JOUR 6'!R40+'JOUR 7'!R40+'JOUR 8'!R40+'JOUR 9'!R40+'JOUR 10'!R40+'JOUR 11'!R40+'JOUR 12'!R40+'JOUR 13'!R40+'JOUR 14'!R40+#REF!+#REF!</f>
        <v>#REF!</v>
      </c>
      <c r="S40" s="31" t="e">
        <f>'JOUR 1'!S40+'JOUR 2'!S40+'JOUR 3'!S40+'JOUR 4'!S40+'JOUR 5'!S40+'JOUR 6'!S40+'JOUR 7'!S40+'JOUR 8'!S40+'JOUR 9'!S40+'JOUR 10'!S40+'JOUR 11'!S40+'JOUR 12'!S40+'JOUR 13'!S40+'JOUR 14'!S40+#REF!+#REF!</f>
        <v>#REF!</v>
      </c>
      <c r="T40" s="31" t="e">
        <f>'JOUR 1'!T40+'JOUR 2'!T40+'JOUR 3'!T40+'JOUR 4'!T40+'JOUR 5'!T40+'JOUR 6'!T40+'JOUR 7'!T40+'JOUR 8'!T40+'JOUR 9'!T40+'JOUR 10'!T40+'JOUR 11'!T40+'JOUR 12'!T40+'JOUR 13'!T40+'JOUR 14'!T40+#REF!+#REF!</f>
        <v>#REF!</v>
      </c>
      <c r="U40" s="31" t="e">
        <f>'JOUR 1'!U40+'JOUR 2'!U40+'JOUR 3'!U40+'JOUR 4'!U40+'JOUR 5'!U40+'JOUR 6'!U40+'JOUR 7'!U40+'JOUR 8'!U40+'JOUR 9'!U40+'JOUR 10'!U40+'JOUR 11'!U40+'JOUR 12'!U40+'JOUR 13'!U40+'JOUR 14'!U40+#REF!+#REF!</f>
        <v>#REF!</v>
      </c>
      <c r="V40" s="32" t="e">
        <f>'JOUR 1'!V40+'JOUR 2'!V40+'JOUR 3'!V40+'JOUR 4'!V40+'JOUR 5'!V40+'JOUR 6'!V40+'JOUR 7'!V40+'JOUR 8'!V40+'JOUR 9'!V40+'JOUR 10'!V40+'JOUR 11'!V40+'JOUR 12'!V40+'JOUR 13'!V40+'JOUR 14'!V40+#REF!+#REF!</f>
        <v>#REF!</v>
      </c>
      <c r="W40" s="32" t="e">
        <f>'JOUR 1'!W40+'JOUR 2'!W40+'JOUR 3'!W40+'JOUR 4'!W40+'JOUR 5'!W40+'JOUR 6'!W40+'JOUR 7'!W40+'JOUR 8'!W40+'JOUR 9'!W40+'JOUR 10'!W40+'JOUR 11'!W40+'JOUR 12'!W40+'JOUR 13'!W40+'JOUR 14'!W40+#REF!+#REF!</f>
        <v>#REF!</v>
      </c>
      <c r="X40" s="32" t="e">
        <f>'JOUR 1'!X40+'JOUR 2'!X40+'JOUR 3'!X40+'JOUR 4'!X40+'JOUR 5'!X40+'JOUR 6'!X40+'JOUR 7'!X40+'JOUR 8'!X40+'JOUR 9'!X40+'JOUR 10'!X40+'JOUR 11'!X40+'JOUR 12'!X40+'JOUR 13'!X40+'JOUR 14'!X40+#REF!+#REF!</f>
        <v>#REF!</v>
      </c>
      <c r="Y40" s="75" t="e">
        <f>'JOUR 1'!Y40+'JOUR 2'!Y40+'JOUR 3'!Y40+'JOUR 4'!Y40+'JOUR 5'!Y40+'JOUR 6'!Y40+'JOUR 7'!Y40+'JOUR 8'!Y40+'JOUR 9'!Y40+'JOUR 10'!Y40+'JOUR 11'!Y40+'JOUR 12'!Y40+'JOUR 13'!Y40+'JOUR 14'!Y40+#REF!+#REF!</f>
        <v>#REF!</v>
      </c>
      <c r="Z40" s="33" t="e">
        <f>'JOUR 1'!Z40+'JOUR 2'!Z40+'JOUR 3'!Z40+'JOUR 4'!Z40+'JOUR 5'!Z40+'JOUR 6'!Z40+'JOUR 7'!Z40+'JOUR 8'!Z40+'JOUR 9'!Z40+'JOUR 10'!Z40+'JOUR 11'!Z40+'JOUR 12'!Z40+'JOUR 13'!Z40+'JOUR 14'!Z40+#REF!+#REF!</f>
        <v>#REF!</v>
      </c>
      <c r="AA40" s="34" t="e">
        <f>'JOUR 1'!AA40+'JOUR 2'!AA40+'JOUR 3'!AA40+'JOUR 4'!AA40+'JOUR 5'!AA40+'JOUR 6'!AA40+'JOUR 7'!AA40+'JOUR 8'!AA40+'JOUR 9'!AA40+'JOUR 10'!AA40+'JOUR 11'!AA40+'JOUR 12'!AA40+'JOUR 13'!AA40+'JOUR 14'!AA40+#REF!+#REF!</f>
        <v>#REF!</v>
      </c>
      <c r="AB40" s="34" t="e">
        <f>'JOUR 1'!AB40+'JOUR 2'!AB40+'JOUR 3'!AB40+'JOUR 4'!AB40+'JOUR 5'!AB40+'JOUR 6'!AB40+'JOUR 7'!AB40+'JOUR 8'!AB40+'JOUR 9'!AB40+'JOUR 10'!AB40+'JOUR 11'!AB40+'JOUR 12'!AB40+'JOUR 13'!AB40+'JOUR 14'!AB40+#REF!+#REF!</f>
        <v>#REF!</v>
      </c>
      <c r="AC40" s="34" t="e">
        <f>'JOUR 1'!AC40+'JOUR 2'!AC40+'JOUR 3'!AC40+'JOUR 4'!AC40+'JOUR 5'!AC40+'JOUR 6'!AC40+'JOUR 7'!AC40+'JOUR 8'!AC40+'JOUR 9'!AC40+'JOUR 10'!AC40+'JOUR 11'!AC40+'JOUR 12'!AC40+'JOUR 13'!AC40+'JOUR 14'!AC40+#REF!+#REF!</f>
        <v>#REF!</v>
      </c>
      <c r="AD40" s="35" t="e">
        <f>'JOUR 1'!AD40+'JOUR 2'!AD40+'JOUR 3'!AD40+'JOUR 4'!AD40+'JOUR 5'!AD40+'JOUR 6'!AD40+'JOUR 7'!AD40+'JOUR 8'!AD40+'JOUR 9'!AD40+'JOUR 10'!AD40+'JOUR 11'!AD40+'JOUR 12'!AD40+'JOUR 13'!AD40+'JOUR 14'!AD40+#REF!+#REF!</f>
        <v>#REF!</v>
      </c>
      <c r="AE40" s="34" t="e">
        <f>'JOUR 1'!AE40+'JOUR 2'!AE40+'JOUR 3'!AE40+'JOUR 4'!AE40+'JOUR 5'!AE40+'JOUR 6'!AE40+'JOUR 7'!AE40+'JOUR 8'!AE40+'JOUR 9'!AE40+'JOUR 10'!AE40+'JOUR 11'!AE40+'JOUR 12'!AE40+'JOUR 13'!AE40+'JOUR 14'!AE40+#REF!+#REF!</f>
        <v>#REF!</v>
      </c>
      <c r="AF40" s="34" t="e">
        <f>'JOUR 1'!AF40+'JOUR 2'!AF40+'JOUR 3'!AF40+'JOUR 4'!AF40+'JOUR 5'!AF40+'JOUR 6'!AF40+'JOUR 7'!AF40+'JOUR 8'!AF40+'JOUR 9'!AF40+'JOUR 10'!AF40+'JOUR 11'!AF40+'JOUR 12'!AF40+'JOUR 13'!AF40+'JOUR 14'!AF40+#REF!+#REF!</f>
        <v>#REF!</v>
      </c>
      <c r="AG40" s="34" t="e">
        <f>'JOUR 1'!AG40+'JOUR 2'!AG40+'JOUR 3'!AG40+'JOUR 4'!AG40+'JOUR 5'!AG40+'JOUR 6'!AG40+'JOUR 7'!AG40+'JOUR 8'!AG40+'JOUR 9'!AG40+'JOUR 10'!AG40+'JOUR 11'!AG40+'JOUR 12'!AG40+'JOUR 13'!AG40+'JOUR 14'!AG40+#REF!+#REF!</f>
        <v>#REF!</v>
      </c>
      <c r="AH40" s="21"/>
      <c r="AI40" s="22"/>
      <c r="AK40" s="87" t="e">
        <f t="shared" si="1"/>
        <v>#REF!</v>
      </c>
      <c r="AL40" s="87" t="e">
        <f t="shared" si="1"/>
        <v>#REF!</v>
      </c>
      <c r="AM40" s="87" t="e">
        <f t="shared" si="1"/>
        <v>#REF!</v>
      </c>
      <c r="AN40" s="87" t="e">
        <f t="shared" si="1"/>
        <v>#REF!</v>
      </c>
      <c r="AO40" s="87" t="e">
        <f t="shared" si="1"/>
        <v>#REF!</v>
      </c>
      <c r="AP40" s="87"/>
      <c r="AQ40" s="87"/>
      <c r="AR40" s="87"/>
      <c r="AS40" s="87" t="e">
        <f t="shared" si="2"/>
        <v>#REF!</v>
      </c>
      <c r="AT40" s="87"/>
      <c r="AU40" s="87"/>
      <c r="AV40" s="87"/>
      <c r="AW40" s="87"/>
      <c r="AX40" s="87"/>
      <c r="AY40" s="89"/>
    </row>
    <row r="41" spans="2:51" ht="17.399999999999999" x14ac:dyDescent="0.25">
      <c r="B41" s="16" t="s">
        <v>44</v>
      </c>
      <c r="C41" s="16" t="s">
        <v>81</v>
      </c>
      <c r="D41" s="17" t="e">
        <f>'JOUR 1'!D41+'JOUR 2'!D41+'JOUR 3'!D41+'JOUR 4'!D41+'JOUR 5'!D41+'JOUR 6'!D41+'JOUR 7'!D41+'JOUR 8'!D41+'JOUR 9'!D41+'JOUR 10'!D41+'JOUR 11'!D41+'JOUR 12'!D41+'JOUR 13'!D41+'JOUR 14'!D41+#REF!+#REF!</f>
        <v>#REF!</v>
      </c>
      <c r="E41" s="17" t="e">
        <f>'JOUR 1'!E41+'JOUR 2'!E41+'JOUR 3'!E41+'JOUR 4'!E41+'JOUR 5'!E41+'JOUR 6'!E41+'JOUR 7'!E41+'JOUR 8'!E41+'JOUR 9'!E41+'JOUR 10'!E41+'JOUR 11'!E41+'JOUR 12'!E41+'JOUR 13'!E41+'JOUR 14'!E41+#REF!+#REF!</f>
        <v>#REF!</v>
      </c>
      <c r="F41" s="17" t="e">
        <f>'JOUR 1'!F41+'JOUR 2'!F41+'JOUR 3'!F41+'JOUR 4'!F41+'JOUR 5'!F41+'JOUR 6'!F41+'JOUR 7'!F41+'JOUR 8'!F41+'JOUR 9'!F41+'JOUR 10'!F41+'JOUR 11'!F41+'JOUR 12'!F41+'JOUR 13'!F41+'JOUR 14'!F41+#REF!+#REF!</f>
        <v>#REF!</v>
      </c>
      <c r="G41" s="17" t="e">
        <f>'JOUR 1'!G41+'JOUR 2'!G41+'JOUR 3'!G41+'JOUR 4'!G41+'JOUR 5'!G41+'JOUR 6'!G41+'JOUR 7'!G41+'JOUR 8'!G41+'JOUR 9'!G41+'JOUR 10'!G41+'JOUR 11'!G41+'JOUR 12'!G41+'JOUR 13'!G41+'JOUR 14'!G41+#REF!+#REF!</f>
        <v>#REF!</v>
      </c>
      <c r="H41" s="17" t="e">
        <f>'JOUR 1'!H41+'JOUR 2'!H41+'JOUR 3'!H41+'JOUR 4'!H41+'JOUR 5'!H41+'JOUR 6'!H41+'JOUR 7'!H41+'JOUR 8'!H41+'JOUR 9'!H41+'JOUR 10'!H41+'JOUR 11'!H41+'JOUR 12'!H41+'JOUR 13'!H41+'JOUR 14'!H41+#REF!+#REF!</f>
        <v>#REF!</v>
      </c>
      <c r="I41" s="17" t="e">
        <f>'JOUR 1'!I41+'JOUR 2'!I41+'JOUR 3'!I41+'JOUR 4'!I41+'JOUR 5'!I41+'JOUR 6'!I41+'JOUR 7'!I41+'JOUR 8'!I41+'JOUR 9'!I41+'JOUR 10'!I41+'JOUR 11'!I41+'JOUR 12'!I41+'JOUR 13'!I41+'JOUR 14'!I41+#REF!+#REF!</f>
        <v>#REF!</v>
      </c>
      <c r="J41" s="17" t="e">
        <f>'JOUR 1'!J41+'JOUR 2'!J41+'JOUR 3'!J41+'JOUR 4'!J41+'JOUR 5'!J41+'JOUR 6'!J41+'JOUR 7'!J41+'JOUR 8'!J41+'JOUR 9'!J41+'JOUR 10'!J41+'JOUR 11'!J41+'JOUR 12'!J41+'JOUR 13'!J41+'JOUR 14'!J41+#REF!+#REF!</f>
        <v>#REF!</v>
      </c>
      <c r="K41" s="17" t="e">
        <f>'JOUR 1'!K41+'JOUR 2'!K41+'JOUR 3'!K41+'JOUR 4'!K41+'JOUR 5'!K41+'JOUR 6'!K41+'JOUR 7'!K41+'JOUR 8'!K41+'JOUR 9'!K41+'JOUR 10'!K41+'JOUR 11'!K41+'JOUR 12'!K41+'JOUR 13'!K41+'JOUR 14'!K41+#REF!+#REF!</f>
        <v>#REF!</v>
      </c>
      <c r="L41" s="17" t="e">
        <f>'JOUR 1'!L41+'JOUR 2'!L41+'JOUR 3'!L41+'JOUR 4'!L41+'JOUR 5'!L41+'JOUR 6'!L41+'JOUR 7'!L41+'JOUR 8'!L41+'JOUR 9'!L41+'JOUR 10'!L41+'JOUR 11'!L41+'JOUR 12'!L41+'JOUR 13'!L41+'JOUR 14'!L41+#REF!+#REF!</f>
        <v>#REF!</v>
      </c>
      <c r="M41" s="17" t="e">
        <f>'JOUR 1'!M41+'JOUR 2'!M41+'JOUR 3'!M41+'JOUR 4'!M41+'JOUR 5'!M41+'JOUR 6'!M41+'JOUR 7'!M41+'JOUR 8'!M41+'JOUR 9'!M41+'JOUR 10'!M41+'JOUR 11'!M41+'JOUR 12'!M41+'JOUR 13'!M41+'JOUR 14'!M41+#REF!+#REF!</f>
        <v>#REF!</v>
      </c>
      <c r="N41" s="17" t="e">
        <f>'JOUR 1'!N41+'JOUR 2'!N41+'JOUR 3'!N41+'JOUR 4'!N41+'JOUR 5'!N41+'JOUR 6'!N41+'JOUR 7'!N41+'JOUR 8'!N41+'JOUR 9'!N41+'JOUR 10'!N41+'JOUR 11'!N41+'JOUR 12'!N41+'JOUR 13'!N41+'JOUR 14'!N41+#REF!+#REF!</f>
        <v>#REF!</v>
      </c>
      <c r="O41" s="17" t="e">
        <f>'JOUR 1'!O41+'JOUR 2'!O41+'JOUR 3'!O41+'JOUR 4'!O41+'JOUR 5'!O41+'JOUR 6'!O41+'JOUR 7'!O41+'JOUR 8'!O41+'JOUR 9'!O41+'JOUR 10'!O41+'JOUR 11'!O41+'JOUR 12'!O41+'JOUR 13'!O41+'JOUR 14'!O41+#REF!+#REF!</f>
        <v>#REF!</v>
      </c>
      <c r="P41" s="17" t="e">
        <f>'JOUR 1'!P41+'JOUR 2'!P41+'JOUR 3'!P41+'JOUR 4'!P41+'JOUR 5'!P41+'JOUR 6'!P41+'JOUR 7'!P41+'JOUR 8'!P41+'JOUR 9'!P41+'JOUR 10'!P41+'JOUR 11'!P41+'JOUR 12'!P41+'JOUR 13'!P41+'JOUR 14'!P41+#REF!+#REF!</f>
        <v>#REF!</v>
      </c>
      <c r="Q41" s="17" t="e">
        <f>'JOUR 1'!Q41+'JOUR 2'!Q41+'JOUR 3'!Q41+'JOUR 4'!Q41+'JOUR 5'!Q41+'JOUR 6'!Q41+'JOUR 7'!Q41+'JOUR 8'!Q41+'JOUR 9'!Q41+'JOUR 10'!Q41+'JOUR 11'!Q41+'JOUR 12'!Q41+'JOUR 13'!Q41+'JOUR 14'!Q41+#REF!+#REF!</f>
        <v>#REF!</v>
      </c>
      <c r="R41" s="17" t="e">
        <f>'JOUR 1'!R41+'JOUR 2'!R41+'JOUR 3'!R41+'JOUR 4'!R41+'JOUR 5'!R41+'JOUR 6'!R41+'JOUR 7'!R41+'JOUR 8'!R41+'JOUR 9'!R41+'JOUR 10'!R41+'JOUR 11'!R41+'JOUR 12'!R41+'JOUR 13'!R41+'JOUR 14'!R41+#REF!+#REF!</f>
        <v>#REF!</v>
      </c>
      <c r="S41" s="31" t="e">
        <f>'JOUR 1'!S41+'JOUR 2'!S41+'JOUR 3'!S41+'JOUR 4'!S41+'JOUR 5'!S41+'JOUR 6'!S41+'JOUR 7'!S41+'JOUR 8'!S41+'JOUR 9'!S41+'JOUR 10'!S41+'JOUR 11'!S41+'JOUR 12'!S41+'JOUR 13'!S41+'JOUR 14'!S41+#REF!+#REF!</f>
        <v>#REF!</v>
      </c>
      <c r="T41" s="31" t="e">
        <f>'JOUR 1'!T41+'JOUR 2'!T41+'JOUR 3'!T41+'JOUR 4'!T41+'JOUR 5'!T41+'JOUR 6'!T41+'JOUR 7'!T41+'JOUR 8'!T41+'JOUR 9'!T41+'JOUR 10'!T41+'JOUR 11'!T41+'JOUR 12'!T41+'JOUR 13'!T41+'JOUR 14'!T41+#REF!+#REF!</f>
        <v>#REF!</v>
      </c>
      <c r="U41" s="31" t="e">
        <f>'JOUR 1'!U41+'JOUR 2'!U41+'JOUR 3'!U41+'JOUR 4'!U41+'JOUR 5'!U41+'JOUR 6'!U41+'JOUR 7'!U41+'JOUR 8'!U41+'JOUR 9'!U41+'JOUR 10'!U41+'JOUR 11'!U41+'JOUR 12'!U41+'JOUR 13'!U41+'JOUR 14'!U41+#REF!+#REF!</f>
        <v>#REF!</v>
      </c>
      <c r="V41" s="32" t="e">
        <f>'JOUR 1'!V41+'JOUR 2'!V41+'JOUR 3'!V41+'JOUR 4'!V41+'JOUR 5'!V41+'JOUR 6'!V41+'JOUR 7'!V41+'JOUR 8'!V41+'JOUR 9'!V41+'JOUR 10'!V41+'JOUR 11'!V41+'JOUR 12'!V41+'JOUR 13'!V41+'JOUR 14'!V41+#REF!+#REF!</f>
        <v>#REF!</v>
      </c>
      <c r="W41" s="32" t="e">
        <f>'JOUR 1'!W41+'JOUR 2'!W41+'JOUR 3'!W41+'JOUR 4'!W41+'JOUR 5'!W41+'JOUR 6'!W41+'JOUR 7'!W41+'JOUR 8'!W41+'JOUR 9'!W41+'JOUR 10'!W41+'JOUR 11'!W41+'JOUR 12'!W41+'JOUR 13'!W41+'JOUR 14'!W41+#REF!+#REF!</f>
        <v>#REF!</v>
      </c>
      <c r="X41" s="32" t="e">
        <f>'JOUR 1'!X41+'JOUR 2'!X41+'JOUR 3'!X41+'JOUR 4'!X41+'JOUR 5'!X41+'JOUR 6'!X41+'JOUR 7'!X41+'JOUR 8'!X41+'JOUR 9'!X41+'JOUR 10'!X41+'JOUR 11'!X41+'JOUR 12'!X41+'JOUR 13'!X41+'JOUR 14'!X41+#REF!+#REF!</f>
        <v>#REF!</v>
      </c>
      <c r="Y41" s="75" t="e">
        <f>'JOUR 1'!Y41+'JOUR 2'!Y41+'JOUR 3'!Y41+'JOUR 4'!Y41+'JOUR 5'!Y41+'JOUR 6'!Y41+'JOUR 7'!Y41+'JOUR 8'!Y41+'JOUR 9'!Y41+'JOUR 10'!Y41+'JOUR 11'!Y41+'JOUR 12'!Y41+'JOUR 13'!Y41+'JOUR 14'!Y41+#REF!+#REF!</f>
        <v>#REF!</v>
      </c>
      <c r="Z41" s="33" t="e">
        <f>'JOUR 1'!Z41+'JOUR 2'!Z41+'JOUR 3'!Z41+'JOUR 4'!Z41+'JOUR 5'!Z41+'JOUR 6'!Z41+'JOUR 7'!Z41+'JOUR 8'!Z41+'JOUR 9'!Z41+'JOUR 10'!Z41+'JOUR 11'!Z41+'JOUR 12'!Z41+'JOUR 13'!Z41+'JOUR 14'!Z41+#REF!+#REF!</f>
        <v>#REF!</v>
      </c>
      <c r="AA41" s="34" t="e">
        <f>'JOUR 1'!AA41+'JOUR 2'!AA41+'JOUR 3'!AA41+'JOUR 4'!AA41+'JOUR 5'!AA41+'JOUR 6'!AA41+'JOUR 7'!AA41+'JOUR 8'!AA41+'JOUR 9'!AA41+'JOUR 10'!AA41+'JOUR 11'!AA41+'JOUR 12'!AA41+'JOUR 13'!AA41+'JOUR 14'!AA41+#REF!+#REF!</f>
        <v>#REF!</v>
      </c>
      <c r="AB41" s="34" t="e">
        <f>'JOUR 1'!AB41+'JOUR 2'!AB41+'JOUR 3'!AB41+'JOUR 4'!AB41+'JOUR 5'!AB41+'JOUR 6'!AB41+'JOUR 7'!AB41+'JOUR 8'!AB41+'JOUR 9'!AB41+'JOUR 10'!AB41+'JOUR 11'!AB41+'JOUR 12'!AB41+'JOUR 13'!AB41+'JOUR 14'!AB41+#REF!+#REF!</f>
        <v>#REF!</v>
      </c>
      <c r="AC41" s="34" t="e">
        <f>'JOUR 1'!AC41+'JOUR 2'!AC41+'JOUR 3'!AC41+'JOUR 4'!AC41+'JOUR 5'!AC41+'JOUR 6'!AC41+'JOUR 7'!AC41+'JOUR 8'!AC41+'JOUR 9'!AC41+'JOUR 10'!AC41+'JOUR 11'!AC41+'JOUR 12'!AC41+'JOUR 13'!AC41+'JOUR 14'!AC41+#REF!+#REF!</f>
        <v>#REF!</v>
      </c>
      <c r="AD41" s="35" t="e">
        <f>'JOUR 1'!AD41+'JOUR 2'!AD41+'JOUR 3'!AD41+'JOUR 4'!AD41+'JOUR 5'!AD41+'JOUR 6'!AD41+'JOUR 7'!AD41+'JOUR 8'!AD41+'JOUR 9'!AD41+'JOUR 10'!AD41+'JOUR 11'!AD41+'JOUR 12'!AD41+'JOUR 13'!AD41+'JOUR 14'!AD41+#REF!+#REF!</f>
        <v>#REF!</v>
      </c>
      <c r="AE41" s="34" t="e">
        <f>'JOUR 1'!AE41+'JOUR 2'!AE41+'JOUR 3'!AE41+'JOUR 4'!AE41+'JOUR 5'!AE41+'JOUR 6'!AE41+'JOUR 7'!AE41+'JOUR 8'!AE41+'JOUR 9'!AE41+'JOUR 10'!AE41+'JOUR 11'!AE41+'JOUR 12'!AE41+'JOUR 13'!AE41+'JOUR 14'!AE41+#REF!+#REF!</f>
        <v>#REF!</v>
      </c>
      <c r="AF41" s="34" t="e">
        <f>'JOUR 1'!AF41+'JOUR 2'!AF41+'JOUR 3'!AF41+'JOUR 4'!AF41+'JOUR 5'!AF41+'JOUR 6'!AF41+'JOUR 7'!AF41+'JOUR 8'!AF41+'JOUR 9'!AF41+'JOUR 10'!AF41+'JOUR 11'!AF41+'JOUR 12'!AF41+'JOUR 13'!AF41+'JOUR 14'!AF41+#REF!+#REF!</f>
        <v>#REF!</v>
      </c>
      <c r="AG41" s="34" t="e">
        <f>'JOUR 1'!AG41+'JOUR 2'!AG41+'JOUR 3'!AG41+'JOUR 4'!AG41+'JOUR 5'!AG41+'JOUR 6'!AG41+'JOUR 7'!AG41+'JOUR 8'!AG41+'JOUR 9'!AG41+'JOUR 10'!AG41+'JOUR 11'!AG41+'JOUR 12'!AG41+'JOUR 13'!AG41+'JOUR 14'!AG41+#REF!+#REF!</f>
        <v>#REF!</v>
      </c>
      <c r="AH41" s="21"/>
      <c r="AI41" s="22"/>
      <c r="AK41" s="87" t="e">
        <f t="shared" si="1"/>
        <v>#REF!</v>
      </c>
      <c r="AL41" s="87" t="e">
        <f t="shared" si="1"/>
        <v>#REF!</v>
      </c>
      <c r="AM41" s="87" t="e">
        <f t="shared" si="1"/>
        <v>#REF!</v>
      </c>
      <c r="AN41" s="87" t="e">
        <f t="shared" si="1"/>
        <v>#REF!</v>
      </c>
      <c r="AO41" s="87" t="e">
        <f t="shared" si="1"/>
        <v>#REF!</v>
      </c>
      <c r="AP41" s="87"/>
      <c r="AQ41" s="87"/>
      <c r="AR41" s="87"/>
      <c r="AS41" s="87" t="e">
        <f t="shared" si="2"/>
        <v>#REF!</v>
      </c>
      <c r="AT41" s="87"/>
      <c r="AU41" s="87"/>
      <c r="AV41" s="87"/>
      <c r="AW41" s="87"/>
      <c r="AX41" s="87"/>
      <c r="AY41" s="89"/>
    </row>
    <row r="42" spans="2:51" ht="17.399999999999999" x14ac:dyDescent="0.25">
      <c r="B42" s="16" t="s">
        <v>44</v>
      </c>
      <c r="C42" s="16" t="s">
        <v>82</v>
      </c>
      <c r="D42" s="17" t="e">
        <f>'JOUR 1'!D42+'JOUR 2'!D42+'JOUR 3'!D42+'JOUR 4'!D42+'JOUR 5'!D42+'JOUR 6'!D42+'JOUR 7'!D42+'JOUR 8'!D42+'JOUR 9'!D42+'JOUR 10'!D42+'JOUR 11'!D42+'JOUR 12'!D42+'JOUR 13'!D42+'JOUR 14'!D42+#REF!+#REF!</f>
        <v>#REF!</v>
      </c>
      <c r="E42" s="17" t="e">
        <f>'JOUR 1'!E42+'JOUR 2'!E42+'JOUR 3'!E42+'JOUR 4'!E42+'JOUR 5'!E42+'JOUR 6'!E42+'JOUR 7'!E42+'JOUR 8'!E42+'JOUR 9'!E42+'JOUR 10'!E42+'JOUR 11'!E42+'JOUR 12'!E42+'JOUR 13'!E42+'JOUR 14'!E42+#REF!+#REF!</f>
        <v>#REF!</v>
      </c>
      <c r="F42" s="17" t="e">
        <f>'JOUR 1'!F42+'JOUR 2'!F42+'JOUR 3'!F42+'JOUR 4'!F42+'JOUR 5'!F42+'JOUR 6'!F42+'JOUR 7'!F42+'JOUR 8'!F42+'JOUR 9'!F42+'JOUR 10'!F42+'JOUR 11'!F42+'JOUR 12'!F42+'JOUR 13'!F42+'JOUR 14'!F42+#REF!+#REF!</f>
        <v>#REF!</v>
      </c>
      <c r="G42" s="17" t="e">
        <f>'JOUR 1'!G42+'JOUR 2'!G42+'JOUR 3'!G42+'JOUR 4'!G42+'JOUR 5'!G42+'JOUR 6'!G42+'JOUR 7'!G42+'JOUR 8'!G42+'JOUR 9'!G42+'JOUR 10'!G42+'JOUR 11'!G42+'JOUR 12'!G42+'JOUR 13'!G42+'JOUR 14'!G42+#REF!+#REF!</f>
        <v>#REF!</v>
      </c>
      <c r="H42" s="17" t="e">
        <f>'JOUR 1'!H42+'JOUR 2'!H42+'JOUR 3'!H42+'JOUR 4'!H42+'JOUR 5'!H42+'JOUR 6'!H42+'JOUR 7'!H42+'JOUR 8'!H42+'JOUR 9'!H42+'JOUR 10'!H42+'JOUR 11'!H42+'JOUR 12'!H42+'JOUR 13'!H42+'JOUR 14'!H42+#REF!+#REF!</f>
        <v>#REF!</v>
      </c>
      <c r="I42" s="17" t="e">
        <f>'JOUR 1'!I42+'JOUR 2'!I42+'JOUR 3'!I42+'JOUR 4'!I42+'JOUR 5'!I42+'JOUR 6'!I42+'JOUR 7'!I42+'JOUR 8'!I42+'JOUR 9'!I42+'JOUR 10'!I42+'JOUR 11'!I42+'JOUR 12'!I42+'JOUR 13'!I42+'JOUR 14'!I42+#REF!+#REF!</f>
        <v>#REF!</v>
      </c>
      <c r="J42" s="17" t="e">
        <f>'JOUR 1'!J42+'JOUR 2'!J42+'JOUR 3'!J42+'JOUR 4'!J42+'JOUR 5'!J42+'JOUR 6'!J42+'JOUR 7'!J42+'JOUR 8'!J42+'JOUR 9'!J42+'JOUR 10'!J42+'JOUR 11'!J42+'JOUR 12'!J42+'JOUR 13'!J42+'JOUR 14'!J42+#REF!+#REF!</f>
        <v>#REF!</v>
      </c>
      <c r="K42" s="17" t="e">
        <f>'JOUR 1'!K42+'JOUR 2'!K42+'JOUR 3'!K42+'JOUR 4'!K42+'JOUR 5'!K42+'JOUR 6'!K42+'JOUR 7'!K42+'JOUR 8'!K42+'JOUR 9'!K42+'JOUR 10'!K42+'JOUR 11'!K42+'JOUR 12'!K42+'JOUR 13'!K42+'JOUR 14'!K42+#REF!+#REF!</f>
        <v>#REF!</v>
      </c>
      <c r="L42" s="17" t="e">
        <f>'JOUR 1'!L42+'JOUR 2'!L42+'JOUR 3'!L42+'JOUR 4'!L42+'JOUR 5'!L42+'JOUR 6'!L42+'JOUR 7'!L42+'JOUR 8'!L42+'JOUR 9'!L42+'JOUR 10'!L42+'JOUR 11'!L42+'JOUR 12'!L42+'JOUR 13'!L42+'JOUR 14'!L42+#REF!+#REF!</f>
        <v>#REF!</v>
      </c>
      <c r="M42" s="17" t="e">
        <f>'JOUR 1'!M42+'JOUR 2'!M42+'JOUR 3'!M42+'JOUR 4'!M42+'JOUR 5'!M42+'JOUR 6'!M42+'JOUR 7'!M42+'JOUR 8'!M42+'JOUR 9'!M42+'JOUR 10'!M42+'JOUR 11'!M42+'JOUR 12'!M42+'JOUR 13'!M42+'JOUR 14'!M42+#REF!+#REF!</f>
        <v>#REF!</v>
      </c>
      <c r="N42" s="17" t="e">
        <f>'JOUR 1'!N42+'JOUR 2'!N42+'JOUR 3'!N42+'JOUR 4'!N42+'JOUR 5'!N42+'JOUR 6'!N42+'JOUR 7'!N42+'JOUR 8'!N42+'JOUR 9'!N42+'JOUR 10'!N42+'JOUR 11'!N42+'JOUR 12'!N42+'JOUR 13'!N42+'JOUR 14'!N42+#REF!+#REF!</f>
        <v>#REF!</v>
      </c>
      <c r="O42" s="17" t="e">
        <f>'JOUR 1'!O42+'JOUR 2'!O42+'JOUR 3'!O42+'JOUR 4'!O42+'JOUR 5'!O42+'JOUR 6'!O42+'JOUR 7'!O42+'JOUR 8'!O42+'JOUR 9'!O42+'JOUR 10'!O42+'JOUR 11'!O42+'JOUR 12'!O42+'JOUR 13'!O42+'JOUR 14'!O42+#REF!+#REF!</f>
        <v>#REF!</v>
      </c>
      <c r="P42" s="17" t="e">
        <f>'JOUR 1'!P42+'JOUR 2'!P42+'JOUR 3'!P42+'JOUR 4'!P42+'JOUR 5'!P42+'JOUR 6'!P42+'JOUR 7'!P42+'JOUR 8'!P42+'JOUR 9'!P42+'JOUR 10'!P42+'JOUR 11'!P42+'JOUR 12'!P42+'JOUR 13'!P42+'JOUR 14'!P42+#REF!+#REF!</f>
        <v>#REF!</v>
      </c>
      <c r="Q42" s="17" t="e">
        <f>'JOUR 1'!Q42+'JOUR 2'!Q42+'JOUR 3'!Q42+'JOUR 4'!Q42+'JOUR 5'!Q42+'JOUR 6'!Q42+'JOUR 7'!Q42+'JOUR 8'!Q42+'JOUR 9'!Q42+'JOUR 10'!Q42+'JOUR 11'!Q42+'JOUR 12'!Q42+'JOUR 13'!Q42+'JOUR 14'!Q42+#REF!+#REF!</f>
        <v>#REF!</v>
      </c>
      <c r="R42" s="17" t="e">
        <f>'JOUR 1'!R42+'JOUR 2'!R42+'JOUR 3'!R42+'JOUR 4'!R42+'JOUR 5'!R42+'JOUR 6'!R42+'JOUR 7'!R42+'JOUR 8'!R42+'JOUR 9'!R42+'JOUR 10'!R42+'JOUR 11'!R42+'JOUR 12'!R42+'JOUR 13'!R42+'JOUR 14'!R42+#REF!+#REF!</f>
        <v>#REF!</v>
      </c>
      <c r="S42" s="31" t="e">
        <f>'JOUR 1'!S42+'JOUR 2'!S42+'JOUR 3'!S42+'JOUR 4'!S42+'JOUR 5'!S42+'JOUR 6'!S42+'JOUR 7'!S42+'JOUR 8'!S42+'JOUR 9'!S42+'JOUR 10'!S42+'JOUR 11'!S42+'JOUR 12'!S42+'JOUR 13'!S42+'JOUR 14'!S42+#REF!+#REF!</f>
        <v>#REF!</v>
      </c>
      <c r="T42" s="31" t="e">
        <f>'JOUR 1'!T42+'JOUR 2'!T42+'JOUR 3'!T42+'JOUR 4'!T42+'JOUR 5'!T42+'JOUR 6'!T42+'JOUR 7'!T42+'JOUR 8'!T42+'JOUR 9'!T42+'JOUR 10'!T42+'JOUR 11'!T42+'JOUR 12'!T42+'JOUR 13'!T42+'JOUR 14'!T42+#REF!+#REF!</f>
        <v>#REF!</v>
      </c>
      <c r="U42" s="31" t="e">
        <f>'JOUR 1'!U42+'JOUR 2'!U42+'JOUR 3'!U42+'JOUR 4'!U42+'JOUR 5'!U42+'JOUR 6'!U42+'JOUR 7'!U42+'JOUR 8'!U42+'JOUR 9'!U42+'JOUR 10'!U42+'JOUR 11'!U42+'JOUR 12'!U42+'JOUR 13'!U42+'JOUR 14'!U42+#REF!+#REF!</f>
        <v>#REF!</v>
      </c>
      <c r="V42" s="32" t="e">
        <f>'JOUR 1'!V42+'JOUR 2'!V42+'JOUR 3'!V42+'JOUR 4'!V42+'JOUR 5'!V42+'JOUR 6'!V42+'JOUR 7'!V42+'JOUR 8'!V42+'JOUR 9'!V42+'JOUR 10'!V42+'JOUR 11'!V42+'JOUR 12'!V42+'JOUR 13'!V42+'JOUR 14'!V42+#REF!+#REF!</f>
        <v>#REF!</v>
      </c>
      <c r="W42" s="32" t="e">
        <f>'JOUR 1'!W42+'JOUR 2'!W42+'JOUR 3'!W42+'JOUR 4'!W42+'JOUR 5'!W42+'JOUR 6'!W42+'JOUR 7'!W42+'JOUR 8'!W42+'JOUR 9'!W42+'JOUR 10'!W42+'JOUR 11'!W42+'JOUR 12'!W42+'JOUR 13'!W42+'JOUR 14'!W42+#REF!+#REF!</f>
        <v>#REF!</v>
      </c>
      <c r="X42" s="32" t="e">
        <f>'JOUR 1'!X42+'JOUR 2'!X42+'JOUR 3'!X42+'JOUR 4'!X42+'JOUR 5'!X42+'JOUR 6'!X42+'JOUR 7'!X42+'JOUR 8'!X42+'JOUR 9'!X42+'JOUR 10'!X42+'JOUR 11'!X42+'JOUR 12'!X42+'JOUR 13'!X42+'JOUR 14'!X42+#REF!+#REF!</f>
        <v>#REF!</v>
      </c>
      <c r="Y42" s="75" t="e">
        <f>'JOUR 1'!Y42+'JOUR 2'!Y42+'JOUR 3'!Y42+'JOUR 4'!Y42+'JOUR 5'!Y42+'JOUR 6'!Y42+'JOUR 7'!Y42+'JOUR 8'!Y42+'JOUR 9'!Y42+'JOUR 10'!Y42+'JOUR 11'!Y42+'JOUR 12'!Y42+'JOUR 13'!Y42+'JOUR 14'!Y42+#REF!+#REF!</f>
        <v>#REF!</v>
      </c>
      <c r="Z42" s="33" t="e">
        <f>'JOUR 1'!Z42+'JOUR 2'!Z42+'JOUR 3'!Z42+'JOUR 4'!Z42+'JOUR 5'!Z42+'JOUR 6'!Z42+'JOUR 7'!Z42+'JOUR 8'!Z42+'JOUR 9'!Z42+'JOUR 10'!Z42+'JOUR 11'!Z42+'JOUR 12'!Z42+'JOUR 13'!Z42+'JOUR 14'!Z42+#REF!+#REF!</f>
        <v>#REF!</v>
      </c>
      <c r="AA42" s="34" t="e">
        <f>'JOUR 1'!AA42+'JOUR 2'!AA42+'JOUR 3'!AA42+'JOUR 4'!AA42+'JOUR 5'!AA42+'JOUR 6'!AA42+'JOUR 7'!AA42+'JOUR 8'!AA42+'JOUR 9'!AA42+'JOUR 10'!AA42+'JOUR 11'!AA42+'JOUR 12'!AA42+'JOUR 13'!AA42+'JOUR 14'!AA42+#REF!+#REF!</f>
        <v>#REF!</v>
      </c>
      <c r="AB42" s="34" t="e">
        <f>'JOUR 1'!AB42+'JOUR 2'!AB42+'JOUR 3'!AB42+'JOUR 4'!AB42+'JOUR 5'!AB42+'JOUR 6'!AB42+'JOUR 7'!AB42+'JOUR 8'!AB42+'JOUR 9'!AB42+'JOUR 10'!AB42+'JOUR 11'!AB42+'JOUR 12'!AB42+'JOUR 13'!AB42+'JOUR 14'!AB42+#REF!+#REF!</f>
        <v>#REF!</v>
      </c>
      <c r="AC42" s="34" t="e">
        <f>'JOUR 1'!AC42+'JOUR 2'!AC42+'JOUR 3'!AC42+'JOUR 4'!AC42+'JOUR 5'!AC42+'JOUR 6'!AC42+'JOUR 7'!AC42+'JOUR 8'!AC42+'JOUR 9'!AC42+'JOUR 10'!AC42+'JOUR 11'!AC42+'JOUR 12'!AC42+'JOUR 13'!AC42+'JOUR 14'!AC42+#REF!+#REF!</f>
        <v>#REF!</v>
      </c>
      <c r="AD42" s="35" t="e">
        <f>'JOUR 1'!AD42+'JOUR 2'!AD42+'JOUR 3'!AD42+'JOUR 4'!AD42+'JOUR 5'!AD42+'JOUR 6'!AD42+'JOUR 7'!AD42+'JOUR 8'!AD42+'JOUR 9'!AD42+'JOUR 10'!AD42+'JOUR 11'!AD42+'JOUR 12'!AD42+'JOUR 13'!AD42+'JOUR 14'!AD42+#REF!+#REF!</f>
        <v>#REF!</v>
      </c>
      <c r="AE42" s="34" t="e">
        <f>'JOUR 1'!AE42+'JOUR 2'!AE42+'JOUR 3'!AE42+'JOUR 4'!AE42+'JOUR 5'!AE42+'JOUR 6'!AE42+'JOUR 7'!AE42+'JOUR 8'!AE42+'JOUR 9'!AE42+'JOUR 10'!AE42+'JOUR 11'!AE42+'JOUR 12'!AE42+'JOUR 13'!AE42+'JOUR 14'!AE42+#REF!+#REF!</f>
        <v>#REF!</v>
      </c>
      <c r="AF42" s="34" t="e">
        <f>'JOUR 1'!AF42+'JOUR 2'!AF42+'JOUR 3'!AF42+'JOUR 4'!AF42+'JOUR 5'!AF42+'JOUR 6'!AF42+'JOUR 7'!AF42+'JOUR 8'!AF42+'JOUR 9'!AF42+'JOUR 10'!AF42+'JOUR 11'!AF42+'JOUR 12'!AF42+'JOUR 13'!AF42+'JOUR 14'!AF42+#REF!+#REF!</f>
        <v>#REF!</v>
      </c>
      <c r="AG42" s="34" t="e">
        <f>'JOUR 1'!AG42+'JOUR 2'!AG42+'JOUR 3'!AG42+'JOUR 4'!AG42+'JOUR 5'!AG42+'JOUR 6'!AG42+'JOUR 7'!AG42+'JOUR 8'!AG42+'JOUR 9'!AG42+'JOUR 10'!AG42+'JOUR 11'!AG42+'JOUR 12'!AG42+'JOUR 13'!AG42+'JOUR 14'!AG42+#REF!+#REF!</f>
        <v>#REF!</v>
      </c>
      <c r="AH42" s="21"/>
      <c r="AI42" s="22"/>
      <c r="AK42" s="87" t="e">
        <f t="shared" si="1"/>
        <v>#REF!</v>
      </c>
      <c r="AL42" s="87" t="e">
        <f t="shared" si="1"/>
        <v>#REF!</v>
      </c>
      <c r="AM42" s="87" t="e">
        <f t="shared" si="1"/>
        <v>#REF!</v>
      </c>
      <c r="AN42" s="87" t="e">
        <f t="shared" si="1"/>
        <v>#REF!</v>
      </c>
      <c r="AO42" s="87" t="e">
        <f t="shared" si="1"/>
        <v>#REF!</v>
      </c>
      <c r="AP42" s="87"/>
      <c r="AQ42" s="87"/>
      <c r="AR42" s="87"/>
      <c r="AS42" s="87" t="e">
        <f t="shared" si="2"/>
        <v>#REF!</v>
      </c>
      <c r="AT42" s="87"/>
      <c r="AU42" s="87"/>
      <c r="AV42" s="87"/>
      <c r="AW42" s="87"/>
      <c r="AX42" s="87"/>
      <c r="AY42" s="89"/>
    </row>
    <row r="43" spans="2:51" ht="17.399999999999999" x14ac:dyDescent="0.25">
      <c r="B43" s="16" t="s">
        <v>44</v>
      </c>
      <c r="C43" s="16" t="s">
        <v>83</v>
      </c>
      <c r="D43" s="17" t="e">
        <f>'JOUR 1'!D43+'JOUR 2'!D43+'JOUR 3'!D43+'JOUR 4'!D43+'JOUR 5'!D43+'JOUR 6'!D43+'JOUR 7'!D43+'JOUR 8'!D43+'JOUR 9'!D43+'JOUR 10'!D43+'JOUR 11'!D43+'JOUR 12'!D43+'JOUR 13'!D43+'JOUR 14'!D43+#REF!+#REF!</f>
        <v>#REF!</v>
      </c>
      <c r="E43" s="17" t="e">
        <f>'JOUR 1'!E43+'JOUR 2'!E43+'JOUR 3'!E43+'JOUR 4'!E43+'JOUR 5'!E43+'JOUR 6'!E43+'JOUR 7'!E43+'JOUR 8'!E43+'JOUR 9'!E43+'JOUR 10'!E43+'JOUR 11'!E43+'JOUR 12'!E43+'JOUR 13'!E43+'JOUR 14'!E43+#REF!+#REF!</f>
        <v>#REF!</v>
      </c>
      <c r="F43" s="17" t="e">
        <f>'JOUR 1'!F43+'JOUR 2'!F43+'JOUR 3'!F43+'JOUR 4'!F43+'JOUR 5'!F43+'JOUR 6'!F43+'JOUR 7'!F43+'JOUR 8'!F43+'JOUR 9'!F43+'JOUR 10'!F43+'JOUR 11'!F43+'JOUR 12'!F43+'JOUR 13'!F43+'JOUR 14'!F43+#REF!+#REF!</f>
        <v>#REF!</v>
      </c>
      <c r="G43" s="17" t="e">
        <f>'JOUR 1'!G43+'JOUR 2'!G43+'JOUR 3'!G43+'JOUR 4'!G43+'JOUR 5'!G43+'JOUR 6'!G43+'JOUR 7'!G43+'JOUR 8'!G43+'JOUR 9'!G43+'JOUR 10'!G43+'JOUR 11'!G43+'JOUR 12'!G43+'JOUR 13'!G43+'JOUR 14'!G43+#REF!+#REF!</f>
        <v>#REF!</v>
      </c>
      <c r="H43" s="17" t="e">
        <f>'JOUR 1'!H43+'JOUR 2'!H43+'JOUR 3'!H43+'JOUR 4'!H43+'JOUR 5'!H43+'JOUR 6'!H43+'JOUR 7'!H43+'JOUR 8'!H43+'JOUR 9'!H43+'JOUR 10'!H43+'JOUR 11'!H43+'JOUR 12'!H43+'JOUR 13'!H43+'JOUR 14'!H43+#REF!+#REF!</f>
        <v>#REF!</v>
      </c>
      <c r="I43" s="17" t="e">
        <f>'JOUR 1'!I43+'JOUR 2'!I43+'JOUR 3'!I43+'JOUR 4'!I43+'JOUR 5'!I43+'JOUR 6'!I43+'JOUR 7'!I43+'JOUR 8'!I43+'JOUR 9'!I43+'JOUR 10'!I43+'JOUR 11'!I43+'JOUR 12'!I43+'JOUR 13'!I43+'JOUR 14'!I43+#REF!+#REF!</f>
        <v>#REF!</v>
      </c>
      <c r="J43" s="17" t="e">
        <f>'JOUR 1'!J43+'JOUR 2'!J43+'JOUR 3'!J43+'JOUR 4'!J43+'JOUR 5'!J43+'JOUR 6'!J43+'JOUR 7'!J43+'JOUR 8'!J43+'JOUR 9'!J43+'JOUR 10'!J43+'JOUR 11'!J43+'JOUR 12'!J43+'JOUR 13'!J43+'JOUR 14'!J43+#REF!+#REF!</f>
        <v>#REF!</v>
      </c>
      <c r="K43" s="17" t="e">
        <f>'JOUR 1'!K43+'JOUR 2'!K43+'JOUR 3'!K43+'JOUR 4'!K43+'JOUR 5'!K43+'JOUR 6'!K43+'JOUR 7'!K43+'JOUR 8'!K43+'JOUR 9'!K43+'JOUR 10'!K43+'JOUR 11'!K43+'JOUR 12'!K43+'JOUR 13'!K43+'JOUR 14'!K43+#REF!+#REF!</f>
        <v>#REF!</v>
      </c>
      <c r="L43" s="17" t="e">
        <f>'JOUR 1'!L43+'JOUR 2'!L43+'JOUR 3'!L43+'JOUR 4'!L43+'JOUR 5'!L43+'JOUR 6'!L43+'JOUR 7'!L43+'JOUR 8'!L43+'JOUR 9'!L43+'JOUR 10'!L43+'JOUR 11'!L43+'JOUR 12'!L43+'JOUR 13'!L43+'JOUR 14'!L43+#REF!+#REF!</f>
        <v>#REF!</v>
      </c>
      <c r="M43" s="17" t="e">
        <f>'JOUR 1'!M43+'JOUR 2'!M43+'JOUR 3'!M43+'JOUR 4'!M43+'JOUR 5'!M43+'JOUR 6'!M43+'JOUR 7'!M43+'JOUR 8'!M43+'JOUR 9'!M43+'JOUR 10'!M43+'JOUR 11'!M43+'JOUR 12'!M43+'JOUR 13'!M43+'JOUR 14'!M43+#REF!+#REF!</f>
        <v>#REF!</v>
      </c>
      <c r="N43" s="17" t="e">
        <f>'JOUR 1'!N43+'JOUR 2'!N43+'JOUR 3'!N43+'JOUR 4'!N43+'JOUR 5'!N43+'JOUR 6'!N43+'JOUR 7'!N43+'JOUR 8'!N43+'JOUR 9'!N43+'JOUR 10'!N43+'JOUR 11'!N43+'JOUR 12'!N43+'JOUR 13'!N43+'JOUR 14'!N43+#REF!+#REF!</f>
        <v>#REF!</v>
      </c>
      <c r="O43" s="17" t="e">
        <f>'JOUR 1'!O43+'JOUR 2'!O43+'JOUR 3'!O43+'JOUR 4'!O43+'JOUR 5'!O43+'JOUR 6'!O43+'JOUR 7'!O43+'JOUR 8'!O43+'JOUR 9'!O43+'JOUR 10'!O43+'JOUR 11'!O43+'JOUR 12'!O43+'JOUR 13'!O43+'JOUR 14'!O43+#REF!+#REF!</f>
        <v>#REF!</v>
      </c>
      <c r="P43" s="17" t="e">
        <f>'JOUR 1'!P43+'JOUR 2'!P43+'JOUR 3'!P43+'JOUR 4'!P43+'JOUR 5'!P43+'JOUR 6'!P43+'JOUR 7'!P43+'JOUR 8'!P43+'JOUR 9'!P43+'JOUR 10'!P43+'JOUR 11'!P43+'JOUR 12'!P43+'JOUR 13'!P43+'JOUR 14'!P43+#REF!+#REF!</f>
        <v>#REF!</v>
      </c>
      <c r="Q43" s="17" t="e">
        <f>'JOUR 1'!Q43+'JOUR 2'!Q43+'JOUR 3'!Q43+'JOUR 4'!Q43+'JOUR 5'!Q43+'JOUR 6'!Q43+'JOUR 7'!Q43+'JOUR 8'!Q43+'JOUR 9'!Q43+'JOUR 10'!Q43+'JOUR 11'!Q43+'JOUR 12'!Q43+'JOUR 13'!Q43+'JOUR 14'!Q43+#REF!+#REF!</f>
        <v>#REF!</v>
      </c>
      <c r="R43" s="17" t="e">
        <f>'JOUR 1'!R43+'JOUR 2'!R43+'JOUR 3'!R43+'JOUR 4'!R43+'JOUR 5'!R43+'JOUR 6'!R43+'JOUR 7'!R43+'JOUR 8'!R43+'JOUR 9'!R43+'JOUR 10'!R43+'JOUR 11'!R43+'JOUR 12'!R43+'JOUR 13'!R43+'JOUR 14'!R43+#REF!+#REF!</f>
        <v>#REF!</v>
      </c>
      <c r="S43" s="31" t="e">
        <f>'JOUR 1'!S43+'JOUR 2'!S43+'JOUR 3'!S43+'JOUR 4'!S43+'JOUR 5'!S43+'JOUR 6'!S43+'JOUR 7'!S43+'JOUR 8'!S43+'JOUR 9'!S43+'JOUR 10'!S43+'JOUR 11'!S43+'JOUR 12'!S43+'JOUR 13'!S43+'JOUR 14'!S43+#REF!+#REF!</f>
        <v>#REF!</v>
      </c>
      <c r="T43" s="31" t="e">
        <f>'JOUR 1'!T43+'JOUR 2'!T43+'JOUR 3'!T43+'JOUR 4'!T43+'JOUR 5'!T43+'JOUR 6'!T43+'JOUR 7'!T43+'JOUR 8'!T43+'JOUR 9'!T43+'JOUR 10'!T43+'JOUR 11'!T43+'JOUR 12'!T43+'JOUR 13'!T43+'JOUR 14'!T43+#REF!+#REF!</f>
        <v>#REF!</v>
      </c>
      <c r="U43" s="31" t="e">
        <f>'JOUR 1'!U43+'JOUR 2'!U43+'JOUR 3'!U43+'JOUR 4'!U43+'JOUR 5'!U43+'JOUR 6'!U43+'JOUR 7'!U43+'JOUR 8'!U43+'JOUR 9'!U43+'JOUR 10'!U43+'JOUR 11'!U43+'JOUR 12'!U43+'JOUR 13'!U43+'JOUR 14'!U43+#REF!+#REF!</f>
        <v>#REF!</v>
      </c>
      <c r="V43" s="32" t="e">
        <f>'JOUR 1'!V43+'JOUR 2'!V43+'JOUR 3'!V43+'JOUR 4'!V43+'JOUR 5'!V43+'JOUR 6'!V43+'JOUR 7'!V43+'JOUR 8'!V43+'JOUR 9'!V43+'JOUR 10'!V43+'JOUR 11'!V43+'JOUR 12'!V43+'JOUR 13'!V43+'JOUR 14'!V43+#REF!+#REF!</f>
        <v>#REF!</v>
      </c>
      <c r="W43" s="32" t="e">
        <f>'JOUR 1'!W43+'JOUR 2'!W43+'JOUR 3'!W43+'JOUR 4'!W43+'JOUR 5'!W43+'JOUR 6'!W43+'JOUR 7'!W43+'JOUR 8'!W43+'JOUR 9'!W43+'JOUR 10'!W43+'JOUR 11'!W43+'JOUR 12'!W43+'JOUR 13'!W43+'JOUR 14'!W43+#REF!+#REF!</f>
        <v>#REF!</v>
      </c>
      <c r="X43" s="32" t="e">
        <f>'JOUR 1'!X43+'JOUR 2'!X43+'JOUR 3'!X43+'JOUR 4'!X43+'JOUR 5'!X43+'JOUR 6'!X43+'JOUR 7'!X43+'JOUR 8'!X43+'JOUR 9'!X43+'JOUR 10'!X43+'JOUR 11'!X43+'JOUR 12'!X43+'JOUR 13'!X43+'JOUR 14'!X43+#REF!+#REF!</f>
        <v>#REF!</v>
      </c>
      <c r="Y43" s="75" t="e">
        <f>'JOUR 1'!Y43+'JOUR 2'!Y43+'JOUR 3'!Y43+'JOUR 4'!Y43+'JOUR 5'!Y43+'JOUR 6'!Y43+'JOUR 7'!Y43+'JOUR 8'!Y43+'JOUR 9'!Y43+'JOUR 10'!Y43+'JOUR 11'!Y43+'JOUR 12'!Y43+'JOUR 13'!Y43+'JOUR 14'!Y43+#REF!+#REF!</f>
        <v>#REF!</v>
      </c>
      <c r="Z43" s="33" t="e">
        <f>'JOUR 1'!Z43+'JOUR 2'!Z43+'JOUR 3'!Z43+'JOUR 4'!Z43+'JOUR 5'!Z43+'JOUR 6'!Z43+'JOUR 7'!Z43+'JOUR 8'!Z43+'JOUR 9'!Z43+'JOUR 10'!Z43+'JOUR 11'!Z43+'JOUR 12'!Z43+'JOUR 13'!Z43+'JOUR 14'!Z43+#REF!+#REF!</f>
        <v>#REF!</v>
      </c>
      <c r="AA43" s="34" t="e">
        <f>'JOUR 1'!AA43+'JOUR 2'!AA43+'JOUR 3'!AA43+'JOUR 4'!AA43+'JOUR 5'!AA43+'JOUR 6'!AA43+'JOUR 7'!AA43+'JOUR 8'!AA43+'JOUR 9'!AA43+'JOUR 10'!AA43+'JOUR 11'!AA43+'JOUR 12'!AA43+'JOUR 13'!AA43+'JOUR 14'!AA43+#REF!+#REF!</f>
        <v>#REF!</v>
      </c>
      <c r="AB43" s="34" t="e">
        <f>'JOUR 1'!AB43+'JOUR 2'!AB43+'JOUR 3'!AB43+'JOUR 4'!AB43+'JOUR 5'!AB43+'JOUR 6'!AB43+'JOUR 7'!AB43+'JOUR 8'!AB43+'JOUR 9'!AB43+'JOUR 10'!AB43+'JOUR 11'!AB43+'JOUR 12'!AB43+'JOUR 13'!AB43+'JOUR 14'!AB43+#REF!+#REF!</f>
        <v>#REF!</v>
      </c>
      <c r="AC43" s="34" t="e">
        <f>'JOUR 1'!AC43+'JOUR 2'!AC43+'JOUR 3'!AC43+'JOUR 4'!AC43+'JOUR 5'!AC43+'JOUR 6'!AC43+'JOUR 7'!AC43+'JOUR 8'!AC43+'JOUR 9'!AC43+'JOUR 10'!AC43+'JOUR 11'!AC43+'JOUR 12'!AC43+'JOUR 13'!AC43+'JOUR 14'!AC43+#REF!+#REF!</f>
        <v>#REF!</v>
      </c>
      <c r="AD43" s="35" t="e">
        <f>'JOUR 1'!AD43+'JOUR 2'!AD43+'JOUR 3'!AD43+'JOUR 4'!AD43+'JOUR 5'!AD43+'JOUR 6'!AD43+'JOUR 7'!AD43+'JOUR 8'!AD43+'JOUR 9'!AD43+'JOUR 10'!AD43+'JOUR 11'!AD43+'JOUR 12'!AD43+'JOUR 13'!AD43+'JOUR 14'!AD43+#REF!+#REF!</f>
        <v>#REF!</v>
      </c>
      <c r="AE43" s="34" t="e">
        <f>'JOUR 1'!AE43+'JOUR 2'!AE43+'JOUR 3'!AE43+'JOUR 4'!AE43+'JOUR 5'!AE43+'JOUR 6'!AE43+'JOUR 7'!AE43+'JOUR 8'!AE43+'JOUR 9'!AE43+'JOUR 10'!AE43+'JOUR 11'!AE43+'JOUR 12'!AE43+'JOUR 13'!AE43+'JOUR 14'!AE43+#REF!+#REF!</f>
        <v>#REF!</v>
      </c>
      <c r="AF43" s="34" t="e">
        <f>'JOUR 1'!AF43+'JOUR 2'!AF43+'JOUR 3'!AF43+'JOUR 4'!AF43+'JOUR 5'!AF43+'JOUR 6'!AF43+'JOUR 7'!AF43+'JOUR 8'!AF43+'JOUR 9'!AF43+'JOUR 10'!AF43+'JOUR 11'!AF43+'JOUR 12'!AF43+'JOUR 13'!AF43+'JOUR 14'!AF43+#REF!+#REF!</f>
        <v>#REF!</v>
      </c>
      <c r="AG43" s="34" t="e">
        <f>'JOUR 1'!AG43+'JOUR 2'!AG43+'JOUR 3'!AG43+'JOUR 4'!AG43+'JOUR 5'!AG43+'JOUR 6'!AG43+'JOUR 7'!AG43+'JOUR 8'!AG43+'JOUR 9'!AG43+'JOUR 10'!AG43+'JOUR 11'!AG43+'JOUR 12'!AG43+'JOUR 13'!AG43+'JOUR 14'!AG43+#REF!+#REF!</f>
        <v>#REF!</v>
      </c>
      <c r="AH43" s="21"/>
      <c r="AI43" s="22"/>
      <c r="AK43" s="87" t="e">
        <f t="shared" si="1"/>
        <v>#REF!</v>
      </c>
      <c r="AL43" s="87" t="e">
        <f t="shared" si="1"/>
        <v>#REF!</v>
      </c>
      <c r="AM43" s="87" t="e">
        <f t="shared" si="1"/>
        <v>#REF!</v>
      </c>
      <c r="AN43" s="87" t="e">
        <f t="shared" si="1"/>
        <v>#REF!</v>
      </c>
      <c r="AO43" s="87" t="e">
        <f t="shared" si="1"/>
        <v>#REF!</v>
      </c>
      <c r="AP43" s="87"/>
      <c r="AQ43" s="87"/>
      <c r="AR43" s="87"/>
      <c r="AS43" s="87" t="e">
        <f t="shared" si="2"/>
        <v>#REF!</v>
      </c>
      <c r="AT43" s="87"/>
      <c r="AU43" s="87"/>
      <c r="AV43" s="87"/>
      <c r="AW43" s="87"/>
      <c r="AX43" s="87"/>
      <c r="AY43" s="89"/>
    </row>
    <row r="44" spans="2:51" ht="17.399999999999999" x14ac:dyDescent="0.25">
      <c r="B44" s="16" t="s">
        <v>44</v>
      </c>
      <c r="C44" s="16" t="s">
        <v>84</v>
      </c>
      <c r="D44" s="17" t="e">
        <f>'JOUR 1'!D44+'JOUR 2'!D44+'JOUR 3'!D44+'JOUR 4'!D44+'JOUR 5'!D44+'JOUR 6'!D44+'JOUR 7'!D44+'JOUR 8'!D44+'JOUR 9'!D44+'JOUR 10'!D44+'JOUR 11'!D44+'JOUR 12'!D44+'JOUR 13'!D44+'JOUR 14'!D44+#REF!+#REF!</f>
        <v>#REF!</v>
      </c>
      <c r="E44" s="17" t="e">
        <f>'JOUR 1'!E44+'JOUR 2'!E44+'JOUR 3'!E44+'JOUR 4'!E44+'JOUR 5'!E44+'JOUR 6'!E44+'JOUR 7'!E44+'JOUR 8'!E44+'JOUR 9'!E44+'JOUR 10'!E44+'JOUR 11'!E44+'JOUR 12'!E44+'JOUR 13'!E44+'JOUR 14'!E44+#REF!+#REF!</f>
        <v>#REF!</v>
      </c>
      <c r="F44" s="17" t="e">
        <f>'JOUR 1'!F44+'JOUR 2'!F44+'JOUR 3'!F44+'JOUR 4'!F44+'JOUR 5'!F44+'JOUR 6'!F44+'JOUR 7'!F44+'JOUR 8'!F44+'JOUR 9'!F44+'JOUR 10'!F44+'JOUR 11'!F44+'JOUR 12'!F44+'JOUR 13'!F44+'JOUR 14'!F44+#REF!+#REF!</f>
        <v>#REF!</v>
      </c>
      <c r="G44" s="17" t="e">
        <f>'JOUR 1'!G44+'JOUR 2'!G44+'JOUR 3'!G44+'JOUR 4'!G44+'JOUR 5'!G44+'JOUR 6'!G44+'JOUR 7'!G44+'JOUR 8'!G44+'JOUR 9'!G44+'JOUR 10'!G44+'JOUR 11'!G44+'JOUR 12'!G44+'JOUR 13'!G44+'JOUR 14'!G44+#REF!+#REF!</f>
        <v>#REF!</v>
      </c>
      <c r="H44" s="17" t="e">
        <f>'JOUR 1'!H44+'JOUR 2'!H44+'JOUR 3'!H44+'JOUR 4'!H44+'JOUR 5'!H44+'JOUR 6'!H44+'JOUR 7'!H44+'JOUR 8'!H44+'JOUR 9'!H44+'JOUR 10'!H44+'JOUR 11'!H44+'JOUR 12'!H44+'JOUR 13'!H44+'JOUR 14'!H44+#REF!+#REF!</f>
        <v>#REF!</v>
      </c>
      <c r="I44" s="17" t="e">
        <f>'JOUR 1'!I44+'JOUR 2'!I44+'JOUR 3'!I44+'JOUR 4'!I44+'JOUR 5'!I44+'JOUR 6'!I44+'JOUR 7'!I44+'JOUR 8'!I44+'JOUR 9'!I44+'JOUR 10'!I44+'JOUR 11'!I44+'JOUR 12'!I44+'JOUR 13'!I44+'JOUR 14'!I44+#REF!+#REF!</f>
        <v>#REF!</v>
      </c>
      <c r="J44" s="17" t="e">
        <f>'JOUR 1'!J44+'JOUR 2'!J44+'JOUR 3'!J44+'JOUR 4'!J44+'JOUR 5'!J44+'JOUR 6'!J44+'JOUR 7'!J44+'JOUR 8'!J44+'JOUR 9'!J44+'JOUR 10'!J44+'JOUR 11'!J44+'JOUR 12'!J44+'JOUR 13'!J44+'JOUR 14'!J44+#REF!+#REF!</f>
        <v>#REF!</v>
      </c>
      <c r="K44" s="17" t="e">
        <f>'JOUR 1'!K44+'JOUR 2'!K44+'JOUR 3'!K44+'JOUR 4'!K44+'JOUR 5'!K44+'JOUR 6'!K44+'JOUR 7'!K44+'JOUR 8'!K44+'JOUR 9'!K44+'JOUR 10'!K44+'JOUR 11'!K44+'JOUR 12'!K44+'JOUR 13'!K44+'JOUR 14'!K44+#REF!+#REF!</f>
        <v>#REF!</v>
      </c>
      <c r="L44" s="17" t="e">
        <f>'JOUR 1'!L44+'JOUR 2'!L44+'JOUR 3'!L44+'JOUR 4'!L44+'JOUR 5'!L44+'JOUR 6'!L44+'JOUR 7'!L44+'JOUR 8'!L44+'JOUR 9'!L44+'JOUR 10'!L44+'JOUR 11'!L44+'JOUR 12'!L44+'JOUR 13'!L44+'JOUR 14'!L44+#REF!+#REF!</f>
        <v>#REF!</v>
      </c>
      <c r="M44" s="17" t="e">
        <f>'JOUR 1'!M44+'JOUR 2'!M44+'JOUR 3'!M44+'JOUR 4'!M44+'JOUR 5'!M44+'JOUR 6'!M44+'JOUR 7'!M44+'JOUR 8'!M44+'JOUR 9'!M44+'JOUR 10'!M44+'JOUR 11'!M44+'JOUR 12'!M44+'JOUR 13'!M44+'JOUR 14'!M44+#REF!+#REF!</f>
        <v>#REF!</v>
      </c>
      <c r="N44" s="17" t="e">
        <f>'JOUR 1'!N44+'JOUR 2'!N44+'JOUR 3'!N44+'JOUR 4'!N44+'JOUR 5'!N44+'JOUR 6'!N44+'JOUR 7'!N44+'JOUR 8'!N44+'JOUR 9'!N44+'JOUR 10'!N44+'JOUR 11'!N44+'JOUR 12'!N44+'JOUR 13'!N44+'JOUR 14'!N44+#REF!+#REF!</f>
        <v>#REF!</v>
      </c>
      <c r="O44" s="17" t="e">
        <f>'JOUR 1'!O44+'JOUR 2'!O44+'JOUR 3'!O44+'JOUR 4'!O44+'JOUR 5'!O44+'JOUR 6'!O44+'JOUR 7'!O44+'JOUR 8'!O44+'JOUR 9'!O44+'JOUR 10'!O44+'JOUR 11'!O44+'JOUR 12'!O44+'JOUR 13'!O44+'JOUR 14'!O44+#REF!+#REF!</f>
        <v>#REF!</v>
      </c>
      <c r="P44" s="17" t="e">
        <f>'JOUR 1'!P44+'JOUR 2'!P44+'JOUR 3'!P44+'JOUR 4'!P44+'JOUR 5'!P44+'JOUR 6'!P44+'JOUR 7'!P44+'JOUR 8'!P44+'JOUR 9'!P44+'JOUR 10'!P44+'JOUR 11'!P44+'JOUR 12'!P44+'JOUR 13'!P44+'JOUR 14'!P44+#REF!+#REF!</f>
        <v>#REF!</v>
      </c>
      <c r="Q44" s="17" t="e">
        <f>'JOUR 1'!Q44+'JOUR 2'!Q44+'JOUR 3'!Q44+'JOUR 4'!Q44+'JOUR 5'!Q44+'JOUR 6'!Q44+'JOUR 7'!Q44+'JOUR 8'!Q44+'JOUR 9'!Q44+'JOUR 10'!Q44+'JOUR 11'!Q44+'JOUR 12'!Q44+'JOUR 13'!Q44+'JOUR 14'!Q44+#REF!+#REF!</f>
        <v>#REF!</v>
      </c>
      <c r="R44" s="17" t="e">
        <f>'JOUR 1'!R44+'JOUR 2'!R44+'JOUR 3'!R44+'JOUR 4'!R44+'JOUR 5'!R44+'JOUR 6'!R44+'JOUR 7'!R44+'JOUR 8'!R44+'JOUR 9'!R44+'JOUR 10'!R44+'JOUR 11'!R44+'JOUR 12'!R44+'JOUR 13'!R44+'JOUR 14'!R44+#REF!+#REF!</f>
        <v>#REF!</v>
      </c>
      <c r="S44" s="31" t="e">
        <f>'JOUR 1'!S44+'JOUR 2'!S44+'JOUR 3'!S44+'JOUR 4'!S44+'JOUR 5'!S44+'JOUR 6'!S44+'JOUR 7'!S44+'JOUR 8'!S44+'JOUR 9'!S44+'JOUR 10'!S44+'JOUR 11'!S44+'JOUR 12'!S44+'JOUR 13'!S44+'JOUR 14'!S44+#REF!+#REF!</f>
        <v>#REF!</v>
      </c>
      <c r="T44" s="31" t="e">
        <f>'JOUR 1'!T44+'JOUR 2'!T44+'JOUR 3'!T44+'JOUR 4'!T44+'JOUR 5'!T44+'JOUR 6'!T44+'JOUR 7'!T44+'JOUR 8'!T44+'JOUR 9'!T44+'JOUR 10'!T44+'JOUR 11'!T44+'JOUR 12'!T44+'JOUR 13'!T44+'JOUR 14'!T44+#REF!+#REF!</f>
        <v>#REF!</v>
      </c>
      <c r="U44" s="31" t="e">
        <f>'JOUR 1'!U44+'JOUR 2'!U44+'JOUR 3'!U44+'JOUR 4'!U44+'JOUR 5'!U44+'JOUR 6'!U44+'JOUR 7'!U44+'JOUR 8'!U44+'JOUR 9'!U44+'JOUR 10'!U44+'JOUR 11'!U44+'JOUR 12'!U44+'JOUR 13'!U44+'JOUR 14'!U44+#REF!+#REF!</f>
        <v>#REF!</v>
      </c>
      <c r="V44" s="32" t="e">
        <f>'JOUR 1'!V44+'JOUR 2'!V44+'JOUR 3'!V44+'JOUR 4'!V44+'JOUR 5'!V44+'JOUR 6'!V44+'JOUR 7'!V44+'JOUR 8'!V44+'JOUR 9'!V44+'JOUR 10'!V44+'JOUR 11'!V44+'JOUR 12'!V44+'JOUR 13'!V44+'JOUR 14'!V44+#REF!+#REF!</f>
        <v>#REF!</v>
      </c>
      <c r="W44" s="32" t="e">
        <f>'JOUR 1'!W44+'JOUR 2'!W44+'JOUR 3'!W44+'JOUR 4'!W44+'JOUR 5'!W44+'JOUR 6'!W44+'JOUR 7'!W44+'JOUR 8'!W44+'JOUR 9'!W44+'JOUR 10'!W44+'JOUR 11'!W44+'JOUR 12'!W44+'JOUR 13'!W44+'JOUR 14'!W44+#REF!+#REF!</f>
        <v>#REF!</v>
      </c>
      <c r="X44" s="32" t="e">
        <f>'JOUR 1'!X44+'JOUR 2'!X44+'JOUR 3'!X44+'JOUR 4'!X44+'JOUR 5'!X44+'JOUR 6'!X44+'JOUR 7'!X44+'JOUR 8'!X44+'JOUR 9'!X44+'JOUR 10'!X44+'JOUR 11'!X44+'JOUR 12'!X44+'JOUR 13'!X44+'JOUR 14'!X44+#REF!+#REF!</f>
        <v>#REF!</v>
      </c>
      <c r="Y44" s="75" t="e">
        <f>'JOUR 1'!Y44+'JOUR 2'!Y44+'JOUR 3'!Y44+'JOUR 4'!Y44+'JOUR 5'!Y44+'JOUR 6'!Y44+'JOUR 7'!Y44+'JOUR 8'!Y44+'JOUR 9'!Y44+'JOUR 10'!Y44+'JOUR 11'!Y44+'JOUR 12'!Y44+'JOUR 13'!Y44+'JOUR 14'!Y44+#REF!+#REF!</f>
        <v>#REF!</v>
      </c>
      <c r="Z44" s="33" t="e">
        <f>'JOUR 1'!Z44+'JOUR 2'!Z44+'JOUR 3'!Z44+'JOUR 4'!Z44+'JOUR 5'!Z44+'JOUR 6'!Z44+'JOUR 7'!Z44+'JOUR 8'!Z44+'JOUR 9'!Z44+'JOUR 10'!Z44+'JOUR 11'!Z44+'JOUR 12'!Z44+'JOUR 13'!Z44+'JOUR 14'!Z44+#REF!+#REF!</f>
        <v>#REF!</v>
      </c>
      <c r="AA44" s="34" t="e">
        <f>'JOUR 1'!AA44+'JOUR 2'!AA44+'JOUR 3'!AA44+'JOUR 4'!AA44+'JOUR 5'!AA44+'JOUR 6'!AA44+'JOUR 7'!AA44+'JOUR 8'!AA44+'JOUR 9'!AA44+'JOUR 10'!AA44+'JOUR 11'!AA44+'JOUR 12'!AA44+'JOUR 13'!AA44+'JOUR 14'!AA44+#REF!+#REF!</f>
        <v>#REF!</v>
      </c>
      <c r="AB44" s="34" t="e">
        <f>'JOUR 1'!AB44+'JOUR 2'!AB44+'JOUR 3'!AB44+'JOUR 4'!AB44+'JOUR 5'!AB44+'JOUR 6'!AB44+'JOUR 7'!AB44+'JOUR 8'!AB44+'JOUR 9'!AB44+'JOUR 10'!AB44+'JOUR 11'!AB44+'JOUR 12'!AB44+'JOUR 13'!AB44+'JOUR 14'!AB44+#REF!+#REF!</f>
        <v>#REF!</v>
      </c>
      <c r="AC44" s="34" t="e">
        <f>'JOUR 1'!AC44+'JOUR 2'!AC44+'JOUR 3'!AC44+'JOUR 4'!AC44+'JOUR 5'!AC44+'JOUR 6'!AC44+'JOUR 7'!AC44+'JOUR 8'!AC44+'JOUR 9'!AC44+'JOUR 10'!AC44+'JOUR 11'!AC44+'JOUR 12'!AC44+'JOUR 13'!AC44+'JOUR 14'!AC44+#REF!+#REF!</f>
        <v>#REF!</v>
      </c>
      <c r="AD44" s="35" t="e">
        <f>'JOUR 1'!AD44+'JOUR 2'!AD44+'JOUR 3'!AD44+'JOUR 4'!AD44+'JOUR 5'!AD44+'JOUR 6'!AD44+'JOUR 7'!AD44+'JOUR 8'!AD44+'JOUR 9'!AD44+'JOUR 10'!AD44+'JOUR 11'!AD44+'JOUR 12'!AD44+'JOUR 13'!AD44+'JOUR 14'!AD44+#REF!+#REF!</f>
        <v>#REF!</v>
      </c>
      <c r="AE44" s="34" t="e">
        <f>'JOUR 1'!AE44+'JOUR 2'!AE44+'JOUR 3'!AE44+'JOUR 4'!AE44+'JOUR 5'!AE44+'JOUR 6'!AE44+'JOUR 7'!AE44+'JOUR 8'!AE44+'JOUR 9'!AE44+'JOUR 10'!AE44+'JOUR 11'!AE44+'JOUR 12'!AE44+'JOUR 13'!AE44+'JOUR 14'!AE44+#REF!+#REF!</f>
        <v>#REF!</v>
      </c>
      <c r="AF44" s="34" t="e">
        <f>'JOUR 1'!AF44+'JOUR 2'!AF44+'JOUR 3'!AF44+'JOUR 4'!AF44+'JOUR 5'!AF44+'JOUR 6'!AF44+'JOUR 7'!AF44+'JOUR 8'!AF44+'JOUR 9'!AF44+'JOUR 10'!AF44+'JOUR 11'!AF44+'JOUR 12'!AF44+'JOUR 13'!AF44+'JOUR 14'!AF44+#REF!+#REF!</f>
        <v>#REF!</v>
      </c>
      <c r="AG44" s="34" t="e">
        <f>'JOUR 1'!AG44+'JOUR 2'!AG44+'JOUR 3'!AG44+'JOUR 4'!AG44+'JOUR 5'!AG44+'JOUR 6'!AG44+'JOUR 7'!AG44+'JOUR 8'!AG44+'JOUR 9'!AG44+'JOUR 10'!AG44+'JOUR 11'!AG44+'JOUR 12'!AG44+'JOUR 13'!AG44+'JOUR 14'!AG44+#REF!+#REF!</f>
        <v>#REF!</v>
      </c>
      <c r="AH44" s="21"/>
      <c r="AI44" s="22"/>
      <c r="AK44" s="87" t="e">
        <f t="shared" si="1"/>
        <v>#REF!</v>
      </c>
      <c r="AL44" s="87" t="e">
        <f t="shared" si="1"/>
        <v>#REF!</v>
      </c>
      <c r="AM44" s="87" t="e">
        <f t="shared" si="1"/>
        <v>#REF!</v>
      </c>
      <c r="AN44" s="87" t="e">
        <f t="shared" si="1"/>
        <v>#REF!</v>
      </c>
      <c r="AO44" s="87" t="e">
        <f t="shared" si="1"/>
        <v>#REF!</v>
      </c>
      <c r="AP44" s="87"/>
      <c r="AQ44" s="87"/>
      <c r="AR44" s="87"/>
      <c r="AS44" s="87" t="e">
        <f t="shared" si="2"/>
        <v>#REF!</v>
      </c>
      <c r="AT44" s="87"/>
      <c r="AU44" s="87"/>
      <c r="AV44" s="87"/>
      <c r="AW44" s="87"/>
      <c r="AX44" s="87"/>
      <c r="AY44" s="89"/>
    </row>
    <row r="45" spans="2:51" ht="17.399999999999999" x14ac:dyDescent="0.25">
      <c r="B45" s="16" t="s">
        <v>44</v>
      </c>
      <c r="C45" s="16" t="s">
        <v>85</v>
      </c>
      <c r="D45" s="17" t="e">
        <f>'JOUR 1'!D45+'JOUR 2'!D45+'JOUR 3'!D45+'JOUR 4'!D45+'JOUR 5'!D45+'JOUR 6'!D45+'JOUR 7'!D45+'JOUR 8'!D45+'JOUR 9'!D45+'JOUR 10'!D45+'JOUR 11'!D45+'JOUR 12'!D45+'JOUR 13'!D45+'JOUR 14'!D45+#REF!+#REF!</f>
        <v>#REF!</v>
      </c>
      <c r="E45" s="17" t="e">
        <f>'JOUR 1'!E45+'JOUR 2'!E45+'JOUR 3'!E45+'JOUR 4'!E45+'JOUR 5'!E45+'JOUR 6'!E45+'JOUR 7'!E45+'JOUR 8'!E45+'JOUR 9'!E45+'JOUR 10'!E45+'JOUR 11'!E45+'JOUR 12'!E45+'JOUR 13'!E45+'JOUR 14'!E45+#REF!+#REF!</f>
        <v>#REF!</v>
      </c>
      <c r="F45" s="17" t="e">
        <f>'JOUR 1'!F45+'JOUR 2'!F45+'JOUR 3'!F45+'JOUR 4'!F45+'JOUR 5'!F45+'JOUR 6'!F45+'JOUR 7'!F45+'JOUR 8'!F45+'JOUR 9'!F45+'JOUR 10'!F45+'JOUR 11'!F45+'JOUR 12'!F45+'JOUR 13'!F45+'JOUR 14'!F45+#REF!+#REF!</f>
        <v>#REF!</v>
      </c>
      <c r="G45" s="17" t="e">
        <f>'JOUR 1'!G45+'JOUR 2'!G45+'JOUR 3'!G45+'JOUR 4'!G45+'JOUR 5'!G45+'JOUR 6'!G45+'JOUR 7'!G45+'JOUR 8'!G45+'JOUR 9'!G45+'JOUR 10'!G45+'JOUR 11'!G45+'JOUR 12'!G45+'JOUR 13'!G45+'JOUR 14'!G45+#REF!+#REF!</f>
        <v>#REF!</v>
      </c>
      <c r="H45" s="17" t="e">
        <f>'JOUR 1'!H45+'JOUR 2'!H45+'JOUR 3'!H45+'JOUR 4'!H45+'JOUR 5'!H45+'JOUR 6'!H45+'JOUR 7'!H45+'JOUR 8'!H45+'JOUR 9'!H45+'JOUR 10'!H45+'JOUR 11'!H45+'JOUR 12'!H45+'JOUR 13'!H45+'JOUR 14'!H45+#REF!+#REF!</f>
        <v>#REF!</v>
      </c>
      <c r="I45" s="17" t="e">
        <f>'JOUR 1'!I45+'JOUR 2'!I45+'JOUR 3'!I45+'JOUR 4'!I45+'JOUR 5'!I45+'JOUR 6'!I45+'JOUR 7'!I45+'JOUR 8'!I45+'JOUR 9'!I45+'JOUR 10'!I45+'JOUR 11'!I45+'JOUR 12'!I45+'JOUR 13'!I45+'JOUR 14'!I45+#REF!+#REF!</f>
        <v>#REF!</v>
      </c>
      <c r="J45" s="17" t="e">
        <f>'JOUR 1'!J45+'JOUR 2'!J45+'JOUR 3'!J45+'JOUR 4'!J45+'JOUR 5'!J45+'JOUR 6'!J45+'JOUR 7'!J45+'JOUR 8'!J45+'JOUR 9'!J45+'JOUR 10'!J45+'JOUR 11'!J45+'JOUR 12'!J45+'JOUR 13'!J45+'JOUR 14'!J45+#REF!+#REF!</f>
        <v>#REF!</v>
      </c>
      <c r="K45" s="17" t="e">
        <f>'JOUR 1'!K45+'JOUR 2'!K45+'JOUR 3'!K45+'JOUR 4'!K45+'JOUR 5'!K45+'JOUR 6'!K45+'JOUR 7'!K45+'JOUR 8'!K45+'JOUR 9'!K45+'JOUR 10'!K45+'JOUR 11'!K45+'JOUR 12'!K45+'JOUR 13'!K45+'JOUR 14'!K45+#REF!+#REF!</f>
        <v>#REF!</v>
      </c>
      <c r="L45" s="17" t="e">
        <f>'JOUR 1'!L45+'JOUR 2'!L45+'JOUR 3'!L45+'JOUR 4'!L45+'JOUR 5'!L45+'JOUR 6'!L45+'JOUR 7'!L45+'JOUR 8'!L45+'JOUR 9'!L45+'JOUR 10'!L45+'JOUR 11'!L45+'JOUR 12'!L45+'JOUR 13'!L45+'JOUR 14'!L45+#REF!+#REF!</f>
        <v>#REF!</v>
      </c>
      <c r="M45" s="17" t="e">
        <f>'JOUR 1'!M45+'JOUR 2'!M45+'JOUR 3'!M45+'JOUR 4'!M45+'JOUR 5'!M45+'JOUR 6'!M45+'JOUR 7'!M45+'JOUR 8'!M45+'JOUR 9'!M45+'JOUR 10'!M45+'JOUR 11'!M45+'JOUR 12'!M45+'JOUR 13'!M45+'JOUR 14'!M45+#REF!+#REF!</f>
        <v>#REF!</v>
      </c>
      <c r="N45" s="17" t="e">
        <f>'JOUR 1'!N45+'JOUR 2'!N45+'JOUR 3'!N45+'JOUR 4'!N45+'JOUR 5'!N45+'JOUR 6'!N45+'JOUR 7'!N45+'JOUR 8'!N45+'JOUR 9'!N45+'JOUR 10'!N45+'JOUR 11'!N45+'JOUR 12'!N45+'JOUR 13'!N45+'JOUR 14'!N45+#REF!+#REF!</f>
        <v>#REF!</v>
      </c>
      <c r="O45" s="17" t="e">
        <f>'JOUR 1'!O45+'JOUR 2'!O45+'JOUR 3'!O45+'JOUR 4'!O45+'JOUR 5'!O45+'JOUR 6'!O45+'JOUR 7'!O45+'JOUR 8'!O45+'JOUR 9'!O45+'JOUR 10'!O45+'JOUR 11'!O45+'JOUR 12'!O45+'JOUR 13'!O45+'JOUR 14'!O45+#REF!+#REF!</f>
        <v>#REF!</v>
      </c>
      <c r="P45" s="17" t="e">
        <f>'JOUR 1'!P45+'JOUR 2'!P45+'JOUR 3'!P45+'JOUR 4'!P45+'JOUR 5'!P45+'JOUR 6'!P45+'JOUR 7'!P45+'JOUR 8'!P45+'JOUR 9'!P45+'JOUR 10'!P45+'JOUR 11'!P45+'JOUR 12'!P45+'JOUR 13'!P45+'JOUR 14'!P45+#REF!+#REF!</f>
        <v>#REF!</v>
      </c>
      <c r="Q45" s="17" t="e">
        <f>'JOUR 1'!Q45+'JOUR 2'!Q45+'JOUR 3'!Q45+'JOUR 4'!Q45+'JOUR 5'!Q45+'JOUR 6'!Q45+'JOUR 7'!Q45+'JOUR 8'!Q45+'JOUR 9'!Q45+'JOUR 10'!Q45+'JOUR 11'!Q45+'JOUR 12'!Q45+'JOUR 13'!Q45+'JOUR 14'!Q45+#REF!+#REF!</f>
        <v>#REF!</v>
      </c>
      <c r="R45" s="17" t="e">
        <f>'JOUR 1'!R45+'JOUR 2'!R45+'JOUR 3'!R45+'JOUR 4'!R45+'JOUR 5'!R45+'JOUR 6'!R45+'JOUR 7'!R45+'JOUR 8'!R45+'JOUR 9'!R45+'JOUR 10'!R45+'JOUR 11'!R45+'JOUR 12'!R45+'JOUR 13'!R45+'JOUR 14'!R45+#REF!+#REF!</f>
        <v>#REF!</v>
      </c>
      <c r="S45" s="31" t="e">
        <f>'JOUR 1'!S45+'JOUR 2'!S45+'JOUR 3'!S45+'JOUR 4'!S45+'JOUR 5'!S45+'JOUR 6'!S45+'JOUR 7'!S45+'JOUR 8'!S45+'JOUR 9'!S45+'JOUR 10'!S45+'JOUR 11'!S45+'JOUR 12'!S45+'JOUR 13'!S45+'JOUR 14'!S45+#REF!+#REF!</f>
        <v>#REF!</v>
      </c>
      <c r="T45" s="31" t="e">
        <f>'JOUR 1'!T45+'JOUR 2'!T45+'JOUR 3'!T45+'JOUR 4'!T45+'JOUR 5'!T45+'JOUR 6'!T45+'JOUR 7'!T45+'JOUR 8'!T45+'JOUR 9'!T45+'JOUR 10'!T45+'JOUR 11'!T45+'JOUR 12'!T45+'JOUR 13'!T45+'JOUR 14'!T45+#REF!+#REF!</f>
        <v>#REF!</v>
      </c>
      <c r="U45" s="31" t="e">
        <f>'JOUR 1'!U45+'JOUR 2'!U45+'JOUR 3'!U45+'JOUR 4'!U45+'JOUR 5'!U45+'JOUR 6'!U45+'JOUR 7'!U45+'JOUR 8'!U45+'JOUR 9'!U45+'JOUR 10'!U45+'JOUR 11'!U45+'JOUR 12'!U45+'JOUR 13'!U45+'JOUR 14'!U45+#REF!+#REF!</f>
        <v>#REF!</v>
      </c>
      <c r="V45" s="32" t="e">
        <f>'JOUR 1'!V45+'JOUR 2'!V45+'JOUR 3'!V45+'JOUR 4'!V45+'JOUR 5'!V45+'JOUR 6'!V45+'JOUR 7'!V45+'JOUR 8'!V45+'JOUR 9'!V45+'JOUR 10'!V45+'JOUR 11'!V45+'JOUR 12'!V45+'JOUR 13'!V45+'JOUR 14'!V45+#REF!+#REF!</f>
        <v>#REF!</v>
      </c>
      <c r="W45" s="32" t="e">
        <f>'JOUR 1'!W45+'JOUR 2'!W45+'JOUR 3'!W45+'JOUR 4'!W45+'JOUR 5'!W45+'JOUR 6'!W45+'JOUR 7'!W45+'JOUR 8'!W45+'JOUR 9'!W45+'JOUR 10'!W45+'JOUR 11'!W45+'JOUR 12'!W45+'JOUR 13'!W45+'JOUR 14'!W45+#REF!+#REF!</f>
        <v>#REF!</v>
      </c>
      <c r="X45" s="32" t="e">
        <f>'JOUR 1'!X45+'JOUR 2'!X45+'JOUR 3'!X45+'JOUR 4'!X45+'JOUR 5'!X45+'JOUR 6'!X45+'JOUR 7'!X45+'JOUR 8'!X45+'JOUR 9'!X45+'JOUR 10'!X45+'JOUR 11'!X45+'JOUR 12'!X45+'JOUR 13'!X45+'JOUR 14'!X45+#REF!+#REF!</f>
        <v>#REF!</v>
      </c>
      <c r="Y45" s="75" t="e">
        <f>'JOUR 1'!Y45+'JOUR 2'!Y45+'JOUR 3'!Y45+'JOUR 4'!Y45+'JOUR 5'!Y45+'JOUR 6'!Y45+'JOUR 7'!Y45+'JOUR 8'!Y45+'JOUR 9'!Y45+'JOUR 10'!Y45+'JOUR 11'!Y45+'JOUR 12'!Y45+'JOUR 13'!Y45+'JOUR 14'!Y45+#REF!+#REF!</f>
        <v>#REF!</v>
      </c>
      <c r="Z45" s="33" t="e">
        <f>'JOUR 1'!Z45+'JOUR 2'!Z45+'JOUR 3'!Z45+'JOUR 4'!Z45+'JOUR 5'!Z45+'JOUR 6'!Z45+'JOUR 7'!Z45+'JOUR 8'!Z45+'JOUR 9'!Z45+'JOUR 10'!Z45+'JOUR 11'!Z45+'JOUR 12'!Z45+'JOUR 13'!Z45+'JOUR 14'!Z45+#REF!+#REF!</f>
        <v>#REF!</v>
      </c>
      <c r="AA45" s="34" t="e">
        <f>'JOUR 1'!AA45+'JOUR 2'!AA45+'JOUR 3'!AA45+'JOUR 4'!AA45+'JOUR 5'!AA45+'JOUR 6'!AA45+'JOUR 7'!AA45+'JOUR 8'!AA45+'JOUR 9'!AA45+'JOUR 10'!AA45+'JOUR 11'!AA45+'JOUR 12'!AA45+'JOUR 13'!AA45+'JOUR 14'!AA45+#REF!+#REF!</f>
        <v>#REF!</v>
      </c>
      <c r="AB45" s="34" t="e">
        <f>'JOUR 1'!AB45+'JOUR 2'!AB45+'JOUR 3'!AB45+'JOUR 4'!AB45+'JOUR 5'!AB45+'JOUR 6'!AB45+'JOUR 7'!AB45+'JOUR 8'!AB45+'JOUR 9'!AB45+'JOUR 10'!AB45+'JOUR 11'!AB45+'JOUR 12'!AB45+'JOUR 13'!AB45+'JOUR 14'!AB45+#REF!+#REF!</f>
        <v>#REF!</v>
      </c>
      <c r="AC45" s="34" t="e">
        <f>'JOUR 1'!AC45+'JOUR 2'!AC45+'JOUR 3'!AC45+'JOUR 4'!AC45+'JOUR 5'!AC45+'JOUR 6'!AC45+'JOUR 7'!AC45+'JOUR 8'!AC45+'JOUR 9'!AC45+'JOUR 10'!AC45+'JOUR 11'!AC45+'JOUR 12'!AC45+'JOUR 13'!AC45+'JOUR 14'!AC45+#REF!+#REF!</f>
        <v>#REF!</v>
      </c>
      <c r="AD45" s="35" t="e">
        <f>'JOUR 1'!AD45+'JOUR 2'!AD45+'JOUR 3'!AD45+'JOUR 4'!AD45+'JOUR 5'!AD45+'JOUR 6'!AD45+'JOUR 7'!AD45+'JOUR 8'!AD45+'JOUR 9'!AD45+'JOUR 10'!AD45+'JOUR 11'!AD45+'JOUR 12'!AD45+'JOUR 13'!AD45+'JOUR 14'!AD45+#REF!+#REF!</f>
        <v>#REF!</v>
      </c>
      <c r="AE45" s="34" t="e">
        <f>'JOUR 1'!AE45+'JOUR 2'!AE45+'JOUR 3'!AE45+'JOUR 4'!AE45+'JOUR 5'!AE45+'JOUR 6'!AE45+'JOUR 7'!AE45+'JOUR 8'!AE45+'JOUR 9'!AE45+'JOUR 10'!AE45+'JOUR 11'!AE45+'JOUR 12'!AE45+'JOUR 13'!AE45+'JOUR 14'!AE45+#REF!+#REF!</f>
        <v>#REF!</v>
      </c>
      <c r="AF45" s="34" t="e">
        <f>'JOUR 1'!AF45+'JOUR 2'!AF45+'JOUR 3'!AF45+'JOUR 4'!AF45+'JOUR 5'!AF45+'JOUR 6'!AF45+'JOUR 7'!AF45+'JOUR 8'!AF45+'JOUR 9'!AF45+'JOUR 10'!AF45+'JOUR 11'!AF45+'JOUR 12'!AF45+'JOUR 13'!AF45+'JOUR 14'!AF45+#REF!+#REF!</f>
        <v>#REF!</v>
      </c>
      <c r="AG45" s="34" t="e">
        <f>'JOUR 1'!AG45+'JOUR 2'!AG45+'JOUR 3'!AG45+'JOUR 4'!AG45+'JOUR 5'!AG45+'JOUR 6'!AG45+'JOUR 7'!AG45+'JOUR 8'!AG45+'JOUR 9'!AG45+'JOUR 10'!AG45+'JOUR 11'!AG45+'JOUR 12'!AG45+'JOUR 13'!AG45+'JOUR 14'!AG45+#REF!+#REF!</f>
        <v>#REF!</v>
      </c>
      <c r="AH45" s="21"/>
      <c r="AI45" s="22"/>
      <c r="AK45" s="87" t="e">
        <f t="shared" si="1"/>
        <v>#REF!</v>
      </c>
      <c r="AL45" s="87" t="e">
        <f t="shared" si="1"/>
        <v>#REF!</v>
      </c>
      <c r="AM45" s="87" t="e">
        <f t="shared" si="1"/>
        <v>#REF!</v>
      </c>
      <c r="AN45" s="87" t="e">
        <f t="shared" si="1"/>
        <v>#REF!</v>
      </c>
      <c r="AO45" s="87" t="e">
        <f t="shared" si="1"/>
        <v>#REF!</v>
      </c>
      <c r="AP45" s="87"/>
      <c r="AQ45" s="87"/>
      <c r="AR45" s="87"/>
      <c r="AS45" s="87" t="e">
        <f t="shared" si="2"/>
        <v>#REF!</v>
      </c>
      <c r="AT45" s="87"/>
      <c r="AU45" s="87"/>
      <c r="AV45" s="87"/>
      <c r="AW45" s="87"/>
      <c r="AX45" s="87"/>
      <c r="AY45" s="89"/>
    </row>
    <row r="46" spans="2:51" ht="17.399999999999999" x14ac:dyDescent="0.25">
      <c r="B46" s="16" t="s">
        <v>44</v>
      </c>
      <c r="C46" s="16" t="s">
        <v>86</v>
      </c>
      <c r="D46" s="17" t="e">
        <f>'JOUR 1'!D46+'JOUR 2'!D46+'JOUR 3'!D46+'JOUR 4'!D46+'JOUR 5'!D46+'JOUR 6'!D46+'JOUR 7'!D46+'JOUR 8'!D46+'JOUR 9'!D46+'JOUR 10'!D46+'JOUR 11'!D46+'JOUR 12'!D46+'JOUR 13'!D46+'JOUR 14'!D46+#REF!+#REF!</f>
        <v>#REF!</v>
      </c>
      <c r="E46" s="17" t="e">
        <f>'JOUR 1'!E46+'JOUR 2'!E46+'JOUR 3'!E46+'JOUR 4'!E46+'JOUR 5'!E46+'JOUR 6'!E46+'JOUR 7'!E46+'JOUR 8'!E46+'JOUR 9'!E46+'JOUR 10'!E46+'JOUR 11'!E46+'JOUR 12'!E46+'JOUR 13'!E46+'JOUR 14'!E46+#REF!+#REF!</f>
        <v>#REF!</v>
      </c>
      <c r="F46" s="17" t="e">
        <f>'JOUR 1'!F46+'JOUR 2'!F46+'JOUR 3'!F46+'JOUR 4'!F46+'JOUR 5'!F46+'JOUR 6'!F46+'JOUR 7'!F46+'JOUR 8'!F46+'JOUR 9'!F46+'JOUR 10'!F46+'JOUR 11'!F46+'JOUR 12'!F46+'JOUR 13'!F46+'JOUR 14'!F46+#REF!+#REF!</f>
        <v>#REF!</v>
      </c>
      <c r="G46" s="17" t="e">
        <f>'JOUR 1'!G46+'JOUR 2'!G46+'JOUR 3'!G46+'JOUR 4'!G46+'JOUR 5'!G46+'JOUR 6'!G46+'JOUR 7'!G46+'JOUR 8'!G46+'JOUR 9'!G46+'JOUR 10'!G46+'JOUR 11'!G46+'JOUR 12'!G46+'JOUR 13'!G46+'JOUR 14'!G46+#REF!+#REF!</f>
        <v>#REF!</v>
      </c>
      <c r="H46" s="17" t="e">
        <f>'JOUR 1'!H46+'JOUR 2'!H46+'JOUR 3'!H46+'JOUR 4'!H46+'JOUR 5'!H46+'JOUR 6'!H46+'JOUR 7'!H46+'JOUR 8'!H46+'JOUR 9'!H46+'JOUR 10'!H46+'JOUR 11'!H46+'JOUR 12'!H46+'JOUR 13'!H46+'JOUR 14'!H46+#REF!+#REF!</f>
        <v>#REF!</v>
      </c>
      <c r="I46" s="17" t="e">
        <f>'JOUR 1'!I46+'JOUR 2'!I46+'JOUR 3'!I46+'JOUR 4'!I46+'JOUR 5'!I46+'JOUR 6'!I46+'JOUR 7'!I46+'JOUR 8'!I46+'JOUR 9'!I46+'JOUR 10'!I46+'JOUR 11'!I46+'JOUR 12'!I46+'JOUR 13'!I46+'JOUR 14'!I46+#REF!+#REF!</f>
        <v>#REF!</v>
      </c>
      <c r="J46" s="17" t="e">
        <f>'JOUR 1'!J46+'JOUR 2'!J46+'JOUR 3'!J46+'JOUR 4'!J46+'JOUR 5'!J46+'JOUR 6'!J46+'JOUR 7'!J46+'JOUR 8'!J46+'JOUR 9'!J46+'JOUR 10'!J46+'JOUR 11'!J46+'JOUR 12'!J46+'JOUR 13'!J46+'JOUR 14'!J46+#REF!+#REF!</f>
        <v>#REF!</v>
      </c>
      <c r="K46" s="17" t="e">
        <f>'JOUR 1'!K46+'JOUR 2'!K46+'JOUR 3'!K46+'JOUR 4'!K46+'JOUR 5'!K46+'JOUR 6'!K46+'JOUR 7'!K46+'JOUR 8'!K46+'JOUR 9'!K46+'JOUR 10'!K46+'JOUR 11'!K46+'JOUR 12'!K46+'JOUR 13'!K46+'JOUR 14'!K46+#REF!+#REF!</f>
        <v>#REF!</v>
      </c>
      <c r="L46" s="17" t="e">
        <f>'JOUR 1'!L46+'JOUR 2'!L46+'JOUR 3'!L46+'JOUR 4'!L46+'JOUR 5'!L46+'JOUR 6'!L46+'JOUR 7'!L46+'JOUR 8'!L46+'JOUR 9'!L46+'JOUR 10'!L46+'JOUR 11'!L46+'JOUR 12'!L46+'JOUR 13'!L46+'JOUR 14'!L46+#REF!+#REF!</f>
        <v>#REF!</v>
      </c>
      <c r="M46" s="17" t="e">
        <f>'JOUR 1'!M46+'JOUR 2'!M46+'JOUR 3'!M46+'JOUR 4'!M46+'JOUR 5'!M46+'JOUR 6'!M46+'JOUR 7'!M46+'JOUR 8'!M46+'JOUR 9'!M46+'JOUR 10'!M46+'JOUR 11'!M46+'JOUR 12'!M46+'JOUR 13'!M46+'JOUR 14'!M46+#REF!+#REF!</f>
        <v>#REF!</v>
      </c>
      <c r="N46" s="17" t="e">
        <f>'JOUR 1'!N46+'JOUR 2'!N46+'JOUR 3'!N46+'JOUR 4'!N46+'JOUR 5'!N46+'JOUR 6'!N46+'JOUR 7'!N46+'JOUR 8'!N46+'JOUR 9'!N46+'JOUR 10'!N46+'JOUR 11'!N46+'JOUR 12'!N46+'JOUR 13'!N46+'JOUR 14'!N46+#REF!+#REF!</f>
        <v>#REF!</v>
      </c>
      <c r="O46" s="17" t="e">
        <f>'JOUR 1'!O46+'JOUR 2'!O46+'JOUR 3'!O46+'JOUR 4'!O46+'JOUR 5'!O46+'JOUR 6'!O46+'JOUR 7'!O46+'JOUR 8'!O46+'JOUR 9'!O46+'JOUR 10'!O46+'JOUR 11'!O46+'JOUR 12'!O46+'JOUR 13'!O46+'JOUR 14'!O46+#REF!+#REF!</f>
        <v>#REF!</v>
      </c>
      <c r="P46" s="17" t="e">
        <f>'JOUR 1'!P46+'JOUR 2'!P46+'JOUR 3'!P46+'JOUR 4'!P46+'JOUR 5'!P46+'JOUR 6'!P46+'JOUR 7'!P46+'JOUR 8'!P46+'JOUR 9'!P46+'JOUR 10'!P46+'JOUR 11'!P46+'JOUR 12'!P46+'JOUR 13'!P46+'JOUR 14'!P46+#REF!+#REF!</f>
        <v>#REF!</v>
      </c>
      <c r="Q46" s="17" t="e">
        <f>'JOUR 1'!Q46+'JOUR 2'!Q46+'JOUR 3'!Q46+'JOUR 4'!Q46+'JOUR 5'!Q46+'JOUR 6'!Q46+'JOUR 7'!Q46+'JOUR 8'!Q46+'JOUR 9'!Q46+'JOUR 10'!Q46+'JOUR 11'!Q46+'JOUR 12'!Q46+'JOUR 13'!Q46+'JOUR 14'!Q46+#REF!+#REF!</f>
        <v>#REF!</v>
      </c>
      <c r="R46" s="17" t="e">
        <f>'JOUR 1'!R46+'JOUR 2'!R46+'JOUR 3'!R46+'JOUR 4'!R46+'JOUR 5'!R46+'JOUR 6'!R46+'JOUR 7'!R46+'JOUR 8'!R46+'JOUR 9'!R46+'JOUR 10'!R46+'JOUR 11'!R46+'JOUR 12'!R46+'JOUR 13'!R46+'JOUR 14'!R46+#REF!+#REF!</f>
        <v>#REF!</v>
      </c>
      <c r="S46" s="31" t="e">
        <f>'JOUR 1'!S46+'JOUR 2'!S46+'JOUR 3'!S46+'JOUR 4'!S46+'JOUR 5'!S46+'JOUR 6'!S46+'JOUR 7'!S46+'JOUR 8'!S46+'JOUR 9'!S46+'JOUR 10'!S46+'JOUR 11'!S46+'JOUR 12'!S46+'JOUR 13'!S46+'JOUR 14'!S46+#REF!+#REF!</f>
        <v>#REF!</v>
      </c>
      <c r="T46" s="31" t="e">
        <f>'JOUR 1'!T46+'JOUR 2'!T46+'JOUR 3'!T46+'JOUR 4'!T46+'JOUR 5'!T46+'JOUR 6'!T46+'JOUR 7'!T46+'JOUR 8'!T46+'JOUR 9'!T46+'JOUR 10'!T46+'JOUR 11'!T46+'JOUR 12'!T46+'JOUR 13'!T46+'JOUR 14'!T46+#REF!+#REF!</f>
        <v>#REF!</v>
      </c>
      <c r="U46" s="31" t="e">
        <f>'JOUR 1'!U46+'JOUR 2'!U46+'JOUR 3'!U46+'JOUR 4'!U46+'JOUR 5'!U46+'JOUR 6'!U46+'JOUR 7'!U46+'JOUR 8'!U46+'JOUR 9'!U46+'JOUR 10'!U46+'JOUR 11'!U46+'JOUR 12'!U46+'JOUR 13'!U46+'JOUR 14'!U46+#REF!+#REF!</f>
        <v>#REF!</v>
      </c>
      <c r="V46" s="32" t="e">
        <f>'JOUR 1'!V46+'JOUR 2'!V46+'JOUR 3'!V46+'JOUR 4'!V46+'JOUR 5'!V46+'JOUR 6'!V46+'JOUR 7'!V46+'JOUR 8'!V46+'JOUR 9'!V46+'JOUR 10'!V46+'JOUR 11'!V46+'JOUR 12'!V46+'JOUR 13'!V46+'JOUR 14'!V46+#REF!+#REF!</f>
        <v>#REF!</v>
      </c>
      <c r="W46" s="32" t="e">
        <f>'JOUR 1'!W46+'JOUR 2'!W46+'JOUR 3'!W46+'JOUR 4'!W46+'JOUR 5'!W46+'JOUR 6'!W46+'JOUR 7'!W46+'JOUR 8'!W46+'JOUR 9'!W46+'JOUR 10'!W46+'JOUR 11'!W46+'JOUR 12'!W46+'JOUR 13'!W46+'JOUR 14'!W46+#REF!+#REF!</f>
        <v>#REF!</v>
      </c>
      <c r="X46" s="32" t="e">
        <f>'JOUR 1'!X46+'JOUR 2'!X46+'JOUR 3'!X46+'JOUR 4'!X46+'JOUR 5'!X46+'JOUR 6'!X46+'JOUR 7'!X46+'JOUR 8'!X46+'JOUR 9'!X46+'JOUR 10'!X46+'JOUR 11'!X46+'JOUR 12'!X46+'JOUR 13'!X46+'JOUR 14'!X46+#REF!+#REF!</f>
        <v>#REF!</v>
      </c>
      <c r="Y46" s="75" t="e">
        <f>'JOUR 1'!Y46+'JOUR 2'!Y46+'JOUR 3'!Y46+'JOUR 4'!Y46+'JOUR 5'!Y46+'JOUR 6'!Y46+'JOUR 7'!Y46+'JOUR 8'!Y46+'JOUR 9'!Y46+'JOUR 10'!Y46+'JOUR 11'!Y46+'JOUR 12'!Y46+'JOUR 13'!Y46+'JOUR 14'!Y46+#REF!+#REF!</f>
        <v>#REF!</v>
      </c>
      <c r="Z46" s="33" t="e">
        <f>'JOUR 1'!Z46+'JOUR 2'!Z46+'JOUR 3'!Z46+'JOUR 4'!Z46+'JOUR 5'!Z46+'JOUR 6'!Z46+'JOUR 7'!Z46+'JOUR 8'!Z46+'JOUR 9'!Z46+'JOUR 10'!Z46+'JOUR 11'!Z46+'JOUR 12'!Z46+'JOUR 13'!Z46+'JOUR 14'!Z46+#REF!+#REF!</f>
        <v>#REF!</v>
      </c>
      <c r="AA46" s="34" t="e">
        <f>'JOUR 1'!AA46+'JOUR 2'!AA46+'JOUR 3'!AA46+'JOUR 4'!AA46+'JOUR 5'!AA46+'JOUR 6'!AA46+'JOUR 7'!AA46+'JOUR 8'!AA46+'JOUR 9'!AA46+'JOUR 10'!AA46+'JOUR 11'!AA46+'JOUR 12'!AA46+'JOUR 13'!AA46+'JOUR 14'!AA46+#REF!+#REF!</f>
        <v>#REF!</v>
      </c>
      <c r="AB46" s="34" t="e">
        <f>'JOUR 1'!AB46+'JOUR 2'!AB46+'JOUR 3'!AB46+'JOUR 4'!AB46+'JOUR 5'!AB46+'JOUR 6'!AB46+'JOUR 7'!AB46+'JOUR 8'!AB46+'JOUR 9'!AB46+'JOUR 10'!AB46+'JOUR 11'!AB46+'JOUR 12'!AB46+'JOUR 13'!AB46+'JOUR 14'!AB46+#REF!+#REF!</f>
        <v>#REF!</v>
      </c>
      <c r="AC46" s="34" t="e">
        <f>'JOUR 1'!AC46+'JOUR 2'!AC46+'JOUR 3'!AC46+'JOUR 4'!AC46+'JOUR 5'!AC46+'JOUR 6'!AC46+'JOUR 7'!AC46+'JOUR 8'!AC46+'JOUR 9'!AC46+'JOUR 10'!AC46+'JOUR 11'!AC46+'JOUR 12'!AC46+'JOUR 13'!AC46+'JOUR 14'!AC46+#REF!+#REF!</f>
        <v>#REF!</v>
      </c>
      <c r="AD46" s="35" t="e">
        <f>'JOUR 1'!AD46+'JOUR 2'!AD46+'JOUR 3'!AD46+'JOUR 4'!AD46+'JOUR 5'!AD46+'JOUR 6'!AD46+'JOUR 7'!AD46+'JOUR 8'!AD46+'JOUR 9'!AD46+'JOUR 10'!AD46+'JOUR 11'!AD46+'JOUR 12'!AD46+'JOUR 13'!AD46+'JOUR 14'!AD46+#REF!+#REF!</f>
        <v>#REF!</v>
      </c>
      <c r="AE46" s="34" t="e">
        <f>'JOUR 1'!AE46+'JOUR 2'!AE46+'JOUR 3'!AE46+'JOUR 4'!AE46+'JOUR 5'!AE46+'JOUR 6'!AE46+'JOUR 7'!AE46+'JOUR 8'!AE46+'JOUR 9'!AE46+'JOUR 10'!AE46+'JOUR 11'!AE46+'JOUR 12'!AE46+'JOUR 13'!AE46+'JOUR 14'!AE46+#REF!+#REF!</f>
        <v>#REF!</v>
      </c>
      <c r="AF46" s="34" t="e">
        <f>'JOUR 1'!AF46+'JOUR 2'!AF46+'JOUR 3'!AF46+'JOUR 4'!AF46+'JOUR 5'!AF46+'JOUR 6'!AF46+'JOUR 7'!AF46+'JOUR 8'!AF46+'JOUR 9'!AF46+'JOUR 10'!AF46+'JOUR 11'!AF46+'JOUR 12'!AF46+'JOUR 13'!AF46+'JOUR 14'!AF46+#REF!+#REF!</f>
        <v>#REF!</v>
      </c>
      <c r="AG46" s="34" t="e">
        <f>'JOUR 1'!AG46+'JOUR 2'!AG46+'JOUR 3'!AG46+'JOUR 4'!AG46+'JOUR 5'!AG46+'JOUR 6'!AG46+'JOUR 7'!AG46+'JOUR 8'!AG46+'JOUR 9'!AG46+'JOUR 10'!AG46+'JOUR 11'!AG46+'JOUR 12'!AG46+'JOUR 13'!AG46+'JOUR 14'!AG46+#REF!+#REF!</f>
        <v>#REF!</v>
      </c>
      <c r="AH46" s="21"/>
      <c r="AI46" s="22"/>
      <c r="AK46" s="87" t="e">
        <f t="shared" si="1"/>
        <v>#REF!</v>
      </c>
      <c r="AL46" s="87" t="e">
        <f t="shared" si="1"/>
        <v>#REF!</v>
      </c>
      <c r="AM46" s="87" t="e">
        <f t="shared" si="1"/>
        <v>#REF!</v>
      </c>
      <c r="AN46" s="87" t="e">
        <f t="shared" si="1"/>
        <v>#REF!</v>
      </c>
      <c r="AO46" s="87" t="e">
        <f t="shared" si="1"/>
        <v>#REF!</v>
      </c>
      <c r="AP46" s="87"/>
      <c r="AQ46" s="87"/>
      <c r="AR46" s="87"/>
      <c r="AS46" s="87" t="e">
        <f t="shared" si="2"/>
        <v>#REF!</v>
      </c>
      <c r="AT46" s="87"/>
      <c r="AU46" s="87"/>
      <c r="AV46" s="87"/>
      <c r="AW46" s="87"/>
      <c r="AX46" s="87"/>
      <c r="AY46" s="89"/>
    </row>
    <row r="47" spans="2:51" ht="17.399999999999999" x14ac:dyDescent="0.25">
      <c r="B47" s="16" t="s">
        <v>44</v>
      </c>
      <c r="C47" s="16" t="s">
        <v>87</v>
      </c>
      <c r="D47" s="17" t="e">
        <f>'JOUR 1'!D47+'JOUR 2'!D47+'JOUR 3'!D47+'JOUR 4'!D47+'JOUR 5'!D47+'JOUR 6'!D47+'JOUR 7'!D47+'JOUR 8'!D47+'JOUR 9'!D47+'JOUR 10'!D47+'JOUR 11'!D47+'JOUR 12'!D47+'JOUR 13'!D47+'JOUR 14'!D47+#REF!+#REF!</f>
        <v>#REF!</v>
      </c>
      <c r="E47" s="17" t="e">
        <f>'JOUR 1'!E47+'JOUR 2'!E47+'JOUR 3'!E47+'JOUR 4'!E47+'JOUR 5'!E47+'JOUR 6'!E47+'JOUR 7'!E47+'JOUR 8'!E47+'JOUR 9'!E47+'JOUR 10'!E47+'JOUR 11'!E47+'JOUR 12'!E47+'JOUR 13'!E47+'JOUR 14'!E47+#REF!+#REF!</f>
        <v>#REF!</v>
      </c>
      <c r="F47" s="17" t="e">
        <f>'JOUR 1'!F47+'JOUR 2'!F47+'JOUR 3'!F47+'JOUR 4'!F47+'JOUR 5'!F47+'JOUR 6'!F47+'JOUR 7'!F47+'JOUR 8'!F47+'JOUR 9'!F47+'JOUR 10'!F47+'JOUR 11'!F47+'JOUR 12'!F47+'JOUR 13'!F47+'JOUR 14'!F47+#REF!+#REF!</f>
        <v>#REF!</v>
      </c>
      <c r="G47" s="17" t="e">
        <f>'JOUR 1'!G47+'JOUR 2'!G47+'JOUR 3'!G47+'JOUR 4'!G47+'JOUR 5'!G47+'JOUR 6'!G47+'JOUR 7'!G47+'JOUR 8'!G47+'JOUR 9'!G47+'JOUR 10'!G47+'JOUR 11'!G47+'JOUR 12'!G47+'JOUR 13'!G47+'JOUR 14'!G47+#REF!+#REF!</f>
        <v>#REF!</v>
      </c>
      <c r="H47" s="17" t="e">
        <f>'JOUR 1'!H47+'JOUR 2'!H47+'JOUR 3'!H47+'JOUR 4'!H47+'JOUR 5'!H47+'JOUR 6'!H47+'JOUR 7'!H47+'JOUR 8'!H47+'JOUR 9'!H47+'JOUR 10'!H47+'JOUR 11'!H47+'JOUR 12'!H47+'JOUR 13'!H47+'JOUR 14'!H47+#REF!+#REF!</f>
        <v>#REF!</v>
      </c>
      <c r="I47" s="17" t="e">
        <f>'JOUR 1'!I47+'JOUR 2'!I47+'JOUR 3'!I47+'JOUR 4'!I47+'JOUR 5'!I47+'JOUR 6'!I47+'JOUR 7'!I47+'JOUR 8'!I47+'JOUR 9'!I47+'JOUR 10'!I47+'JOUR 11'!I47+'JOUR 12'!I47+'JOUR 13'!I47+'JOUR 14'!I47+#REF!+#REF!</f>
        <v>#REF!</v>
      </c>
      <c r="J47" s="17" t="e">
        <f>'JOUR 1'!J47+'JOUR 2'!J47+'JOUR 3'!J47+'JOUR 4'!J47+'JOUR 5'!J47+'JOUR 6'!J47+'JOUR 7'!J47+'JOUR 8'!J47+'JOUR 9'!J47+'JOUR 10'!J47+'JOUR 11'!J47+'JOUR 12'!J47+'JOUR 13'!J47+'JOUR 14'!J47+#REF!+#REF!</f>
        <v>#REF!</v>
      </c>
      <c r="K47" s="17" t="e">
        <f>'JOUR 1'!K47+'JOUR 2'!K47+'JOUR 3'!K47+'JOUR 4'!K47+'JOUR 5'!K47+'JOUR 6'!K47+'JOUR 7'!K47+'JOUR 8'!K47+'JOUR 9'!K47+'JOUR 10'!K47+'JOUR 11'!K47+'JOUR 12'!K47+'JOUR 13'!K47+'JOUR 14'!K47+#REF!+#REF!</f>
        <v>#REF!</v>
      </c>
      <c r="L47" s="17" t="e">
        <f>'JOUR 1'!L47+'JOUR 2'!L47+'JOUR 3'!L47+'JOUR 4'!L47+'JOUR 5'!L47+'JOUR 6'!L47+'JOUR 7'!L47+'JOUR 8'!L47+'JOUR 9'!L47+'JOUR 10'!L47+'JOUR 11'!L47+'JOUR 12'!L47+'JOUR 13'!L47+'JOUR 14'!L47+#REF!+#REF!</f>
        <v>#REF!</v>
      </c>
      <c r="M47" s="17" t="e">
        <f>'JOUR 1'!M47+'JOUR 2'!M47+'JOUR 3'!M47+'JOUR 4'!M47+'JOUR 5'!M47+'JOUR 6'!M47+'JOUR 7'!M47+'JOUR 8'!M47+'JOUR 9'!M47+'JOUR 10'!M47+'JOUR 11'!M47+'JOUR 12'!M47+'JOUR 13'!M47+'JOUR 14'!M47+#REF!+#REF!</f>
        <v>#REF!</v>
      </c>
      <c r="N47" s="17" t="e">
        <f>'JOUR 1'!N47+'JOUR 2'!N47+'JOUR 3'!N47+'JOUR 4'!N47+'JOUR 5'!N47+'JOUR 6'!N47+'JOUR 7'!N47+'JOUR 8'!N47+'JOUR 9'!N47+'JOUR 10'!N47+'JOUR 11'!N47+'JOUR 12'!N47+'JOUR 13'!N47+'JOUR 14'!N47+#REF!+#REF!</f>
        <v>#REF!</v>
      </c>
      <c r="O47" s="17" t="e">
        <f>'JOUR 1'!O47+'JOUR 2'!O47+'JOUR 3'!O47+'JOUR 4'!O47+'JOUR 5'!O47+'JOUR 6'!O47+'JOUR 7'!O47+'JOUR 8'!O47+'JOUR 9'!O47+'JOUR 10'!O47+'JOUR 11'!O47+'JOUR 12'!O47+'JOUR 13'!O47+'JOUR 14'!O47+#REF!+#REF!</f>
        <v>#REF!</v>
      </c>
      <c r="P47" s="17" t="e">
        <f>'JOUR 1'!P47+'JOUR 2'!P47+'JOUR 3'!P47+'JOUR 4'!P47+'JOUR 5'!P47+'JOUR 6'!P47+'JOUR 7'!P47+'JOUR 8'!P47+'JOUR 9'!P47+'JOUR 10'!P47+'JOUR 11'!P47+'JOUR 12'!P47+'JOUR 13'!P47+'JOUR 14'!P47+#REF!+#REF!</f>
        <v>#REF!</v>
      </c>
      <c r="Q47" s="17" t="e">
        <f>'JOUR 1'!Q47+'JOUR 2'!Q47+'JOUR 3'!Q47+'JOUR 4'!Q47+'JOUR 5'!Q47+'JOUR 6'!Q47+'JOUR 7'!Q47+'JOUR 8'!Q47+'JOUR 9'!Q47+'JOUR 10'!Q47+'JOUR 11'!Q47+'JOUR 12'!Q47+'JOUR 13'!Q47+'JOUR 14'!Q47+#REF!+#REF!</f>
        <v>#REF!</v>
      </c>
      <c r="R47" s="17" t="e">
        <f>'JOUR 1'!R47+'JOUR 2'!R47+'JOUR 3'!R47+'JOUR 4'!R47+'JOUR 5'!R47+'JOUR 6'!R47+'JOUR 7'!R47+'JOUR 8'!R47+'JOUR 9'!R47+'JOUR 10'!R47+'JOUR 11'!R47+'JOUR 12'!R47+'JOUR 13'!R47+'JOUR 14'!R47+#REF!+#REF!</f>
        <v>#REF!</v>
      </c>
      <c r="S47" s="31" t="e">
        <f>'JOUR 1'!S47+'JOUR 2'!S47+'JOUR 3'!S47+'JOUR 4'!S47+'JOUR 5'!S47+'JOUR 6'!S47+'JOUR 7'!S47+'JOUR 8'!S47+'JOUR 9'!S47+'JOUR 10'!S47+'JOUR 11'!S47+'JOUR 12'!S47+'JOUR 13'!S47+'JOUR 14'!S47+#REF!+#REF!</f>
        <v>#REF!</v>
      </c>
      <c r="T47" s="31" t="e">
        <f>'JOUR 1'!T47+'JOUR 2'!T47+'JOUR 3'!T47+'JOUR 4'!T47+'JOUR 5'!T47+'JOUR 6'!T47+'JOUR 7'!T47+'JOUR 8'!T47+'JOUR 9'!T47+'JOUR 10'!T47+'JOUR 11'!T47+'JOUR 12'!T47+'JOUR 13'!T47+'JOUR 14'!T47+#REF!+#REF!</f>
        <v>#REF!</v>
      </c>
      <c r="U47" s="31" t="e">
        <f>'JOUR 1'!U47+'JOUR 2'!U47+'JOUR 3'!U47+'JOUR 4'!U47+'JOUR 5'!U47+'JOUR 6'!U47+'JOUR 7'!U47+'JOUR 8'!U47+'JOUR 9'!U47+'JOUR 10'!U47+'JOUR 11'!U47+'JOUR 12'!U47+'JOUR 13'!U47+'JOUR 14'!U47+#REF!+#REF!</f>
        <v>#REF!</v>
      </c>
      <c r="V47" s="32" t="e">
        <f>'JOUR 1'!V47+'JOUR 2'!V47+'JOUR 3'!V47+'JOUR 4'!V47+'JOUR 5'!V47+'JOUR 6'!V47+'JOUR 7'!V47+'JOUR 8'!V47+'JOUR 9'!V47+'JOUR 10'!V47+'JOUR 11'!V47+'JOUR 12'!V47+'JOUR 13'!V47+'JOUR 14'!V47+#REF!+#REF!</f>
        <v>#REF!</v>
      </c>
      <c r="W47" s="32" t="e">
        <f>'JOUR 1'!W47+'JOUR 2'!W47+'JOUR 3'!W47+'JOUR 4'!W47+'JOUR 5'!W47+'JOUR 6'!W47+'JOUR 7'!W47+'JOUR 8'!W47+'JOUR 9'!W47+'JOUR 10'!W47+'JOUR 11'!W47+'JOUR 12'!W47+'JOUR 13'!W47+'JOUR 14'!W47+#REF!+#REF!</f>
        <v>#REF!</v>
      </c>
      <c r="X47" s="32" t="e">
        <f>'JOUR 1'!X47+'JOUR 2'!X47+'JOUR 3'!X47+'JOUR 4'!X47+'JOUR 5'!X47+'JOUR 6'!X47+'JOUR 7'!X47+'JOUR 8'!X47+'JOUR 9'!X47+'JOUR 10'!X47+'JOUR 11'!X47+'JOUR 12'!X47+'JOUR 13'!X47+'JOUR 14'!X47+#REF!+#REF!</f>
        <v>#REF!</v>
      </c>
      <c r="Y47" s="75" t="e">
        <f>'JOUR 1'!Y47+'JOUR 2'!Y47+'JOUR 3'!Y47+'JOUR 4'!Y47+'JOUR 5'!Y47+'JOUR 6'!Y47+'JOUR 7'!Y47+'JOUR 8'!Y47+'JOUR 9'!Y47+'JOUR 10'!Y47+'JOUR 11'!Y47+'JOUR 12'!Y47+'JOUR 13'!Y47+'JOUR 14'!Y47+#REF!+#REF!</f>
        <v>#REF!</v>
      </c>
      <c r="Z47" s="33" t="e">
        <f>'JOUR 1'!Z47+'JOUR 2'!Z47+'JOUR 3'!Z47+'JOUR 4'!Z47+'JOUR 5'!Z47+'JOUR 6'!Z47+'JOUR 7'!Z47+'JOUR 8'!Z47+'JOUR 9'!Z47+'JOUR 10'!Z47+'JOUR 11'!Z47+'JOUR 12'!Z47+'JOUR 13'!Z47+'JOUR 14'!Z47+#REF!+#REF!</f>
        <v>#REF!</v>
      </c>
      <c r="AA47" s="34" t="e">
        <f>'JOUR 1'!AA47+'JOUR 2'!AA47+'JOUR 3'!AA47+'JOUR 4'!AA47+'JOUR 5'!AA47+'JOUR 6'!AA47+'JOUR 7'!AA47+'JOUR 8'!AA47+'JOUR 9'!AA47+'JOUR 10'!AA47+'JOUR 11'!AA47+'JOUR 12'!AA47+'JOUR 13'!AA47+'JOUR 14'!AA47+#REF!+#REF!</f>
        <v>#REF!</v>
      </c>
      <c r="AB47" s="34" t="e">
        <f>'JOUR 1'!AB47+'JOUR 2'!AB47+'JOUR 3'!AB47+'JOUR 4'!AB47+'JOUR 5'!AB47+'JOUR 6'!AB47+'JOUR 7'!AB47+'JOUR 8'!AB47+'JOUR 9'!AB47+'JOUR 10'!AB47+'JOUR 11'!AB47+'JOUR 12'!AB47+'JOUR 13'!AB47+'JOUR 14'!AB47+#REF!+#REF!</f>
        <v>#REF!</v>
      </c>
      <c r="AC47" s="34" t="e">
        <f>'JOUR 1'!AC47+'JOUR 2'!AC47+'JOUR 3'!AC47+'JOUR 4'!AC47+'JOUR 5'!AC47+'JOUR 6'!AC47+'JOUR 7'!AC47+'JOUR 8'!AC47+'JOUR 9'!AC47+'JOUR 10'!AC47+'JOUR 11'!AC47+'JOUR 12'!AC47+'JOUR 13'!AC47+'JOUR 14'!AC47+#REF!+#REF!</f>
        <v>#REF!</v>
      </c>
      <c r="AD47" s="35" t="e">
        <f>'JOUR 1'!AD47+'JOUR 2'!AD47+'JOUR 3'!AD47+'JOUR 4'!AD47+'JOUR 5'!AD47+'JOUR 6'!AD47+'JOUR 7'!AD47+'JOUR 8'!AD47+'JOUR 9'!AD47+'JOUR 10'!AD47+'JOUR 11'!AD47+'JOUR 12'!AD47+'JOUR 13'!AD47+'JOUR 14'!AD47+#REF!+#REF!</f>
        <v>#REF!</v>
      </c>
      <c r="AE47" s="34" t="e">
        <f>'JOUR 1'!AE47+'JOUR 2'!AE47+'JOUR 3'!AE47+'JOUR 4'!AE47+'JOUR 5'!AE47+'JOUR 6'!AE47+'JOUR 7'!AE47+'JOUR 8'!AE47+'JOUR 9'!AE47+'JOUR 10'!AE47+'JOUR 11'!AE47+'JOUR 12'!AE47+'JOUR 13'!AE47+'JOUR 14'!AE47+#REF!+#REF!</f>
        <v>#REF!</v>
      </c>
      <c r="AF47" s="34" t="e">
        <f>'JOUR 1'!AF47+'JOUR 2'!AF47+'JOUR 3'!AF47+'JOUR 4'!AF47+'JOUR 5'!AF47+'JOUR 6'!AF47+'JOUR 7'!AF47+'JOUR 8'!AF47+'JOUR 9'!AF47+'JOUR 10'!AF47+'JOUR 11'!AF47+'JOUR 12'!AF47+'JOUR 13'!AF47+'JOUR 14'!AF47+#REF!+#REF!</f>
        <v>#REF!</v>
      </c>
      <c r="AG47" s="34" t="e">
        <f>'JOUR 1'!AG47+'JOUR 2'!AG47+'JOUR 3'!AG47+'JOUR 4'!AG47+'JOUR 5'!AG47+'JOUR 6'!AG47+'JOUR 7'!AG47+'JOUR 8'!AG47+'JOUR 9'!AG47+'JOUR 10'!AG47+'JOUR 11'!AG47+'JOUR 12'!AG47+'JOUR 13'!AG47+'JOUR 14'!AG47+#REF!+#REF!</f>
        <v>#REF!</v>
      </c>
      <c r="AH47" s="21"/>
      <c r="AI47" s="22"/>
      <c r="AK47" s="87" t="e">
        <f t="shared" si="1"/>
        <v>#REF!</v>
      </c>
      <c r="AL47" s="87" t="e">
        <f t="shared" si="1"/>
        <v>#REF!</v>
      </c>
      <c r="AM47" s="87" t="e">
        <f t="shared" si="1"/>
        <v>#REF!</v>
      </c>
      <c r="AN47" s="87" t="e">
        <f t="shared" si="1"/>
        <v>#REF!</v>
      </c>
      <c r="AO47" s="87" t="e">
        <f t="shared" si="1"/>
        <v>#REF!</v>
      </c>
      <c r="AP47" s="87"/>
      <c r="AQ47" s="87"/>
      <c r="AR47" s="87"/>
      <c r="AS47" s="87" t="e">
        <f t="shared" si="2"/>
        <v>#REF!</v>
      </c>
      <c r="AT47" s="87"/>
      <c r="AU47" s="87"/>
      <c r="AV47" s="87"/>
      <c r="AW47" s="87"/>
      <c r="AX47" s="87"/>
      <c r="AY47" s="89"/>
    </row>
    <row r="48" spans="2:51" ht="17.399999999999999" x14ac:dyDescent="0.25">
      <c r="B48" s="16" t="s">
        <v>44</v>
      </c>
      <c r="C48" s="16" t="s">
        <v>88</v>
      </c>
      <c r="D48" s="17" t="e">
        <f>'JOUR 1'!D48+'JOUR 2'!D48+'JOUR 3'!D48+'JOUR 4'!D48+'JOUR 5'!D48+'JOUR 6'!D48+'JOUR 7'!D48+'JOUR 8'!D48+'JOUR 9'!D48+'JOUR 10'!D48+'JOUR 11'!D48+'JOUR 12'!D48+'JOUR 13'!D48+'JOUR 14'!D48+#REF!+#REF!</f>
        <v>#REF!</v>
      </c>
      <c r="E48" s="17" t="e">
        <f>'JOUR 1'!E48+'JOUR 2'!E48+'JOUR 3'!E48+'JOUR 4'!E48+'JOUR 5'!E48+'JOUR 6'!E48+'JOUR 7'!E48+'JOUR 8'!E48+'JOUR 9'!E48+'JOUR 10'!E48+'JOUR 11'!E48+'JOUR 12'!E48+'JOUR 13'!E48+'JOUR 14'!E48+#REF!+#REF!</f>
        <v>#REF!</v>
      </c>
      <c r="F48" s="17" t="e">
        <f>'JOUR 1'!F48+'JOUR 2'!F48+'JOUR 3'!F48+'JOUR 4'!F48+'JOUR 5'!F48+'JOUR 6'!F48+'JOUR 7'!F48+'JOUR 8'!F48+'JOUR 9'!F48+'JOUR 10'!F48+'JOUR 11'!F48+'JOUR 12'!F48+'JOUR 13'!F48+'JOUR 14'!F48+#REF!+#REF!</f>
        <v>#REF!</v>
      </c>
      <c r="G48" s="17" t="e">
        <f>'JOUR 1'!G48+'JOUR 2'!G48+'JOUR 3'!G48+'JOUR 4'!G48+'JOUR 5'!G48+'JOUR 6'!G48+'JOUR 7'!G48+'JOUR 8'!G48+'JOUR 9'!G48+'JOUR 10'!G48+'JOUR 11'!G48+'JOUR 12'!G48+'JOUR 13'!G48+'JOUR 14'!G48+#REF!+#REF!</f>
        <v>#REF!</v>
      </c>
      <c r="H48" s="17" t="e">
        <f>'JOUR 1'!H48+'JOUR 2'!H48+'JOUR 3'!H48+'JOUR 4'!H48+'JOUR 5'!H48+'JOUR 6'!H48+'JOUR 7'!H48+'JOUR 8'!H48+'JOUR 9'!H48+'JOUR 10'!H48+'JOUR 11'!H48+'JOUR 12'!H48+'JOUR 13'!H48+'JOUR 14'!H48+#REF!+#REF!</f>
        <v>#REF!</v>
      </c>
      <c r="I48" s="17" t="e">
        <f>'JOUR 1'!I48+'JOUR 2'!I48+'JOUR 3'!I48+'JOUR 4'!I48+'JOUR 5'!I48+'JOUR 6'!I48+'JOUR 7'!I48+'JOUR 8'!I48+'JOUR 9'!I48+'JOUR 10'!I48+'JOUR 11'!I48+'JOUR 12'!I48+'JOUR 13'!I48+'JOUR 14'!I48+#REF!+#REF!</f>
        <v>#REF!</v>
      </c>
      <c r="J48" s="17" t="e">
        <f>'JOUR 1'!J48+'JOUR 2'!J48+'JOUR 3'!J48+'JOUR 4'!J48+'JOUR 5'!J48+'JOUR 6'!J48+'JOUR 7'!J48+'JOUR 8'!J48+'JOUR 9'!J48+'JOUR 10'!J48+'JOUR 11'!J48+'JOUR 12'!J48+'JOUR 13'!J48+'JOUR 14'!J48+#REF!+#REF!</f>
        <v>#REF!</v>
      </c>
      <c r="K48" s="17" t="e">
        <f>'JOUR 1'!K48+'JOUR 2'!K48+'JOUR 3'!K48+'JOUR 4'!K48+'JOUR 5'!K48+'JOUR 6'!K48+'JOUR 7'!K48+'JOUR 8'!K48+'JOUR 9'!K48+'JOUR 10'!K48+'JOUR 11'!K48+'JOUR 12'!K48+'JOUR 13'!K48+'JOUR 14'!K48+#REF!+#REF!</f>
        <v>#REF!</v>
      </c>
      <c r="L48" s="17" t="e">
        <f>'JOUR 1'!L48+'JOUR 2'!L48+'JOUR 3'!L48+'JOUR 4'!L48+'JOUR 5'!L48+'JOUR 6'!L48+'JOUR 7'!L48+'JOUR 8'!L48+'JOUR 9'!L48+'JOUR 10'!L48+'JOUR 11'!L48+'JOUR 12'!L48+'JOUR 13'!L48+'JOUR 14'!L48+#REF!+#REF!</f>
        <v>#REF!</v>
      </c>
      <c r="M48" s="17" t="e">
        <f>'JOUR 1'!M48+'JOUR 2'!M48+'JOUR 3'!M48+'JOUR 4'!M48+'JOUR 5'!M48+'JOUR 6'!M48+'JOUR 7'!M48+'JOUR 8'!M48+'JOUR 9'!M48+'JOUR 10'!M48+'JOUR 11'!M48+'JOUR 12'!M48+'JOUR 13'!M48+'JOUR 14'!M48+#REF!+#REF!</f>
        <v>#REF!</v>
      </c>
      <c r="N48" s="17" t="e">
        <f>'JOUR 1'!N48+'JOUR 2'!N48+'JOUR 3'!N48+'JOUR 4'!N48+'JOUR 5'!N48+'JOUR 6'!N48+'JOUR 7'!N48+'JOUR 8'!N48+'JOUR 9'!N48+'JOUR 10'!N48+'JOUR 11'!N48+'JOUR 12'!N48+'JOUR 13'!N48+'JOUR 14'!N48+#REF!+#REF!</f>
        <v>#REF!</v>
      </c>
      <c r="O48" s="17" t="e">
        <f>'JOUR 1'!O48+'JOUR 2'!O48+'JOUR 3'!O48+'JOUR 4'!O48+'JOUR 5'!O48+'JOUR 6'!O48+'JOUR 7'!O48+'JOUR 8'!O48+'JOUR 9'!O48+'JOUR 10'!O48+'JOUR 11'!O48+'JOUR 12'!O48+'JOUR 13'!O48+'JOUR 14'!O48+#REF!+#REF!</f>
        <v>#REF!</v>
      </c>
      <c r="P48" s="17" t="e">
        <f>'JOUR 1'!P48+'JOUR 2'!P48+'JOUR 3'!P48+'JOUR 4'!P48+'JOUR 5'!P48+'JOUR 6'!P48+'JOUR 7'!P48+'JOUR 8'!P48+'JOUR 9'!P48+'JOUR 10'!P48+'JOUR 11'!P48+'JOUR 12'!P48+'JOUR 13'!P48+'JOUR 14'!P48+#REF!+#REF!</f>
        <v>#REF!</v>
      </c>
      <c r="Q48" s="17" t="e">
        <f>'JOUR 1'!Q48+'JOUR 2'!Q48+'JOUR 3'!Q48+'JOUR 4'!Q48+'JOUR 5'!Q48+'JOUR 6'!Q48+'JOUR 7'!Q48+'JOUR 8'!Q48+'JOUR 9'!Q48+'JOUR 10'!Q48+'JOUR 11'!Q48+'JOUR 12'!Q48+'JOUR 13'!Q48+'JOUR 14'!Q48+#REF!+#REF!</f>
        <v>#REF!</v>
      </c>
      <c r="R48" s="17" t="e">
        <f>'JOUR 1'!R48+'JOUR 2'!R48+'JOUR 3'!R48+'JOUR 4'!R48+'JOUR 5'!R48+'JOUR 6'!R48+'JOUR 7'!R48+'JOUR 8'!R48+'JOUR 9'!R48+'JOUR 10'!R48+'JOUR 11'!R48+'JOUR 12'!R48+'JOUR 13'!R48+'JOUR 14'!R48+#REF!+#REF!</f>
        <v>#REF!</v>
      </c>
      <c r="S48" s="31" t="e">
        <f>'JOUR 1'!S48+'JOUR 2'!S48+'JOUR 3'!S48+'JOUR 4'!S48+'JOUR 5'!S48+'JOUR 6'!S48+'JOUR 7'!S48+'JOUR 8'!S48+'JOUR 9'!S48+'JOUR 10'!S48+'JOUR 11'!S48+'JOUR 12'!S48+'JOUR 13'!S48+'JOUR 14'!S48+#REF!+#REF!</f>
        <v>#REF!</v>
      </c>
      <c r="T48" s="31" t="e">
        <f>'JOUR 1'!T48+'JOUR 2'!T48+'JOUR 3'!T48+'JOUR 4'!T48+'JOUR 5'!T48+'JOUR 6'!T48+'JOUR 7'!T48+'JOUR 8'!T48+'JOUR 9'!T48+'JOUR 10'!T48+'JOUR 11'!T48+'JOUR 12'!T48+'JOUR 13'!T48+'JOUR 14'!T48+#REF!+#REF!</f>
        <v>#REF!</v>
      </c>
      <c r="U48" s="31" t="e">
        <f>'JOUR 1'!U48+'JOUR 2'!U48+'JOUR 3'!U48+'JOUR 4'!U48+'JOUR 5'!U48+'JOUR 6'!U48+'JOUR 7'!U48+'JOUR 8'!U48+'JOUR 9'!U48+'JOUR 10'!U48+'JOUR 11'!U48+'JOUR 12'!U48+'JOUR 13'!U48+'JOUR 14'!U48+#REF!+#REF!</f>
        <v>#REF!</v>
      </c>
      <c r="V48" s="32" t="e">
        <f>'JOUR 1'!V48+'JOUR 2'!V48+'JOUR 3'!V48+'JOUR 4'!V48+'JOUR 5'!V48+'JOUR 6'!V48+'JOUR 7'!V48+'JOUR 8'!V48+'JOUR 9'!V48+'JOUR 10'!V48+'JOUR 11'!V48+'JOUR 12'!V48+'JOUR 13'!V48+'JOUR 14'!V48+#REF!+#REF!</f>
        <v>#REF!</v>
      </c>
      <c r="W48" s="32" t="e">
        <f>'JOUR 1'!W48+'JOUR 2'!W48+'JOUR 3'!W48+'JOUR 4'!W48+'JOUR 5'!W48+'JOUR 6'!W48+'JOUR 7'!W48+'JOUR 8'!W48+'JOUR 9'!W48+'JOUR 10'!W48+'JOUR 11'!W48+'JOUR 12'!W48+'JOUR 13'!W48+'JOUR 14'!W48+#REF!+#REF!</f>
        <v>#REF!</v>
      </c>
      <c r="X48" s="32" t="e">
        <f>'JOUR 1'!X48+'JOUR 2'!X48+'JOUR 3'!X48+'JOUR 4'!X48+'JOUR 5'!X48+'JOUR 6'!X48+'JOUR 7'!X48+'JOUR 8'!X48+'JOUR 9'!X48+'JOUR 10'!X48+'JOUR 11'!X48+'JOUR 12'!X48+'JOUR 13'!X48+'JOUR 14'!X48+#REF!+#REF!</f>
        <v>#REF!</v>
      </c>
      <c r="Y48" s="75" t="e">
        <f>'JOUR 1'!Y48+'JOUR 2'!Y48+'JOUR 3'!Y48+'JOUR 4'!Y48+'JOUR 5'!Y48+'JOUR 6'!Y48+'JOUR 7'!Y48+'JOUR 8'!Y48+'JOUR 9'!Y48+'JOUR 10'!Y48+'JOUR 11'!Y48+'JOUR 12'!Y48+'JOUR 13'!Y48+'JOUR 14'!Y48+#REF!+#REF!</f>
        <v>#REF!</v>
      </c>
      <c r="Z48" s="33" t="e">
        <f>'JOUR 1'!Z48+'JOUR 2'!Z48+'JOUR 3'!Z48+'JOUR 4'!Z48+'JOUR 5'!Z48+'JOUR 6'!Z48+'JOUR 7'!Z48+'JOUR 8'!Z48+'JOUR 9'!Z48+'JOUR 10'!Z48+'JOUR 11'!Z48+'JOUR 12'!Z48+'JOUR 13'!Z48+'JOUR 14'!Z48+#REF!+#REF!</f>
        <v>#REF!</v>
      </c>
      <c r="AA48" s="34" t="e">
        <f>'JOUR 1'!AA48+'JOUR 2'!AA48+'JOUR 3'!AA48+'JOUR 4'!AA48+'JOUR 5'!AA48+'JOUR 6'!AA48+'JOUR 7'!AA48+'JOUR 8'!AA48+'JOUR 9'!AA48+'JOUR 10'!AA48+'JOUR 11'!AA48+'JOUR 12'!AA48+'JOUR 13'!AA48+'JOUR 14'!AA48+#REF!+#REF!</f>
        <v>#REF!</v>
      </c>
      <c r="AB48" s="34" t="e">
        <f>'JOUR 1'!AB48+'JOUR 2'!AB48+'JOUR 3'!AB48+'JOUR 4'!AB48+'JOUR 5'!AB48+'JOUR 6'!AB48+'JOUR 7'!AB48+'JOUR 8'!AB48+'JOUR 9'!AB48+'JOUR 10'!AB48+'JOUR 11'!AB48+'JOUR 12'!AB48+'JOUR 13'!AB48+'JOUR 14'!AB48+#REF!+#REF!</f>
        <v>#REF!</v>
      </c>
      <c r="AC48" s="34" t="e">
        <f>'JOUR 1'!AC48+'JOUR 2'!AC48+'JOUR 3'!AC48+'JOUR 4'!AC48+'JOUR 5'!AC48+'JOUR 6'!AC48+'JOUR 7'!AC48+'JOUR 8'!AC48+'JOUR 9'!AC48+'JOUR 10'!AC48+'JOUR 11'!AC48+'JOUR 12'!AC48+'JOUR 13'!AC48+'JOUR 14'!AC48+#REF!+#REF!</f>
        <v>#REF!</v>
      </c>
      <c r="AD48" s="35" t="e">
        <f>'JOUR 1'!AD48+'JOUR 2'!AD48+'JOUR 3'!AD48+'JOUR 4'!AD48+'JOUR 5'!AD48+'JOUR 6'!AD48+'JOUR 7'!AD48+'JOUR 8'!AD48+'JOUR 9'!AD48+'JOUR 10'!AD48+'JOUR 11'!AD48+'JOUR 12'!AD48+'JOUR 13'!AD48+'JOUR 14'!AD48+#REF!+#REF!</f>
        <v>#REF!</v>
      </c>
      <c r="AE48" s="34" t="e">
        <f>'JOUR 1'!AE48+'JOUR 2'!AE48+'JOUR 3'!AE48+'JOUR 4'!AE48+'JOUR 5'!AE48+'JOUR 6'!AE48+'JOUR 7'!AE48+'JOUR 8'!AE48+'JOUR 9'!AE48+'JOUR 10'!AE48+'JOUR 11'!AE48+'JOUR 12'!AE48+'JOUR 13'!AE48+'JOUR 14'!AE48+#REF!+#REF!</f>
        <v>#REF!</v>
      </c>
      <c r="AF48" s="34" t="e">
        <f>'JOUR 1'!AF48+'JOUR 2'!AF48+'JOUR 3'!AF48+'JOUR 4'!AF48+'JOUR 5'!AF48+'JOUR 6'!AF48+'JOUR 7'!AF48+'JOUR 8'!AF48+'JOUR 9'!AF48+'JOUR 10'!AF48+'JOUR 11'!AF48+'JOUR 12'!AF48+'JOUR 13'!AF48+'JOUR 14'!AF48+#REF!+#REF!</f>
        <v>#REF!</v>
      </c>
      <c r="AG48" s="34" t="e">
        <f>'JOUR 1'!AG48+'JOUR 2'!AG48+'JOUR 3'!AG48+'JOUR 4'!AG48+'JOUR 5'!AG48+'JOUR 6'!AG48+'JOUR 7'!AG48+'JOUR 8'!AG48+'JOUR 9'!AG48+'JOUR 10'!AG48+'JOUR 11'!AG48+'JOUR 12'!AG48+'JOUR 13'!AG48+'JOUR 14'!AG48+#REF!+#REF!</f>
        <v>#REF!</v>
      </c>
      <c r="AH48" s="21"/>
      <c r="AI48" s="22"/>
      <c r="AK48" s="87" t="e">
        <f t="shared" si="1"/>
        <v>#REF!</v>
      </c>
      <c r="AL48" s="87" t="e">
        <f t="shared" si="1"/>
        <v>#REF!</v>
      </c>
      <c r="AM48" s="87" t="e">
        <f t="shared" si="1"/>
        <v>#REF!</v>
      </c>
      <c r="AN48" s="87" t="e">
        <f t="shared" si="1"/>
        <v>#REF!</v>
      </c>
      <c r="AO48" s="87" t="e">
        <f t="shared" si="1"/>
        <v>#REF!</v>
      </c>
      <c r="AP48" s="87"/>
      <c r="AQ48" s="87"/>
      <c r="AR48" s="87"/>
      <c r="AS48" s="87" t="e">
        <f t="shared" si="2"/>
        <v>#REF!</v>
      </c>
      <c r="AT48" s="87"/>
      <c r="AU48" s="87"/>
      <c r="AV48" s="87"/>
      <c r="AW48" s="87"/>
      <c r="AX48" s="87"/>
      <c r="AY48" s="89"/>
    </row>
    <row r="49" spans="1:51" ht="17.399999999999999" x14ac:dyDescent="0.25">
      <c r="B49" s="16" t="s">
        <v>44</v>
      </c>
      <c r="C49" s="16" t="s">
        <v>89</v>
      </c>
      <c r="D49" s="17" t="e">
        <f>'JOUR 1'!D49+'JOUR 2'!D49+'JOUR 3'!D49+'JOUR 4'!D49+'JOUR 5'!D49+'JOUR 6'!D49+'JOUR 7'!D49+'JOUR 8'!D49+'JOUR 9'!D49+'JOUR 10'!D49+'JOUR 11'!D49+'JOUR 12'!D49+'JOUR 13'!D49+'JOUR 14'!D49+#REF!+#REF!</f>
        <v>#REF!</v>
      </c>
      <c r="E49" s="17" t="e">
        <f>'JOUR 1'!E49+'JOUR 2'!E49+'JOUR 3'!E49+'JOUR 4'!E49+'JOUR 5'!E49+'JOUR 6'!E49+'JOUR 7'!E49+'JOUR 8'!E49+'JOUR 9'!E49+'JOUR 10'!E49+'JOUR 11'!E49+'JOUR 12'!E49+'JOUR 13'!E49+'JOUR 14'!E49+#REF!+#REF!</f>
        <v>#REF!</v>
      </c>
      <c r="F49" s="17" t="e">
        <f>'JOUR 1'!F49+'JOUR 2'!F49+'JOUR 3'!F49+'JOUR 4'!F49+'JOUR 5'!F49+'JOUR 6'!F49+'JOUR 7'!F49+'JOUR 8'!F49+'JOUR 9'!F49+'JOUR 10'!F49+'JOUR 11'!F49+'JOUR 12'!F49+'JOUR 13'!F49+'JOUR 14'!F49+#REF!+#REF!</f>
        <v>#REF!</v>
      </c>
      <c r="G49" s="17" t="e">
        <f>'JOUR 1'!G49+'JOUR 2'!G49+'JOUR 3'!G49+'JOUR 4'!G49+'JOUR 5'!G49+'JOUR 6'!G49+'JOUR 7'!G49+'JOUR 8'!G49+'JOUR 9'!G49+'JOUR 10'!G49+'JOUR 11'!G49+'JOUR 12'!G49+'JOUR 13'!G49+'JOUR 14'!G49+#REF!+#REF!</f>
        <v>#REF!</v>
      </c>
      <c r="H49" s="17" t="e">
        <f>'JOUR 1'!H49+'JOUR 2'!H49+'JOUR 3'!H49+'JOUR 4'!H49+'JOUR 5'!H49+'JOUR 6'!H49+'JOUR 7'!H49+'JOUR 8'!H49+'JOUR 9'!H49+'JOUR 10'!H49+'JOUR 11'!H49+'JOUR 12'!H49+'JOUR 13'!H49+'JOUR 14'!H49+#REF!+#REF!</f>
        <v>#REF!</v>
      </c>
      <c r="I49" s="17" t="e">
        <f>'JOUR 1'!I49+'JOUR 2'!I49+'JOUR 3'!I49+'JOUR 4'!I49+'JOUR 5'!I49+'JOUR 6'!I49+'JOUR 7'!I49+'JOUR 8'!I49+'JOUR 9'!I49+'JOUR 10'!I49+'JOUR 11'!I49+'JOUR 12'!I49+'JOUR 13'!I49+'JOUR 14'!I49+#REF!+#REF!</f>
        <v>#REF!</v>
      </c>
      <c r="J49" s="17" t="e">
        <f>'JOUR 1'!J49+'JOUR 2'!J49+'JOUR 3'!J49+'JOUR 4'!J49+'JOUR 5'!J49+'JOUR 6'!J49+'JOUR 7'!J49+'JOUR 8'!J49+'JOUR 9'!J49+'JOUR 10'!J49+'JOUR 11'!J49+'JOUR 12'!J49+'JOUR 13'!J49+'JOUR 14'!J49+#REF!+#REF!</f>
        <v>#REF!</v>
      </c>
      <c r="K49" s="17" t="e">
        <f>'JOUR 1'!K49+'JOUR 2'!K49+'JOUR 3'!K49+'JOUR 4'!K49+'JOUR 5'!K49+'JOUR 6'!K49+'JOUR 7'!K49+'JOUR 8'!K49+'JOUR 9'!K49+'JOUR 10'!K49+'JOUR 11'!K49+'JOUR 12'!K49+'JOUR 13'!K49+'JOUR 14'!K49+#REF!+#REF!</f>
        <v>#REF!</v>
      </c>
      <c r="L49" s="17" t="e">
        <f>'JOUR 1'!L49+'JOUR 2'!L49+'JOUR 3'!L49+'JOUR 4'!L49+'JOUR 5'!L49+'JOUR 6'!L49+'JOUR 7'!L49+'JOUR 8'!L49+'JOUR 9'!L49+'JOUR 10'!L49+'JOUR 11'!L49+'JOUR 12'!L49+'JOUR 13'!L49+'JOUR 14'!L49+#REF!+#REF!</f>
        <v>#REF!</v>
      </c>
      <c r="M49" s="17" t="e">
        <f>'JOUR 1'!M49+'JOUR 2'!M49+'JOUR 3'!M49+'JOUR 4'!M49+'JOUR 5'!M49+'JOUR 6'!M49+'JOUR 7'!M49+'JOUR 8'!M49+'JOUR 9'!M49+'JOUR 10'!M49+'JOUR 11'!M49+'JOUR 12'!M49+'JOUR 13'!M49+'JOUR 14'!M49+#REF!+#REF!</f>
        <v>#REF!</v>
      </c>
      <c r="N49" s="17" t="e">
        <f>'JOUR 1'!N49+'JOUR 2'!N49+'JOUR 3'!N49+'JOUR 4'!N49+'JOUR 5'!N49+'JOUR 6'!N49+'JOUR 7'!N49+'JOUR 8'!N49+'JOUR 9'!N49+'JOUR 10'!N49+'JOUR 11'!N49+'JOUR 12'!N49+'JOUR 13'!N49+'JOUR 14'!N49+#REF!+#REF!</f>
        <v>#REF!</v>
      </c>
      <c r="O49" s="17" t="e">
        <f>'JOUR 1'!O49+'JOUR 2'!O49+'JOUR 3'!O49+'JOUR 4'!O49+'JOUR 5'!O49+'JOUR 6'!O49+'JOUR 7'!O49+'JOUR 8'!O49+'JOUR 9'!O49+'JOUR 10'!O49+'JOUR 11'!O49+'JOUR 12'!O49+'JOUR 13'!O49+'JOUR 14'!O49+#REF!+#REF!</f>
        <v>#REF!</v>
      </c>
      <c r="P49" s="17" t="e">
        <f>'JOUR 1'!P49+'JOUR 2'!P49+'JOUR 3'!P49+'JOUR 4'!P49+'JOUR 5'!P49+'JOUR 6'!P49+'JOUR 7'!P49+'JOUR 8'!P49+'JOUR 9'!P49+'JOUR 10'!P49+'JOUR 11'!P49+'JOUR 12'!P49+'JOUR 13'!P49+'JOUR 14'!P49+#REF!+#REF!</f>
        <v>#REF!</v>
      </c>
      <c r="Q49" s="17" t="e">
        <f>'JOUR 1'!Q49+'JOUR 2'!Q49+'JOUR 3'!Q49+'JOUR 4'!Q49+'JOUR 5'!Q49+'JOUR 6'!Q49+'JOUR 7'!Q49+'JOUR 8'!Q49+'JOUR 9'!Q49+'JOUR 10'!Q49+'JOUR 11'!Q49+'JOUR 12'!Q49+'JOUR 13'!Q49+'JOUR 14'!Q49+#REF!+#REF!</f>
        <v>#REF!</v>
      </c>
      <c r="R49" s="17" t="e">
        <f>'JOUR 1'!R49+'JOUR 2'!R49+'JOUR 3'!R49+'JOUR 4'!R49+'JOUR 5'!R49+'JOUR 6'!R49+'JOUR 7'!R49+'JOUR 8'!R49+'JOUR 9'!R49+'JOUR 10'!R49+'JOUR 11'!R49+'JOUR 12'!R49+'JOUR 13'!R49+'JOUR 14'!R49+#REF!+#REF!</f>
        <v>#REF!</v>
      </c>
      <c r="S49" s="31" t="e">
        <f>'JOUR 1'!S49+'JOUR 2'!S49+'JOUR 3'!S49+'JOUR 4'!S49+'JOUR 5'!S49+'JOUR 6'!S49+'JOUR 7'!S49+'JOUR 8'!S49+'JOUR 9'!S49+'JOUR 10'!S49+'JOUR 11'!S49+'JOUR 12'!S49+'JOUR 13'!S49+'JOUR 14'!S49+#REF!+#REF!</f>
        <v>#REF!</v>
      </c>
      <c r="T49" s="31" t="e">
        <f>'JOUR 1'!T49+'JOUR 2'!T49+'JOUR 3'!T49+'JOUR 4'!T49+'JOUR 5'!T49+'JOUR 6'!T49+'JOUR 7'!T49+'JOUR 8'!T49+'JOUR 9'!T49+'JOUR 10'!T49+'JOUR 11'!T49+'JOUR 12'!T49+'JOUR 13'!T49+'JOUR 14'!T49+#REF!+#REF!</f>
        <v>#REF!</v>
      </c>
      <c r="U49" s="31" t="e">
        <f>'JOUR 1'!U49+'JOUR 2'!U49+'JOUR 3'!U49+'JOUR 4'!U49+'JOUR 5'!U49+'JOUR 6'!U49+'JOUR 7'!U49+'JOUR 8'!U49+'JOUR 9'!U49+'JOUR 10'!U49+'JOUR 11'!U49+'JOUR 12'!U49+'JOUR 13'!U49+'JOUR 14'!U49+#REF!+#REF!</f>
        <v>#REF!</v>
      </c>
      <c r="V49" s="32" t="e">
        <f>'JOUR 1'!V49+'JOUR 2'!V49+'JOUR 3'!V49+'JOUR 4'!V49+'JOUR 5'!V49+'JOUR 6'!V49+'JOUR 7'!V49+'JOUR 8'!V49+'JOUR 9'!V49+'JOUR 10'!V49+'JOUR 11'!V49+'JOUR 12'!V49+'JOUR 13'!V49+'JOUR 14'!V49+#REF!+#REF!</f>
        <v>#REF!</v>
      </c>
      <c r="W49" s="32" t="e">
        <f>'JOUR 1'!W49+'JOUR 2'!W49+'JOUR 3'!W49+'JOUR 4'!W49+'JOUR 5'!W49+'JOUR 6'!W49+'JOUR 7'!W49+'JOUR 8'!W49+'JOUR 9'!W49+'JOUR 10'!W49+'JOUR 11'!W49+'JOUR 12'!W49+'JOUR 13'!W49+'JOUR 14'!W49+#REF!+#REF!</f>
        <v>#REF!</v>
      </c>
      <c r="X49" s="32" t="e">
        <f>'JOUR 1'!X49+'JOUR 2'!X49+'JOUR 3'!X49+'JOUR 4'!X49+'JOUR 5'!X49+'JOUR 6'!X49+'JOUR 7'!X49+'JOUR 8'!X49+'JOUR 9'!X49+'JOUR 10'!X49+'JOUR 11'!X49+'JOUR 12'!X49+'JOUR 13'!X49+'JOUR 14'!X49+#REF!+#REF!</f>
        <v>#REF!</v>
      </c>
      <c r="Y49" s="75" t="e">
        <f>'JOUR 1'!Y49+'JOUR 2'!Y49+'JOUR 3'!Y49+'JOUR 4'!Y49+'JOUR 5'!Y49+'JOUR 6'!Y49+'JOUR 7'!Y49+'JOUR 8'!Y49+'JOUR 9'!Y49+'JOUR 10'!Y49+'JOUR 11'!Y49+'JOUR 12'!Y49+'JOUR 13'!Y49+'JOUR 14'!Y49+#REF!+#REF!</f>
        <v>#REF!</v>
      </c>
      <c r="Z49" s="33" t="e">
        <f>'JOUR 1'!Z49+'JOUR 2'!Z49+'JOUR 3'!Z49+'JOUR 4'!Z49+'JOUR 5'!Z49+'JOUR 6'!Z49+'JOUR 7'!Z49+'JOUR 8'!Z49+'JOUR 9'!Z49+'JOUR 10'!Z49+'JOUR 11'!Z49+'JOUR 12'!Z49+'JOUR 13'!Z49+'JOUR 14'!Z49+#REF!+#REF!</f>
        <v>#REF!</v>
      </c>
      <c r="AA49" s="34" t="e">
        <f>'JOUR 1'!AA49+'JOUR 2'!AA49+'JOUR 3'!AA49+'JOUR 4'!AA49+'JOUR 5'!AA49+'JOUR 6'!AA49+'JOUR 7'!AA49+'JOUR 8'!AA49+'JOUR 9'!AA49+'JOUR 10'!AA49+'JOUR 11'!AA49+'JOUR 12'!AA49+'JOUR 13'!AA49+'JOUR 14'!AA49+#REF!+#REF!</f>
        <v>#REF!</v>
      </c>
      <c r="AB49" s="34" t="e">
        <f>'JOUR 1'!AB49+'JOUR 2'!AB49+'JOUR 3'!AB49+'JOUR 4'!AB49+'JOUR 5'!AB49+'JOUR 6'!AB49+'JOUR 7'!AB49+'JOUR 8'!AB49+'JOUR 9'!AB49+'JOUR 10'!AB49+'JOUR 11'!AB49+'JOUR 12'!AB49+'JOUR 13'!AB49+'JOUR 14'!AB49+#REF!+#REF!</f>
        <v>#REF!</v>
      </c>
      <c r="AC49" s="34" t="e">
        <f>'JOUR 1'!AC49+'JOUR 2'!AC49+'JOUR 3'!AC49+'JOUR 4'!AC49+'JOUR 5'!AC49+'JOUR 6'!AC49+'JOUR 7'!AC49+'JOUR 8'!AC49+'JOUR 9'!AC49+'JOUR 10'!AC49+'JOUR 11'!AC49+'JOUR 12'!AC49+'JOUR 13'!AC49+'JOUR 14'!AC49+#REF!+#REF!</f>
        <v>#REF!</v>
      </c>
      <c r="AD49" s="35" t="e">
        <f>'JOUR 1'!AD49+'JOUR 2'!AD49+'JOUR 3'!AD49+'JOUR 4'!AD49+'JOUR 5'!AD49+'JOUR 6'!AD49+'JOUR 7'!AD49+'JOUR 8'!AD49+'JOUR 9'!AD49+'JOUR 10'!AD49+'JOUR 11'!AD49+'JOUR 12'!AD49+'JOUR 13'!AD49+'JOUR 14'!AD49+#REF!+#REF!</f>
        <v>#REF!</v>
      </c>
      <c r="AE49" s="34" t="e">
        <f>'JOUR 1'!AE49+'JOUR 2'!AE49+'JOUR 3'!AE49+'JOUR 4'!AE49+'JOUR 5'!AE49+'JOUR 6'!AE49+'JOUR 7'!AE49+'JOUR 8'!AE49+'JOUR 9'!AE49+'JOUR 10'!AE49+'JOUR 11'!AE49+'JOUR 12'!AE49+'JOUR 13'!AE49+'JOUR 14'!AE49+#REF!+#REF!</f>
        <v>#REF!</v>
      </c>
      <c r="AF49" s="34" t="e">
        <f>'JOUR 1'!AF49+'JOUR 2'!AF49+'JOUR 3'!AF49+'JOUR 4'!AF49+'JOUR 5'!AF49+'JOUR 6'!AF49+'JOUR 7'!AF49+'JOUR 8'!AF49+'JOUR 9'!AF49+'JOUR 10'!AF49+'JOUR 11'!AF49+'JOUR 12'!AF49+'JOUR 13'!AF49+'JOUR 14'!AF49+#REF!+#REF!</f>
        <v>#REF!</v>
      </c>
      <c r="AG49" s="34" t="e">
        <f>'JOUR 1'!AG49+'JOUR 2'!AG49+'JOUR 3'!AG49+'JOUR 4'!AG49+'JOUR 5'!AG49+'JOUR 6'!AG49+'JOUR 7'!AG49+'JOUR 8'!AG49+'JOUR 9'!AG49+'JOUR 10'!AG49+'JOUR 11'!AG49+'JOUR 12'!AG49+'JOUR 13'!AG49+'JOUR 14'!AG49+#REF!+#REF!</f>
        <v>#REF!</v>
      </c>
      <c r="AH49" s="21"/>
      <c r="AI49" s="22"/>
      <c r="AK49" s="87" t="e">
        <f t="shared" si="1"/>
        <v>#REF!</v>
      </c>
      <c r="AL49" s="87" t="e">
        <f t="shared" si="1"/>
        <v>#REF!</v>
      </c>
      <c r="AM49" s="87" t="e">
        <f t="shared" si="1"/>
        <v>#REF!</v>
      </c>
      <c r="AN49" s="87" t="e">
        <f t="shared" si="1"/>
        <v>#REF!</v>
      </c>
      <c r="AO49" s="87" t="e">
        <f t="shared" si="1"/>
        <v>#REF!</v>
      </c>
      <c r="AP49" s="87"/>
      <c r="AQ49" s="87"/>
      <c r="AR49" s="87"/>
      <c r="AS49" s="87" t="e">
        <f t="shared" si="2"/>
        <v>#REF!</v>
      </c>
      <c r="AT49" s="87"/>
      <c r="AU49" s="87"/>
      <c r="AV49" s="87"/>
      <c r="AW49" s="87"/>
      <c r="AX49" s="87"/>
      <c r="AY49" s="89"/>
    </row>
    <row r="50" spans="1:51" ht="17.399999999999999" x14ac:dyDescent="0.25">
      <c r="B50" s="16" t="s">
        <v>44</v>
      </c>
      <c r="C50" s="16" t="s">
        <v>90</v>
      </c>
      <c r="D50" s="17" t="e">
        <f>'JOUR 1'!D50+'JOUR 2'!D50+'JOUR 3'!D50+'JOUR 4'!D50+'JOUR 5'!D50+'JOUR 6'!D50+'JOUR 7'!D50+'JOUR 8'!D50+'JOUR 9'!D50+'JOUR 10'!D50+'JOUR 11'!D50+'JOUR 12'!D50+'JOUR 13'!D50+'JOUR 14'!D50+#REF!+#REF!</f>
        <v>#REF!</v>
      </c>
      <c r="E50" s="17" t="e">
        <f>'JOUR 1'!E50+'JOUR 2'!E50+'JOUR 3'!E50+'JOUR 4'!E50+'JOUR 5'!E50+'JOUR 6'!E50+'JOUR 7'!E50+'JOUR 8'!E50+'JOUR 9'!E50+'JOUR 10'!E50+'JOUR 11'!E50+'JOUR 12'!E50+'JOUR 13'!E50+'JOUR 14'!E50+#REF!+#REF!</f>
        <v>#REF!</v>
      </c>
      <c r="F50" s="17" t="e">
        <f>'JOUR 1'!F50+'JOUR 2'!F50+'JOUR 3'!F50+'JOUR 4'!F50+'JOUR 5'!F50+'JOUR 6'!F50+'JOUR 7'!F50+'JOUR 8'!F50+'JOUR 9'!F50+'JOUR 10'!F50+'JOUR 11'!F50+'JOUR 12'!F50+'JOUR 13'!F50+'JOUR 14'!F50+#REF!+#REF!</f>
        <v>#REF!</v>
      </c>
      <c r="G50" s="17" t="e">
        <f>'JOUR 1'!G50+'JOUR 2'!G50+'JOUR 3'!G50+'JOUR 4'!G50+'JOUR 5'!G50+'JOUR 6'!G50+'JOUR 7'!G50+'JOUR 8'!G50+'JOUR 9'!G50+'JOUR 10'!G50+'JOUR 11'!G50+'JOUR 12'!G50+'JOUR 13'!G50+'JOUR 14'!G50+#REF!+#REF!</f>
        <v>#REF!</v>
      </c>
      <c r="H50" s="17" t="e">
        <f>'JOUR 1'!H50+'JOUR 2'!H50+'JOUR 3'!H50+'JOUR 4'!H50+'JOUR 5'!H50+'JOUR 6'!H50+'JOUR 7'!H50+'JOUR 8'!H50+'JOUR 9'!H50+'JOUR 10'!H50+'JOUR 11'!H50+'JOUR 12'!H50+'JOUR 13'!H50+'JOUR 14'!H50+#REF!+#REF!</f>
        <v>#REF!</v>
      </c>
      <c r="I50" s="17" t="e">
        <f>'JOUR 1'!I50+'JOUR 2'!I50+'JOUR 3'!I50+'JOUR 4'!I50+'JOUR 5'!I50+'JOUR 6'!I50+'JOUR 7'!I50+'JOUR 8'!I50+'JOUR 9'!I50+'JOUR 10'!I50+'JOUR 11'!I50+'JOUR 12'!I50+'JOUR 13'!I50+'JOUR 14'!I50+#REF!+#REF!</f>
        <v>#REF!</v>
      </c>
      <c r="J50" s="17" t="e">
        <f>'JOUR 1'!J50+'JOUR 2'!J50+'JOUR 3'!J50+'JOUR 4'!J50+'JOUR 5'!J50+'JOUR 6'!J50+'JOUR 7'!J50+'JOUR 8'!J50+'JOUR 9'!J50+'JOUR 10'!J50+'JOUR 11'!J50+'JOUR 12'!J50+'JOUR 13'!J50+'JOUR 14'!J50+#REF!+#REF!</f>
        <v>#REF!</v>
      </c>
      <c r="K50" s="17" t="e">
        <f>'JOUR 1'!K50+'JOUR 2'!K50+'JOUR 3'!K50+'JOUR 4'!K50+'JOUR 5'!K50+'JOUR 6'!K50+'JOUR 7'!K50+'JOUR 8'!K50+'JOUR 9'!K50+'JOUR 10'!K50+'JOUR 11'!K50+'JOUR 12'!K50+'JOUR 13'!K50+'JOUR 14'!K50+#REF!+#REF!</f>
        <v>#REF!</v>
      </c>
      <c r="L50" s="17" t="e">
        <f>'JOUR 1'!L50+'JOUR 2'!L50+'JOUR 3'!L50+'JOUR 4'!L50+'JOUR 5'!L50+'JOUR 6'!L50+'JOUR 7'!L50+'JOUR 8'!L50+'JOUR 9'!L50+'JOUR 10'!L50+'JOUR 11'!L50+'JOUR 12'!L50+'JOUR 13'!L50+'JOUR 14'!L50+#REF!+#REF!</f>
        <v>#REF!</v>
      </c>
      <c r="M50" s="17" t="e">
        <f>'JOUR 1'!M50+'JOUR 2'!M50+'JOUR 3'!M50+'JOUR 4'!M50+'JOUR 5'!M50+'JOUR 6'!M50+'JOUR 7'!M50+'JOUR 8'!M50+'JOUR 9'!M50+'JOUR 10'!M50+'JOUR 11'!M50+'JOUR 12'!M50+'JOUR 13'!M50+'JOUR 14'!M50+#REF!+#REF!</f>
        <v>#REF!</v>
      </c>
      <c r="N50" s="17" t="e">
        <f>'JOUR 1'!N50+'JOUR 2'!N50+'JOUR 3'!N50+'JOUR 4'!N50+'JOUR 5'!N50+'JOUR 6'!N50+'JOUR 7'!N50+'JOUR 8'!N50+'JOUR 9'!N50+'JOUR 10'!N50+'JOUR 11'!N50+'JOUR 12'!N50+'JOUR 13'!N50+'JOUR 14'!N50+#REF!+#REF!</f>
        <v>#REF!</v>
      </c>
      <c r="O50" s="17" t="e">
        <f>'JOUR 1'!O50+'JOUR 2'!O50+'JOUR 3'!O50+'JOUR 4'!O50+'JOUR 5'!O50+'JOUR 6'!O50+'JOUR 7'!O50+'JOUR 8'!O50+'JOUR 9'!O50+'JOUR 10'!O50+'JOUR 11'!O50+'JOUR 12'!O50+'JOUR 13'!O50+'JOUR 14'!O50+#REF!+#REF!</f>
        <v>#REF!</v>
      </c>
      <c r="P50" s="17" t="e">
        <f>'JOUR 1'!P50+'JOUR 2'!P50+'JOUR 3'!P50+'JOUR 4'!P50+'JOUR 5'!P50+'JOUR 6'!P50+'JOUR 7'!P50+'JOUR 8'!P50+'JOUR 9'!P50+'JOUR 10'!P50+'JOUR 11'!P50+'JOUR 12'!P50+'JOUR 13'!P50+'JOUR 14'!P50+#REF!+#REF!</f>
        <v>#REF!</v>
      </c>
      <c r="Q50" s="17" t="e">
        <f>'JOUR 1'!Q50+'JOUR 2'!Q50+'JOUR 3'!Q50+'JOUR 4'!Q50+'JOUR 5'!Q50+'JOUR 6'!Q50+'JOUR 7'!Q50+'JOUR 8'!Q50+'JOUR 9'!Q50+'JOUR 10'!Q50+'JOUR 11'!Q50+'JOUR 12'!Q50+'JOUR 13'!Q50+'JOUR 14'!Q50+#REF!+#REF!</f>
        <v>#REF!</v>
      </c>
      <c r="R50" s="17" t="e">
        <f>'JOUR 1'!R50+'JOUR 2'!R50+'JOUR 3'!R50+'JOUR 4'!R50+'JOUR 5'!R50+'JOUR 6'!R50+'JOUR 7'!R50+'JOUR 8'!R50+'JOUR 9'!R50+'JOUR 10'!R50+'JOUR 11'!R50+'JOUR 12'!R50+'JOUR 13'!R50+'JOUR 14'!R50+#REF!+#REF!</f>
        <v>#REF!</v>
      </c>
      <c r="S50" s="31" t="e">
        <f>'JOUR 1'!S50+'JOUR 2'!S50+'JOUR 3'!S50+'JOUR 4'!S50+'JOUR 5'!S50+'JOUR 6'!S50+'JOUR 7'!S50+'JOUR 8'!S50+'JOUR 9'!S50+'JOUR 10'!S50+'JOUR 11'!S50+'JOUR 12'!S50+'JOUR 13'!S50+'JOUR 14'!S50+#REF!+#REF!</f>
        <v>#REF!</v>
      </c>
      <c r="T50" s="31" t="e">
        <f>'JOUR 1'!T50+'JOUR 2'!T50+'JOUR 3'!T50+'JOUR 4'!T50+'JOUR 5'!T50+'JOUR 6'!T50+'JOUR 7'!T50+'JOUR 8'!T50+'JOUR 9'!T50+'JOUR 10'!T50+'JOUR 11'!T50+'JOUR 12'!T50+'JOUR 13'!T50+'JOUR 14'!T50+#REF!+#REF!</f>
        <v>#REF!</v>
      </c>
      <c r="U50" s="31" t="e">
        <f>'JOUR 1'!U50+'JOUR 2'!U50+'JOUR 3'!U50+'JOUR 4'!U50+'JOUR 5'!U50+'JOUR 6'!U50+'JOUR 7'!U50+'JOUR 8'!U50+'JOUR 9'!U50+'JOUR 10'!U50+'JOUR 11'!U50+'JOUR 12'!U50+'JOUR 13'!U50+'JOUR 14'!U50+#REF!+#REF!</f>
        <v>#REF!</v>
      </c>
      <c r="V50" s="32" t="e">
        <f>'JOUR 1'!V50+'JOUR 2'!V50+'JOUR 3'!V50+'JOUR 4'!V50+'JOUR 5'!V50+'JOUR 6'!V50+'JOUR 7'!V50+'JOUR 8'!V50+'JOUR 9'!V50+'JOUR 10'!V50+'JOUR 11'!V50+'JOUR 12'!V50+'JOUR 13'!V50+'JOUR 14'!V50+#REF!+#REF!</f>
        <v>#REF!</v>
      </c>
      <c r="W50" s="32" t="e">
        <f>'JOUR 1'!W50+'JOUR 2'!W50+'JOUR 3'!W50+'JOUR 4'!W50+'JOUR 5'!W50+'JOUR 6'!W50+'JOUR 7'!W50+'JOUR 8'!W50+'JOUR 9'!W50+'JOUR 10'!W50+'JOUR 11'!W50+'JOUR 12'!W50+'JOUR 13'!W50+'JOUR 14'!W50+#REF!+#REF!</f>
        <v>#REF!</v>
      </c>
      <c r="X50" s="32" t="e">
        <f>'JOUR 1'!X50+'JOUR 2'!X50+'JOUR 3'!X50+'JOUR 4'!X50+'JOUR 5'!X50+'JOUR 6'!X50+'JOUR 7'!X50+'JOUR 8'!X50+'JOUR 9'!X50+'JOUR 10'!X50+'JOUR 11'!X50+'JOUR 12'!X50+'JOUR 13'!X50+'JOUR 14'!X50+#REF!+#REF!</f>
        <v>#REF!</v>
      </c>
      <c r="Y50" s="75" t="e">
        <f>'JOUR 1'!Y50+'JOUR 2'!Y50+'JOUR 3'!Y50+'JOUR 4'!Y50+'JOUR 5'!Y50+'JOUR 6'!Y50+'JOUR 7'!Y50+'JOUR 8'!Y50+'JOUR 9'!Y50+'JOUR 10'!Y50+'JOUR 11'!Y50+'JOUR 12'!Y50+'JOUR 13'!Y50+'JOUR 14'!Y50+#REF!+#REF!</f>
        <v>#REF!</v>
      </c>
      <c r="Z50" s="33" t="e">
        <f>'JOUR 1'!Z50+'JOUR 2'!Z50+'JOUR 3'!Z50+'JOUR 4'!Z50+'JOUR 5'!Z50+'JOUR 6'!Z50+'JOUR 7'!Z50+'JOUR 8'!Z50+'JOUR 9'!Z50+'JOUR 10'!Z50+'JOUR 11'!Z50+'JOUR 12'!Z50+'JOUR 13'!Z50+'JOUR 14'!Z50+#REF!+#REF!</f>
        <v>#REF!</v>
      </c>
      <c r="AA50" s="34" t="e">
        <f>'JOUR 1'!AA50+'JOUR 2'!AA50+'JOUR 3'!AA50+'JOUR 4'!AA50+'JOUR 5'!AA50+'JOUR 6'!AA50+'JOUR 7'!AA50+'JOUR 8'!AA50+'JOUR 9'!AA50+'JOUR 10'!AA50+'JOUR 11'!AA50+'JOUR 12'!AA50+'JOUR 13'!AA50+'JOUR 14'!AA50+#REF!+#REF!</f>
        <v>#REF!</v>
      </c>
      <c r="AB50" s="34" t="e">
        <f>'JOUR 1'!AB50+'JOUR 2'!AB50+'JOUR 3'!AB50+'JOUR 4'!AB50+'JOUR 5'!AB50+'JOUR 6'!AB50+'JOUR 7'!AB50+'JOUR 8'!AB50+'JOUR 9'!AB50+'JOUR 10'!AB50+'JOUR 11'!AB50+'JOUR 12'!AB50+'JOUR 13'!AB50+'JOUR 14'!AB50+#REF!+#REF!</f>
        <v>#REF!</v>
      </c>
      <c r="AC50" s="34" t="e">
        <f>'JOUR 1'!AC50+'JOUR 2'!AC50+'JOUR 3'!AC50+'JOUR 4'!AC50+'JOUR 5'!AC50+'JOUR 6'!AC50+'JOUR 7'!AC50+'JOUR 8'!AC50+'JOUR 9'!AC50+'JOUR 10'!AC50+'JOUR 11'!AC50+'JOUR 12'!AC50+'JOUR 13'!AC50+'JOUR 14'!AC50+#REF!+#REF!</f>
        <v>#REF!</v>
      </c>
      <c r="AD50" s="35" t="e">
        <f>'JOUR 1'!AD50+'JOUR 2'!AD50+'JOUR 3'!AD50+'JOUR 4'!AD50+'JOUR 5'!AD50+'JOUR 6'!AD50+'JOUR 7'!AD50+'JOUR 8'!AD50+'JOUR 9'!AD50+'JOUR 10'!AD50+'JOUR 11'!AD50+'JOUR 12'!AD50+'JOUR 13'!AD50+'JOUR 14'!AD50+#REF!+#REF!</f>
        <v>#REF!</v>
      </c>
      <c r="AE50" s="34" t="e">
        <f>'JOUR 1'!AE50+'JOUR 2'!AE50+'JOUR 3'!AE50+'JOUR 4'!AE50+'JOUR 5'!AE50+'JOUR 6'!AE50+'JOUR 7'!AE50+'JOUR 8'!AE50+'JOUR 9'!AE50+'JOUR 10'!AE50+'JOUR 11'!AE50+'JOUR 12'!AE50+'JOUR 13'!AE50+'JOUR 14'!AE50+#REF!+#REF!</f>
        <v>#REF!</v>
      </c>
      <c r="AF50" s="34" t="e">
        <f>'JOUR 1'!AF50+'JOUR 2'!AF50+'JOUR 3'!AF50+'JOUR 4'!AF50+'JOUR 5'!AF50+'JOUR 6'!AF50+'JOUR 7'!AF50+'JOUR 8'!AF50+'JOUR 9'!AF50+'JOUR 10'!AF50+'JOUR 11'!AF50+'JOUR 12'!AF50+'JOUR 13'!AF50+'JOUR 14'!AF50+#REF!+#REF!</f>
        <v>#REF!</v>
      </c>
      <c r="AG50" s="34" t="e">
        <f>'JOUR 1'!AG50+'JOUR 2'!AG50+'JOUR 3'!AG50+'JOUR 4'!AG50+'JOUR 5'!AG50+'JOUR 6'!AG50+'JOUR 7'!AG50+'JOUR 8'!AG50+'JOUR 9'!AG50+'JOUR 10'!AG50+'JOUR 11'!AG50+'JOUR 12'!AG50+'JOUR 13'!AG50+'JOUR 14'!AG50+#REF!+#REF!</f>
        <v>#REF!</v>
      </c>
      <c r="AH50" s="21"/>
      <c r="AI50" s="22"/>
      <c r="AK50" s="87" t="e">
        <f t="shared" si="1"/>
        <v>#REF!</v>
      </c>
      <c r="AL50" s="87" t="e">
        <f t="shared" si="1"/>
        <v>#REF!</v>
      </c>
      <c r="AM50" s="87" t="e">
        <f t="shared" si="1"/>
        <v>#REF!</v>
      </c>
      <c r="AN50" s="87" t="e">
        <f t="shared" si="1"/>
        <v>#REF!</v>
      </c>
      <c r="AO50" s="87" t="e">
        <f t="shared" si="1"/>
        <v>#REF!</v>
      </c>
      <c r="AP50" s="87"/>
      <c r="AQ50" s="87"/>
      <c r="AR50" s="87"/>
      <c r="AS50" s="87" t="e">
        <f t="shared" si="2"/>
        <v>#REF!</v>
      </c>
      <c r="AT50" s="87"/>
      <c r="AU50" s="87"/>
      <c r="AV50" s="87"/>
      <c r="AW50" s="87"/>
      <c r="AX50" s="87"/>
      <c r="AY50" s="89"/>
    </row>
    <row r="51" spans="1:51" ht="17.399999999999999" x14ac:dyDescent="0.25">
      <c r="B51" s="16" t="s">
        <v>44</v>
      </c>
      <c r="C51" s="16" t="s">
        <v>91</v>
      </c>
      <c r="D51" s="17" t="e">
        <f>'JOUR 1'!D51+'JOUR 2'!D51+'JOUR 3'!D51+'JOUR 4'!D51+'JOUR 5'!D51+'JOUR 6'!D51+'JOUR 7'!D51+'JOUR 8'!D51+'JOUR 9'!D51+'JOUR 10'!D51+'JOUR 11'!D51+'JOUR 12'!D51+'JOUR 13'!D51+'JOUR 14'!D51+#REF!+#REF!</f>
        <v>#REF!</v>
      </c>
      <c r="E51" s="17" t="e">
        <f>'JOUR 1'!E51+'JOUR 2'!E51+'JOUR 3'!E51+'JOUR 4'!E51+'JOUR 5'!E51+'JOUR 6'!E51+'JOUR 7'!E51+'JOUR 8'!E51+'JOUR 9'!E51+'JOUR 10'!E51+'JOUR 11'!E51+'JOUR 12'!E51+'JOUR 13'!E51+'JOUR 14'!E51+#REF!+#REF!</f>
        <v>#REF!</v>
      </c>
      <c r="F51" s="17" t="e">
        <f>'JOUR 1'!F51+'JOUR 2'!F51+'JOUR 3'!F51+'JOUR 4'!F51+'JOUR 5'!F51+'JOUR 6'!F51+'JOUR 7'!F51+'JOUR 8'!F51+'JOUR 9'!F51+'JOUR 10'!F51+'JOUR 11'!F51+'JOUR 12'!F51+'JOUR 13'!F51+'JOUR 14'!F51+#REF!+#REF!</f>
        <v>#REF!</v>
      </c>
      <c r="G51" s="17" t="e">
        <f>'JOUR 1'!G51+'JOUR 2'!G51+'JOUR 3'!G51+'JOUR 4'!G51+'JOUR 5'!G51+'JOUR 6'!G51+'JOUR 7'!G51+'JOUR 8'!G51+'JOUR 9'!G51+'JOUR 10'!G51+'JOUR 11'!G51+'JOUR 12'!G51+'JOUR 13'!G51+'JOUR 14'!G51+#REF!+#REF!</f>
        <v>#REF!</v>
      </c>
      <c r="H51" s="17" t="e">
        <f>'JOUR 1'!H51+'JOUR 2'!H51+'JOUR 3'!H51+'JOUR 4'!H51+'JOUR 5'!H51+'JOUR 6'!H51+'JOUR 7'!H51+'JOUR 8'!H51+'JOUR 9'!H51+'JOUR 10'!H51+'JOUR 11'!H51+'JOUR 12'!H51+'JOUR 13'!H51+'JOUR 14'!H51+#REF!+#REF!</f>
        <v>#REF!</v>
      </c>
      <c r="I51" s="17" t="e">
        <f>'JOUR 1'!I51+'JOUR 2'!I51+'JOUR 3'!I51+'JOUR 4'!I51+'JOUR 5'!I51+'JOUR 6'!I51+'JOUR 7'!I51+'JOUR 8'!I51+'JOUR 9'!I51+'JOUR 10'!I51+'JOUR 11'!I51+'JOUR 12'!I51+'JOUR 13'!I51+'JOUR 14'!I51+#REF!+#REF!</f>
        <v>#REF!</v>
      </c>
      <c r="J51" s="17" t="e">
        <f>'JOUR 1'!J51+'JOUR 2'!J51+'JOUR 3'!J51+'JOUR 4'!J51+'JOUR 5'!J51+'JOUR 6'!J51+'JOUR 7'!J51+'JOUR 8'!J51+'JOUR 9'!J51+'JOUR 10'!J51+'JOUR 11'!J51+'JOUR 12'!J51+'JOUR 13'!J51+'JOUR 14'!J51+#REF!+#REF!</f>
        <v>#REF!</v>
      </c>
      <c r="K51" s="17" t="e">
        <f>'JOUR 1'!K51+'JOUR 2'!K51+'JOUR 3'!K51+'JOUR 4'!K51+'JOUR 5'!K51+'JOUR 6'!K51+'JOUR 7'!K51+'JOUR 8'!K51+'JOUR 9'!K51+'JOUR 10'!K51+'JOUR 11'!K51+'JOUR 12'!K51+'JOUR 13'!K51+'JOUR 14'!K51+#REF!+#REF!</f>
        <v>#REF!</v>
      </c>
      <c r="L51" s="17" t="e">
        <f>'JOUR 1'!L51+'JOUR 2'!L51+'JOUR 3'!L51+'JOUR 4'!L51+'JOUR 5'!L51+'JOUR 6'!L51+'JOUR 7'!L51+'JOUR 8'!L51+'JOUR 9'!L51+'JOUR 10'!L51+'JOUR 11'!L51+'JOUR 12'!L51+'JOUR 13'!L51+'JOUR 14'!L51+#REF!+#REF!</f>
        <v>#REF!</v>
      </c>
      <c r="M51" s="17" t="e">
        <f>'JOUR 1'!M51+'JOUR 2'!M51+'JOUR 3'!M51+'JOUR 4'!M51+'JOUR 5'!M51+'JOUR 6'!M51+'JOUR 7'!M51+'JOUR 8'!M51+'JOUR 9'!M51+'JOUR 10'!M51+'JOUR 11'!M51+'JOUR 12'!M51+'JOUR 13'!M51+'JOUR 14'!M51+#REF!+#REF!</f>
        <v>#REF!</v>
      </c>
      <c r="N51" s="17" t="e">
        <f>'JOUR 1'!N51+'JOUR 2'!N51+'JOUR 3'!N51+'JOUR 4'!N51+'JOUR 5'!N51+'JOUR 6'!N51+'JOUR 7'!N51+'JOUR 8'!N51+'JOUR 9'!N51+'JOUR 10'!N51+'JOUR 11'!N51+'JOUR 12'!N51+'JOUR 13'!N51+'JOUR 14'!N51+#REF!+#REF!</f>
        <v>#REF!</v>
      </c>
      <c r="O51" s="17" t="e">
        <f>'JOUR 1'!O51+'JOUR 2'!O51+'JOUR 3'!O51+'JOUR 4'!O51+'JOUR 5'!O51+'JOUR 6'!O51+'JOUR 7'!O51+'JOUR 8'!O51+'JOUR 9'!O51+'JOUR 10'!O51+'JOUR 11'!O51+'JOUR 12'!O51+'JOUR 13'!O51+'JOUR 14'!O51+#REF!+#REF!</f>
        <v>#REF!</v>
      </c>
      <c r="P51" s="17" t="e">
        <f>'JOUR 1'!P51+'JOUR 2'!P51+'JOUR 3'!P51+'JOUR 4'!P51+'JOUR 5'!P51+'JOUR 6'!P51+'JOUR 7'!P51+'JOUR 8'!P51+'JOUR 9'!P51+'JOUR 10'!P51+'JOUR 11'!P51+'JOUR 12'!P51+'JOUR 13'!P51+'JOUR 14'!P51+#REF!+#REF!</f>
        <v>#REF!</v>
      </c>
      <c r="Q51" s="17" t="e">
        <f>'JOUR 1'!Q51+'JOUR 2'!Q51+'JOUR 3'!Q51+'JOUR 4'!Q51+'JOUR 5'!Q51+'JOUR 6'!Q51+'JOUR 7'!Q51+'JOUR 8'!Q51+'JOUR 9'!Q51+'JOUR 10'!Q51+'JOUR 11'!Q51+'JOUR 12'!Q51+'JOUR 13'!Q51+'JOUR 14'!Q51+#REF!+#REF!</f>
        <v>#REF!</v>
      </c>
      <c r="R51" s="17" t="e">
        <f>'JOUR 1'!R51+'JOUR 2'!R51+'JOUR 3'!R51+'JOUR 4'!R51+'JOUR 5'!R51+'JOUR 6'!R51+'JOUR 7'!R51+'JOUR 8'!R51+'JOUR 9'!R51+'JOUR 10'!R51+'JOUR 11'!R51+'JOUR 12'!R51+'JOUR 13'!R51+'JOUR 14'!R51+#REF!+#REF!</f>
        <v>#REF!</v>
      </c>
      <c r="S51" s="31" t="e">
        <f>'JOUR 1'!S51+'JOUR 2'!S51+'JOUR 3'!S51+'JOUR 4'!S51+'JOUR 5'!S51+'JOUR 6'!S51+'JOUR 7'!S51+'JOUR 8'!S51+'JOUR 9'!S51+'JOUR 10'!S51+'JOUR 11'!S51+'JOUR 12'!S51+'JOUR 13'!S51+'JOUR 14'!S51+#REF!+#REF!</f>
        <v>#REF!</v>
      </c>
      <c r="T51" s="31" t="e">
        <f>'JOUR 1'!T51+'JOUR 2'!T51+'JOUR 3'!T51+'JOUR 4'!T51+'JOUR 5'!T51+'JOUR 6'!T51+'JOUR 7'!T51+'JOUR 8'!T51+'JOUR 9'!T51+'JOUR 10'!T51+'JOUR 11'!T51+'JOUR 12'!T51+'JOUR 13'!T51+'JOUR 14'!T51+#REF!+#REF!</f>
        <v>#REF!</v>
      </c>
      <c r="U51" s="31" t="e">
        <f>'JOUR 1'!U51+'JOUR 2'!U51+'JOUR 3'!U51+'JOUR 4'!U51+'JOUR 5'!U51+'JOUR 6'!U51+'JOUR 7'!U51+'JOUR 8'!U51+'JOUR 9'!U51+'JOUR 10'!U51+'JOUR 11'!U51+'JOUR 12'!U51+'JOUR 13'!U51+'JOUR 14'!U51+#REF!+#REF!</f>
        <v>#REF!</v>
      </c>
      <c r="V51" s="32" t="e">
        <f>'JOUR 1'!V51+'JOUR 2'!V51+'JOUR 3'!V51+'JOUR 4'!V51+'JOUR 5'!V51+'JOUR 6'!V51+'JOUR 7'!V51+'JOUR 8'!V51+'JOUR 9'!V51+'JOUR 10'!V51+'JOUR 11'!V51+'JOUR 12'!V51+'JOUR 13'!V51+'JOUR 14'!V51+#REF!+#REF!</f>
        <v>#REF!</v>
      </c>
      <c r="W51" s="32" t="e">
        <f>'JOUR 1'!W51+'JOUR 2'!W51+'JOUR 3'!W51+'JOUR 4'!W51+'JOUR 5'!W51+'JOUR 6'!W51+'JOUR 7'!W51+'JOUR 8'!W51+'JOUR 9'!W51+'JOUR 10'!W51+'JOUR 11'!W51+'JOUR 12'!W51+'JOUR 13'!W51+'JOUR 14'!W51+#REF!+#REF!</f>
        <v>#REF!</v>
      </c>
      <c r="X51" s="32" t="e">
        <f>'JOUR 1'!X51+'JOUR 2'!X51+'JOUR 3'!X51+'JOUR 4'!X51+'JOUR 5'!X51+'JOUR 6'!X51+'JOUR 7'!X51+'JOUR 8'!X51+'JOUR 9'!X51+'JOUR 10'!X51+'JOUR 11'!X51+'JOUR 12'!X51+'JOUR 13'!X51+'JOUR 14'!X51+#REF!+#REF!</f>
        <v>#REF!</v>
      </c>
      <c r="Y51" s="75" t="e">
        <f>'JOUR 1'!Y51+'JOUR 2'!Y51+'JOUR 3'!Y51+'JOUR 4'!Y51+'JOUR 5'!Y51+'JOUR 6'!Y51+'JOUR 7'!Y51+'JOUR 8'!Y51+'JOUR 9'!Y51+'JOUR 10'!Y51+'JOUR 11'!Y51+'JOUR 12'!Y51+'JOUR 13'!Y51+'JOUR 14'!Y51+#REF!+#REF!</f>
        <v>#REF!</v>
      </c>
      <c r="Z51" s="33" t="e">
        <f>'JOUR 1'!Z51+'JOUR 2'!Z51+'JOUR 3'!Z51+'JOUR 4'!Z51+'JOUR 5'!Z51+'JOUR 6'!Z51+'JOUR 7'!Z51+'JOUR 8'!Z51+'JOUR 9'!Z51+'JOUR 10'!Z51+'JOUR 11'!Z51+'JOUR 12'!Z51+'JOUR 13'!Z51+'JOUR 14'!Z51+#REF!+#REF!</f>
        <v>#REF!</v>
      </c>
      <c r="AA51" s="34" t="e">
        <f>'JOUR 1'!AA51+'JOUR 2'!AA51+'JOUR 3'!AA51+'JOUR 4'!AA51+'JOUR 5'!AA51+'JOUR 6'!AA51+'JOUR 7'!AA51+'JOUR 8'!AA51+'JOUR 9'!AA51+'JOUR 10'!AA51+'JOUR 11'!AA51+'JOUR 12'!AA51+'JOUR 13'!AA51+'JOUR 14'!AA51+#REF!+#REF!</f>
        <v>#REF!</v>
      </c>
      <c r="AB51" s="34" t="e">
        <f>'JOUR 1'!AB51+'JOUR 2'!AB51+'JOUR 3'!AB51+'JOUR 4'!AB51+'JOUR 5'!AB51+'JOUR 6'!AB51+'JOUR 7'!AB51+'JOUR 8'!AB51+'JOUR 9'!AB51+'JOUR 10'!AB51+'JOUR 11'!AB51+'JOUR 12'!AB51+'JOUR 13'!AB51+'JOUR 14'!AB51+#REF!+#REF!</f>
        <v>#REF!</v>
      </c>
      <c r="AC51" s="34" t="e">
        <f>'JOUR 1'!AC51+'JOUR 2'!AC51+'JOUR 3'!AC51+'JOUR 4'!AC51+'JOUR 5'!AC51+'JOUR 6'!AC51+'JOUR 7'!AC51+'JOUR 8'!AC51+'JOUR 9'!AC51+'JOUR 10'!AC51+'JOUR 11'!AC51+'JOUR 12'!AC51+'JOUR 13'!AC51+'JOUR 14'!AC51+#REF!+#REF!</f>
        <v>#REF!</v>
      </c>
      <c r="AD51" s="35" t="e">
        <f>'JOUR 1'!AD51+'JOUR 2'!AD51+'JOUR 3'!AD51+'JOUR 4'!AD51+'JOUR 5'!AD51+'JOUR 6'!AD51+'JOUR 7'!AD51+'JOUR 8'!AD51+'JOUR 9'!AD51+'JOUR 10'!AD51+'JOUR 11'!AD51+'JOUR 12'!AD51+'JOUR 13'!AD51+'JOUR 14'!AD51+#REF!+#REF!</f>
        <v>#REF!</v>
      </c>
      <c r="AE51" s="34" t="e">
        <f>'JOUR 1'!AE51+'JOUR 2'!AE51+'JOUR 3'!AE51+'JOUR 4'!AE51+'JOUR 5'!AE51+'JOUR 6'!AE51+'JOUR 7'!AE51+'JOUR 8'!AE51+'JOUR 9'!AE51+'JOUR 10'!AE51+'JOUR 11'!AE51+'JOUR 12'!AE51+'JOUR 13'!AE51+'JOUR 14'!AE51+#REF!+#REF!</f>
        <v>#REF!</v>
      </c>
      <c r="AF51" s="34" t="e">
        <f>'JOUR 1'!AF51+'JOUR 2'!AF51+'JOUR 3'!AF51+'JOUR 4'!AF51+'JOUR 5'!AF51+'JOUR 6'!AF51+'JOUR 7'!AF51+'JOUR 8'!AF51+'JOUR 9'!AF51+'JOUR 10'!AF51+'JOUR 11'!AF51+'JOUR 12'!AF51+'JOUR 13'!AF51+'JOUR 14'!AF51+#REF!+#REF!</f>
        <v>#REF!</v>
      </c>
      <c r="AG51" s="34" t="e">
        <f>'JOUR 1'!AG51+'JOUR 2'!AG51+'JOUR 3'!AG51+'JOUR 4'!AG51+'JOUR 5'!AG51+'JOUR 6'!AG51+'JOUR 7'!AG51+'JOUR 8'!AG51+'JOUR 9'!AG51+'JOUR 10'!AG51+'JOUR 11'!AG51+'JOUR 12'!AG51+'JOUR 13'!AG51+'JOUR 14'!AG51+#REF!+#REF!</f>
        <v>#REF!</v>
      </c>
      <c r="AH51" s="21"/>
      <c r="AI51" s="22"/>
      <c r="AK51" s="87" t="e">
        <f t="shared" si="1"/>
        <v>#REF!</v>
      </c>
      <c r="AL51" s="87" t="e">
        <f t="shared" si="1"/>
        <v>#REF!</v>
      </c>
      <c r="AM51" s="87" t="e">
        <f t="shared" si="1"/>
        <v>#REF!</v>
      </c>
      <c r="AN51" s="87" t="e">
        <f t="shared" si="1"/>
        <v>#REF!</v>
      </c>
      <c r="AO51" s="87" t="e">
        <f t="shared" si="1"/>
        <v>#REF!</v>
      </c>
      <c r="AP51" s="87"/>
      <c r="AQ51" s="87"/>
      <c r="AR51" s="87"/>
      <c r="AS51" s="87" t="e">
        <f t="shared" si="2"/>
        <v>#REF!</v>
      </c>
      <c r="AT51" s="87"/>
      <c r="AU51" s="87"/>
      <c r="AV51" s="87"/>
      <c r="AW51" s="87"/>
      <c r="AX51" s="87"/>
      <c r="AY51" s="89"/>
    </row>
    <row r="52" spans="1:51" ht="17.399999999999999" x14ac:dyDescent="0.25">
      <c r="B52" s="16" t="s">
        <v>44</v>
      </c>
      <c r="C52" s="16" t="s">
        <v>92</v>
      </c>
      <c r="D52" s="17" t="e">
        <f>'JOUR 1'!D52+'JOUR 2'!D52+'JOUR 3'!D52+'JOUR 4'!D52+'JOUR 5'!D52+'JOUR 6'!D52+'JOUR 7'!D52+'JOUR 8'!D52+'JOUR 9'!D52+'JOUR 10'!D52+'JOUR 11'!D52+'JOUR 12'!D52+'JOUR 13'!D52+'JOUR 14'!D52+#REF!+#REF!</f>
        <v>#REF!</v>
      </c>
      <c r="E52" s="17" t="e">
        <f>'JOUR 1'!E52+'JOUR 2'!E52+'JOUR 3'!E52+'JOUR 4'!E52+'JOUR 5'!E52+'JOUR 6'!E52+'JOUR 7'!E52+'JOUR 8'!E52+'JOUR 9'!E52+'JOUR 10'!E52+'JOUR 11'!E52+'JOUR 12'!E52+'JOUR 13'!E52+'JOUR 14'!E52+#REF!+#REF!</f>
        <v>#REF!</v>
      </c>
      <c r="F52" s="17" t="e">
        <f>'JOUR 1'!F52+'JOUR 2'!F52+'JOUR 3'!F52+'JOUR 4'!F52+'JOUR 5'!F52+'JOUR 6'!F52+'JOUR 7'!F52+'JOUR 8'!F52+'JOUR 9'!F52+'JOUR 10'!F52+'JOUR 11'!F52+'JOUR 12'!F52+'JOUR 13'!F52+'JOUR 14'!F52+#REF!+#REF!</f>
        <v>#REF!</v>
      </c>
      <c r="G52" s="17" t="e">
        <f>'JOUR 1'!G52+'JOUR 2'!G52+'JOUR 3'!G52+'JOUR 4'!G52+'JOUR 5'!G52+'JOUR 6'!G52+'JOUR 7'!G52+'JOUR 8'!G52+'JOUR 9'!G52+'JOUR 10'!G52+'JOUR 11'!G52+'JOUR 12'!G52+'JOUR 13'!G52+'JOUR 14'!G52+#REF!+#REF!</f>
        <v>#REF!</v>
      </c>
      <c r="H52" s="17" t="e">
        <f>'JOUR 1'!H52+'JOUR 2'!H52+'JOUR 3'!H52+'JOUR 4'!H52+'JOUR 5'!H52+'JOUR 6'!H52+'JOUR 7'!H52+'JOUR 8'!H52+'JOUR 9'!H52+'JOUR 10'!H52+'JOUR 11'!H52+'JOUR 12'!H52+'JOUR 13'!H52+'JOUR 14'!H52+#REF!+#REF!</f>
        <v>#REF!</v>
      </c>
      <c r="I52" s="17" t="e">
        <f>'JOUR 1'!I52+'JOUR 2'!I52+'JOUR 3'!I52+'JOUR 4'!I52+'JOUR 5'!I52+'JOUR 6'!I52+'JOUR 7'!I52+'JOUR 8'!I52+'JOUR 9'!I52+'JOUR 10'!I52+'JOUR 11'!I52+'JOUR 12'!I52+'JOUR 13'!I52+'JOUR 14'!I52+#REF!+#REF!</f>
        <v>#REF!</v>
      </c>
      <c r="J52" s="17" t="e">
        <f>'JOUR 1'!J52+'JOUR 2'!J52+'JOUR 3'!J52+'JOUR 4'!J52+'JOUR 5'!J52+'JOUR 6'!J52+'JOUR 7'!J52+'JOUR 8'!J52+'JOUR 9'!J52+'JOUR 10'!J52+'JOUR 11'!J52+'JOUR 12'!J52+'JOUR 13'!J52+'JOUR 14'!J52+#REF!+#REF!</f>
        <v>#REF!</v>
      </c>
      <c r="K52" s="17" t="e">
        <f>'JOUR 1'!K52+'JOUR 2'!K52+'JOUR 3'!K52+'JOUR 4'!K52+'JOUR 5'!K52+'JOUR 6'!K52+'JOUR 7'!K52+'JOUR 8'!K52+'JOUR 9'!K52+'JOUR 10'!K52+'JOUR 11'!K52+'JOUR 12'!K52+'JOUR 13'!K52+'JOUR 14'!K52+#REF!+#REF!</f>
        <v>#REF!</v>
      </c>
      <c r="L52" s="17" t="e">
        <f>'JOUR 1'!L52+'JOUR 2'!L52+'JOUR 3'!L52+'JOUR 4'!L52+'JOUR 5'!L52+'JOUR 6'!L52+'JOUR 7'!L52+'JOUR 8'!L52+'JOUR 9'!L52+'JOUR 10'!L52+'JOUR 11'!L52+'JOUR 12'!L52+'JOUR 13'!L52+'JOUR 14'!L52+#REF!+#REF!</f>
        <v>#REF!</v>
      </c>
      <c r="M52" s="17" t="e">
        <f>'JOUR 1'!M52+'JOUR 2'!M52+'JOUR 3'!M52+'JOUR 4'!M52+'JOUR 5'!M52+'JOUR 6'!M52+'JOUR 7'!M52+'JOUR 8'!M52+'JOUR 9'!M52+'JOUR 10'!M52+'JOUR 11'!M52+'JOUR 12'!M52+'JOUR 13'!M52+'JOUR 14'!M52+#REF!+#REF!</f>
        <v>#REF!</v>
      </c>
      <c r="N52" s="17" t="e">
        <f>'JOUR 1'!N52+'JOUR 2'!N52+'JOUR 3'!N52+'JOUR 4'!N52+'JOUR 5'!N52+'JOUR 6'!N52+'JOUR 7'!N52+'JOUR 8'!N52+'JOUR 9'!N52+'JOUR 10'!N52+'JOUR 11'!N52+'JOUR 12'!N52+'JOUR 13'!N52+'JOUR 14'!N52+#REF!+#REF!</f>
        <v>#REF!</v>
      </c>
      <c r="O52" s="17" t="e">
        <f>'JOUR 1'!O52+'JOUR 2'!O52+'JOUR 3'!O52+'JOUR 4'!O52+'JOUR 5'!O52+'JOUR 6'!O52+'JOUR 7'!O52+'JOUR 8'!O52+'JOUR 9'!O52+'JOUR 10'!O52+'JOUR 11'!O52+'JOUR 12'!O52+'JOUR 13'!O52+'JOUR 14'!O52+#REF!+#REF!</f>
        <v>#REF!</v>
      </c>
      <c r="P52" s="17" t="e">
        <f>'JOUR 1'!P52+'JOUR 2'!P52+'JOUR 3'!P52+'JOUR 4'!P52+'JOUR 5'!P52+'JOUR 6'!P52+'JOUR 7'!P52+'JOUR 8'!P52+'JOUR 9'!P52+'JOUR 10'!P52+'JOUR 11'!P52+'JOUR 12'!P52+'JOUR 13'!P52+'JOUR 14'!P52+#REF!+#REF!</f>
        <v>#REF!</v>
      </c>
      <c r="Q52" s="17" t="e">
        <f>'JOUR 1'!Q52+'JOUR 2'!Q52+'JOUR 3'!Q52+'JOUR 4'!Q52+'JOUR 5'!Q52+'JOUR 6'!Q52+'JOUR 7'!Q52+'JOUR 8'!Q52+'JOUR 9'!Q52+'JOUR 10'!Q52+'JOUR 11'!Q52+'JOUR 12'!Q52+'JOUR 13'!Q52+'JOUR 14'!Q52+#REF!+#REF!</f>
        <v>#REF!</v>
      </c>
      <c r="R52" s="17" t="e">
        <f>'JOUR 1'!R52+'JOUR 2'!R52+'JOUR 3'!R52+'JOUR 4'!R52+'JOUR 5'!R52+'JOUR 6'!R52+'JOUR 7'!R52+'JOUR 8'!R52+'JOUR 9'!R52+'JOUR 10'!R52+'JOUR 11'!R52+'JOUR 12'!R52+'JOUR 13'!R52+'JOUR 14'!R52+#REF!+#REF!</f>
        <v>#REF!</v>
      </c>
      <c r="S52" s="31" t="e">
        <f>'JOUR 1'!S52+'JOUR 2'!S52+'JOUR 3'!S52+'JOUR 4'!S52+'JOUR 5'!S52+'JOUR 6'!S52+'JOUR 7'!S52+'JOUR 8'!S52+'JOUR 9'!S52+'JOUR 10'!S52+'JOUR 11'!S52+'JOUR 12'!S52+'JOUR 13'!S52+'JOUR 14'!S52+#REF!+#REF!</f>
        <v>#REF!</v>
      </c>
      <c r="T52" s="31" t="e">
        <f>'JOUR 1'!T52+'JOUR 2'!T52+'JOUR 3'!T52+'JOUR 4'!T52+'JOUR 5'!T52+'JOUR 6'!T52+'JOUR 7'!T52+'JOUR 8'!T52+'JOUR 9'!T52+'JOUR 10'!T52+'JOUR 11'!T52+'JOUR 12'!T52+'JOUR 13'!T52+'JOUR 14'!T52+#REF!+#REF!</f>
        <v>#REF!</v>
      </c>
      <c r="U52" s="31" t="e">
        <f>'JOUR 1'!U52+'JOUR 2'!U52+'JOUR 3'!U52+'JOUR 4'!U52+'JOUR 5'!U52+'JOUR 6'!U52+'JOUR 7'!U52+'JOUR 8'!U52+'JOUR 9'!U52+'JOUR 10'!U52+'JOUR 11'!U52+'JOUR 12'!U52+'JOUR 13'!U52+'JOUR 14'!U52+#REF!+#REF!</f>
        <v>#REF!</v>
      </c>
      <c r="V52" s="32" t="e">
        <f>'JOUR 1'!V52+'JOUR 2'!V52+'JOUR 3'!V52+'JOUR 4'!V52+'JOUR 5'!V52+'JOUR 6'!V52+'JOUR 7'!V52+'JOUR 8'!V52+'JOUR 9'!V52+'JOUR 10'!V52+'JOUR 11'!V52+'JOUR 12'!V52+'JOUR 13'!V52+'JOUR 14'!V52+#REF!+#REF!</f>
        <v>#REF!</v>
      </c>
      <c r="W52" s="32" t="e">
        <f>'JOUR 1'!W52+'JOUR 2'!W52+'JOUR 3'!W52+'JOUR 4'!W52+'JOUR 5'!W52+'JOUR 6'!W52+'JOUR 7'!W52+'JOUR 8'!W52+'JOUR 9'!W52+'JOUR 10'!W52+'JOUR 11'!W52+'JOUR 12'!W52+'JOUR 13'!W52+'JOUR 14'!W52+#REF!+#REF!</f>
        <v>#REF!</v>
      </c>
      <c r="X52" s="32" t="e">
        <f>'JOUR 1'!X52+'JOUR 2'!X52+'JOUR 3'!X52+'JOUR 4'!X52+'JOUR 5'!X52+'JOUR 6'!X52+'JOUR 7'!X52+'JOUR 8'!X52+'JOUR 9'!X52+'JOUR 10'!X52+'JOUR 11'!X52+'JOUR 12'!X52+'JOUR 13'!X52+'JOUR 14'!X52+#REF!+#REF!</f>
        <v>#REF!</v>
      </c>
      <c r="Y52" s="75" t="e">
        <f>'JOUR 1'!Y52+'JOUR 2'!Y52+'JOUR 3'!Y52+'JOUR 4'!Y52+'JOUR 5'!Y52+'JOUR 6'!Y52+'JOUR 7'!Y52+'JOUR 8'!Y52+'JOUR 9'!Y52+'JOUR 10'!Y52+'JOUR 11'!Y52+'JOUR 12'!Y52+'JOUR 13'!Y52+'JOUR 14'!Y52+#REF!+#REF!</f>
        <v>#REF!</v>
      </c>
      <c r="Z52" s="33" t="e">
        <f>'JOUR 1'!Z52+'JOUR 2'!Z52+'JOUR 3'!Z52+'JOUR 4'!Z52+'JOUR 5'!Z52+'JOUR 6'!Z52+'JOUR 7'!Z52+'JOUR 8'!Z52+'JOUR 9'!Z52+'JOUR 10'!Z52+'JOUR 11'!Z52+'JOUR 12'!Z52+'JOUR 13'!Z52+'JOUR 14'!Z52+#REF!+#REF!</f>
        <v>#REF!</v>
      </c>
      <c r="AA52" s="34" t="e">
        <f>'JOUR 1'!AA52+'JOUR 2'!AA52+'JOUR 3'!AA52+'JOUR 4'!AA52+'JOUR 5'!AA52+'JOUR 6'!AA52+'JOUR 7'!AA52+'JOUR 8'!AA52+'JOUR 9'!AA52+'JOUR 10'!AA52+'JOUR 11'!AA52+'JOUR 12'!AA52+'JOUR 13'!AA52+'JOUR 14'!AA52+#REF!+#REF!</f>
        <v>#REF!</v>
      </c>
      <c r="AB52" s="34" t="e">
        <f>'JOUR 1'!AB52+'JOUR 2'!AB52+'JOUR 3'!AB52+'JOUR 4'!AB52+'JOUR 5'!AB52+'JOUR 6'!AB52+'JOUR 7'!AB52+'JOUR 8'!AB52+'JOUR 9'!AB52+'JOUR 10'!AB52+'JOUR 11'!AB52+'JOUR 12'!AB52+'JOUR 13'!AB52+'JOUR 14'!AB52+#REF!+#REF!</f>
        <v>#REF!</v>
      </c>
      <c r="AC52" s="34" t="e">
        <f>'JOUR 1'!AC52+'JOUR 2'!AC52+'JOUR 3'!AC52+'JOUR 4'!AC52+'JOUR 5'!AC52+'JOUR 6'!AC52+'JOUR 7'!AC52+'JOUR 8'!AC52+'JOUR 9'!AC52+'JOUR 10'!AC52+'JOUR 11'!AC52+'JOUR 12'!AC52+'JOUR 13'!AC52+'JOUR 14'!AC52+#REF!+#REF!</f>
        <v>#REF!</v>
      </c>
      <c r="AD52" s="35" t="e">
        <f>'JOUR 1'!AD52+'JOUR 2'!AD52+'JOUR 3'!AD52+'JOUR 4'!AD52+'JOUR 5'!AD52+'JOUR 6'!AD52+'JOUR 7'!AD52+'JOUR 8'!AD52+'JOUR 9'!AD52+'JOUR 10'!AD52+'JOUR 11'!AD52+'JOUR 12'!AD52+'JOUR 13'!AD52+'JOUR 14'!AD52+#REF!+#REF!</f>
        <v>#REF!</v>
      </c>
      <c r="AE52" s="34" t="e">
        <f>'JOUR 1'!AE52+'JOUR 2'!AE52+'JOUR 3'!AE52+'JOUR 4'!AE52+'JOUR 5'!AE52+'JOUR 6'!AE52+'JOUR 7'!AE52+'JOUR 8'!AE52+'JOUR 9'!AE52+'JOUR 10'!AE52+'JOUR 11'!AE52+'JOUR 12'!AE52+'JOUR 13'!AE52+'JOUR 14'!AE52+#REF!+#REF!</f>
        <v>#REF!</v>
      </c>
      <c r="AF52" s="34" t="e">
        <f>'JOUR 1'!AF52+'JOUR 2'!AF52+'JOUR 3'!AF52+'JOUR 4'!AF52+'JOUR 5'!AF52+'JOUR 6'!AF52+'JOUR 7'!AF52+'JOUR 8'!AF52+'JOUR 9'!AF52+'JOUR 10'!AF52+'JOUR 11'!AF52+'JOUR 12'!AF52+'JOUR 13'!AF52+'JOUR 14'!AF52+#REF!+#REF!</f>
        <v>#REF!</v>
      </c>
      <c r="AG52" s="34" t="e">
        <f>'JOUR 1'!AG52+'JOUR 2'!AG52+'JOUR 3'!AG52+'JOUR 4'!AG52+'JOUR 5'!AG52+'JOUR 6'!AG52+'JOUR 7'!AG52+'JOUR 8'!AG52+'JOUR 9'!AG52+'JOUR 10'!AG52+'JOUR 11'!AG52+'JOUR 12'!AG52+'JOUR 13'!AG52+'JOUR 14'!AG52+#REF!+#REF!</f>
        <v>#REF!</v>
      </c>
      <c r="AH52" s="21"/>
      <c r="AI52" s="22"/>
      <c r="AK52" s="87" t="e">
        <f t="shared" si="1"/>
        <v>#REF!</v>
      </c>
      <c r="AL52" s="87" t="e">
        <f t="shared" si="1"/>
        <v>#REF!</v>
      </c>
      <c r="AM52" s="87" t="e">
        <f t="shared" si="1"/>
        <v>#REF!</v>
      </c>
      <c r="AN52" s="87" t="e">
        <f t="shared" si="1"/>
        <v>#REF!</v>
      </c>
      <c r="AO52" s="87" t="e">
        <f t="shared" si="1"/>
        <v>#REF!</v>
      </c>
      <c r="AP52" s="87"/>
      <c r="AQ52" s="87"/>
      <c r="AR52" s="87"/>
      <c r="AS52" s="87" t="e">
        <f t="shared" si="2"/>
        <v>#REF!</v>
      </c>
      <c r="AT52" s="87"/>
      <c r="AU52" s="87"/>
      <c r="AV52" s="87"/>
      <c r="AW52" s="87"/>
      <c r="AX52" s="87"/>
      <c r="AY52" s="89"/>
    </row>
    <row r="53" spans="1:51" ht="17.399999999999999" x14ac:dyDescent="0.25">
      <c r="B53" s="16" t="s">
        <v>44</v>
      </c>
      <c r="C53" s="16" t="s">
        <v>93</v>
      </c>
      <c r="D53" s="17" t="e">
        <f>'JOUR 1'!D53+'JOUR 2'!D53+'JOUR 3'!D53+'JOUR 4'!D53+'JOUR 5'!D53+'JOUR 6'!D53+'JOUR 7'!D53+'JOUR 8'!D53+'JOUR 9'!D53+'JOUR 10'!D53+'JOUR 11'!D53+'JOUR 12'!D53+'JOUR 13'!D53+'JOUR 14'!D53+#REF!+#REF!</f>
        <v>#REF!</v>
      </c>
      <c r="E53" s="17" t="e">
        <f>'JOUR 1'!E53+'JOUR 2'!E53+'JOUR 3'!E53+'JOUR 4'!E53+'JOUR 5'!E53+'JOUR 6'!E53+'JOUR 7'!E53+'JOUR 8'!E53+'JOUR 9'!E53+'JOUR 10'!E53+'JOUR 11'!E53+'JOUR 12'!E53+'JOUR 13'!E53+'JOUR 14'!E53+#REF!+#REF!</f>
        <v>#REF!</v>
      </c>
      <c r="F53" s="17" t="e">
        <f>'JOUR 1'!F53+'JOUR 2'!F53+'JOUR 3'!F53+'JOUR 4'!F53+'JOUR 5'!F53+'JOUR 6'!F53+'JOUR 7'!F53+'JOUR 8'!F53+'JOUR 9'!F53+'JOUR 10'!F53+'JOUR 11'!F53+'JOUR 12'!F53+'JOUR 13'!F53+'JOUR 14'!F53+#REF!+#REF!</f>
        <v>#REF!</v>
      </c>
      <c r="G53" s="17" t="e">
        <f>'JOUR 1'!G53+'JOUR 2'!G53+'JOUR 3'!G53+'JOUR 4'!G53+'JOUR 5'!G53+'JOUR 6'!G53+'JOUR 7'!G53+'JOUR 8'!G53+'JOUR 9'!G53+'JOUR 10'!G53+'JOUR 11'!G53+'JOUR 12'!G53+'JOUR 13'!G53+'JOUR 14'!G53+#REF!+#REF!</f>
        <v>#REF!</v>
      </c>
      <c r="H53" s="17" t="e">
        <f>'JOUR 1'!H53+'JOUR 2'!H53+'JOUR 3'!H53+'JOUR 4'!H53+'JOUR 5'!H53+'JOUR 6'!H53+'JOUR 7'!H53+'JOUR 8'!H53+'JOUR 9'!H53+'JOUR 10'!H53+'JOUR 11'!H53+'JOUR 12'!H53+'JOUR 13'!H53+'JOUR 14'!H53+#REF!+#REF!</f>
        <v>#REF!</v>
      </c>
      <c r="I53" s="17" t="e">
        <f>'JOUR 1'!I53+'JOUR 2'!I53+'JOUR 3'!I53+'JOUR 4'!I53+'JOUR 5'!I53+'JOUR 6'!I53+'JOUR 7'!I53+'JOUR 8'!I53+'JOUR 9'!I53+'JOUR 10'!I53+'JOUR 11'!I53+'JOUR 12'!I53+'JOUR 13'!I53+'JOUR 14'!I53+#REF!+#REF!</f>
        <v>#REF!</v>
      </c>
      <c r="J53" s="17" t="e">
        <f>'JOUR 1'!J53+'JOUR 2'!J53+'JOUR 3'!J53+'JOUR 4'!J53+'JOUR 5'!J53+'JOUR 6'!J53+'JOUR 7'!J53+'JOUR 8'!J53+'JOUR 9'!J53+'JOUR 10'!J53+'JOUR 11'!J53+'JOUR 12'!J53+'JOUR 13'!J53+'JOUR 14'!J53+#REF!+#REF!</f>
        <v>#REF!</v>
      </c>
      <c r="K53" s="17" t="e">
        <f>'JOUR 1'!K53+'JOUR 2'!K53+'JOUR 3'!K53+'JOUR 4'!K53+'JOUR 5'!K53+'JOUR 6'!K53+'JOUR 7'!K53+'JOUR 8'!K53+'JOUR 9'!K53+'JOUR 10'!K53+'JOUR 11'!K53+'JOUR 12'!K53+'JOUR 13'!K53+'JOUR 14'!K53+#REF!+#REF!</f>
        <v>#REF!</v>
      </c>
      <c r="L53" s="17" t="e">
        <f>'JOUR 1'!L53+'JOUR 2'!L53+'JOUR 3'!L53+'JOUR 4'!L53+'JOUR 5'!L53+'JOUR 6'!L53+'JOUR 7'!L53+'JOUR 8'!L53+'JOUR 9'!L53+'JOUR 10'!L53+'JOUR 11'!L53+'JOUR 12'!L53+'JOUR 13'!L53+'JOUR 14'!L53+#REF!+#REF!</f>
        <v>#REF!</v>
      </c>
      <c r="M53" s="17" t="e">
        <f>'JOUR 1'!M53+'JOUR 2'!M53+'JOUR 3'!M53+'JOUR 4'!M53+'JOUR 5'!M53+'JOUR 6'!M53+'JOUR 7'!M53+'JOUR 8'!M53+'JOUR 9'!M53+'JOUR 10'!M53+'JOUR 11'!M53+'JOUR 12'!M53+'JOUR 13'!M53+'JOUR 14'!M53+#REF!+#REF!</f>
        <v>#REF!</v>
      </c>
      <c r="N53" s="17" t="e">
        <f>'JOUR 1'!N53+'JOUR 2'!N53+'JOUR 3'!N53+'JOUR 4'!N53+'JOUR 5'!N53+'JOUR 6'!N53+'JOUR 7'!N53+'JOUR 8'!N53+'JOUR 9'!N53+'JOUR 10'!N53+'JOUR 11'!N53+'JOUR 12'!N53+'JOUR 13'!N53+'JOUR 14'!N53+#REF!+#REF!</f>
        <v>#REF!</v>
      </c>
      <c r="O53" s="17" t="e">
        <f>'JOUR 1'!O53+'JOUR 2'!O53+'JOUR 3'!O53+'JOUR 4'!O53+'JOUR 5'!O53+'JOUR 6'!O53+'JOUR 7'!O53+'JOUR 8'!O53+'JOUR 9'!O53+'JOUR 10'!O53+'JOUR 11'!O53+'JOUR 12'!O53+'JOUR 13'!O53+'JOUR 14'!O53+#REF!+#REF!</f>
        <v>#REF!</v>
      </c>
      <c r="P53" s="17" t="e">
        <f>'JOUR 1'!P53+'JOUR 2'!P53+'JOUR 3'!P53+'JOUR 4'!P53+'JOUR 5'!P53+'JOUR 6'!P53+'JOUR 7'!P53+'JOUR 8'!P53+'JOUR 9'!P53+'JOUR 10'!P53+'JOUR 11'!P53+'JOUR 12'!P53+'JOUR 13'!P53+'JOUR 14'!P53+#REF!+#REF!</f>
        <v>#REF!</v>
      </c>
      <c r="Q53" s="17" t="e">
        <f>'JOUR 1'!Q53+'JOUR 2'!Q53+'JOUR 3'!Q53+'JOUR 4'!Q53+'JOUR 5'!Q53+'JOUR 6'!Q53+'JOUR 7'!Q53+'JOUR 8'!Q53+'JOUR 9'!Q53+'JOUR 10'!Q53+'JOUR 11'!Q53+'JOUR 12'!Q53+'JOUR 13'!Q53+'JOUR 14'!Q53+#REF!+#REF!</f>
        <v>#REF!</v>
      </c>
      <c r="R53" s="17" t="e">
        <f>'JOUR 1'!R53+'JOUR 2'!R53+'JOUR 3'!R53+'JOUR 4'!R53+'JOUR 5'!R53+'JOUR 6'!R53+'JOUR 7'!R53+'JOUR 8'!R53+'JOUR 9'!R53+'JOUR 10'!R53+'JOUR 11'!R53+'JOUR 12'!R53+'JOUR 13'!R53+'JOUR 14'!R53+#REF!+#REF!</f>
        <v>#REF!</v>
      </c>
      <c r="S53" s="31" t="e">
        <f>'JOUR 1'!S53+'JOUR 2'!S53+'JOUR 3'!S53+'JOUR 4'!S53+'JOUR 5'!S53+'JOUR 6'!S53+'JOUR 7'!S53+'JOUR 8'!S53+'JOUR 9'!S53+'JOUR 10'!S53+'JOUR 11'!S53+'JOUR 12'!S53+'JOUR 13'!S53+'JOUR 14'!S53+#REF!+#REF!</f>
        <v>#REF!</v>
      </c>
      <c r="T53" s="31" t="e">
        <f>'JOUR 1'!T53+'JOUR 2'!T53+'JOUR 3'!T53+'JOUR 4'!T53+'JOUR 5'!T53+'JOUR 6'!T53+'JOUR 7'!T53+'JOUR 8'!T53+'JOUR 9'!T53+'JOUR 10'!T53+'JOUR 11'!T53+'JOUR 12'!T53+'JOUR 13'!T53+'JOUR 14'!T53+#REF!+#REF!</f>
        <v>#REF!</v>
      </c>
      <c r="U53" s="31" t="e">
        <f>'JOUR 1'!U53+'JOUR 2'!U53+'JOUR 3'!U53+'JOUR 4'!U53+'JOUR 5'!U53+'JOUR 6'!U53+'JOUR 7'!U53+'JOUR 8'!U53+'JOUR 9'!U53+'JOUR 10'!U53+'JOUR 11'!U53+'JOUR 12'!U53+'JOUR 13'!U53+'JOUR 14'!U53+#REF!+#REF!</f>
        <v>#REF!</v>
      </c>
      <c r="V53" s="32" t="e">
        <f>'JOUR 1'!V53+'JOUR 2'!V53+'JOUR 3'!V53+'JOUR 4'!V53+'JOUR 5'!V53+'JOUR 6'!V53+'JOUR 7'!V53+'JOUR 8'!V53+'JOUR 9'!V53+'JOUR 10'!V53+'JOUR 11'!V53+'JOUR 12'!V53+'JOUR 13'!V53+'JOUR 14'!V53+#REF!+#REF!</f>
        <v>#REF!</v>
      </c>
      <c r="W53" s="32" t="e">
        <f>'JOUR 1'!W53+'JOUR 2'!W53+'JOUR 3'!W53+'JOUR 4'!W53+'JOUR 5'!W53+'JOUR 6'!W53+'JOUR 7'!W53+'JOUR 8'!W53+'JOUR 9'!W53+'JOUR 10'!W53+'JOUR 11'!W53+'JOUR 12'!W53+'JOUR 13'!W53+'JOUR 14'!W53+#REF!+#REF!</f>
        <v>#REF!</v>
      </c>
      <c r="X53" s="32" t="e">
        <f>'JOUR 1'!X53+'JOUR 2'!X53+'JOUR 3'!X53+'JOUR 4'!X53+'JOUR 5'!X53+'JOUR 6'!X53+'JOUR 7'!X53+'JOUR 8'!X53+'JOUR 9'!X53+'JOUR 10'!X53+'JOUR 11'!X53+'JOUR 12'!X53+'JOUR 13'!X53+'JOUR 14'!X53+#REF!+#REF!</f>
        <v>#REF!</v>
      </c>
      <c r="Y53" s="75" t="e">
        <f>'JOUR 1'!Y53+'JOUR 2'!Y53+'JOUR 3'!Y53+'JOUR 4'!Y53+'JOUR 5'!Y53+'JOUR 6'!Y53+'JOUR 7'!Y53+'JOUR 8'!Y53+'JOUR 9'!Y53+'JOUR 10'!Y53+'JOUR 11'!Y53+'JOUR 12'!Y53+'JOUR 13'!Y53+'JOUR 14'!Y53+#REF!+#REF!</f>
        <v>#REF!</v>
      </c>
      <c r="Z53" s="33" t="e">
        <f>'JOUR 1'!Z53+'JOUR 2'!Z53+'JOUR 3'!Z53+'JOUR 4'!Z53+'JOUR 5'!Z53+'JOUR 6'!Z53+'JOUR 7'!Z53+'JOUR 8'!Z53+'JOUR 9'!Z53+'JOUR 10'!Z53+'JOUR 11'!Z53+'JOUR 12'!Z53+'JOUR 13'!Z53+'JOUR 14'!Z53+#REF!+#REF!</f>
        <v>#REF!</v>
      </c>
      <c r="AA53" s="34" t="e">
        <f>'JOUR 1'!AA53+'JOUR 2'!AA53+'JOUR 3'!AA53+'JOUR 4'!AA53+'JOUR 5'!AA53+'JOUR 6'!AA53+'JOUR 7'!AA53+'JOUR 8'!AA53+'JOUR 9'!AA53+'JOUR 10'!AA53+'JOUR 11'!AA53+'JOUR 12'!AA53+'JOUR 13'!AA53+'JOUR 14'!AA53+#REF!+#REF!</f>
        <v>#REF!</v>
      </c>
      <c r="AB53" s="34" t="e">
        <f>'JOUR 1'!AB53+'JOUR 2'!AB53+'JOUR 3'!AB53+'JOUR 4'!AB53+'JOUR 5'!AB53+'JOUR 6'!AB53+'JOUR 7'!AB53+'JOUR 8'!AB53+'JOUR 9'!AB53+'JOUR 10'!AB53+'JOUR 11'!AB53+'JOUR 12'!AB53+'JOUR 13'!AB53+'JOUR 14'!AB53+#REF!+#REF!</f>
        <v>#REF!</v>
      </c>
      <c r="AC53" s="34" t="e">
        <f>'JOUR 1'!AC53+'JOUR 2'!AC53+'JOUR 3'!AC53+'JOUR 4'!AC53+'JOUR 5'!AC53+'JOUR 6'!AC53+'JOUR 7'!AC53+'JOUR 8'!AC53+'JOUR 9'!AC53+'JOUR 10'!AC53+'JOUR 11'!AC53+'JOUR 12'!AC53+'JOUR 13'!AC53+'JOUR 14'!AC53+#REF!+#REF!</f>
        <v>#REF!</v>
      </c>
      <c r="AD53" s="35" t="e">
        <f>'JOUR 1'!AD53+'JOUR 2'!AD53+'JOUR 3'!AD53+'JOUR 4'!AD53+'JOUR 5'!AD53+'JOUR 6'!AD53+'JOUR 7'!AD53+'JOUR 8'!AD53+'JOUR 9'!AD53+'JOUR 10'!AD53+'JOUR 11'!AD53+'JOUR 12'!AD53+'JOUR 13'!AD53+'JOUR 14'!AD53+#REF!+#REF!</f>
        <v>#REF!</v>
      </c>
      <c r="AE53" s="34" t="e">
        <f>'JOUR 1'!AE53+'JOUR 2'!AE53+'JOUR 3'!AE53+'JOUR 4'!AE53+'JOUR 5'!AE53+'JOUR 6'!AE53+'JOUR 7'!AE53+'JOUR 8'!AE53+'JOUR 9'!AE53+'JOUR 10'!AE53+'JOUR 11'!AE53+'JOUR 12'!AE53+'JOUR 13'!AE53+'JOUR 14'!AE53+#REF!+#REF!</f>
        <v>#REF!</v>
      </c>
      <c r="AF53" s="34" t="e">
        <f>'JOUR 1'!AF53+'JOUR 2'!AF53+'JOUR 3'!AF53+'JOUR 4'!AF53+'JOUR 5'!AF53+'JOUR 6'!AF53+'JOUR 7'!AF53+'JOUR 8'!AF53+'JOUR 9'!AF53+'JOUR 10'!AF53+'JOUR 11'!AF53+'JOUR 12'!AF53+'JOUR 13'!AF53+'JOUR 14'!AF53+#REF!+#REF!</f>
        <v>#REF!</v>
      </c>
      <c r="AG53" s="34" t="e">
        <f>'JOUR 1'!AG53+'JOUR 2'!AG53+'JOUR 3'!AG53+'JOUR 4'!AG53+'JOUR 5'!AG53+'JOUR 6'!AG53+'JOUR 7'!AG53+'JOUR 8'!AG53+'JOUR 9'!AG53+'JOUR 10'!AG53+'JOUR 11'!AG53+'JOUR 12'!AG53+'JOUR 13'!AG53+'JOUR 14'!AG53+#REF!+#REF!</f>
        <v>#REF!</v>
      </c>
      <c r="AH53" s="21"/>
      <c r="AI53" s="22"/>
      <c r="AK53" s="87" t="e">
        <f t="shared" si="1"/>
        <v>#REF!</v>
      </c>
      <c r="AL53" s="87" t="e">
        <f t="shared" si="1"/>
        <v>#REF!</v>
      </c>
      <c r="AM53" s="87" t="e">
        <f t="shared" si="1"/>
        <v>#REF!</v>
      </c>
      <c r="AN53" s="87" t="e">
        <f t="shared" si="1"/>
        <v>#REF!</v>
      </c>
      <c r="AO53" s="87" t="e">
        <f t="shared" si="1"/>
        <v>#REF!</v>
      </c>
      <c r="AP53" s="87"/>
      <c r="AQ53" s="87"/>
      <c r="AR53" s="87"/>
      <c r="AS53" s="87" t="e">
        <f t="shared" si="2"/>
        <v>#REF!</v>
      </c>
      <c r="AT53" s="87"/>
      <c r="AU53" s="87"/>
      <c r="AV53" s="87"/>
      <c r="AW53" s="87"/>
      <c r="AX53" s="87"/>
      <c r="AY53" s="89"/>
    </row>
    <row r="54" spans="1:51" ht="17.399999999999999" x14ac:dyDescent="0.25">
      <c r="B54" s="16" t="s">
        <v>44</v>
      </c>
      <c r="C54" s="16" t="s">
        <v>94</v>
      </c>
      <c r="D54" s="17" t="e">
        <f>'JOUR 1'!D54+'JOUR 2'!D54+'JOUR 3'!D54+'JOUR 4'!D54+'JOUR 5'!D54+'JOUR 6'!D54+'JOUR 7'!D54+'JOUR 8'!D54+'JOUR 9'!D54+'JOUR 10'!D54+'JOUR 11'!D54+'JOUR 12'!D54+'JOUR 13'!D54+'JOUR 14'!D54+#REF!+#REF!</f>
        <v>#REF!</v>
      </c>
      <c r="E54" s="17" t="e">
        <f>'JOUR 1'!E54+'JOUR 2'!E54+'JOUR 3'!E54+'JOUR 4'!E54+'JOUR 5'!E54+'JOUR 6'!E54+'JOUR 7'!E54+'JOUR 8'!E54+'JOUR 9'!E54+'JOUR 10'!E54+'JOUR 11'!E54+'JOUR 12'!E54+'JOUR 13'!E54+'JOUR 14'!E54+#REF!+#REF!</f>
        <v>#REF!</v>
      </c>
      <c r="F54" s="17" t="e">
        <f>'JOUR 1'!F54+'JOUR 2'!F54+'JOUR 3'!F54+'JOUR 4'!F54+'JOUR 5'!F54+'JOUR 6'!F54+'JOUR 7'!F54+'JOUR 8'!F54+'JOUR 9'!F54+'JOUR 10'!F54+'JOUR 11'!F54+'JOUR 12'!F54+'JOUR 13'!F54+'JOUR 14'!F54+#REF!+#REF!</f>
        <v>#REF!</v>
      </c>
      <c r="G54" s="17" t="e">
        <f>'JOUR 1'!G54+'JOUR 2'!G54+'JOUR 3'!G54+'JOUR 4'!G54+'JOUR 5'!G54+'JOUR 6'!G54+'JOUR 7'!G54+'JOUR 8'!G54+'JOUR 9'!G54+'JOUR 10'!G54+'JOUR 11'!G54+'JOUR 12'!G54+'JOUR 13'!G54+'JOUR 14'!G54+#REF!+#REF!</f>
        <v>#REF!</v>
      </c>
      <c r="H54" s="17" t="e">
        <f>'JOUR 1'!H54+'JOUR 2'!H54+'JOUR 3'!H54+'JOUR 4'!H54+'JOUR 5'!H54+'JOUR 6'!H54+'JOUR 7'!H54+'JOUR 8'!H54+'JOUR 9'!H54+'JOUR 10'!H54+'JOUR 11'!H54+'JOUR 12'!H54+'JOUR 13'!H54+'JOUR 14'!H54+#REF!+#REF!</f>
        <v>#REF!</v>
      </c>
      <c r="I54" s="17" t="e">
        <f>'JOUR 1'!I54+'JOUR 2'!I54+'JOUR 3'!I54+'JOUR 4'!I54+'JOUR 5'!I54+'JOUR 6'!I54+'JOUR 7'!I54+'JOUR 8'!I54+'JOUR 9'!I54+'JOUR 10'!I54+'JOUR 11'!I54+'JOUR 12'!I54+'JOUR 13'!I54+'JOUR 14'!I54+#REF!+#REF!</f>
        <v>#REF!</v>
      </c>
      <c r="J54" s="17" t="e">
        <f>'JOUR 1'!J54+'JOUR 2'!J54+'JOUR 3'!J54+'JOUR 4'!J54+'JOUR 5'!J54+'JOUR 6'!J54+'JOUR 7'!J54+'JOUR 8'!J54+'JOUR 9'!J54+'JOUR 10'!J54+'JOUR 11'!J54+'JOUR 12'!J54+'JOUR 13'!J54+'JOUR 14'!J54+#REF!+#REF!</f>
        <v>#REF!</v>
      </c>
      <c r="K54" s="17" t="e">
        <f>'JOUR 1'!K54+'JOUR 2'!K54+'JOUR 3'!K54+'JOUR 4'!K54+'JOUR 5'!K54+'JOUR 6'!K54+'JOUR 7'!K54+'JOUR 8'!K54+'JOUR 9'!K54+'JOUR 10'!K54+'JOUR 11'!K54+'JOUR 12'!K54+'JOUR 13'!K54+'JOUR 14'!K54+#REF!+#REF!</f>
        <v>#REF!</v>
      </c>
      <c r="L54" s="17" t="e">
        <f>'JOUR 1'!L54+'JOUR 2'!L54+'JOUR 3'!L54+'JOUR 4'!L54+'JOUR 5'!L54+'JOUR 6'!L54+'JOUR 7'!L54+'JOUR 8'!L54+'JOUR 9'!L54+'JOUR 10'!L54+'JOUR 11'!L54+'JOUR 12'!L54+'JOUR 13'!L54+'JOUR 14'!L54+#REF!+#REF!</f>
        <v>#REF!</v>
      </c>
      <c r="M54" s="17" t="e">
        <f>'JOUR 1'!M54+'JOUR 2'!M54+'JOUR 3'!M54+'JOUR 4'!M54+'JOUR 5'!M54+'JOUR 6'!M54+'JOUR 7'!M54+'JOUR 8'!M54+'JOUR 9'!M54+'JOUR 10'!M54+'JOUR 11'!M54+'JOUR 12'!M54+'JOUR 13'!M54+'JOUR 14'!M54+#REF!+#REF!</f>
        <v>#REF!</v>
      </c>
      <c r="N54" s="17" t="e">
        <f>'JOUR 1'!N54+'JOUR 2'!N54+'JOUR 3'!N54+'JOUR 4'!N54+'JOUR 5'!N54+'JOUR 6'!N54+'JOUR 7'!N54+'JOUR 8'!N54+'JOUR 9'!N54+'JOUR 10'!N54+'JOUR 11'!N54+'JOUR 12'!N54+'JOUR 13'!N54+'JOUR 14'!N54+#REF!+#REF!</f>
        <v>#REF!</v>
      </c>
      <c r="O54" s="17" t="e">
        <f>'JOUR 1'!O54+'JOUR 2'!O54+'JOUR 3'!O54+'JOUR 4'!O54+'JOUR 5'!O54+'JOUR 6'!O54+'JOUR 7'!O54+'JOUR 8'!O54+'JOUR 9'!O54+'JOUR 10'!O54+'JOUR 11'!O54+'JOUR 12'!O54+'JOUR 13'!O54+'JOUR 14'!O54+#REF!+#REF!</f>
        <v>#REF!</v>
      </c>
      <c r="P54" s="17" t="e">
        <f>'JOUR 1'!P54+'JOUR 2'!P54+'JOUR 3'!P54+'JOUR 4'!P54+'JOUR 5'!P54+'JOUR 6'!P54+'JOUR 7'!P54+'JOUR 8'!P54+'JOUR 9'!P54+'JOUR 10'!P54+'JOUR 11'!P54+'JOUR 12'!P54+'JOUR 13'!P54+'JOUR 14'!P54+#REF!+#REF!</f>
        <v>#REF!</v>
      </c>
      <c r="Q54" s="17" t="e">
        <f>'JOUR 1'!Q54+'JOUR 2'!Q54+'JOUR 3'!Q54+'JOUR 4'!Q54+'JOUR 5'!Q54+'JOUR 6'!Q54+'JOUR 7'!Q54+'JOUR 8'!Q54+'JOUR 9'!Q54+'JOUR 10'!Q54+'JOUR 11'!Q54+'JOUR 12'!Q54+'JOUR 13'!Q54+'JOUR 14'!Q54+#REF!+#REF!</f>
        <v>#REF!</v>
      </c>
      <c r="R54" s="17" t="e">
        <f>'JOUR 1'!R54+'JOUR 2'!R54+'JOUR 3'!R54+'JOUR 4'!R54+'JOUR 5'!R54+'JOUR 6'!R54+'JOUR 7'!R54+'JOUR 8'!R54+'JOUR 9'!R54+'JOUR 10'!R54+'JOUR 11'!R54+'JOUR 12'!R54+'JOUR 13'!R54+'JOUR 14'!R54+#REF!+#REF!</f>
        <v>#REF!</v>
      </c>
      <c r="S54" s="31" t="e">
        <f>'JOUR 1'!S54+'JOUR 2'!S54+'JOUR 3'!S54+'JOUR 4'!S54+'JOUR 5'!S54+'JOUR 6'!S54+'JOUR 7'!S54+'JOUR 8'!S54+'JOUR 9'!S54+'JOUR 10'!S54+'JOUR 11'!S54+'JOUR 12'!S54+'JOUR 13'!S54+'JOUR 14'!S54+#REF!+#REF!</f>
        <v>#REF!</v>
      </c>
      <c r="T54" s="31" t="e">
        <f>'JOUR 1'!T54+'JOUR 2'!T54+'JOUR 3'!T54+'JOUR 4'!T54+'JOUR 5'!T54+'JOUR 6'!T54+'JOUR 7'!T54+'JOUR 8'!T54+'JOUR 9'!T54+'JOUR 10'!T54+'JOUR 11'!T54+'JOUR 12'!T54+'JOUR 13'!T54+'JOUR 14'!T54+#REF!+#REF!</f>
        <v>#REF!</v>
      </c>
      <c r="U54" s="31" t="e">
        <f>'JOUR 1'!U54+'JOUR 2'!U54+'JOUR 3'!U54+'JOUR 4'!U54+'JOUR 5'!U54+'JOUR 6'!U54+'JOUR 7'!U54+'JOUR 8'!U54+'JOUR 9'!U54+'JOUR 10'!U54+'JOUR 11'!U54+'JOUR 12'!U54+'JOUR 13'!U54+'JOUR 14'!U54+#REF!+#REF!</f>
        <v>#REF!</v>
      </c>
      <c r="V54" s="32" t="e">
        <f>'JOUR 1'!V54+'JOUR 2'!V54+'JOUR 3'!V54+'JOUR 4'!V54+'JOUR 5'!V54+'JOUR 6'!V54+'JOUR 7'!V54+'JOUR 8'!V54+'JOUR 9'!V54+'JOUR 10'!V54+'JOUR 11'!V54+'JOUR 12'!V54+'JOUR 13'!V54+'JOUR 14'!V54+#REF!+#REF!</f>
        <v>#REF!</v>
      </c>
      <c r="W54" s="32" t="e">
        <f>'JOUR 1'!W54+'JOUR 2'!W54+'JOUR 3'!W54+'JOUR 4'!W54+'JOUR 5'!W54+'JOUR 6'!W54+'JOUR 7'!W54+'JOUR 8'!W54+'JOUR 9'!W54+'JOUR 10'!W54+'JOUR 11'!W54+'JOUR 12'!W54+'JOUR 13'!W54+'JOUR 14'!W54+#REF!+#REF!</f>
        <v>#REF!</v>
      </c>
      <c r="X54" s="32" t="e">
        <f>'JOUR 1'!X54+'JOUR 2'!X54+'JOUR 3'!X54+'JOUR 4'!X54+'JOUR 5'!X54+'JOUR 6'!X54+'JOUR 7'!X54+'JOUR 8'!X54+'JOUR 9'!X54+'JOUR 10'!X54+'JOUR 11'!X54+'JOUR 12'!X54+'JOUR 13'!X54+'JOUR 14'!X54+#REF!+#REF!</f>
        <v>#REF!</v>
      </c>
      <c r="Y54" s="75" t="e">
        <f>'JOUR 1'!Y54+'JOUR 2'!Y54+'JOUR 3'!Y54+'JOUR 4'!Y54+'JOUR 5'!Y54+'JOUR 6'!Y54+'JOUR 7'!Y54+'JOUR 8'!Y54+'JOUR 9'!Y54+'JOUR 10'!Y54+'JOUR 11'!Y54+'JOUR 12'!Y54+'JOUR 13'!Y54+'JOUR 14'!Y54+#REF!+#REF!</f>
        <v>#REF!</v>
      </c>
      <c r="Z54" s="33" t="e">
        <f>'JOUR 1'!Z54+'JOUR 2'!Z54+'JOUR 3'!Z54+'JOUR 4'!Z54+'JOUR 5'!Z54+'JOUR 6'!Z54+'JOUR 7'!Z54+'JOUR 8'!Z54+'JOUR 9'!Z54+'JOUR 10'!Z54+'JOUR 11'!Z54+'JOUR 12'!Z54+'JOUR 13'!Z54+'JOUR 14'!Z54+#REF!+#REF!</f>
        <v>#REF!</v>
      </c>
      <c r="AA54" s="34" t="e">
        <f>'JOUR 1'!AA54+'JOUR 2'!AA54+'JOUR 3'!AA54+'JOUR 4'!AA54+'JOUR 5'!AA54+'JOUR 6'!AA54+'JOUR 7'!AA54+'JOUR 8'!AA54+'JOUR 9'!AA54+'JOUR 10'!AA54+'JOUR 11'!AA54+'JOUR 12'!AA54+'JOUR 13'!AA54+'JOUR 14'!AA54+#REF!+#REF!</f>
        <v>#REF!</v>
      </c>
      <c r="AB54" s="34" t="e">
        <f>'JOUR 1'!AB54+'JOUR 2'!AB54+'JOUR 3'!AB54+'JOUR 4'!AB54+'JOUR 5'!AB54+'JOUR 6'!AB54+'JOUR 7'!AB54+'JOUR 8'!AB54+'JOUR 9'!AB54+'JOUR 10'!AB54+'JOUR 11'!AB54+'JOUR 12'!AB54+'JOUR 13'!AB54+'JOUR 14'!AB54+#REF!+#REF!</f>
        <v>#REF!</v>
      </c>
      <c r="AC54" s="34" t="e">
        <f>'JOUR 1'!AC54+'JOUR 2'!AC54+'JOUR 3'!AC54+'JOUR 4'!AC54+'JOUR 5'!AC54+'JOUR 6'!AC54+'JOUR 7'!AC54+'JOUR 8'!AC54+'JOUR 9'!AC54+'JOUR 10'!AC54+'JOUR 11'!AC54+'JOUR 12'!AC54+'JOUR 13'!AC54+'JOUR 14'!AC54+#REF!+#REF!</f>
        <v>#REF!</v>
      </c>
      <c r="AD54" s="35" t="e">
        <f>'JOUR 1'!AD54+'JOUR 2'!AD54+'JOUR 3'!AD54+'JOUR 4'!AD54+'JOUR 5'!AD54+'JOUR 6'!AD54+'JOUR 7'!AD54+'JOUR 8'!AD54+'JOUR 9'!AD54+'JOUR 10'!AD54+'JOUR 11'!AD54+'JOUR 12'!AD54+'JOUR 13'!AD54+'JOUR 14'!AD54+#REF!+#REF!</f>
        <v>#REF!</v>
      </c>
      <c r="AE54" s="34" t="e">
        <f>'JOUR 1'!AE54+'JOUR 2'!AE54+'JOUR 3'!AE54+'JOUR 4'!AE54+'JOUR 5'!AE54+'JOUR 6'!AE54+'JOUR 7'!AE54+'JOUR 8'!AE54+'JOUR 9'!AE54+'JOUR 10'!AE54+'JOUR 11'!AE54+'JOUR 12'!AE54+'JOUR 13'!AE54+'JOUR 14'!AE54+#REF!+#REF!</f>
        <v>#REF!</v>
      </c>
      <c r="AF54" s="34" t="e">
        <f>'JOUR 1'!AF54+'JOUR 2'!AF54+'JOUR 3'!AF54+'JOUR 4'!AF54+'JOUR 5'!AF54+'JOUR 6'!AF54+'JOUR 7'!AF54+'JOUR 8'!AF54+'JOUR 9'!AF54+'JOUR 10'!AF54+'JOUR 11'!AF54+'JOUR 12'!AF54+'JOUR 13'!AF54+'JOUR 14'!AF54+#REF!+#REF!</f>
        <v>#REF!</v>
      </c>
      <c r="AG54" s="34" t="e">
        <f>'JOUR 1'!AG54+'JOUR 2'!AG54+'JOUR 3'!AG54+'JOUR 4'!AG54+'JOUR 5'!AG54+'JOUR 6'!AG54+'JOUR 7'!AG54+'JOUR 8'!AG54+'JOUR 9'!AG54+'JOUR 10'!AG54+'JOUR 11'!AG54+'JOUR 12'!AG54+'JOUR 13'!AG54+'JOUR 14'!AG54+#REF!+#REF!</f>
        <v>#REF!</v>
      </c>
      <c r="AH54" s="21"/>
      <c r="AI54" s="22"/>
      <c r="AK54" s="87" t="e">
        <f t="shared" si="1"/>
        <v>#REF!</v>
      </c>
      <c r="AL54" s="87" t="e">
        <f t="shared" si="1"/>
        <v>#REF!</v>
      </c>
      <c r="AM54" s="87" t="e">
        <f t="shared" si="1"/>
        <v>#REF!</v>
      </c>
      <c r="AN54" s="87" t="e">
        <f t="shared" si="1"/>
        <v>#REF!</v>
      </c>
      <c r="AO54" s="87" t="e">
        <f t="shared" si="1"/>
        <v>#REF!</v>
      </c>
      <c r="AP54" s="87"/>
      <c r="AQ54" s="87"/>
      <c r="AR54" s="87"/>
      <c r="AS54" s="87" t="e">
        <f t="shared" si="2"/>
        <v>#REF!</v>
      </c>
      <c r="AT54" s="87"/>
      <c r="AU54" s="87"/>
      <c r="AV54" s="87"/>
      <c r="AW54" s="87"/>
      <c r="AX54" s="87"/>
      <c r="AY54" s="89"/>
    </row>
    <row r="55" spans="1:51" s="51" customFormat="1" ht="18" thickBot="1" x14ac:dyDescent="0.3">
      <c r="A55" s="51">
        <v>2</v>
      </c>
      <c r="B55" s="16" t="s">
        <v>17</v>
      </c>
      <c r="C55" s="16"/>
      <c r="D55" s="61" t="e">
        <f>SUM(D5:D54)</f>
        <v>#REF!</v>
      </c>
      <c r="E55" s="62" t="e">
        <f>SUM(E5:E34)</f>
        <v>#REF!</v>
      </c>
      <c r="F55" s="61" t="e">
        <f>SUM(F5:F54)</f>
        <v>#REF!</v>
      </c>
      <c r="G55" s="61" t="e">
        <f t="shared" ref="G55" si="3">SUM(G5:G54)</f>
        <v>#REF!</v>
      </c>
      <c r="H55" s="61" t="e">
        <f>SUM(H5:H54)</f>
        <v>#REF!</v>
      </c>
      <c r="I55" s="61" t="e">
        <f t="shared" ref="I55:R55" si="4">SUM(I5:I54)</f>
        <v>#REF!</v>
      </c>
      <c r="J55" s="61" t="e">
        <f t="shared" si="4"/>
        <v>#REF!</v>
      </c>
      <c r="K55" s="61" t="e">
        <f t="shared" si="4"/>
        <v>#REF!</v>
      </c>
      <c r="L55" s="61" t="e">
        <f t="shared" si="4"/>
        <v>#REF!</v>
      </c>
      <c r="M55" s="61" t="e">
        <f t="shared" si="4"/>
        <v>#REF!</v>
      </c>
      <c r="N55" s="61" t="e">
        <f t="shared" si="4"/>
        <v>#REF!</v>
      </c>
      <c r="O55" s="61" t="e">
        <f t="shared" si="4"/>
        <v>#REF!</v>
      </c>
      <c r="P55" s="61" t="e">
        <f t="shared" si="4"/>
        <v>#REF!</v>
      </c>
      <c r="Q55" s="61" t="e">
        <f t="shared" si="4"/>
        <v>#REF!</v>
      </c>
      <c r="R55" s="61" t="e">
        <f t="shared" si="4"/>
        <v>#REF!</v>
      </c>
      <c r="S55" s="63" t="e">
        <f>SUM(S5:S54)</f>
        <v>#REF!</v>
      </c>
      <c r="T55" s="63" t="e">
        <f t="shared" ref="T55:AG55" si="5">SUM(T5:T54)</f>
        <v>#REF!</v>
      </c>
      <c r="U55" s="63" t="e">
        <f>SUM(U5:U54)</f>
        <v>#REF!</v>
      </c>
      <c r="V55" s="63" t="e">
        <f t="shared" si="5"/>
        <v>#REF!</v>
      </c>
      <c r="W55" s="63" t="e">
        <f t="shared" si="5"/>
        <v>#REF!</v>
      </c>
      <c r="X55" s="63" t="e">
        <f t="shared" si="5"/>
        <v>#REF!</v>
      </c>
      <c r="Y55" s="63" t="e">
        <f t="shared" si="5"/>
        <v>#REF!</v>
      </c>
      <c r="Z55" s="63" t="e">
        <f t="shared" si="5"/>
        <v>#REF!</v>
      </c>
      <c r="AA55" s="63" t="e">
        <f t="shared" si="5"/>
        <v>#REF!</v>
      </c>
      <c r="AB55" s="63" t="e">
        <f t="shared" si="5"/>
        <v>#REF!</v>
      </c>
      <c r="AC55" s="63" t="e">
        <f t="shared" si="5"/>
        <v>#REF!</v>
      </c>
      <c r="AD55" s="63" t="e">
        <f t="shared" si="5"/>
        <v>#REF!</v>
      </c>
      <c r="AE55" s="63" t="e">
        <f t="shared" si="5"/>
        <v>#REF!</v>
      </c>
      <c r="AF55" s="63" t="e">
        <f t="shared" si="5"/>
        <v>#REF!</v>
      </c>
      <c r="AG55" s="63" t="e">
        <f t="shared" si="5"/>
        <v>#REF!</v>
      </c>
      <c r="AH55" s="36">
        <f>SUM(AH5:AH34)</f>
        <v>0</v>
      </c>
      <c r="AI55" s="64">
        <f>SUM(AI5:AI34)</f>
        <v>0</v>
      </c>
      <c r="AK55" s="90" t="e">
        <f t="shared" si="1"/>
        <v>#REF!</v>
      </c>
      <c r="AL55" s="90" t="e">
        <f t="shared" si="1"/>
        <v>#REF!</v>
      </c>
      <c r="AM55" s="90" t="e">
        <f t="shared" si="1"/>
        <v>#REF!</v>
      </c>
      <c r="AN55" s="90" t="e">
        <f t="shared" si="1"/>
        <v>#REF!</v>
      </c>
      <c r="AO55" s="90" t="e">
        <f t="shared" si="1"/>
        <v>#REF!</v>
      </c>
      <c r="AP55" s="90"/>
      <c r="AQ55" s="90"/>
      <c r="AR55" s="90"/>
      <c r="AS55" s="90" t="e">
        <f t="shared" si="2"/>
        <v>#REF!</v>
      </c>
      <c r="AT55" s="90"/>
      <c r="AU55" s="90"/>
      <c r="AV55" s="90"/>
      <c r="AW55" s="90"/>
      <c r="AX55" s="90"/>
      <c r="AY55" s="91"/>
    </row>
    <row r="56" spans="1:51" ht="14.4" thickBot="1" x14ac:dyDescent="0.3"/>
    <row r="57" spans="1:51" ht="20.399999999999999" thickBot="1" x14ac:dyDescent="0.3">
      <c r="B57" s="111" t="s">
        <v>18</v>
      </c>
      <c r="C57" s="112"/>
      <c r="D57" s="23" t="e">
        <f>D55</f>
        <v>#REF!</v>
      </c>
      <c r="E57" s="23" t="e">
        <f>E55</f>
        <v>#REF!</v>
      </c>
      <c r="F57" s="65" t="e">
        <f>F55/120</f>
        <v>#REF!</v>
      </c>
      <c r="G57" s="66" t="e">
        <f>G55/6</f>
        <v>#REF!</v>
      </c>
      <c r="H57" s="66" t="e">
        <f>H55/10</f>
        <v>#REF!</v>
      </c>
      <c r="I57" s="66" t="e">
        <f>I55/100</f>
        <v>#REF!</v>
      </c>
      <c r="J57" s="67" t="e">
        <f>J55/10</f>
        <v>#REF!</v>
      </c>
      <c r="K57" s="68" t="e">
        <f>K55/60</f>
        <v>#REF!</v>
      </c>
      <c r="L57" s="68" t="e">
        <f>L55/120</f>
        <v>#REF!</v>
      </c>
      <c r="M57" s="68" t="e">
        <f>M55/100</f>
        <v>#REF!</v>
      </c>
      <c r="N57" s="68" t="e">
        <f>N55/60</f>
        <v>#REF!</v>
      </c>
      <c r="O57" s="27" t="e">
        <f>O55</f>
        <v>#REF!</v>
      </c>
      <c r="P57" s="27" t="e">
        <f t="shared" ref="P57:R57" si="6">P55</f>
        <v>#REF!</v>
      </c>
      <c r="Q57" s="27" t="e">
        <f t="shared" si="6"/>
        <v>#REF!</v>
      </c>
      <c r="R57" s="27" t="e">
        <f t="shared" si="6"/>
        <v>#REF!</v>
      </c>
      <c r="S57" s="24" t="e">
        <f>S55</f>
        <v>#REF!</v>
      </c>
      <c r="T57" s="24" t="e">
        <f>T55</f>
        <v>#REF!</v>
      </c>
      <c r="U57" s="24" t="e">
        <f>U55/120</f>
        <v>#REF!</v>
      </c>
      <c r="V57" s="25" t="e">
        <f>V55/6</f>
        <v>#REF!</v>
      </c>
      <c r="W57" s="25" t="e">
        <f>W55/10</f>
        <v>#REF!</v>
      </c>
      <c r="X57" s="25" t="e">
        <f>X55/100</f>
        <v>#REF!</v>
      </c>
      <c r="Y57" s="76" t="e">
        <f>Y55/20</f>
        <v>#REF!</v>
      </c>
      <c r="Z57" s="26" t="e">
        <f>Z55/60</f>
        <v>#REF!</v>
      </c>
      <c r="AA57" s="27" t="e">
        <f>AA55/120</f>
        <v>#REF!</v>
      </c>
      <c r="AB57" s="27" t="e">
        <f>AB55/100</f>
        <v>#REF!</v>
      </c>
      <c r="AC57" s="27" t="e">
        <f>AC55/60</f>
        <v>#REF!</v>
      </c>
      <c r="AD57" s="27" t="e">
        <f>AD55</f>
        <v>#REF!</v>
      </c>
      <c r="AE57" s="27" t="e">
        <f t="shared" ref="AE57:AG57" si="7">AE55</f>
        <v>#REF!</v>
      </c>
      <c r="AF57" s="27" t="e">
        <f t="shared" si="7"/>
        <v>#REF!</v>
      </c>
      <c r="AG57" s="27" t="e">
        <f t="shared" si="7"/>
        <v>#REF!</v>
      </c>
      <c r="AH57" s="23"/>
      <c r="AI57" s="28"/>
      <c r="AK57" s="24"/>
      <c r="AL57" s="23"/>
      <c r="AM57" s="24"/>
      <c r="AN57" s="25"/>
      <c r="AO57" s="25"/>
      <c r="AP57" s="25"/>
      <c r="AQ57" s="76"/>
      <c r="AR57" s="26"/>
      <c r="AS57" s="27"/>
      <c r="AT57" s="27"/>
      <c r="AU57" s="27"/>
      <c r="AV57" s="27"/>
      <c r="AW57" s="27"/>
      <c r="AX57" s="27"/>
      <c r="AY57" s="27"/>
    </row>
    <row r="59" spans="1:51" x14ac:dyDescent="0.25">
      <c r="L59" s="88"/>
    </row>
    <row r="60" spans="1:51" x14ac:dyDescent="0.25">
      <c r="L60" s="88"/>
    </row>
  </sheetData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6CDF7-BE2A-4A94-AB0F-7B9157456BF5}">
  <dimension ref="A1:AY5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46108</v>
      </c>
      <c r="D2" s="113" t="s">
        <v>107</v>
      </c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5" t="s">
        <v>108</v>
      </c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7"/>
      <c r="AK2" s="118" t="s">
        <v>109</v>
      </c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20"/>
    </row>
    <row r="3" spans="2:51" ht="18" thickBot="1" x14ac:dyDescent="0.3">
      <c r="B3" s="121" t="s">
        <v>1</v>
      </c>
      <c r="C3" s="123" t="s">
        <v>2</v>
      </c>
      <c r="D3" s="5" t="s">
        <v>3</v>
      </c>
      <c r="E3" s="6" t="str">
        <f>T3</f>
        <v>Acheteurs</v>
      </c>
      <c r="F3" s="125" t="s">
        <v>4</v>
      </c>
      <c r="G3" s="125"/>
      <c r="H3" s="125"/>
      <c r="I3" s="125"/>
      <c r="J3" s="126"/>
      <c r="K3" s="56"/>
      <c r="L3" s="127" t="s">
        <v>5</v>
      </c>
      <c r="M3" s="128"/>
      <c r="N3" s="129"/>
      <c r="O3" s="70"/>
      <c r="P3" s="70"/>
      <c r="Q3" s="70"/>
      <c r="R3" s="70"/>
      <c r="S3" s="7" t="s">
        <v>3</v>
      </c>
      <c r="T3" s="7" t="s">
        <v>6</v>
      </c>
      <c r="U3" s="130" t="s">
        <v>7</v>
      </c>
      <c r="V3" s="131"/>
      <c r="W3" s="131"/>
      <c r="X3" s="131"/>
      <c r="Y3" s="131"/>
      <c r="Z3" s="132"/>
      <c r="AA3" s="133" t="str">
        <f>L3</f>
        <v>Gratuités pour achats 
(en unités)</v>
      </c>
      <c r="AB3" s="134"/>
      <c r="AC3" s="135"/>
      <c r="AD3" s="133" t="s">
        <v>19</v>
      </c>
      <c r="AE3" s="134"/>
      <c r="AF3" s="134"/>
      <c r="AG3" s="135"/>
      <c r="AH3" s="136" t="s">
        <v>8</v>
      </c>
      <c r="AI3" s="138" t="s">
        <v>9</v>
      </c>
      <c r="AK3" s="79" t="s">
        <v>3</v>
      </c>
      <c r="AL3" s="79" t="s">
        <v>6</v>
      </c>
      <c r="AM3" s="140" t="s">
        <v>7</v>
      </c>
      <c r="AN3" s="141"/>
      <c r="AO3" s="141"/>
      <c r="AP3" s="141"/>
      <c r="AQ3" s="141"/>
      <c r="AR3" s="142"/>
      <c r="AS3" s="143" t="str">
        <f>AD3</f>
        <v>GOODIES</v>
      </c>
      <c r="AT3" s="144"/>
      <c r="AU3" s="145"/>
      <c r="AV3" s="143" t="s">
        <v>19</v>
      </c>
      <c r="AW3" s="144"/>
      <c r="AX3" s="144"/>
      <c r="AY3" s="145"/>
    </row>
    <row r="4" spans="2:51" ht="212.4" thickBot="1" x14ac:dyDescent="0.3">
      <c r="B4" s="122"/>
      <c r="C4" s="12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7"/>
      <c r="AI4" s="139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>
        <v>30</v>
      </c>
      <c r="T5" s="31">
        <v>0</v>
      </c>
      <c r="U5" s="31">
        <v>0</v>
      </c>
      <c r="V5" s="32">
        <v>0</v>
      </c>
      <c r="W5" s="32">
        <v>0</v>
      </c>
      <c r="X5" s="32">
        <v>0</v>
      </c>
      <c r="Y5" s="75">
        <v>0</v>
      </c>
      <c r="Z5" s="33">
        <v>0</v>
      </c>
      <c r="AA5" s="34">
        <v>0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 t="s">
        <v>113</v>
      </c>
      <c r="AI5" s="22"/>
      <c r="AK5" s="87">
        <f>S5/D5</f>
        <v>0.75</v>
      </c>
      <c r="AL5" s="87">
        <f t="shared" ref="AL5:AS5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>
        <v>20</v>
      </c>
      <c r="T6" s="31">
        <v>0</v>
      </c>
      <c r="U6" s="31">
        <v>0</v>
      </c>
      <c r="V6" s="31">
        <v>0</v>
      </c>
      <c r="W6" s="31">
        <v>0</v>
      </c>
      <c r="X6" s="31">
        <v>0</v>
      </c>
      <c r="Y6" s="31">
        <v>0</v>
      </c>
      <c r="Z6" s="31">
        <v>0</v>
      </c>
      <c r="AA6" s="31">
        <v>0</v>
      </c>
      <c r="AB6" s="31">
        <v>0</v>
      </c>
      <c r="AC6" s="31">
        <v>0</v>
      </c>
      <c r="AD6" s="31">
        <v>0</v>
      </c>
      <c r="AE6" s="31">
        <v>0</v>
      </c>
      <c r="AF6" s="31">
        <v>0</v>
      </c>
      <c r="AG6" s="31">
        <v>0</v>
      </c>
      <c r="AH6" s="21" t="s">
        <v>113</v>
      </c>
      <c r="AI6" s="22"/>
      <c r="AK6" s="87">
        <f t="shared" ref="AK6:AK55" si="2">S6/D6</f>
        <v>0.5</v>
      </c>
      <c r="AL6" s="87">
        <f t="shared" ref="AL6:AL55" si="3">T6/E6</f>
        <v>0</v>
      </c>
      <c r="AM6" s="87">
        <f t="shared" ref="AM6:AM55" si="4">U6/F6</f>
        <v>0</v>
      </c>
      <c r="AN6" s="87">
        <f t="shared" ref="AN6:AN55" si="5">V6/G6</f>
        <v>0</v>
      </c>
      <c r="AO6" s="87">
        <f t="shared" ref="AO6:AO55" si="6">W6/H6</f>
        <v>0</v>
      </c>
      <c r="AP6" s="87"/>
      <c r="AQ6" s="87"/>
      <c r="AR6" s="87"/>
      <c r="AS6" s="87">
        <f t="shared" ref="AS6:AS55" si="7">AA6/L6</f>
        <v>0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35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0</v>
      </c>
      <c r="AC7" s="31">
        <v>0</v>
      </c>
      <c r="AD7" s="31">
        <v>0</v>
      </c>
      <c r="AE7" s="31">
        <v>0</v>
      </c>
      <c r="AF7" s="31">
        <v>0</v>
      </c>
      <c r="AG7" s="31">
        <v>0</v>
      </c>
      <c r="AH7" s="21" t="s">
        <v>113</v>
      </c>
      <c r="AI7" s="22"/>
      <c r="AK7" s="87">
        <f t="shared" si="2"/>
        <v>0.875</v>
      </c>
      <c r="AL7" s="87">
        <f t="shared" si="3"/>
        <v>0</v>
      </c>
      <c r="AM7" s="87">
        <f t="shared" si="4"/>
        <v>0</v>
      </c>
      <c r="AN7" s="87">
        <f t="shared" si="5"/>
        <v>0</v>
      </c>
      <c r="AO7" s="87">
        <f t="shared" si="6"/>
        <v>0</v>
      </c>
      <c r="AP7" s="87"/>
      <c r="AQ7" s="87"/>
      <c r="AR7" s="87"/>
      <c r="AS7" s="87">
        <f t="shared" si="7"/>
        <v>0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25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1">
        <v>0</v>
      </c>
      <c r="AH8" s="21" t="s">
        <v>113</v>
      </c>
      <c r="AI8" s="22"/>
      <c r="AK8" s="87">
        <f t="shared" si="2"/>
        <v>0.625</v>
      </c>
      <c r="AL8" s="87">
        <f t="shared" si="3"/>
        <v>0</v>
      </c>
      <c r="AM8" s="87">
        <f t="shared" si="4"/>
        <v>0</v>
      </c>
      <c r="AN8" s="87">
        <f t="shared" si="5"/>
        <v>0</v>
      </c>
      <c r="AO8" s="87">
        <f t="shared" si="6"/>
        <v>0</v>
      </c>
      <c r="AP8" s="87"/>
      <c r="AQ8" s="87"/>
      <c r="AR8" s="87"/>
      <c r="AS8" s="87">
        <f t="shared" si="7"/>
        <v>0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20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1">
        <v>0</v>
      </c>
      <c r="AH9" s="21" t="s">
        <v>113</v>
      </c>
      <c r="AI9" s="22"/>
      <c r="AK9" s="87">
        <f t="shared" si="2"/>
        <v>0.5</v>
      </c>
      <c r="AL9" s="87">
        <f t="shared" si="3"/>
        <v>0</v>
      </c>
      <c r="AM9" s="87">
        <f t="shared" si="4"/>
        <v>0</v>
      </c>
      <c r="AN9" s="87">
        <f t="shared" si="5"/>
        <v>0</v>
      </c>
      <c r="AO9" s="87">
        <f t="shared" si="6"/>
        <v>0</v>
      </c>
      <c r="AP9" s="87"/>
      <c r="AQ9" s="87"/>
      <c r="AR9" s="87"/>
      <c r="AS9" s="87">
        <f t="shared" si="7"/>
        <v>0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20</v>
      </c>
      <c r="T10" s="31">
        <v>0</v>
      </c>
      <c r="U10" s="31">
        <v>0</v>
      </c>
      <c r="V10" s="32">
        <v>0</v>
      </c>
      <c r="W10" s="32">
        <v>0</v>
      </c>
      <c r="X10" s="32">
        <v>0</v>
      </c>
      <c r="Y10" s="75">
        <v>0</v>
      </c>
      <c r="Z10" s="33">
        <v>0</v>
      </c>
      <c r="AA10" s="34">
        <v>0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 t="s">
        <v>113</v>
      </c>
      <c r="AI10" s="22"/>
      <c r="AK10" s="87">
        <f t="shared" si="2"/>
        <v>0.5</v>
      </c>
      <c r="AL10" s="87">
        <f t="shared" si="3"/>
        <v>0</v>
      </c>
      <c r="AM10" s="87">
        <f t="shared" si="4"/>
        <v>0</v>
      </c>
      <c r="AN10" s="87">
        <f t="shared" si="5"/>
        <v>0</v>
      </c>
      <c r="AO10" s="87">
        <f t="shared" si="6"/>
        <v>0</v>
      </c>
      <c r="AP10" s="87"/>
      <c r="AQ10" s="87"/>
      <c r="AR10" s="87"/>
      <c r="AS10" s="87">
        <f t="shared" si="7"/>
        <v>0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35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0</v>
      </c>
      <c r="AC11" s="31">
        <v>0</v>
      </c>
      <c r="AD11" s="31">
        <v>0</v>
      </c>
      <c r="AE11" s="31">
        <v>0</v>
      </c>
      <c r="AF11" s="31">
        <v>0</v>
      </c>
      <c r="AG11" s="31">
        <v>0</v>
      </c>
      <c r="AH11" s="21" t="s">
        <v>113</v>
      </c>
      <c r="AI11" s="22"/>
      <c r="AK11" s="87">
        <f t="shared" si="2"/>
        <v>0.875</v>
      </c>
      <c r="AL11" s="87">
        <f t="shared" si="3"/>
        <v>0</v>
      </c>
      <c r="AM11" s="87">
        <f t="shared" si="4"/>
        <v>0</v>
      </c>
      <c r="AN11" s="87">
        <f t="shared" si="5"/>
        <v>0</v>
      </c>
      <c r="AO11" s="87">
        <f t="shared" si="6"/>
        <v>0</v>
      </c>
      <c r="AP11" s="87"/>
      <c r="AQ11" s="87"/>
      <c r="AR11" s="87"/>
      <c r="AS11" s="87">
        <f t="shared" si="7"/>
        <v>0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38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1">
        <v>0</v>
      </c>
      <c r="AH12" s="21" t="s">
        <v>113</v>
      </c>
      <c r="AI12" s="22"/>
      <c r="AK12" s="87">
        <f t="shared" si="2"/>
        <v>0.95</v>
      </c>
      <c r="AL12" s="87">
        <f t="shared" si="3"/>
        <v>0</v>
      </c>
      <c r="AM12" s="87">
        <f t="shared" si="4"/>
        <v>0</v>
      </c>
      <c r="AN12" s="87">
        <f t="shared" si="5"/>
        <v>0</v>
      </c>
      <c r="AO12" s="87">
        <f t="shared" si="6"/>
        <v>0</v>
      </c>
      <c r="AP12" s="87"/>
      <c r="AQ12" s="87"/>
      <c r="AR12" s="87"/>
      <c r="AS12" s="87">
        <f t="shared" si="7"/>
        <v>0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40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1">
        <v>0</v>
      </c>
      <c r="AH13" s="21" t="s">
        <v>113</v>
      </c>
      <c r="AI13" s="22"/>
      <c r="AK13" s="87">
        <f t="shared" si="2"/>
        <v>1</v>
      </c>
      <c r="AL13" s="87">
        <f t="shared" si="3"/>
        <v>0</v>
      </c>
      <c r="AM13" s="87">
        <f t="shared" si="4"/>
        <v>0</v>
      </c>
      <c r="AN13" s="87">
        <f t="shared" si="5"/>
        <v>0</v>
      </c>
      <c r="AO13" s="87">
        <f t="shared" si="6"/>
        <v>0</v>
      </c>
      <c r="AP13" s="87"/>
      <c r="AQ13" s="87"/>
      <c r="AR13" s="87"/>
      <c r="AS13" s="87">
        <f t="shared" si="7"/>
        <v>0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25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  <c r="AC14" s="31">
        <v>0</v>
      </c>
      <c r="AD14" s="31">
        <v>0</v>
      </c>
      <c r="AE14" s="31">
        <v>0</v>
      </c>
      <c r="AF14" s="31">
        <v>0</v>
      </c>
      <c r="AG14" s="31">
        <v>0</v>
      </c>
      <c r="AH14" s="21" t="s">
        <v>113</v>
      </c>
      <c r="AI14" s="22"/>
      <c r="AK14" s="87">
        <f t="shared" si="2"/>
        <v>0.625</v>
      </c>
      <c r="AL14" s="87">
        <f t="shared" si="3"/>
        <v>0</v>
      </c>
      <c r="AM14" s="87">
        <f t="shared" si="4"/>
        <v>0</v>
      </c>
      <c r="AN14" s="87">
        <f t="shared" si="5"/>
        <v>0</v>
      </c>
      <c r="AO14" s="87">
        <f t="shared" si="6"/>
        <v>0</v>
      </c>
      <c r="AP14" s="87"/>
      <c r="AQ14" s="87"/>
      <c r="AR14" s="87"/>
      <c r="AS14" s="87">
        <f t="shared" si="7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20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0</v>
      </c>
      <c r="AC15" s="31">
        <v>0</v>
      </c>
      <c r="AD15" s="31">
        <v>0</v>
      </c>
      <c r="AE15" s="31">
        <v>0</v>
      </c>
      <c r="AF15" s="31">
        <v>0</v>
      </c>
      <c r="AG15" s="31">
        <v>0</v>
      </c>
      <c r="AH15" s="21" t="s">
        <v>114</v>
      </c>
      <c r="AI15" s="22"/>
      <c r="AK15" s="87">
        <f t="shared" si="2"/>
        <v>0.5</v>
      </c>
      <c r="AL15" s="87">
        <f t="shared" si="3"/>
        <v>0</v>
      </c>
      <c r="AM15" s="87">
        <f t="shared" si="4"/>
        <v>0</v>
      </c>
      <c r="AN15" s="87">
        <f t="shared" si="5"/>
        <v>0</v>
      </c>
      <c r="AO15" s="87">
        <f t="shared" si="6"/>
        <v>0</v>
      </c>
      <c r="AP15" s="87"/>
      <c r="AQ15" s="87"/>
      <c r="AR15" s="87"/>
      <c r="AS15" s="87">
        <f t="shared" si="7"/>
        <v>0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22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21" t="s">
        <v>113</v>
      </c>
      <c r="AI16" s="22"/>
      <c r="AK16" s="87">
        <f t="shared" si="2"/>
        <v>0.55000000000000004</v>
      </c>
      <c r="AL16" s="87">
        <f t="shared" si="3"/>
        <v>0</v>
      </c>
      <c r="AM16" s="87">
        <f t="shared" si="4"/>
        <v>0</v>
      </c>
      <c r="AN16" s="87">
        <f t="shared" si="5"/>
        <v>0</v>
      </c>
      <c r="AO16" s="87">
        <f t="shared" si="6"/>
        <v>0</v>
      </c>
      <c r="AP16" s="87"/>
      <c r="AQ16" s="87"/>
      <c r="AR16" s="87"/>
      <c r="AS16" s="87">
        <f t="shared" si="7"/>
        <v>0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27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1">
        <v>0</v>
      </c>
      <c r="AH17" s="21" t="s">
        <v>113</v>
      </c>
      <c r="AI17" s="22"/>
      <c r="AK17" s="87">
        <f t="shared" si="2"/>
        <v>0.67500000000000004</v>
      </c>
      <c r="AL17" s="87">
        <f t="shared" si="3"/>
        <v>0</v>
      </c>
      <c r="AM17" s="87">
        <f t="shared" si="4"/>
        <v>0</v>
      </c>
      <c r="AN17" s="87">
        <f t="shared" si="5"/>
        <v>0</v>
      </c>
      <c r="AO17" s="87">
        <f t="shared" si="6"/>
        <v>0</v>
      </c>
      <c r="AP17" s="87"/>
      <c r="AQ17" s="87"/>
      <c r="AR17" s="87"/>
      <c r="AS17" s="87">
        <f t="shared" si="7"/>
        <v>0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38</v>
      </c>
      <c r="T18" s="31">
        <v>18</v>
      </c>
      <c r="U18" s="31">
        <v>108</v>
      </c>
      <c r="V18" s="32">
        <v>5</v>
      </c>
      <c r="W18" s="32">
        <v>0</v>
      </c>
      <c r="X18" s="32">
        <v>0</v>
      </c>
      <c r="Y18" s="75">
        <v>0</v>
      </c>
      <c r="Z18" s="33">
        <v>0</v>
      </c>
      <c r="AA18" s="34">
        <v>30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 t="s">
        <v>113</v>
      </c>
      <c r="AI18" s="22"/>
      <c r="AK18" s="87">
        <f t="shared" si="2"/>
        <v>0.95</v>
      </c>
      <c r="AL18" s="87">
        <f t="shared" si="3"/>
        <v>0.9</v>
      </c>
      <c r="AM18" s="87">
        <f t="shared" si="4"/>
        <v>0.9</v>
      </c>
      <c r="AN18" s="87">
        <f t="shared" si="5"/>
        <v>0.7142857142857143</v>
      </c>
      <c r="AO18" s="87">
        <f t="shared" si="6"/>
        <v>0</v>
      </c>
      <c r="AP18" s="87"/>
      <c r="AQ18" s="87"/>
      <c r="AR18" s="87"/>
      <c r="AS18" s="87">
        <f t="shared" si="7"/>
        <v>0.17142857142857143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30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21" t="s">
        <v>113</v>
      </c>
      <c r="AI19" s="22"/>
      <c r="AK19" s="87">
        <f t="shared" si="2"/>
        <v>0.75</v>
      </c>
      <c r="AL19" s="87">
        <f t="shared" si="3"/>
        <v>0</v>
      </c>
      <c r="AM19" s="87">
        <f t="shared" si="4"/>
        <v>0</v>
      </c>
      <c r="AN19" s="87">
        <f t="shared" si="5"/>
        <v>0</v>
      </c>
      <c r="AO19" s="87">
        <f t="shared" si="6"/>
        <v>0</v>
      </c>
      <c r="AP19" s="87"/>
      <c r="AQ19" s="87"/>
      <c r="AR19" s="87"/>
      <c r="AS19" s="87">
        <f t="shared" si="7"/>
        <v>0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18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1">
        <v>0</v>
      </c>
      <c r="AH20" s="21" t="s">
        <v>113</v>
      </c>
      <c r="AI20" s="22"/>
      <c r="AK20" s="87">
        <f t="shared" si="2"/>
        <v>0.45</v>
      </c>
      <c r="AL20" s="87">
        <f t="shared" si="3"/>
        <v>0</v>
      </c>
      <c r="AM20" s="87">
        <f t="shared" si="4"/>
        <v>0</v>
      </c>
      <c r="AN20" s="87">
        <f t="shared" si="5"/>
        <v>0</v>
      </c>
      <c r="AO20" s="87">
        <f t="shared" si="6"/>
        <v>0</v>
      </c>
      <c r="AP20" s="87"/>
      <c r="AQ20" s="87"/>
      <c r="AR20" s="87"/>
      <c r="AS20" s="87">
        <f t="shared" si="7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29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21" t="s">
        <v>113</v>
      </c>
      <c r="AI21" s="22"/>
      <c r="AK21" s="87">
        <f t="shared" si="2"/>
        <v>0.72499999999999998</v>
      </c>
      <c r="AL21" s="87">
        <f t="shared" si="3"/>
        <v>0</v>
      </c>
      <c r="AM21" s="87">
        <f t="shared" si="4"/>
        <v>0</v>
      </c>
      <c r="AN21" s="87">
        <f t="shared" si="5"/>
        <v>0</v>
      </c>
      <c r="AO21" s="87">
        <f t="shared" si="6"/>
        <v>0</v>
      </c>
      <c r="AP21" s="87"/>
      <c r="AQ21" s="87"/>
      <c r="AR21" s="87"/>
      <c r="AS21" s="87">
        <f t="shared" si="7"/>
        <v>0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>
        <v>31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21" t="s">
        <v>113</v>
      </c>
      <c r="AI22" s="22"/>
      <c r="AK22" s="87">
        <f t="shared" si="2"/>
        <v>0.77500000000000002</v>
      </c>
      <c r="AL22" s="87">
        <f t="shared" si="3"/>
        <v>0</v>
      </c>
      <c r="AM22" s="87">
        <f t="shared" si="4"/>
        <v>0</v>
      </c>
      <c r="AN22" s="87">
        <f t="shared" si="5"/>
        <v>0</v>
      </c>
      <c r="AO22" s="87">
        <f t="shared" si="6"/>
        <v>0</v>
      </c>
      <c r="AP22" s="87"/>
      <c r="AQ22" s="87"/>
      <c r="AR22" s="87"/>
      <c r="AS22" s="87">
        <f t="shared" si="7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30</v>
      </c>
      <c r="T23" s="31">
        <v>20</v>
      </c>
      <c r="U23" s="31">
        <v>50</v>
      </c>
      <c r="V23" s="32">
        <v>4</v>
      </c>
      <c r="W23" s="32">
        <v>0</v>
      </c>
      <c r="X23" s="32">
        <v>30</v>
      </c>
      <c r="Y23" s="75">
        <v>10</v>
      </c>
      <c r="Z23" s="33">
        <v>0</v>
      </c>
      <c r="AA23" s="34">
        <v>0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 t="s">
        <v>113</v>
      </c>
      <c r="AI23" s="22"/>
      <c r="AK23" s="87">
        <f t="shared" si="2"/>
        <v>0.75</v>
      </c>
      <c r="AL23" s="87">
        <f t="shared" si="3"/>
        <v>1</v>
      </c>
      <c r="AM23" s="87">
        <f t="shared" si="4"/>
        <v>0.41666666666666669</v>
      </c>
      <c r="AN23" s="87">
        <f t="shared" si="5"/>
        <v>0.5714285714285714</v>
      </c>
      <c r="AO23" s="87">
        <f t="shared" si="6"/>
        <v>0</v>
      </c>
      <c r="AP23" s="87"/>
      <c r="AQ23" s="87"/>
      <c r="AR23" s="87"/>
      <c r="AS23" s="87">
        <f t="shared" si="7"/>
        <v>0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36</v>
      </c>
      <c r="T24" s="31">
        <v>19</v>
      </c>
      <c r="U24" s="31">
        <v>104</v>
      </c>
      <c r="V24" s="32">
        <v>1</v>
      </c>
      <c r="W24" s="32">
        <v>0</v>
      </c>
      <c r="X24" s="32">
        <v>0</v>
      </c>
      <c r="Y24" s="75">
        <v>0</v>
      </c>
      <c r="Z24" s="33">
        <v>0</v>
      </c>
      <c r="AA24" s="34">
        <v>27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 t="s">
        <v>113</v>
      </c>
      <c r="AI24" s="22"/>
      <c r="AK24" s="87">
        <f t="shared" si="2"/>
        <v>0.9</v>
      </c>
      <c r="AL24" s="87">
        <f t="shared" si="3"/>
        <v>0.95</v>
      </c>
      <c r="AM24" s="87">
        <f t="shared" si="4"/>
        <v>0.8666666666666667</v>
      </c>
      <c r="AN24" s="87">
        <f t="shared" si="5"/>
        <v>0.14285714285714285</v>
      </c>
      <c r="AO24" s="87">
        <f t="shared" si="6"/>
        <v>0</v>
      </c>
      <c r="AP24" s="87"/>
      <c r="AQ24" s="87"/>
      <c r="AR24" s="87"/>
      <c r="AS24" s="87">
        <f t="shared" si="7"/>
        <v>0.15428571428571428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>
        <v>37</v>
      </c>
      <c r="T25" s="31">
        <v>21</v>
      </c>
      <c r="U25" s="31">
        <v>80</v>
      </c>
      <c r="V25" s="32">
        <v>9</v>
      </c>
      <c r="W25" s="32">
        <v>0</v>
      </c>
      <c r="X25" s="32">
        <v>0</v>
      </c>
      <c r="Y25" s="75">
        <v>5</v>
      </c>
      <c r="Z25" s="33">
        <v>0</v>
      </c>
      <c r="AA25" s="34">
        <v>20</v>
      </c>
      <c r="AB25" s="34">
        <v>0</v>
      </c>
      <c r="AC25" s="34">
        <v>0</v>
      </c>
      <c r="AD25" s="35">
        <v>0</v>
      </c>
      <c r="AE25" s="34">
        <v>0</v>
      </c>
      <c r="AF25" s="34">
        <v>0</v>
      </c>
      <c r="AG25" s="34">
        <v>0</v>
      </c>
      <c r="AH25" s="21" t="s">
        <v>113</v>
      </c>
      <c r="AI25" s="22" t="s">
        <v>115</v>
      </c>
      <c r="AK25" s="87">
        <f t="shared" si="2"/>
        <v>0.92500000000000004</v>
      </c>
      <c r="AL25" s="87">
        <f t="shared" si="3"/>
        <v>1.05</v>
      </c>
      <c r="AM25" s="87">
        <f t="shared" si="4"/>
        <v>0.66666666666666663</v>
      </c>
      <c r="AN25" s="87">
        <f t="shared" si="5"/>
        <v>1.2857142857142858</v>
      </c>
      <c r="AO25" s="87">
        <f t="shared" si="6"/>
        <v>0</v>
      </c>
      <c r="AP25" s="87"/>
      <c r="AQ25" s="87"/>
      <c r="AR25" s="87"/>
      <c r="AS25" s="87">
        <f t="shared" si="7"/>
        <v>0.11428571428571428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>
        <v>20</v>
      </c>
      <c r="T26" s="31">
        <v>0</v>
      </c>
      <c r="U26" s="31">
        <v>0</v>
      </c>
      <c r="V26" s="32">
        <v>0</v>
      </c>
      <c r="W26" s="32">
        <v>0</v>
      </c>
      <c r="X26" s="32">
        <v>0</v>
      </c>
      <c r="Y26" s="75">
        <v>0</v>
      </c>
      <c r="Z26" s="33">
        <v>0</v>
      </c>
      <c r="AA26" s="34">
        <v>0</v>
      </c>
      <c r="AB26" s="34">
        <v>0</v>
      </c>
      <c r="AC26" s="34">
        <v>0</v>
      </c>
      <c r="AD26" s="35">
        <v>0</v>
      </c>
      <c r="AE26" s="34">
        <v>0</v>
      </c>
      <c r="AF26" s="34">
        <v>0</v>
      </c>
      <c r="AG26" s="34">
        <v>0</v>
      </c>
      <c r="AH26" s="21" t="s">
        <v>113</v>
      </c>
      <c r="AI26" s="22"/>
      <c r="AK26" s="87">
        <f t="shared" si="2"/>
        <v>0.5</v>
      </c>
      <c r="AL26" s="87">
        <f t="shared" si="3"/>
        <v>0</v>
      </c>
      <c r="AM26" s="87">
        <f t="shared" si="4"/>
        <v>0</v>
      </c>
      <c r="AN26" s="87">
        <f t="shared" si="5"/>
        <v>0</v>
      </c>
      <c r="AO26" s="87">
        <f t="shared" si="6"/>
        <v>0</v>
      </c>
      <c r="AP26" s="87"/>
      <c r="AQ26" s="87"/>
      <c r="AR26" s="87"/>
      <c r="AS26" s="87">
        <f t="shared" si="7"/>
        <v>0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>
        <v>24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21" t="s">
        <v>113</v>
      </c>
      <c r="AI27" s="22"/>
      <c r="AK27" s="87">
        <f t="shared" si="2"/>
        <v>0.6</v>
      </c>
      <c r="AL27" s="87">
        <f t="shared" si="3"/>
        <v>0</v>
      </c>
      <c r="AM27" s="87">
        <f t="shared" si="4"/>
        <v>0</v>
      </c>
      <c r="AN27" s="87">
        <f t="shared" si="5"/>
        <v>0</v>
      </c>
      <c r="AO27" s="87">
        <f t="shared" si="6"/>
        <v>0</v>
      </c>
      <c r="AP27" s="87"/>
      <c r="AQ27" s="87"/>
      <c r="AR27" s="87"/>
      <c r="AS27" s="87">
        <f t="shared" si="7"/>
        <v>0</v>
      </c>
      <c r="AT27" s="87"/>
      <c r="AU27" s="87"/>
      <c r="AV27" s="87"/>
      <c r="AW27" s="87"/>
      <c r="AX27" s="87"/>
      <c r="AY27" s="87"/>
    </row>
    <row r="28" spans="2:51" ht="17.399999999999999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27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0</v>
      </c>
      <c r="AG28" s="31">
        <v>0</v>
      </c>
      <c r="AH28" s="21" t="s">
        <v>113</v>
      </c>
      <c r="AI28" s="22"/>
      <c r="AK28" s="87">
        <f t="shared" si="2"/>
        <v>0.67500000000000004</v>
      </c>
      <c r="AL28" s="87">
        <f t="shared" si="3"/>
        <v>0</v>
      </c>
      <c r="AM28" s="87">
        <f t="shared" si="4"/>
        <v>0</v>
      </c>
      <c r="AN28" s="87">
        <f t="shared" si="5"/>
        <v>0</v>
      </c>
      <c r="AO28" s="87">
        <f t="shared" si="6"/>
        <v>0</v>
      </c>
      <c r="AP28" s="87"/>
      <c r="AQ28" s="87"/>
      <c r="AR28" s="87"/>
      <c r="AS28" s="87">
        <f t="shared" si="7"/>
        <v>0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>
        <v>15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21" t="s">
        <v>113</v>
      </c>
      <c r="AI29" s="22"/>
      <c r="AK29" s="87">
        <f t="shared" si="2"/>
        <v>0.375</v>
      </c>
      <c r="AL29" s="87">
        <f t="shared" si="3"/>
        <v>0</v>
      </c>
      <c r="AM29" s="87">
        <f t="shared" si="4"/>
        <v>0</v>
      </c>
      <c r="AN29" s="87">
        <f t="shared" si="5"/>
        <v>0</v>
      </c>
      <c r="AO29" s="87">
        <f t="shared" si="6"/>
        <v>0</v>
      </c>
      <c r="AP29" s="87"/>
      <c r="AQ29" s="87"/>
      <c r="AR29" s="87"/>
      <c r="AS29" s="87">
        <f t="shared" si="7"/>
        <v>0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>
        <v>29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  <c r="AC30" s="31">
        <v>0</v>
      </c>
      <c r="AD30" s="31">
        <v>0</v>
      </c>
      <c r="AE30" s="31">
        <v>0</v>
      </c>
      <c r="AF30" s="31">
        <v>0</v>
      </c>
      <c r="AG30" s="31">
        <v>0</v>
      </c>
      <c r="AH30" s="21" t="s">
        <v>113</v>
      </c>
      <c r="AI30" s="22"/>
      <c r="AK30" s="87">
        <f t="shared" si="2"/>
        <v>0.72499999999999998</v>
      </c>
      <c r="AL30" s="87">
        <f t="shared" si="3"/>
        <v>0</v>
      </c>
      <c r="AM30" s="87">
        <f t="shared" si="4"/>
        <v>0</v>
      </c>
      <c r="AN30" s="87">
        <f t="shared" si="5"/>
        <v>0</v>
      </c>
      <c r="AO30" s="87">
        <f t="shared" si="6"/>
        <v>0</v>
      </c>
      <c r="AP30" s="87"/>
      <c r="AQ30" s="87"/>
      <c r="AR30" s="87"/>
      <c r="AS30" s="87">
        <f t="shared" si="7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>
        <v>15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21" t="s">
        <v>113</v>
      </c>
      <c r="AI31" s="22"/>
      <c r="AK31" s="87">
        <f t="shared" si="2"/>
        <v>0.375</v>
      </c>
      <c r="AL31" s="87">
        <f t="shared" si="3"/>
        <v>0</v>
      </c>
      <c r="AM31" s="87">
        <f t="shared" si="4"/>
        <v>0</v>
      </c>
      <c r="AN31" s="87">
        <f t="shared" si="5"/>
        <v>0</v>
      </c>
      <c r="AO31" s="87">
        <f t="shared" si="6"/>
        <v>0</v>
      </c>
      <c r="AP31" s="87"/>
      <c r="AQ31" s="87"/>
      <c r="AR31" s="87"/>
      <c r="AS31" s="87">
        <f t="shared" si="7"/>
        <v>0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>
        <v>30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  <c r="AC32" s="31">
        <v>0</v>
      </c>
      <c r="AD32" s="31">
        <v>0</v>
      </c>
      <c r="AE32" s="31">
        <v>0</v>
      </c>
      <c r="AF32" s="31">
        <v>0</v>
      </c>
      <c r="AG32" s="31">
        <v>0</v>
      </c>
      <c r="AH32" s="21" t="s">
        <v>113</v>
      </c>
      <c r="AI32" s="22"/>
      <c r="AK32" s="87">
        <f t="shared" si="2"/>
        <v>0.75</v>
      </c>
      <c r="AL32" s="87">
        <f t="shared" si="3"/>
        <v>0</v>
      </c>
      <c r="AM32" s="87">
        <f t="shared" si="4"/>
        <v>0</v>
      </c>
      <c r="AN32" s="87">
        <f t="shared" si="5"/>
        <v>0</v>
      </c>
      <c r="AO32" s="87">
        <f t="shared" si="6"/>
        <v>0</v>
      </c>
      <c r="AP32" s="87"/>
      <c r="AQ32" s="87"/>
      <c r="AR32" s="87"/>
      <c r="AS32" s="87">
        <f t="shared" si="7"/>
        <v>0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>
        <v>14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  <c r="AC33" s="31">
        <v>0</v>
      </c>
      <c r="AD33" s="31">
        <v>0</v>
      </c>
      <c r="AE33" s="31">
        <v>0</v>
      </c>
      <c r="AF33" s="31">
        <v>0</v>
      </c>
      <c r="AG33" s="31">
        <v>0</v>
      </c>
      <c r="AH33" s="21" t="s">
        <v>113</v>
      </c>
      <c r="AI33" s="22"/>
      <c r="AK33" s="87">
        <f t="shared" si="2"/>
        <v>0.35</v>
      </c>
      <c r="AL33" s="87">
        <f t="shared" si="3"/>
        <v>0</v>
      </c>
      <c r="AM33" s="87">
        <f t="shared" si="4"/>
        <v>0</v>
      </c>
      <c r="AN33" s="87">
        <f t="shared" si="5"/>
        <v>0</v>
      </c>
      <c r="AO33" s="87">
        <f t="shared" si="6"/>
        <v>0</v>
      </c>
      <c r="AP33" s="87"/>
      <c r="AQ33" s="87"/>
      <c r="AR33" s="87"/>
      <c r="AS33" s="87">
        <f t="shared" si="7"/>
        <v>0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34</v>
      </c>
      <c r="T34" s="31">
        <v>10</v>
      </c>
      <c r="U34" s="31">
        <v>100</v>
      </c>
      <c r="V34" s="32">
        <v>4</v>
      </c>
      <c r="W34" s="32">
        <v>0</v>
      </c>
      <c r="X34" s="32">
        <v>0</v>
      </c>
      <c r="Y34" s="75">
        <v>0</v>
      </c>
      <c r="Z34" s="33">
        <v>0</v>
      </c>
      <c r="AA34" s="34">
        <v>18</v>
      </c>
      <c r="AB34" s="34">
        <v>0</v>
      </c>
      <c r="AC34" s="34">
        <v>0</v>
      </c>
      <c r="AD34" s="35">
        <v>0</v>
      </c>
      <c r="AE34" s="34">
        <v>0</v>
      </c>
      <c r="AF34" s="34">
        <v>0</v>
      </c>
      <c r="AG34" s="34">
        <v>0</v>
      </c>
      <c r="AH34" s="21" t="s">
        <v>113</v>
      </c>
      <c r="AI34" s="22"/>
      <c r="AK34" s="87">
        <f t="shared" si="2"/>
        <v>0.85</v>
      </c>
      <c r="AL34" s="87">
        <f t="shared" si="3"/>
        <v>0.5</v>
      </c>
      <c r="AM34" s="87">
        <f t="shared" si="4"/>
        <v>0.83333333333333337</v>
      </c>
      <c r="AN34" s="87">
        <f t="shared" si="5"/>
        <v>0.5714285714285714</v>
      </c>
      <c r="AO34" s="87">
        <f t="shared" si="6"/>
        <v>0</v>
      </c>
      <c r="AP34" s="87"/>
      <c r="AQ34" s="87"/>
      <c r="AR34" s="87"/>
      <c r="AS34" s="87">
        <f t="shared" si="7"/>
        <v>0.10285714285714286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>
        <v>15</v>
      </c>
      <c r="T35" s="31">
        <v>5</v>
      </c>
      <c r="U35" s="31">
        <v>70</v>
      </c>
      <c r="V35" s="32">
        <v>0</v>
      </c>
      <c r="W35" s="32">
        <v>0</v>
      </c>
      <c r="X35" s="32">
        <v>0</v>
      </c>
      <c r="Y35" s="75">
        <v>0</v>
      </c>
      <c r="Z35" s="33">
        <v>0</v>
      </c>
      <c r="AA35" s="34">
        <v>0</v>
      </c>
      <c r="AB35" s="34">
        <v>0</v>
      </c>
      <c r="AC35" s="34">
        <v>0</v>
      </c>
      <c r="AD35" s="35">
        <v>0</v>
      </c>
      <c r="AE35" s="34">
        <v>0</v>
      </c>
      <c r="AF35" s="34">
        <v>0</v>
      </c>
      <c r="AG35" s="34">
        <v>0</v>
      </c>
      <c r="AH35" s="21" t="s">
        <v>113</v>
      </c>
      <c r="AI35" s="22"/>
      <c r="AK35" s="87">
        <f t="shared" si="2"/>
        <v>0.375</v>
      </c>
      <c r="AL35" s="87">
        <f t="shared" si="3"/>
        <v>0.25</v>
      </c>
      <c r="AM35" s="87">
        <f t="shared" si="4"/>
        <v>0.58333333333333337</v>
      </c>
      <c r="AN35" s="87">
        <f t="shared" si="5"/>
        <v>0</v>
      </c>
      <c r="AO35" s="87">
        <f t="shared" si="6"/>
        <v>0</v>
      </c>
      <c r="AP35" s="87"/>
      <c r="AQ35" s="87"/>
      <c r="AR35" s="87"/>
      <c r="AS35" s="87">
        <f t="shared" si="7"/>
        <v>0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>
        <v>22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  <c r="AC36" s="31">
        <v>0</v>
      </c>
      <c r="AD36" s="31">
        <v>0</v>
      </c>
      <c r="AE36" s="31">
        <v>0</v>
      </c>
      <c r="AF36" s="31">
        <v>0</v>
      </c>
      <c r="AG36" s="31">
        <v>0</v>
      </c>
      <c r="AH36" s="21" t="s">
        <v>113</v>
      </c>
      <c r="AI36" s="22"/>
      <c r="AK36" s="87">
        <f t="shared" si="2"/>
        <v>0.55000000000000004</v>
      </c>
      <c r="AL36" s="87">
        <f t="shared" si="3"/>
        <v>0</v>
      </c>
      <c r="AM36" s="87">
        <f t="shared" si="4"/>
        <v>0</v>
      </c>
      <c r="AN36" s="87">
        <f t="shared" si="5"/>
        <v>0</v>
      </c>
      <c r="AO36" s="87">
        <f t="shared" si="6"/>
        <v>0</v>
      </c>
      <c r="AP36" s="87"/>
      <c r="AQ36" s="87"/>
      <c r="AR36" s="87"/>
      <c r="AS36" s="87">
        <f t="shared" si="7"/>
        <v>0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28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  <c r="AC37" s="31">
        <v>0</v>
      </c>
      <c r="AD37" s="31">
        <v>0</v>
      </c>
      <c r="AE37" s="31">
        <v>0</v>
      </c>
      <c r="AF37" s="31">
        <v>0</v>
      </c>
      <c r="AG37" s="31">
        <v>0</v>
      </c>
      <c r="AH37" s="21" t="s">
        <v>113</v>
      </c>
      <c r="AI37" s="22"/>
      <c r="AK37" s="87">
        <f t="shared" si="2"/>
        <v>0.7</v>
      </c>
      <c r="AL37" s="87">
        <f t="shared" si="3"/>
        <v>0</v>
      </c>
      <c r="AM37" s="87">
        <f t="shared" si="4"/>
        <v>0</v>
      </c>
      <c r="AN37" s="87">
        <f t="shared" si="5"/>
        <v>0</v>
      </c>
      <c r="AO37" s="87">
        <f t="shared" si="6"/>
        <v>0</v>
      </c>
      <c r="AP37" s="87"/>
      <c r="AQ37" s="87"/>
      <c r="AR37" s="87"/>
      <c r="AS37" s="87">
        <f t="shared" si="7"/>
        <v>0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112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35</v>
      </c>
      <c r="T38" s="31">
        <v>20</v>
      </c>
      <c r="U38" s="31">
        <v>120</v>
      </c>
      <c r="V38" s="32">
        <v>5</v>
      </c>
      <c r="W38" s="32">
        <v>0</v>
      </c>
      <c r="X38" s="32">
        <v>40</v>
      </c>
      <c r="Y38" s="75">
        <v>15</v>
      </c>
      <c r="Z38" s="33">
        <v>0</v>
      </c>
      <c r="AA38" s="34">
        <v>42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 t="s">
        <v>113</v>
      </c>
      <c r="AI38" s="22"/>
      <c r="AK38" s="87">
        <f t="shared" si="2"/>
        <v>0.875</v>
      </c>
      <c r="AL38" s="87">
        <f t="shared" si="3"/>
        <v>1</v>
      </c>
      <c r="AM38" s="87">
        <f t="shared" si="4"/>
        <v>1</v>
      </c>
      <c r="AN38" s="87">
        <f t="shared" si="5"/>
        <v>0.7142857142857143</v>
      </c>
      <c r="AO38" s="87">
        <f t="shared" si="6"/>
        <v>0</v>
      </c>
      <c r="AP38" s="87"/>
      <c r="AQ38" s="87"/>
      <c r="AR38" s="87"/>
      <c r="AS38" s="87">
        <f t="shared" si="7"/>
        <v>0.24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40</v>
      </c>
      <c r="T39" s="31">
        <v>20</v>
      </c>
      <c r="U39" s="31">
        <v>80</v>
      </c>
      <c r="V39" s="32">
        <v>1</v>
      </c>
      <c r="W39" s="32">
        <v>0</v>
      </c>
      <c r="X39" s="32">
        <v>82</v>
      </c>
      <c r="Y39" s="75">
        <v>1</v>
      </c>
      <c r="Z39" s="33">
        <v>0</v>
      </c>
      <c r="AA39" s="34">
        <v>50</v>
      </c>
      <c r="AB39" s="34">
        <v>0</v>
      </c>
      <c r="AC39" s="34">
        <v>0</v>
      </c>
      <c r="AD39" s="35">
        <v>0</v>
      </c>
      <c r="AE39" s="34">
        <v>0</v>
      </c>
      <c r="AF39" s="34">
        <v>0</v>
      </c>
      <c r="AG39" s="34">
        <v>0</v>
      </c>
      <c r="AH39" s="21" t="s">
        <v>113</v>
      </c>
      <c r="AI39" s="22" t="s">
        <v>111</v>
      </c>
      <c r="AK39" s="87">
        <f t="shared" si="2"/>
        <v>1</v>
      </c>
      <c r="AL39" s="87">
        <f t="shared" si="3"/>
        <v>1</v>
      </c>
      <c r="AM39" s="87">
        <f t="shared" si="4"/>
        <v>0.66666666666666663</v>
      </c>
      <c r="AN39" s="87">
        <f t="shared" si="5"/>
        <v>0.14285714285714285</v>
      </c>
      <c r="AO39" s="87">
        <f t="shared" si="6"/>
        <v>0</v>
      </c>
      <c r="AP39" s="87"/>
      <c r="AQ39" s="87"/>
      <c r="AR39" s="87"/>
      <c r="AS39" s="87">
        <f t="shared" si="7"/>
        <v>0.2857142857142857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>
        <v>33</v>
      </c>
      <c r="T40" s="31">
        <v>0</v>
      </c>
      <c r="U40" s="31"/>
      <c r="V40" s="32"/>
      <c r="W40" s="32"/>
      <c r="X40" s="32"/>
      <c r="Y40" s="75"/>
      <c r="Z40" s="33"/>
      <c r="AA40" s="34"/>
      <c r="AB40" s="34"/>
      <c r="AC40" s="34"/>
      <c r="AD40" s="35"/>
      <c r="AE40" s="34"/>
      <c r="AF40" s="34"/>
      <c r="AG40" s="34"/>
      <c r="AH40" s="21" t="s">
        <v>113</v>
      </c>
      <c r="AI40" s="22"/>
      <c r="AK40" s="87">
        <f t="shared" si="2"/>
        <v>0.82499999999999996</v>
      </c>
      <c r="AL40" s="87">
        <f t="shared" si="3"/>
        <v>0</v>
      </c>
      <c r="AM40" s="87">
        <f t="shared" si="4"/>
        <v>0</v>
      </c>
      <c r="AN40" s="87">
        <f t="shared" si="5"/>
        <v>0</v>
      </c>
      <c r="AO40" s="87">
        <f t="shared" si="6"/>
        <v>0</v>
      </c>
      <c r="AP40" s="87"/>
      <c r="AQ40" s="87"/>
      <c r="AR40" s="87"/>
      <c r="AS40" s="87">
        <f t="shared" si="7"/>
        <v>0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48</v>
      </c>
      <c r="T41" s="31">
        <v>32</v>
      </c>
      <c r="U41" s="31">
        <v>180</v>
      </c>
      <c r="V41" s="32">
        <v>2</v>
      </c>
      <c r="W41" s="32">
        <v>0</v>
      </c>
      <c r="X41" s="32">
        <v>80</v>
      </c>
      <c r="Y41" s="75">
        <v>5</v>
      </c>
      <c r="Z41" s="33">
        <v>0</v>
      </c>
      <c r="AA41" s="34">
        <v>65</v>
      </c>
      <c r="AB41" s="34">
        <v>0</v>
      </c>
      <c r="AC41" s="34">
        <v>0</v>
      </c>
      <c r="AD41" s="35">
        <v>0</v>
      </c>
      <c r="AE41" s="34">
        <v>0</v>
      </c>
      <c r="AF41" s="34">
        <v>0</v>
      </c>
      <c r="AG41" s="34">
        <v>0</v>
      </c>
      <c r="AH41" s="21" t="s">
        <v>113</v>
      </c>
      <c r="AI41" s="22"/>
      <c r="AK41" s="87">
        <f t="shared" si="2"/>
        <v>1.2</v>
      </c>
      <c r="AL41" s="87">
        <f t="shared" si="3"/>
        <v>1.6</v>
      </c>
      <c r="AM41" s="87">
        <f t="shared" si="4"/>
        <v>1.5</v>
      </c>
      <c r="AN41" s="87">
        <f t="shared" si="5"/>
        <v>0.2857142857142857</v>
      </c>
      <c r="AO41" s="87">
        <f t="shared" si="6"/>
        <v>0</v>
      </c>
      <c r="AP41" s="87"/>
      <c r="AQ41" s="87"/>
      <c r="AR41" s="87"/>
      <c r="AS41" s="87">
        <f t="shared" si="7"/>
        <v>0.37142857142857144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>
        <v>15</v>
      </c>
      <c r="T42" s="31">
        <v>5</v>
      </c>
      <c r="U42" s="31">
        <v>0</v>
      </c>
      <c r="V42" s="32">
        <v>0</v>
      </c>
      <c r="W42" s="32">
        <v>0</v>
      </c>
      <c r="X42" s="32">
        <v>30</v>
      </c>
      <c r="Y42" s="75">
        <v>0</v>
      </c>
      <c r="Z42" s="33">
        <v>0</v>
      </c>
      <c r="AA42" s="34">
        <v>0</v>
      </c>
      <c r="AB42" s="34">
        <v>0</v>
      </c>
      <c r="AC42" s="34">
        <v>0</v>
      </c>
      <c r="AD42" s="35">
        <v>0</v>
      </c>
      <c r="AE42" s="34">
        <v>0</v>
      </c>
      <c r="AF42" s="34">
        <v>0</v>
      </c>
      <c r="AG42" s="34">
        <v>0</v>
      </c>
      <c r="AH42" s="21" t="s">
        <v>113</v>
      </c>
      <c r="AI42" s="22"/>
      <c r="AK42" s="87">
        <f t="shared" si="2"/>
        <v>0.375</v>
      </c>
      <c r="AL42" s="87">
        <f t="shared" si="3"/>
        <v>0.25</v>
      </c>
      <c r="AM42" s="87">
        <f t="shared" si="4"/>
        <v>0</v>
      </c>
      <c r="AN42" s="87">
        <f t="shared" si="5"/>
        <v>0</v>
      </c>
      <c r="AO42" s="87">
        <f t="shared" si="6"/>
        <v>0</v>
      </c>
      <c r="AP42" s="87"/>
      <c r="AQ42" s="87"/>
      <c r="AR42" s="87"/>
      <c r="AS42" s="87">
        <f t="shared" si="7"/>
        <v>0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>
        <v>25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0</v>
      </c>
      <c r="AC43" s="31">
        <v>0</v>
      </c>
      <c r="AD43" s="31">
        <v>0</v>
      </c>
      <c r="AE43" s="31">
        <v>0</v>
      </c>
      <c r="AF43" s="31">
        <v>0</v>
      </c>
      <c r="AG43" s="31">
        <v>0</v>
      </c>
      <c r="AH43" s="21" t="s">
        <v>113</v>
      </c>
      <c r="AI43" s="22"/>
      <c r="AK43" s="87">
        <f t="shared" si="2"/>
        <v>0.625</v>
      </c>
      <c r="AL43" s="87">
        <f t="shared" si="3"/>
        <v>0</v>
      </c>
      <c r="AM43" s="87">
        <f t="shared" si="4"/>
        <v>0</v>
      </c>
      <c r="AN43" s="87">
        <f t="shared" si="5"/>
        <v>0</v>
      </c>
      <c r="AO43" s="87">
        <f t="shared" si="6"/>
        <v>0</v>
      </c>
      <c r="AP43" s="87"/>
      <c r="AQ43" s="87"/>
      <c r="AR43" s="87"/>
      <c r="AS43" s="87">
        <f t="shared" si="7"/>
        <v>0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>
        <v>27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  <c r="AC44" s="31">
        <v>0</v>
      </c>
      <c r="AD44" s="31">
        <v>0</v>
      </c>
      <c r="AE44" s="31">
        <v>0</v>
      </c>
      <c r="AF44" s="31">
        <v>0</v>
      </c>
      <c r="AG44" s="31">
        <v>0</v>
      </c>
      <c r="AH44" s="21" t="s">
        <v>113</v>
      </c>
      <c r="AI44" s="22"/>
      <c r="AK44" s="87">
        <f t="shared" si="2"/>
        <v>0.67500000000000004</v>
      </c>
      <c r="AL44" s="87">
        <f t="shared" si="3"/>
        <v>0</v>
      </c>
      <c r="AM44" s="87">
        <f t="shared" si="4"/>
        <v>0</v>
      </c>
      <c r="AN44" s="87">
        <f t="shared" si="5"/>
        <v>0</v>
      </c>
      <c r="AO44" s="87">
        <f t="shared" si="6"/>
        <v>0</v>
      </c>
      <c r="AP44" s="87"/>
      <c r="AQ44" s="87"/>
      <c r="AR44" s="87"/>
      <c r="AS44" s="87">
        <f t="shared" si="7"/>
        <v>0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>
        <v>22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>
        <v>0</v>
      </c>
      <c r="AG45" s="31">
        <v>0</v>
      </c>
      <c r="AH45" s="21" t="s">
        <v>113</v>
      </c>
      <c r="AI45" s="22"/>
      <c r="AK45" s="87">
        <f t="shared" si="2"/>
        <v>0.55000000000000004</v>
      </c>
      <c r="AL45" s="87">
        <f t="shared" si="3"/>
        <v>0</v>
      </c>
      <c r="AM45" s="87">
        <f t="shared" si="4"/>
        <v>0</v>
      </c>
      <c r="AN45" s="87">
        <f t="shared" si="5"/>
        <v>0</v>
      </c>
      <c r="AO45" s="87">
        <f t="shared" si="6"/>
        <v>0</v>
      </c>
      <c r="AP45" s="87"/>
      <c r="AQ45" s="87"/>
      <c r="AR45" s="87"/>
      <c r="AS45" s="87">
        <f t="shared" si="7"/>
        <v>0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>
        <v>20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  <c r="AC46" s="31">
        <v>0</v>
      </c>
      <c r="AD46" s="31">
        <v>0</v>
      </c>
      <c r="AE46" s="31">
        <v>0</v>
      </c>
      <c r="AF46" s="31">
        <v>0</v>
      </c>
      <c r="AG46" s="31">
        <v>0</v>
      </c>
      <c r="AH46" s="21" t="s">
        <v>113</v>
      </c>
      <c r="AI46" s="22"/>
      <c r="AK46" s="87">
        <f t="shared" si="2"/>
        <v>0.5</v>
      </c>
      <c r="AL46" s="87">
        <f t="shared" si="3"/>
        <v>0</v>
      </c>
      <c r="AM46" s="87">
        <f t="shared" si="4"/>
        <v>0</v>
      </c>
      <c r="AN46" s="87">
        <f t="shared" si="5"/>
        <v>0</v>
      </c>
      <c r="AO46" s="87">
        <f t="shared" si="6"/>
        <v>0</v>
      </c>
      <c r="AP46" s="87"/>
      <c r="AQ46" s="87"/>
      <c r="AR46" s="87"/>
      <c r="AS46" s="87">
        <f t="shared" si="7"/>
        <v>0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>
        <v>25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  <c r="AC47" s="31">
        <v>0</v>
      </c>
      <c r="AD47" s="31">
        <v>0</v>
      </c>
      <c r="AE47" s="31">
        <v>0</v>
      </c>
      <c r="AF47" s="31">
        <v>0</v>
      </c>
      <c r="AG47" s="31">
        <v>0</v>
      </c>
      <c r="AH47" s="21" t="s">
        <v>113</v>
      </c>
      <c r="AI47" s="22"/>
      <c r="AK47" s="87">
        <f t="shared" si="2"/>
        <v>0.625</v>
      </c>
      <c r="AL47" s="87">
        <f t="shared" si="3"/>
        <v>0</v>
      </c>
      <c r="AM47" s="87">
        <f t="shared" si="4"/>
        <v>0</v>
      </c>
      <c r="AN47" s="87">
        <f t="shared" si="5"/>
        <v>0</v>
      </c>
      <c r="AO47" s="87">
        <f t="shared" si="6"/>
        <v>0</v>
      </c>
      <c r="AP47" s="87"/>
      <c r="AQ47" s="87"/>
      <c r="AR47" s="87"/>
      <c r="AS47" s="87">
        <f t="shared" si="7"/>
        <v>0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36</v>
      </c>
      <c r="T48" s="31">
        <v>27</v>
      </c>
      <c r="U48" s="31">
        <v>67</v>
      </c>
      <c r="V48" s="32">
        <v>10</v>
      </c>
      <c r="W48" s="32">
        <v>0</v>
      </c>
      <c r="X48" s="32">
        <v>30</v>
      </c>
      <c r="Y48" s="75">
        <v>25</v>
      </c>
      <c r="Z48" s="33">
        <v>0</v>
      </c>
      <c r="AA48" s="34">
        <v>20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 t="s">
        <v>113</v>
      </c>
      <c r="AI48" s="22"/>
      <c r="AK48" s="87">
        <f t="shared" si="2"/>
        <v>0.9</v>
      </c>
      <c r="AL48" s="87">
        <f t="shared" si="3"/>
        <v>1.35</v>
      </c>
      <c r="AM48" s="87">
        <f t="shared" si="4"/>
        <v>0.55833333333333335</v>
      </c>
      <c r="AN48" s="87">
        <f t="shared" si="5"/>
        <v>1.4285714285714286</v>
      </c>
      <c r="AO48" s="87">
        <f t="shared" si="6"/>
        <v>0</v>
      </c>
      <c r="AP48" s="87"/>
      <c r="AQ48" s="87"/>
      <c r="AR48" s="87"/>
      <c r="AS48" s="87">
        <f t="shared" si="7"/>
        <v>0.11428571428571428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33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  <c r="AE49" s="31">
        <v>0</v>
      </c>
      <c r="AF49" s="31">
        <v>0</v>
      </c>
      <c r="AG49" s="31">
        <v>0</v>
      </c>
      <c r="AH49" s="21" t="s">
        <v>113</v>
      </c>
      <c r="AI49" s="22"/>
      <c r="AK49" s="87">
        <f t="shared" si="2"/>
        <v>0.82499999999999996</v>
      </c>
      <c r="AL49" s="87">
        <f t="shared" si="3"/>
        <v>0</v>
      </c>
      <c r="AM49" s="87">
        <f t="shared" si="4"/>
        <v>0</v>
      </c>
      <c r="AN49" s="87">
        <f t="shared" si="5"/>
        <v>0</v>
      </c>
      <c r="AO49" s="87">
        <f t="shared" si="6"/>
        <v>0</v>
      </c>
      <c r="AP49" s="87"/>
      <c r="AQ49" s="87"/>
      <c r="AR49" s="87"/>
      <c r="AS49" s="87">
        <f t="shared" si="7"/>
        <v>0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>
        <v>39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  <c r="AC50" s="31">
        <v>0</v>
      </c>
      <c r="AD50" s="31">
        <v>0</v>
      </c>
      <c r="AE50" s="31">
        <v>0</v>
      </c>
      <c r="AF50" s="31">
        <v>0</v>
      </c>
      <c r="AG50" s="31">
        <v>0</v>
      </c>
      <c r="AH50" s="21" t="s">
        <v>113</v>
      </c>
      <c r="AI50" s="22"/>
      <c r="AK50" s="87">
        <f t="shared" si="2"/>
        <v>0.97499999999999998</v>
      </c>
      <c r="AL50" s="87">
        <f t="shared" si="3"/>
        <v>0</v>
      </c>
      <c r="AM50" s="87">
        <f t="shared" si="4"/>
        <v>0</v>
      </c>
      <c r="AN50" s="87">
        <f t="shared" si="5"/>
        <v>0</v>
      </c>
      <c r="AO50" s="87">
        <f t="shared" si="6"/>
        <v>0</v>
      </c>
      <c r="AP50" s="87"/>
      <c r="AQ50" s="87"/>
      <c r="AR50" s="87"/>
      <c r="AS50" s="87">
        <f t="shared" si="7"/>
        <v>0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20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  <c r="AC51" s="31">
        <v>0</v>
      </c>
      <c r="AD51" s="31">
        <v>0</v>
      </c>
      <c r="AE51" s="31">
        <v>0</v>
      </c>
      <c r="AF51" s="31">
        <v>0</v>
      </c>
      <c r="AG51" s="31">
        <v>0</v>
      </c>
      <c r="AH51" s="21" t="s">
        <v>113</v>
      </c>
      <c r="AI51" s="22"/>
      <c r="AK51" s="87">
        <f t="shared" si="2"/>
        <v>0.5</v>
      </c>
      <c r="AL51" s="87">
        <f t="shared" si="3"/>
        <v>0</v>
      </c>
      <c r="AM51" s="87">
        <f t="shared" si="4"/>
        <v>0</v>
      </c>
      <c r="AN51" s="87">
        <f t="shared" si="5"/>
        <v>0</v>
      </c>
      <c r="AO51" s="87">
        <f t="shared" si="6"/>
        <v>0</v>
      </c>
      <c r="AP51" s="87"/>
      <c r="AQ51" s="87"/>
      <c r="AR51" s="87"/>
      <c r="AS51" s="87">
        <f t="shared" si="7"/>
        <v>0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30</v>
      </c>
      <c r="T52" s="31">
        <v>27</v>
      </c>
      <c r="U52" s="31">
        <v>91</v>
      </c>
      <c r="V52" s="32">
        <v>8</v>
      </c>
      <c r="W52" s="32">
        <v>0</v>
      </c>
      <c r="X52" s="32">
        <v>100</v>
      </c>
      <c r="Y52" s="75">
        <v>15</v>
      </c>
      <c r="Z52" s="33">
        <v>0</v>
      </c>
      <c r="AA52" s="34">
        <v>65</v>
      </c>
      <c r="AB52" s="34">
        <v>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 t="s">
        <v>113</v>
      </c>
      <c r="AI52" s="22"/>
      <c r="AK52" s="87">
        <f t="shared" si="2"/>
        <v>0.75</v>
      </c>
      <c r="AL52" s="87">
        <f t="shared" si="3"/>
        <v>1.35</v>
      </c>
      <c r="AM52" s="87">
        <f t="shared" si="4"/>
        <v>0.7583333333333333</v>
      </c>
      <c r="AN52" s="87">
        <f t="shared" si="5"/>
        <v>1.1428571428571428</v>
      </c>
      <c r="AO52" s="87">
        <f t="shared" si="6"/>
        <v>0</v>
      </c>
      <c r="AP52" s="87"/>
      <c r="AQ52" s="87"/>
      <c r="AR52" s="87"/>
      <c r="AS52" s="87">
        <f t="shared" si="7"/>
        <v>0.37142857142857144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20</v>
      </c>
      <c r="T53" s="31">
        <v>27</v>
      </c>
      <c r="U53" s="31">
        <v>15</v>
      </c>
      <c r="V53" s="31">
        <v>50</v>
      </c>
      <c r="W53" s="31">
        <v>0</v>
      </c>
      <c r="X53" s="31">
        <v>0</v>
      </c>
      <c r="Y53" s="31">
        <v>40</v>
      </c>
      <c r="Z53" s="31">
        <v>0</v>
      </c>
      <c r="AA53" s="31">
        <v>18</v>
      </c>
      <c r="AB53" s="31">
        <v>0</v>
      </c>
      <c r="AC53" s="31">
        <v>0</v>
      </c>
      <c r="AD53" s="31">
        <v>0</v>
      </c>
      <c r="AE53" s="31">
        <v>0</v>
      </c>
      <c r="AF53" s="31">
        <v>0</v>
      </c>
      <c r="AG53" s="31">
        <v>0</v>
      </c>
      <c r="AH53" s="21" t="s">
        <v>129</v>
      </c>
      <c r="AI53" s="22"/>
      <c r="AK53" s="87">
        <f t="shared" si="2"/>
        <v>0.5</v>
      </c>
      <c r="AL53" s="87">
        <f t="shared" si="3"/>
        <v>1.35</v>
      </c>
      <c r="AM53" s="87">
        <f t="shared" si="4"/>
        <v>0.125</v>
      </c>
      <c r="AN53" s="87">
        <f t="shared" si="5"/>
        <v>7.1428571428571432</v>
      </c>
      <c r="AO53" s="87">
        <f t="shared" si="6"/>
        <v>0</v>
      </c>
      <c r="AP53" s="87"/>
      <c r="AQ53" s="87"/>
      <c r="AR53" s="87"/>
      <c r="AS53" s="87">
        <f t="shared" si="7"/>
        <v>0.10285714285714286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>
        <v>50</v>
      </c>
      <c r="T54" s="31">
        <v>45</v>
      </c>
      <c r="U54" s="31">
        <v>205</v>
      </c>
      <c r="V54" s="32">
        <v>1</v>
      </c>
      <c r="W54" s="32">
        <v>0</v>
      </c>
      <c r="X54" s="32">
        <v>48</v>
      </c>
      <c r="Y54" s="75">
        <v>2</v>
      </c>
      <c r="Z54" s="33">
        <v>0</v>
      </c>
      <c r="AA54" s="34">
        <v>40</v>
      </c>
      <c r="AB54" s="34">
        <v>0</v>
      </c>
      <c r="AC54" s="34">
        <v>0</v>
      </c>
      <c r="AD54" s="35">
        <v>0</v>
      </c>
      <c r="AE54" s="34">
        <v>0</v>
      </c>
      <c r="AF54" s="34">
        <v>0</v>
      </c>
      <c r="AG54" s="34">
        <v>0</v>
      </c>
      <c r="AH54" s="21" t="s">
        <v>113</v>
      </c>
      <c r="AI54" s="22"/>
      <c r="AK54" s="87">
        <f t="shared" si="2"/>
        <v>1.25</v>
      </c>
      <c r="AL54" s="87">
        <f t="shared" si="3"/>
        <v>2.25</v>
      </c>
      <c r="AM54" s="87">
        <f t="shared" si="4"/>
        <v>1.7083333333333333</v>
      </c>
      <c r="AN54" s="87">
        <f t="shared" si="5"/>
        <v>0.14285714285714285</v>
      </c>
      <c r="AO54" s="87">
        <f t="shared" si="6"/>
        <v>0</v>
      </c>
      <c r="AP54" s="87"/>
      <c r="AQ54" s="87"/>
      <c r="AR54" s="87"/>
      <c r="AS54" s="87">
        <f t="shared" si="7"/>
        <v>0.22857142857142856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8">SUM(E5:E54)</f>
        <v>1000</v>
      </c>
      <c r="F55" s="61">
        <f t="shared" si="8"/>
        <v>6000</v>
      </c>
      <c r="G55" s="61">
        <f t="shared" si="8"/>
        <v>350</v>
      </c>
      <c r="H55" s="61">
        <f t="shared" si="8"/>
        <v>200</v>
      </c>
      <c r="I55" s="61">
        <f t="shared" si="8"/>
        <v>0</v>
      </c>
      <c r="J55" s="61">
        <f t="shared" si="8"/>
        <v>0</v>
      </c>
      <c r="K55" s="61">
        <f t="shared" si="8"/>
        <v>0</v>
      </c>
      <c r="L55" s="61">
        <f t="shared" si="8"/>
        <v>8750</v>
      </c>
      <c r="M55" s="61">
        <f t="shared" si="8"/>
        <v>0</v>
      </c>
      <c r="N55" s="61">
        <f t="shared" si="8"/>
        <v>0</v>
      </c>
      <c r="O55" s="61">
        <f t="shared" si="8"/>
        <v>0</v>
      </c>
      <c r="P55" s="61">
        <f t="shared" si="8"/>
        <v>0</v>
      </c>
      <c r="Q55" s="61">
        <f t="shared" si="8"/>
        <v>0</v>
      </c>
      <c r="R55" s="61">
        <f t="shared" si="8"/>
        <v>0</v>
      </c>
      <c r="S55" s="61">
        <f t="shared" si="8"/>
        <v>1397</v>
      </c>
      <c r="T55" s="61">
        <f t="shared" si="8"/>
        <v>296</v>
      </c>
      <c r="U55" s="61">
        <f t="shared" si="8"/>
        <v>1270</v>
      </c>
      <c r="V55" s="61">
        <f t="shared" si="8"/>
        <v>100</v>
      </c>
      <c r="W55" s="61">
        <f t="shared" si="8"/>
        <v>0</v>
      </c>
      <c r="X55" s="61">
        <f t="shared" si="8"/>
        <v>440</v>
      </c>
      <c r="Y55" s="61">
        <f t="shared" si="8"/>
        <v>118</v>
      </c>
      <c r="Z55" s="61">
        <f t="shared" si="8"/>
        <v>0</v>
      </c>
      <c r="AA55" s="61">
        <f>SUM(AA5:AA54)</f>
        <v>395</v>
      </c>
      <c r="AB55" s="61">
        <f t="shared" si="8"/>
        <v>0</v>
      </c>
      <c r="AC55" s="61">
        <f t="shared" si="8"/>
        <v>0</v>
      </c>
      <c r="AD55" s="61">
        <f t="shared" si="8"/>
        <v>0</v>
      </c>
      <c r="AE55" s="61">
        <f t="shared" si="8"/>
        <v>0</v>
      </c>
      <c r="AF55" s="61">
        <f t="shared" si="8"/>
        <v>0</v>
      </c>
      <c r="AG55" s="61">
        <f t="shared" si="8"/>
        <v>0</v>
      </c>
      <c r="AH55" s="36">
        <f>SUM(AH5:AH34)</f>
        <v>0</v>
      </c>
      <c r="AI55" s="64">
        <f>SUM(AI5:AI34)</f>
        <v>0</v>
      </c>
      <c r="AK55" s="87">
        <f t="shared" si="2"/>
        <v>0.69850000000000001</v>
      </c>
      <c r="AL55" s="87">
        <f t="shared" si="3"/>
        <v>0.29599999999999999</v>
      </c>
      <c r="AM55" s="87">
        <f t="shared" si="4"/>
        <v>0.21166666666666667</v>
      </c>
      <c r="AN55" s="87">
        <f t="shared" si="5"/>
        <v>0.2857142857142857</v>
      </c>
      <c r="AO55" s="87">
        <f t="shared" si="6"/>
        <v>0</v>
      </c>
      <c r="AP55" s="87"/>
      <c r="AQ55" s="87"/>
      <c r="AR55" s="87"/>
      <c r="AS55" s="87">
        <f t="shared" si="7"/>
        <v>4.5142857142857144E-2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1" t="s">
        <v>18</v>
      </c>
      <c r="C57" s="112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9">P55</f>
        <v>0</v>
      </c>
      <c r="Q57" s="27">
        <f t="shared" si="9"/>
        <v>0</v>
      </c>
      <c r="R57" s="27">
        <f t="shared" si="9"/>
        <v>0</v>
      </c>
      <c r="S57" s="24">
        <f>S55</f>
        <v>1397</v>
      </c>
      <c r="T57" s="24">
        <f>T55</f>
        <v>296</v>
      </c>
      <c r="U57" s="24">
        <f>U55/120</f>
        <v>10.583333333333334</v>
      </c>
      <c r="V57" s="25">
        <f>V55/6</f>
        <v>16.666666666666668</v>
      </c>
      <c r="W57" s="25">
        <f>W55/10</f>
        <v>0</v>
      </c>
      <c r="X57" s="25">
        <f>X55/100</f>
        <v>4.4000000000000004</v>
      </c>
      <c r="Y57" s="76">
        <f>Y55/20</f>
        <v>5.9</v>
      </c>
      <c r="Z57" s="26">
        <f>Z55/60</f>
        <v>0</v>
      </c>
      <c r="AA57" s="27">
        <f>AA55/120</f>
        <v>3.2916666666666665</v>
      </c>
      <c r="AB57" s="27">
        <f>AB55/100</f>
        <v>0</v>
      </c>
      <c r="AC57" s="27">
        <f>AC55/60</f>
        <v>0</v>
      </c>
      <c r="AD57" s="27">
        <f>AD55</f>
        <v>0</v>
      </c>
      <c r="AE57" s="27">
        <f t="shared" ref="AE57:AG57" si="10">AE55</f>
        <v>0</v>
      </c>
      <c r="AF57" s="27">
        <f t="shared" si="10"/>
        <v>0</v>
      </c>
      <c r="AG57" s="27">
        <f t="shared" si="10"/>
        <v>0</v>
      </c>
      <c r="AH57" s="23"/>
      <c r="AI57" s="28"/>
      <c r="AK57" s="24"/>
      <c r="AL57" s="23"/>
      <c r="AM57" s="24">
        <f>AM55/120</f>
        <v>1.7638888888888888E-3</v>
      </c>
      <c r="AN57" s="25">
        <f>AN55/6</f>
        <v>4.7619047619047616E-2</v>
      </c>
      <c r="AO57" s="25">
        <f>AO55/20</f>
        <v>0</v>
      </c>
      <c r="AP57" s="25">
        <f>AP55/100</f>
        <v>0</v>
      </c>
      <c r="AQ57" s="76"/>
      <c r="AR57" s="26">
        <f>AR55/20</f>
        <v>0</v>
      </c>
      <c r="AS57" s="27">
        <f>AS55/120</f>
        <v>3.761904761904762E-4</v>
      </c>
      <c r="AT57" s="27"/>
      <c r="AU57" s="27">
        <f>AU55/100</f>
        <v>0</v>
      </c>
      <c r="AV57" s="27">
        <f t="shared" ref="AV57:AY57" si="11">AV55/100</f>
        <v>0</v>
      </c>
      <c r="AW57" s="27">
        <f t="shared" si="11"/>
        <v>0</v>
      </c>
      <c r="AX57" s="27">
        <f t="shared" si="11"/>
        <v>0</v>
      </c>
      <c r="AY57" s="27">
        <f t="shared" si="11"/>
        <v>0</v>
      </c>
    </row>
  </sheetData>
  <autoFilter ref="A2:AI55" xr:uid="{4D56CDF7-BE2A-4A94-AB0F-7B9157456BF5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</autoFilter>
  <mergeCells count="16">
    <mergeCell ref="B57:C57"/>
    <mergeCell ref="AD3:AG3"/>
    <mergeCell ref="AK2:AY2"/>
    <mergeCell ref="S2:AI2"/>
    <mergeCell ref="B3:B4"/>
    <mergeCell ref="C3:C4"/>
    <mergeCell ref="F3:J3"/>
    <mergeCell ref="L3:N3"/>
    <mergeCell ref="U3:Z3"/>
    <mergeCell ref="AA3:AC3"/>
    <mergeCell ref="AH3:AH4"/>
    <mergeCell ref="AI3:AI4"/>
    <mergeCell ref="D2:R2"/>
    <mergeCell ref="AM3:AR3"/>
    <mergeCell ref="AS3:AU3"/>
    <mergeCell ref="AV3:A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EC3A-5E9E-4BE6-B967-495F3085FA79}">
  <dimension ref="A1:AY5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46109</v>
      </c>
      <c r="D2" s="113" t="s">
        <v>107</v>
      </c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5" t="s">
        <v>108</v>
      </c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7"/>
      <c r="AK2" s="118" t="s">
        <v>109</v>
      </c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20"/>
    </row>
    <row r="3" spans="2:51" ht="18" thickBot="1" x14ac:dyDescent="0.3">
      <c r="B3" s="121" t="s">
        <v>1</v>
      </c>
      <c r="C3" s="123" t="s">
        <v>2</v>
      </c>
      <c r="D3" s="5" t="s">
        <v>3</v>
      </c>
      <c r="E3" s="6" t="str">
        <f>T3</f>
        <v>Acheteurs</v>
      </c>
      <c r="F3" s="125" t="s">
        <v>4</v>
      </c>
      <c r="G3" s="125"/>
      <c r="H3" s="125"/>
      <c r="I3" s="125"/>
      <c r="J3" s="126"/>
      <c r="K3" s="56"/>
      <c r="L3" s="127" t="s">
        <v>5</v>
      </c>
      <c r="M3" s="128"/>
      <c r="N3" s="129"/>
      <c r="O3" s="70"/>
      <c r="P3" s="70"/>
      <c r="Q3" s="70"/>
      <c r="R3" s="70"/>
      <c r="S3" s="7" t="s">
        <v>3</v>
      </c>
      <c r="T3" s="7" t="s">
        <v>6</v>
      </c>
      <c r="U3" s="130" t="s">
        <v>7</v>
      </c>
      <c r="V3" s="131"/>
      <c r="W3" s="131"/>
      <c r="X3" s="131"/>
      <c r="Y3" s="131"/>
      <c r="Z3" s="132"/>
      <c r="AA3" s="133" t="str">
        <f>L3</f>
        <v>Gratuités pour achats 
(en unités)</v>
      </c>
      <c r="AB3" s="134"/>
      <c r="AC3" s="135"/>
      <c r="AD3" s="133" t="s">
        <v>19</v>
      </c>
      <c r="AE3" s="134"/>
      <c r="AF3" s="134"/>
      <c r="AG3" s="135"/>
      <c r="AH3" s="136" t="s">
        <v>8</v>
      </c>
      <c r="AI3" s="138" t="s">
        <v>9</v>
      </c>
      <c r="AK3" s="79" t="s">
        <v>3</v>
      </c>
      <c r="AL3" s="79" t="s">
        <v>6</v>
      </c>
      <c r="AM3" s="140" t="s">
        <v>7</v>
      </c>
      <c r="AN3" s="141"/>
      <c r="AO3" s="141"/>
      <c r="AP3" s="141"/>
      <c r="AQ3" s="141"/>
      <c r="AR3" s="142"/>
      <c r="AS3" s="143" t="str">
        <f>AD3</f>
        <v>GOODIES</v>
      </c>
      <c r="AT3" s="144"/>
      <c r="AU3" s="145"/>
      <c r="AV3" s="143" t="s">
        <v>19</v>
      </c>
      <c r="AW3" s="144"/>
      <c r="AX3" s="144"/>
      <c r="AY3" s="145"/>
    </row>
    <row r="4" spans="2:51" ht="212.4" thickBot="1" x14ac:dyDescent="0.3">
      <c r="B4" s="122"/>
      <c r="C4" s="12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7"/>
      <c r="AI4" s="139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>
        <v>25</v>
      </c>
      <c r="T5" s="31">
        <v>0</v>
      </c>
      <c r="U5" s="31">
        <v>0</v>
      </c>
      <c r="V5" s="32">
        <v>0</v>
      </c>
      <c r="W5" s="32">
        <v>0</v>
      </c>
      <c r="X5" s="32">
        <v>0</v>
      </c>
      <c r="Y5" s="75">
        <v>0</v>
      </c>
      <c r="Z5" s="33">
        <v>0</v>
      </c>
      <c r="AA5" s="34">
        <v>0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 t="s">
        <v>113</v>
      </c>
      <c r="AI5" s="22"/>
      <c r="AK5" s="87">
        <f>S5/D5</f>
        <v>0.625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>
        <v>18</v>
      </c>
      <c r="T6" s="31">
        <v>7</v>
      </c>
      <c r="U6" s="31">
        <v>60</v>
      </c>
      <c r="V6" s="32">
        <v>0</v>
      </c>
      <c r="W6" s="32">
        <v>0</v>
      </c>
      <c r="X6" s="32">
        <v>10</v>
      </c>
      <c r="Y6" s="75">
        <v>0</v>
      </c>
      <c r="Z6" s="33">
        <v>0</v>
      </c>
      <c r="AA6" s="34">
        <v>16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7">
        <f t="shared" ref="AK6:AO55" si="2">S6/D6</f>
        <v>0.45</v>
      </c>
      <c r="AL6" s="87">
        <f t="shared" si="0"/>
        <v>0.35</v>
      </c>
      <c r="AM6" s="87">
        <f t="shared" si="0"/>
        <v>0.5</v>
      </c>
      <c r="AN6" s="87">
        <f t="shared" si="0"/>
        <v>0</v>
      </c>
      <c r="AO6" s="87">
        <f t="shared" si="0"/>
        <v>0</v>
      </c>
      <c r="AP6" s="87"/>
      <c r="AQ6" s="87"/>
      <c r="AR6" s="87"/>
      <c r="AS6" s="87">
        <f t="shared" si="0"/>
        <v>9.1428571428571428E-2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42</v>
      </c>
      <c r="T7" s="31">
        <v>29</v>
      </c>
      <c r="U7" s="31">
        <v>108</v>
      </c>
      <c r="V7" s="32">
        <v>2</v>
      </c>
      <c r="W7" s="32">
        <v>0</v>
      </c>
      <c r="X7" s="32">
        <v>40</v>
      </c>
      <c r="Y7" s="75">
        <v>21</v>
      </c>
      <c r="Z7" s="33">
        <v>0</v>
      </c>
      <c r="AA7" s="34">
        <v>14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1.05</v>
      </c>
      <c r="AL7" s="87">
        <f t="shared" si="0"/>
        <v>1.45</v>
      </c>
      <c r="AM7" s="87">
        <f t="shared" si="0"/>
        <v>0.9</v>
      </c>
      <c r="AN7" s="87">
        <f t="shared" si="0"/>
        <v>0.2857142857142857</v>
      </c>
      <c r="AO7" s="87">
        <f t="shared" si="0"/>
        <v>0</v>
      </c>
      <c r="AP7" s="87"/>
      <c r="AQ7" s="87"/>
      <c r="AR7" s="87"/>
      <c r="AS7" s="87">
        <f t="shared" si="0"/>
        <v>0.08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22</v>
      </c>
      <c r="T8" s="31">
        <v>0</v>
      </c>
      <c r="U8" s="31">
        <v>0</v>
      </c>
      <c r="V8" s="32">
        <v>0</v>
      </c>
      <c r="W8" s="32">
        <v>0</v>
      </c>
      <c r="X8" s="32">
        <v>0</v>
      </c>
      <c r="Y8" s="75">
        <v>0</v>
      </c>
      <c r="Z8" s="33">
        <v>0</v>
      </c>
      <c r="AA8" s="34">
        <v>0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 t="s">
        <v>113</v>
      </c>
      <c r="AI8" s="22"/>
      <c r="AK8" s="87">
        <f t="shared" si="2"/>
        <v>0.55000000000000004</v>
      </c>
      <c r="AL8" s="87">
        <f t="shared" si="0"/>
        <v>0</v>
      </c>
      <c r="AM8" s="87">
        <f t="shared" si="0"/>
        <v>0</v>
      </c>
      <c r="AN8" s="87">
        <f t="shared" si="0"/>
        <v>0</v>
      </c>
      <c r="AO8" s="87">
        <f t="shared" si="0"/>
        <v>0</v>
      </c>
      <c r="AP8" s="87"/>
      <c r="AQ8" s="87"/>
      <c r="AR8" s="87"/>
      <c r="AS8" s="87">
        <f t="shared" si="0"/>
        <v>0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35</v>
      </c>
      <c r="T9" s="31">
        <v>20</v>
      </c>
      <c r="U9" s="31">
        <v>240</v>
      </c>
      <c r="V9" s="32">
        <v>0</v>
      </c>
      <c r="W9" s="32">
        <v>0</v>
      </c>
      <c r="X9" s="32">
        <v>0</v>
      </c>
      <c r="Y9" s="75">
        <v>0</v>
      </c>
      <c r="Z9" s="33">
        <v>0</v>
      </c>
      <c r="AA9" s="34">
        <v>48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7">
        <f t="shared" si="2"/>
        <v>0.875</v>
      </c>
      <c r="AL9" s="87">
        <f t="shared" si="0"/>
        <v>1</v>
      </c>
      <c r="AM9" s="87">
        <f t="shared" si="0"/>
        <v>2</v>
      </c>
      <c r="AN9" s="87">
        <f t="shared" si="0"/>
        <v>0</v>
      </c>
      <c r="AO9" s="87">
        <f t="shared" si="0"/>
        <v>0</v>
      </c>
      <c r="AP9" s="87"/>
      <c r="AQ9" s="87"/>
      <c r="AR9" s="87"/>
      <c r="AS9" s="87">
        <f t="shared" si="0"/>
        <v>0.2742857142857143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28</v>
      </c>
      <c r="T10" s="31">
        <v>0</v>
      </c>
      <c r="U10" s="31">
        <v>0</v>
      </c>
      <c r="V10" s="32">
        <v>0</v>
      </c>
      <c r="W10" s="32">
        <v>0</v>
      </c>
      <c r="X10" s="32">
        <v>0</v>
      </c>
      <c r="Y10" s="75">
        <v>0</v>
      </c>
      <c r="Z10" s="33">
        <v>0</v>
      </c>
      <c r="AA10" s="34">
        <v>0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 t="s">
        <v>113</v>
      </c>
      <c r="AI10" s="22"/>
      <c r="AK10" s="87">
        <f t="shared" si="2"/>
        <v>0.7</v>
      </c>
      <c r="AL10" s="87">
        <f t="shared" si="0"/>
        <v>0</v>
      </c>
      <c r="AM10" s="87">
        <f t="shared" si="0"/>
        <v>0</v>
      </c>
      <c r="AN10" s="87">
        <f t="shared" si="0"/>
        <v>0</v>
      </c>
      <c r="AO10" s="87">
        <f t="shared" si="0"/>
        <v>0</v>
      </c>
      <c r="AP10" s="87"/>
      <c r="AQ10" s="87"/>
      <c r="AR10" s="87"/>
      <c r="AS10" s="87">
        <f t="shared" si="0"/>
        <v>0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42</v>
      </c>
      <c r="T11" s="31">
        <v>29</v>
      </c>
      <c r="U11" s="31">
        <v>108</v>
      </c>
      <c r="V11" s="32">
        <v>0</v>
      </c>
      <c r="W11" s="32">
        <v>0</v>
      </c>
      <c r="X11" s="32">
        <v>40</v>
      </c>
      <c r="Y11" s="75">
        <v>21</v>
      </c>
      <c r="Z11" s="33">
        <v>0</v>
      </c>
      <c r="AA11" s="34">
        <v>14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7">
        <f t="shared" si="2"/>
        <v>1.05</v>
      </c>
      <c r="AL11" s="87">
        <f t="shared" si="0"/>
        <v>1.45</v>
      </c>
      <c r="AM11" s="87">
        <f t="shared" si="0"/>
        <v>0.9</v>
      </c>
      <c r="AN11" s="87">
        <f t="shared" si="0"/>
        <v>0</v>
      </c>
      <c r="AO11" s="87">
        <f t="shared" si="0"/>
        <v>0</v>
      </c>
      <c r="AP11" s="87"/>
      <c r="AQ11" s="87"/>
      <c r="AR11" s="87"/>
      <c r="AS11" s="87">
        <f t="shared" si="0"/>
        <v>0.08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33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1">
        <v>0</v>
      </c>
      <c r="AH12" s="21" t="s">
        <v>113</v>
      </c>
      <c r="AI12" s="22"/>
      <c r="AK12" s="87">
        <f t="shared" si="2"/>
        <v>0.82499999999999996</v>
      </c>
      <c r="AL12" s="87">
        <f t="shared" si="0"/>
        <v>0</v>
      </c>
      <c r="AM12" s="87">
        <f t="shared" si="0"/>
        <v>0</v>
      </c>
      <c r="AN12" s="87">
        <f t="shared" si="0"/>
        <v>0</v>
      </c>
      <c r="AO12" s="87">
        <f t="shared" si="0"/>
        <v>0</v>
      </c>
      <c r="AP12" s="87"/>
      <c r="AQ12" s="87"/>
      <c r="AR12" s="87"/>
      <c r="AS12" s="87">
        <f t="shared" si="0"/>
        <v>0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35</v>
      </c>
      <c r="T13" s="31">
        <v>23</v>
      </c>
      <c r="U13" s="31">
        <v>113</v>
      </c>
      <c r="V13" s="32">
        <v>2</v>
      </c>
      <c r="W13" s="32">
        <v>0</v>
      </c>
      <c r="X13" s="32">
        <v>40</v>
      </c>
      <c r="Y13" s="75">
        <v>10</v>
      </c>
      <c r="Z13" s="33">
        <v>0</v>
      </c>
      <c r="AA13" s="34">
        <v>51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 t="s">
        <v>113</v>
      </c>
      <c r="AI13" s="22"/>
      <c r="AK13" s="87">
        <f t="shared" si="2"/>
        <v>0.875</v>
      </c>
      <c r="AL13" s="87">
        <f t="shared" si="0"/>
        <v>1.1499999999999999</v>
      </c>
      <c r="AM13" s="87">
        <f t="shared" si="0"/>
        <v>0.94166666666666665</v>
      </c>
      <c r="AN13" s="87">
        <f t="shared" si="0"/>
        <v>0.2857142857142857</v>
      </c>
      <c r="AO13" s="87">
        <f t="shared" si="0"/>
        <v>0</v>
      </c>
      <c r="AP13" s="87"/>
      <c r="AQ13" s="87"/>
      <c r="AR13" s="87"/>
      <c r="AS13" s="87">
        <f t="shared" si="0"/>
        <v>0.29142857142857143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20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  <c r="AC14" s="31">
        <v>0</v>
      </c>
      <c r="AD14" s="31">
        <v>0</v>
      </c>
      <c r="AE14" s="31">
        <v>0</v>
      </c>
      <c r="AF14" s="31">
        <v>0</v>
      </c>
      <c r="AG14" s="31">
        <v>0</v>
      </c>
      <c r="AH14" s="21" t="s">
        <v>113</v>
      </c>
      <c r="AI14" s="22"/>
      <c r="AK14" s="87">
        <f t="shared" si="2"/>
        <v>0.5</v>
      </c>
      <c r="AL14" s="87">
        <f t="shared" si="0"/>
        <v>0</v>
      </c>
      <c r="AM14" s="87">
        <f t="shared" si="0"/>
        <v>0</v>
      </c>
      <c r="AN14" s="87">
        <f t="shared" si="0"/>
        <v>0</v>
      </c>
      <c r="AO14" s="87">
        <f t="shared" si="0"/>
        <v>0</v>
      </c>
      <c r="AP14" s="87"/>
      <c r="AQ14" s="87"/>
      <c r="AR14" s="87"/>
      <c r="AS14" s="87">
        <f t="shared" si="0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28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0</v>
      </c>
      <c r="AC15" s="31">
        <v>0</v>
      </c>
      <c r="AD15" s="31">
        <v>0</v>
      </c>
      <c r="AE15" s="31">
        <v>0</v>
      </c>
      <c r="AF15" s="31">
        <v>0</v>
      </c>
      <c r="AG15" s="31">
        <v>0</v>
      </c>
      <c r="AH15" s="21" t="s">
        <v>113</v>
      </c>
      <c r="AI15" s="22"/>
      <c r="AK15" s="87">
        <f t="shared" si="2"/>
        <v>0.7</v>
      </c>
      <c r="AL15" s="87">
        <f t="shared" si="0"/>
        <v>0</v>
      </c>
      <c r="AM15" s="87">
        <f t="shared" si="0"/>
        <v>0</v>
      </c>
      <c r="AN15" s="87">
        <f t="shared" si="0"/>
        <v>0</v>
      </c>
      <c r="AO15" s="87">
        <f t="shared" si="0"/>
        <v>0</v>
      </c>
      <c r="AP15" s="87"/>
      <c r="AQ15" s="87"/>
      <c r="AR15" s="87"/>
      <c r="AS15" s="87">
        <f t="shared" si="0"/>
        <v>0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37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21" t="s">
        <v>113</v>
      </c>
      <c r="AI16" s="22"/>
      <c r="AK16" s="87">
        <f t="shared" si="2"/>
        <v>0.92500000000000004</v>
      </c>
      <c r="AL16" s="87">
        <f t="shared" si="0"/>
        <v>0</v>
      </c>
      <c r="AM16" s="87">
        <f t="shared" si="0"/>
        <v>0</v>
      </c>
      <c r="AN16" s="87">
        <f t="shared" si="0"/>
        <v>0</v>
      </c>
      <c r="AO16" s="87">
        <f t="shared" si="0"/>
        <v>0</v>
      </c>
      <c r="AP16" s="87"/>
      <c r="AQ16" s="87"/>
      <c r="AR16" s="87"/>
      <c r="AS16" s="87">
        <f t="shared" si="0"/>
        <v>0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27</v>
      </c>
      <c r="T17" s="31">
        <v>7</v>
      </c>
      <c r="U17" s="31">
        <v>0</v>
      </c>
      <c r="V17" s="32">
        <v>0</v>
      </c>
      <c r="W17" s="32">
        <v>0</v>
      </c>
      <c r="X17" s="32">
        <v>2</v>
      </c>
      <c r="Y17" s="75">
        <v>2</v>
      </c>
      <c r="Z17" s="33">
        <v>0</v>
      </c>
      <c r="AA17" s="34">
        <v>12</v>
      </c>
      <c r="AB17" s="34">
        <v>5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 t="s">
        <v>113</v>
      </c>
      <c r="AI17" s="22"/>
      <c r="AK17" s="87">
        <f t="shared" si="2"/>
        <v>0.67500000000000004</v>
      </c>
      <c r="AL17" s="87">
        <f t="shared" si="0"/>
        <v>0.35</v>
      </c>
      <c r="AM17" s="87">
        <f t="shared" si="0"/>
        <v>0</v>
      </c>
      <c r="AN17" s="87">
        <f t="shared" si="0"/>
        <v>0</v>
      </c>
      <c r="AO17" s="87">
        <f t="shared" si="0"/>
        <v>0</v>
      </c>
      <c r="AP17" s="87"/>
      <c r="AQ17" s="87"/>
      <c r="AR17" s="87"/>
      <c r="AS17" s="87">
        <f t="shared" si="0"/>
        <v>6.8571428571428575E-2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50</v>
      </c>
      <c r="T18" s="31">
        <v>32</v>
      </c>
      <c r="U18" s="31">
        <v>138</v>
      </c>
      <c r="V18" s="32">
        <v>0</v>
      </c>
      <c r="W18" s="32">
        <v>0</v>
      </c>
      <c r="X18" s="32">
        <v>0</v>
      </c>
      <c r="Y18" s="75">
        <v>0</v>
      </c>
      <c r="Z18" s="33">
        <v>0</v>
      </c>
      <c r="AA18" s="34">
        <v>54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 t="s">
        <v>113</v>
      </c>
      <c r="AI18" s="22"/>
      <c r="AK18" s="87">
        <f t="shared" si="2"/>
        <v>1.25</v>
      </c>
      <c r="AL18" s="87">
        <f t="shared" si="0"/>
        <v>1.6</v>
      </c>
      <c r="AM18" s="87">
        <f t="shared" si="0"/>
        <v>1.1499999999999999</v>
      </c>
      <c r="AN18" s="87">
        <f t="shared" si="0"/>
        <v>0</v>
      </c>
      <c r="AO18" s="87">
        <f t="shared" si="0"/>
        <v>0</v>
      </c>
      <c r="AP18" s="87"/>
      <c r="AQ18" s="87"/>
      <c r="AR18" s="87"/>
      <c r="AS18" s="87">
        <f t="shared" si="0"/>
        <v>0.30857142857142855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32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21" t="s">
        <v>113</v>
      </c>
      <c r="AI19" s="22"/>
      <c r="AK19" s="87">
        <f t="shared" si="2"/>
        <v>0.8</v>
      </c>
      <c r="AL19" s="87">
        <f t="shared" si="0"/>
        <v>0</v>
      </c>
      <c r="AM19" s="87">
        <f t="shared" si="0"/>
        <v>0</v>
      </c>
      <c r="AN19" s="87">
        <f t="shared" si="0"/>
        <v>0</v>
      </c>
      <c r="AO19" s="87">
        <f t="shared" si="0"/>
        <v>0</v>
      </c>
      <c r="AP19" s="87"/>
      <c r="AQ19" s="87"/>
      <c r="AR19" s="87"/>
      <c r="AS19" s="87">
        <f t="shared" si="0"/>
        <v>0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40</v>
      </c>
      <c r="T20" s="31">
        <v>32</v>
      </c>
      <c r="U20" s="31">
        <v>64</v>
      </c>
      <c r="V20" s="32">
        <v>4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 t="s">
        <v>113</v>
      </c>
      <c r="AI20" s="22"/>
      <c r="AK20" s="87">
        <f t="shared" si="2"/>
        <v>1</v>
      </c>
      <c r="AL20" s="87">
        <f t="shared" si="0"/>
        <v>1.6</v>
      </c>
      <c r="AM20" s="87">
        <f t="shared" si="0"/>
        <v>0.53333333333333333</v>
      </c>
      <c r="AN20" s="87">
        <f t="shared" si="0"/>
        <v>0.5714285714285714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20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21" t="s">
        <v>113</v>
      </c>
      <c r="AI21" s="22"/>
      <c r="AK21" s="87">
        <f t="shared" si="2"/>
        <v>0.5</v>
      </c>
      <c r="AL21" s="87">
        <f t="shared" si="2"/>
        <v>0</v>
      </c>
      <c r="AM21" s="87">
        <f t="shared" si="2"/>
        <v>0</v>
      </c>
      <c r="AN21" s="87">
        <f t="shared" si="2"/>
        <v>0</v>
      </c>
      <c r="AO21" s="87">
        <f t="shared" si="2"/>
        <v>0</v>
      </c>
      <c r="AP21" s="87"/>
      <c r="AQ21" s="87"/>
      <c r="AR21" s="87"/>
      <c r="AS21" s="87">
        <f t="shared" ref="AS21:AS55" si="3">AA21/L21</f>
        <v>0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>
        <v>30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21" t="s">
        <v>113</v>
      </c>
      <c r="AI22" s="22"/>
      <c r="AK22" s="87">
        <f t="shared" si="2"/>
        <v>0.75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34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21" t="s">
        <v>113</v>
      </c>
      <c r="AI23" s="22"/>
      <c r="AK23" s="87">
        <f t="shared" si="2"/>
        <v>0.85</v>
      </c>
      <c r="AL23" s="87">
        <f t="shared" si="2"/>
        <v>0</v>
      </c>
      <c r="AM23" s="87">
        <f t="shared" si="2"/>
        <v>0</v>
      </c>
      <c r="AN23" s="87">
        <f t="shared" si="2"/>
        <v>0</v>
      </c>
      <c r="AO23" s="87">
        <f t="shared" si="2"/>
        <v>0</v>
      </c>
      <c r="AP23" s="87"/>
      <c r="AQ23" s="87"/>
      <c r="AR23" s="87"/>
      <c r="AS23" s="87">
        <f t="shared" si="3"/>
        <v>0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43</v>
      </c>
      <c r="T24" s="31">
        <v>21</v>
      </c>
      <c r="U24" s="31">
        <v>117</v>
      </c>
      <c r="V24" s="32">
        <v>0</v>
      </c>
      <c r="W24" s="32">
        <v>0</v>
      </c>
      <c r="X24" s="32">
        <v>0</v>
      </c>
      <c r="Y24" s="75">
        <v>0</v>
      </c>
      <c r="Z24" s="33">
        <v>0</v>
      </c>
      <c r="AA24" s="34">
        <v>21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 t="s">
        <v>113</v>
      </c>
      <c r="AI24" s="22"/>
      <c r="AK24" s="87">
        <f t="shared" si="2"/>
        <v>1.075</v>
      </c>
      <c r="AL24" s="87">
        <f t="shared" si="2"/>
        <v>1.05</v>
      </c>
      <c r="AM24" s="87">
        <f t="shared" si="2"/>
        <v>0.97499999999999998</v>
      </c>
      <c r="AN24" s="87">
        <f t="shared" si="2"/>
        <v>0</v>
      </c>
      <c r="AO24" s="87">
        <f t="shared" si="2"/>
        <v>0</v>
      </c>
      <c r="AP24" s="87"/>
      <c r="AQ24" s="87"/>
      <c r="AR24" s="87"/>
      <c r="AS24" s="87">
        <f t="shared" si="3"/>
        <v>0.12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>
        <v>40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  <c r="AC25" s="31">
        <v>0</v>
      </c>
      <c r="AD25" s="31">
        <v>0</v>
      </c>
      <c r="AE25" s="31">
        <v>0</v>
      </c>
      <c r="AF25" s="31">
        <v>0</v>
      </c>
      <c r="AG25" s="31">
        <v>0</v>
      </c>
      <c r="AH25" s="21" t="s">
        <v>113</v>
      </c>
      <c r="AI25" s="22"/>
      <c r="AK25" s="87">
        <f t="shared" si="2"/>
        <v>1</v>
      </c>
      <c r="AL25" s="87">
        <f t="shared" si="2"/>
        <v>0</v>
      </c>
      <c r="AM25" s="87">
        <f t="shared" si="2"/>
        <v>0</v>
      </c>
      <c r="AN25" s="87">
        <f t="shared" si="2"/>
        <v>0</v>
      </c>
      <c r="AO25" s="87">
        <f t="shared" si="2"/>
        <v>0</v>
      </c>
      <c r="AP25" s="87"/>
      <c r="AQ25" s="87"/>
      <c r="AR25" s="87"/>
      <c r="AS25" s="87">
        <f t="shared" si="3"/>
        <v>0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>
        <v>22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1">
        <v>0</v>
      </c>
      <c r="AG26" s="31">
        <v>0</v>
      </c>
      <c r="AH26" s="21" t="s">
        <v>113</v>
      </c>
      <c r="AI26" s="22"/>
      <c r="AK26" s="87">
        <f t="shared" si="2"/>
        <v>0.55000000000000004</v>
      </c>
      <c r="AL26" s="87">
        <f t="shared" si="2"/>
        <v>0</v>
      </c>
      <c r="AM26" s="87">
        <f t="shared" si="2"/>
        <v>0</v>
      </c>
      <c r="AN26" s="87">
        <f t="shared" si="2"/>
        <v>0</v>
      </c>
      <c r="AO26" s="87">
        <f t="shared" si="2"/>
        <v>0</v>
      </c>
      <c r="AP26" s="87"/>
      <c r="AQ26" s="87"/>
      <c r="AR26" s="87"/>
      <c r="AS26" s="87">
        <f t="shared" si="3"/>
        <v>0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>
        <v>25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21" t="s">
        <v>113</v>
      </c>
      <c r="AI27" s="22"/>
      <c r="AK27" s="87">
        <f t="shared" si="2"/>
        <v>0.625</v>
      </c>
      <c r="AL27" s="87">
        <f t="shared" si="2"/>
        <v>0</v>
      </c>
      <c r="AM27" s="87">
        <f t="shared" si="2"/>
        <v>0</v>
      </c>
      <c r="AN27" s="87">
        <f t="shared" si="2"/>
        <v>0</v>
      </c>
      <c r="AO27" s="87">
        <f t="shared" si="2"/>
        <v>0</v>
      </c>
      <c r="AP27" s="87"/>
      <c r="AQ27" s="87"/>
      <c r="AR27" s="87"/>
      <c r="AS27" s="87">
        <f t="shared" si="3"/>
        <v>0</v>
      </c>
      <c r="AT27" s="87"/>
      <c r="AU27" s="87"/>
      <c r="AV27" s="87"/>
      <c r="AW27" s="87"/>
      <c r="AX27" s="87"/>
      <c r="AY27" s="87"/>
    </row>
    <row r="28" spans="2:51" ht="17.399999999999999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30</v>
      </c>
      <c r="T28" s="31">
        <v>10</v>
      </c>
      <c r="U28" s="31">
        <v>20</v>
      </c>
      <c r="V28" s="32">
        <v>2</v>
      </c>
      <c r="W28" s="32">
        <v>0</v>
      </c>
      <c r="X28" s="32">
        <v>0</v>
      </c>
      <c r="Y28" s="75">
        <v>7</v>
      </c>
      <c r="Z28" s="33">
        <v>0</v>
      </c>
      <c r="AA28" s="34">
        <v>15</v>
      </c>
      <c r="AB28" s="34">
        <v>0</v>
      </c>
      <c r="AC28" s="34">
        <v>0</v>
      </c>
      <c r="AD28" s="35">
        <v>0</v>
      </c>
      <c r="AE28" s="34">
        <v>0</v>
      </c>
      <c r="AF28" s="34">
        <v>0</v>
      </c>
      <c r="AG28" s="34">
        <v>0</v>
      </c>
      <c r="AH28" s="21" t="s">
        <v>113</v>
      </c>
      <c r="AI28" s="22"/>
      <c r="AK28" s="87">
        <f t="shared" si="2"/>
        <v>0.75</v>
      </c>
      <c r="AL28" s="87">
        <f t="shared" si="2"/>
        <v>0.5</v>
      </c>
      <c r="AM28" s="87">
        <f t="shared" si="2"/>
        <v>0.16666666666666666</v>
      </c>
      <c r="AN28" s="87">
        <f t="shared" si="2"/>
        <v>0.2857142857142857</v>
      </c>
      <c r="AO28" s="87">
        <f t="shared" si="2"/>
        <v>0</v>
      </c>
      <c r="AP28" s="87"/>
      <c r="AQ28" s="87"/>
      <c r="AR28" s="87"/>
      <c r="AS28" s="87">
        <f t="shared" si="3"/>
        <v>8.5714285714285715E-2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>
        <v>28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21" t="s">
        <v>113</v>
      </c>
      <c r="AI29" s="22"/>
      <c r="AK29" s="87">
        <f t="shared" si="2"/>
        <v>0.7</v>
      </c>
      <c r="AL29" s="87">
        <f t="shared" si="2"/>
        <v>0</v>
      </c>
      <c r="AM29" s="87">
        <f t="shared" si="2"/>
        <v>0</v>
      </c>
      <c r="AN29" s="87">
        <f t="shared" si="2"/>
        <v>0</v>
      </c>
      <c r="AO29" s="87">
        <f t="shared" si="2"/>
        <v>0</v>
      </c>
      <c r="AP29" s="87"/>
      <c r="AQ29" s="87"/>
      <c r="AR29" s="87"/>
      <c r="AS29" s="87">
        <f t="shared" si="3"/>
        <v>0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>
        <v>21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  <c r="AC30" s="31">
        <v>0</v>
      </c>
      <c r="AD30" s="31">
        <v>0</v>
      </c>
      <c r="AE30" s="31">
        <v>0</v>
      </c>
      <c r="AF30" s="31">
        <v>0</v>
      </c>
      <c r="AG30" s="31">
        <v>0</v>
      </c>
      <c r="AH30" s="21" t="s">
        <v>113</v>
      </c>
      <c r="AI30" s="22"/>
      <c r="AK30" s="87">
        <f t="shared" si="2"/>
        <v>0.52500000000000002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>
        <v>20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21" t="s">
        <v>113</v>
      </c>
      <c r="AI31" s="22"/>
      <c r="AK31" s="87">
        <f t="shared" si="2"/>
        <v>0.5</v>
      </c>
      <c r="AL31" s="87">
        <f t="shared" si="2"/>
        <v>0</v>
      </c>
      <c r="AM31" s="87">
        <f t="shared" si="2"/>
        <v>0</v>
      </c>
      <c r="AN31" s="87">
        <f t="shared" si="2"/>
        <v>0</v>
      </c>
      <c r="AO31" s="87">
        <f t="shared" si="2"/>
        <v>0</v>
      </c>
      <c r="AP31" s="87"/>
      <c r="AQ31" s="87"/>
      <c r="AR31" s="87"/>
      <c r="AS31" s="87">
        <f t="shared" si="3"/>
        <v>0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>
        <v>34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  <c r="AC32" s="31">
        <v>0</v>
      </c>
      <c r="AD32" s="31">
        <v>0</v>
      </c>
      <c r="AE32" s="31">
        <v>0</v>
      </c>
      <c r="AF32" s="31">
        <v>0</v>
      </c>
      <c r="AG32" s="31">
        <v>0</v>
      </c>
      <c r="AH32" s="21" t="s">
        <v>113</v>
      </c>
      <c r="AI32" s="22"/>
      <c r="AK32" s="87">
        <f t="shared" si="2"/>
        <v>0.85</v>
      </c>
      <c r="AL32" s="87">
        <f t="shared" si="2"/>
        <v>0</v>
      </c>
      <c r="AM32" s="87">
        <f t="shared" si="2"/>
        <v>0</v>
      </c>
      <c r="AN32" s="87">
        <f t="shared" si="2"/>
        <v>0</v>
      </c>
      <c r="AO32" s="87">
        <f t="shared" si="2"/>
        <v>0</v>
      </c>
      <c r="AP32" s="87"/>
      <c r="AQ32" s="87"/>
      <c r="AR32" s="87"/>
      <c r="AS32" s="87">
        <f t="shared" si="3"/>
        <v>0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>
        <v>33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  <c r="AC33" s="31">
        <v>0</v>
      </c>
      <c r="AD33" s="31">
        <v>0</v>
      </c>
      <c r="AE33" s="31">
        <v>0</v>
      </c>
      <c r="AF33" s="31">
        <v>0</v>
      </c>
      <c r="AG33" s="31">
        <v>0</v>
      </c>
      <c r="AH33" s="21" t="s">
        <v>113</v>
      </c>
      <c r="AI33" s="22"/>
      <c r="AK33" s="87">
        <f t="shared" si="2"/>
        <v>0.82499999999999996</v>
      </c>
      <c r="AL33" s="87">
        <f t="shared" si="2"/>
        <v>0</v>
      </c>
      <c r="AM33" s="87">
        <f t="shared" si="2"/>
        <v>0</v>
      </c>
      <c r="AN33" s="87">
        <f t="shared" si="2"/>
        <v>0</v>
      </c>
      <c r="AO33" s="87">
        <f t="shared" si="2"/>
        <v>0</v>
      </c>
      <c r="AP33" s="87"/>
      <c r="AQ33" s="87"/>
      <c r="AR33" s="87"/>
      <c r="AS33" s="87">
        <f t="shared" si="3"/>
        <v>0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15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  <c r="AE34" s="31">
        <v>0</v>
      </c>
      <c r="AF34" s="31">
        <v>0</v>
      </c>
      <c r="AG34" s="31">
        <v>0</v>
      </c>
      <c r="AH34" s="21" t="s">
        <v>113</v>
      </c>
      <c r="AI34" s="22"/>
      <c r="AK34" s="87">
        <f t="shared" si="2"/>
        <v>0.375</v>
      </c>
      <c r="AL34" s="87">
        <f t="shared" si="2"/>
        <v>0</v>
      </c>
      <c r="AM34" s="87">
        <f t="shared" si="2"/>
        <v>0</v>
      </c>
      <c r="AN34" s="87">
        <f t="shared" si="2"/>
        <v>0</v>
      </c>
      <c r="AO34" s="87">
        <f t="shared" si="2"/>
        <v>0</v>
      </c>
      <c r="AP34" s="87"/>
      <c r="AQ34" s="87"/>
      <c r="AR34" s="87"/>
      <c r="AS34" s="87">
        <f t="shared" si="3"/>
        <v>0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>
        <v>30</v>
      </c>
      <c r="T35" s="31">
        <v>8</v>
      </c>
      <c r="U35" s="31">
        <v>80</v>
      </c>
      <c r="V35" s="32">
        <v>0</v>
      </c>
      <c r="W35" s="32">
        <v>0</v>
      </c>
      <c r="X35" s="32">
        <v>0</v>
      </c>
      <c r="Y35" s="75">
        <v>0</v>
      </c>
      <c r="Z35" s="33">
        <v>0</v>
      </c>
      <c r="AA35" s="34">
        <v>0</v>
      </c>
      <c r="AB35" s="34">
        <v>0</v>
      </c>
      <c r="AC35" s="34">
        <v>0</v>
      </c>
      <c r="AD35" s="35">
        <v>0</v>
      </c>
      <c r="AE35" s="34">
        <v>0</v>
      </c>
      <c r="AF35" s="34">
        <v>0</v>
      </c>
      <c r="AG35" s="34">
        <v>0</v>
      </c>
      <c r="AH35" s="21" t="s">
        <v>113</v>
      </c>
      <c r="AI35" s="22"/>
      <c r="AK35" s="87">
        <f t="shared" si="2"/>
        <v>0.75</v>
      </c>
      <c r="AL35" s="87">
        <f t="shared" si="2"/>
        <v>0.4</v>
      </c>
      <c r="AM35" s="87">
        <f t="shared" si="2"/>
        <v>0.66666666666666663</v>
      </c>
      <c r="AN35" s="87">
        <f t="shared" si="2"/>
        <v>0</v>
      </c>
      <c r="AO35" s="87">
        <f t="shared" si="2"/>
        <v>0</v>
      </c>
      <c r="AP35" s="87"/>
      <c r="AQ35" s="87"/>
      <c r="AR35" s="87"/>
      <c r="AS35" s="87">
        <f t="shared" si="3"/>
        <v>0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>
        <v>18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  <c r="AC36" s="31">
        <v>0</v>
      </c>
      <c r="AD36" s="31">
        <v>0</v>
      </c>
      <c r="AE36" s="31">
        <v>0</v>
      </c>
      <c r="AF36" s="31">
        <v>0</v>
      </c>
      <c r="AG36" s="31">
        <v>0</v>
      </c>
      <c r="AH36" s="21" t="s">
        <v>113</v>
      </c>
      <c r="AI36" s="22"/>
      <c r="AK36" s="87">
        <f t="shared" si="2"/>
        <v>0.45</v>
      </c>
      <c r="AL36" s="87">
        <f t="shared" si="2"/>
        <v>0</v>
      </c>
      <c r="AM36" s="87">
        <f t="shared" si="2"/>
        <v>0</v>
      </c>
      <c r="AN36" s="87">
        <f t="shared" si="2"/>
        <v>0</v>
      </c>
      <c r="AO36" s="87">
        <f t="shared" si="2"/>
        <v>0</v>
      </c>
      <c r="AP36" s="87"/>
      <c r="AQ36" s="87"/>
      <c r="AR36" s="87"/>
      <c r="AS36" s="87">
        <f t="shared" si="3"/>
        <v>0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41</v>
      </c>
      <c r="T37" s="31">
        <v>20</v>
      </c>
      <c r="U37" s="31">
        <v>120</v>
      </c>
      <c r="V37" s="32">
        <v>0</v>
      </c>
      <c r="W37" s="32">
        <v>0</v>
      </c>
      <c r="X37" s="32">
        <v>70</v>
      </c>
      <c r="Y37" s="75">
        <v>2</v>
      </c>
      <c r="Z37" s="33">
        <v>0</v>
      </c>
      <c r="AA37" s="34">
        <v>120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1.0249999999999999</v>
      </c>
      <c r="AL37" s="87">
        <f t="shared" si="2"/>
        <v>1</v>
      </c>
      <c r="AM37" s="87">
        <f t="shared" si="2"/>
        <v>1</v>
      </c>
      <c r="AN37" s="87">
        <f t="shared" si="2"/>
        <v>0</v>
      </c>
      <c r="AO37" s="87">
        <f t="shared" si="2"/>
        <v>0</v>
      </c>
      <c r="AP37" s="87"/>
      <c r="AQ37" s="87"/>
      <c r="AR37" s="87"/>
      <c r="AS37" s="87">
        <f t="shared" si="3"/>
        <v>0.68571428571428572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52</v>
      </c>
      <c r="T38" s="31">
        <v>38</v>
      </c>
      <c r="U38" s="31">
        <v>110</v>
      </c>
      <c r="V38" s="32">
        <v>1</v>
      </c>
      <c r="W38" s="32">
        <v>0</v>
      </c>
      <c r="X38" s="32">
        <v>70</v>
      </c>
      <c r="Y38" s="75">
        <v>7</v>
      </c>
      <c r="Z38" s="33">
        <v>0</v>
      </c>
      <c r="AA38" s="34">
        <v>38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1.3</v>
      </c>
      <c r="AL38" s="87">
        <f t="shared" si="2"/>
        <v>1.9</v>
      </c>
      <c r="AM38" s="87">
        <f t="shared" si="2"/>
        <v>0.91666666666666663</v>
      </c>
      <c r="AN38" s="87">
        <f t="shared" si="2"/>
        <v>0.14285714285714285</v>
      </c>
      <c r="AO38" s="87">
        <f t="shared" si="2"/>
        <v>0</v>
      </c>
      <c r="AP38" s="87"/>
      <c r="AQ38" s="87"/>
      <c r="AR38" s="87"/>
      <c r="AS38" s="87">
        <f t="shared" si="3"/>
        <v>0.21714285714285714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36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>
        <v>0</v>
      </c>
      <c r="AD39" s="31">
        <v>0</v>
      </c>
      <c r="AE39" s="31">
        <v>0</v>
      </c>
      <c r="AF39" s="31">
        <v>0</v>
      </c>
      <c r="AG39" s="31">
        <v>0</v>
      </c>
      <c r="AH39" s="21" t="s">
        <v>113</v>
      </c>
      <c r="AI39" s="22"/>
      <c r="AK39" s="87">
        <f t="shared" si="2"/>
        <v>0.9</v>
      </c>
      <c r="AL39" s="87">
        <f t="shared" si="2"/>
        <v>0</v>
      </c>
      <c r="AM39" s="87">
        <f t="shared" si="2"/>
        <v>0</v>
      </c>
      <c r="AN39" s="87">
        <f t="shared" si="2"/>
        <v>0</v>
      </c>
      <c r="AO39" s="87">
        <f t="shared" si="2"/>
        <v>0</v>
      </c>
      <c r="AP39" s="87"/>
      <c r="AQ39" s="87"/>
      <c r="AR39" s="87"/>
      <c r="AS39" s="87">
        <f t="shared" si="3"/>
        <v>0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>
        <v>20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  <c r="AC40" s="31">
        <v>0</v>
      </c>
      <c r="AD40" s="31">
        <v>0</v>
      </c>
      <c r="AE40" s="31">
        <v>0</v>
      </c>
      <c r="AF40" s="31">
        <v>0</v>
      </c>
      <c r="AG40" s="31">
        <v>0</v>
      </c>
      <c r="AH40" s="21" t="s">
        <v>113</v>
      </c>
      <c r="AI40" s="22"/>
      <c r="AK40" s="87">
        <f t="shared" si="2"/>
        <v>0.5</v>
      </c>
      <c r="AL40" s="87">
        <f t="shared" si="2"/>
        <v>0</v>
      </c>
      <c r="AM40" s="87">
        <f t="shared" si="2"/>
        <v>0</v>
      </c>
      <c r="AN40" s="87">
        <f t="shared" si="2"/>
        <v>0</v>
      </c>
      <c r="AO40" s="87">
        <f t="shared" si="2"/>
        <v>0</v>
      </c>
      <c r="AP40" s="87"/>
      <c r="AQ40" s="87"/>
      <c r="AR40" s="87"/>
      <c r="AS40" s="87">
        <f t="shared" si="3"/>
        <v>0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65</v>
      </c>
      <c r="T41" s="31">
        <v>20</v>
      </c>
      <c r="U41" s="31">
        <v>105</v>
      </c>
      <c r="V41" s="32">
        <v>4</v>
      </c>
      <c r="W41" s="32">
        <v>0</v>
      </c>
      <c r="X41" s="32">
        <v>42</v>
      </c>
      <c r="Y41" s="75">
        <v>3</v>
      </c>
      <c r="Z41" s="33">
        <v>0</v>
      </c>
      <c r="AA41" s="34">
        <v>50</v>
      </c>
      <c r="AB41" s="34">
        <v>0</v>
      </c>
      <c r="AC41" s="34">
        <v>0</v>
      </c>
      <c r="AD41" s="35">
        <v>0</v>
      </c>
      <c r="AE41" s="34">
        <v>0</v>
      </c>
      <c r="AF41" s="34">
        <v>0</v>
      </c>
      <c r="AG41" s="34">
        <v>0</v>
      </c>
      <c r="AH41" s="21"/>
      <c r="AI41" s="22"/>
      <c r="AK41" s="87">
        <f t="shared" si="2"/>
        <v>1.625</v>
      </c>
      <c r="AL41" s="87">
        <f t="shared" si="2"/>
        <v>1</v>
      </c>
      <c r="AM41" s="87">
        <f t="shared" si="2"/>
        <v>0.875</v>
      </c>
      <c r="AN41" s="87">
        <f t="shared" si="2"/>
        <v>0.5714285714285714</v>
      </c>
      <c r="AO41" s="87">
        <f t="shared" si="2"/>
        <v>0</v>
      </c>
      <c r="AP41" s="87"/>
      <c r="AQ41" s="87"/>
      <c r="AR41" s="87"/>
      <c r="AS41" s="87">
        <f t="shared" si="3"/>
        <v>0.2857142857142857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>
        <v>25</v>
      </c>
      <c r="T42" s="31">
        <v>15</v>
      </c>
      <c r="U42" s="31">
        <v>130</v>
      </c>
      <c r="V42" s="32">
        <v>0</v>
      </c>
      <c r="W42" s="32">
        <v>0</v>
      </c>
      <c r="X42" s="32">
        <v>0</v>
      </c>
      <c r="Y42" s="75">
        <v>0</v>
      </c>
      <c r="Z42" s="33">
        <v>0</v>
      </c>
      <c r="AA42" s="34">
        <v>26</v>
      </c>
      <c r="AB42" s="34">
        <v>0</v>
      </c>
      <c r="AC42" s="34">
        <v>0</v>
      </c>
      <c r="AD42" s="35">
        <v>0</v>
      </c>
      <c r="AE42" s="34">
        <v>0</v>
      </c>
      <c r="AF42" s="34">
        <v>0</v>
      </c>
      <c r="AG42" s="34">
        <v>0</v>
      </c>
      <c r="AH42" s="21"/>
      <c r="AI42" s="22"/>
      <c r="AK42" s="87">
        <f t="shared" si="2"/>
        <v>0.625</v>
      </c>
      <c r="AL42" s="87">
        <f t="shared" si="2"/>
        <v>0.75</v>
      </c>
      <c r="AM42" s="87">
        <f t="shared" si="2"/>
        <v>1.0833333333333333</v>
      </c>
      <c r="AN42" s="87">
        <f t="shared" si="2"/>
        <v>0</v>
      </c>
      <c r="AO42" s="87">
        <f t="shared" si="2"/>
        <v>0</v>
      </c>
      <c r="AP42" s="87"/>
      <c r="AQ42" s="87"/>
      <c r="AR42" s="87"/>
      <c r="AS42" s="87">
        <f t="shared" si="3"/>
        <v>0.14857142857142858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>
        <v>26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0</v>
      </c>
      <c r="AC43" s="31">
        <v>0</v>
      </c>
      <c r="AD43" s="31">
        <v>0</v>
      </c>
      <c r="AE43" s="31">
        <v>0</v>
      </c>
      <c r="AF43" s="31">
        <v>0</v>
      </c>
      <c r="AG43" s="31">
        <v>0</v>
      </c>
      <c r="AH43" s="21" t="s">
        <v>113</v>
      </c>
      <c r="AI43" s="22"/>
      <c r="AK43" s="87">
        <f t="shared" si="2"/>
        <v>0.65</v>
      </c>
      <c r="AL43" s="87">
        <f t="shared" si="2"/>
        <v>0</v>
      </c>
      <c r="AM43" s="87">
        <f t="shared" si="2"/>
        <v>0</v>
      </c>
      <c r="AN43" s="87">
        <f t="shared" si="2"/>
        <v>0</v>
      </c>
      <c r="AO43" s="87">
        <f t="shared" si="2"/>
        <v>0</v>
      </c>
      <c r="AP43" s="87"/>
      <c r="AQ43" s="87"/>
      <c r="AR43" s="87"/>
      <c r="AS43" s="87">
        <f t="shared" si="3"/>
        <v>0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>
        <v>23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  <c r="AC44" s="31">
        <v>0</v>
      </c>
      <c r="AD44" s="31">
        <v>0</v>
      </c>
      <c r="AE44" s="31">
        <v>0</v>
      </c>
      <c r="AF44" s="31">
        <v>0</v>
      </c>
      <c r="AG44" s="31">
        <v>0</v>
      </c>
      <c r="AH44" s="21" t="s">
        <v>113</v>
      </c>
      <c r="AI44" s="22"/>
      <c r="AK44" s="87">
        <f t="shared" si="2"/>
        <v>0.57499999999999996</v>
      </c>
      <c r="AL44" s="87">
        <f t="shared" si="2"/>
        <v>0</v>
      </c>
      <c r="AM44" s="87">
        <f t="shared" si="2"/>
        <v>0</v>
      </c>
      <c r="AN44" s="87">
        <f t="shared" si="2"/>
        <v>0</v>
      </c>
      <c r="AO44" s="87">
        <f t="shared" si="2"/>
        <v>0</v>
      </c>
      <c r="AP44" s="87"/>
      <c r="AQ44" s="87"/>
      <c r="AR44" s="87"/>
      <c r="AS44" s="87">
        <f t="shared" si="3"/>
        <v>0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>
        <v>34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>
        <v>0</v>
      </c>
      <c r="AG45" s="31">
        <v>0</v>
      </c>
      <c r="AH45" s="21" t="s">
        <v>113</v>
      </c>
      <c r="AI45" s="22"/>
      <c r="AK45" s="87">
        <f t="shared" si="2"/>
        <v>0.85</v>
      </c>
      <c r="AL45" s="87">
        <f t="shared" si="2"/>
        <v>0</v>
      </c>
      <c r="AM45" s="87">
        <f t="shared" si="2"/>
        <v>0</v>
      </c>
      <c r="AN45" s="87">
        <f t="shared" si="2"/>
        <v>0</v>
      </c>
      <c r="AO45" s="87">
        <f t="shared" si="2"/>
        <v>0</v>
      </c>
      <c r="AP45" s="87"/>
      <c r="AQ45" s="87"/>
      <c r="AR45" s="87"/>
      <c r="AS45" s="87">
        <f t="shared" si="3"/>
        <v>0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>
        <v>30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  <c r="AC46" s="31">
        <v>0</v>
      </c>
      <c r="AD46" s="31">
        <v>0</v>
      </c>
      <c r="AE46" s="31">
        <v>0</v>
      </c>
      <c r="AF46" s="31">
        <v>0</v>
      </c>
      <c r="AG46" s="31">
        <v>0</v>
      </c>
      <c r="AH46" s="21" t="s">
        <v>113</v>
      </c>
      <c r="AI46" s="22"/>
      <c r="AK46" s="87">
        <f t="shared" si="2"/>
        <v>0.75</v>
      </c>
      <c r="AL46" s="87">
        <f t="shared" si="2"/>
        <v>0</v>
      </c>
      <c r="AM46" s="87">
        <f t="shared" si="2"/>
        <v>0</v>
      </c>
      <c r="AN46" s="87">
        <f t="shared" si="2"/>
        <v>0</v>
      </c>
      <c r="AO46" s="87">
        <f t="shared" si="2"/>
        <v>0</v>
      </c>
      <c r="AP46" s="87"/>
      <c r="AQ46" s="87"/>
      <c r="AR46" s="87"/>
      <c r="AS46" s="87">
        <f t="shared" si="3"/>
        <v>0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>
        <v>20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  <c r="AC47" s="31">
        <v>0</v>
      </c>
      <c r="AD47" s="31">
        <v>0</v>
      </c>
      <c r="AE47" s="31">
        <v>0</v>
      </c>
      <c r="AF47" s="31">
        <v>0</v>
      </c>
      <c r="AG47" s="31">
        <v>0</v>
      </c>
      <c r="AH47" s="21" t="s">
        <v>113</v>
      </c>
      <c r="AI47" s="22"/>
      <c r="AK47" s="87">
        <f t="shared" si="2"/>
        <v>0.5</v>
      </c>
      <c r="AL47" s="87">
        <f t="shared" si="2"/>
        <v>0</v>
      </c>
      <c r="AM47" s="87">
        <f t="shared" si="2"/>
        <v>0</v>
      </c>
      <c r="AN47" s="87">
        <f t="shared" si="2"/>
        <v>0</v>
      </c>
      <c r="AO47" s="87">
        <f t="shared" si="2"/>
        <v>0</v>
      </c>
      <c r="AP47" s="87"/>
      <c r="AQ47" s="87"/>
      <c r="AR47" s="87"/>
      <c r="AS47" s="87">
        <f t="shared" si="3"/>
        <v>0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50</v>
      </c>
      <c r="T48" s="31">
        <v>38</v>
      </c>
      <c r="U48" s="31">
        <v>125</v>
      </c>
      <c r="V48" s="32">
        <v>7</v>
      </c>
      <c r="W48" s="32">
        <v>0</v>
      </c>
      <c r="X48" s="32">
        <v>100</v>
      </c>
      <c r="Y48" s="75">
        <v>0</v>
      </c>
      <c r="Z48" s="33">
        <v>0</v>
      </c>
      <c r="AA48" s="34">
        <v>39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 t="s">
        <v>113</v>
      </c>
      <c r="AI48" s="22"/>
      <c r="AK48" s="87">
        <f t="shared" si="2"/>
        <v>1.25</v>
      </c>
      <c r="AL48" s="87">
        <f t="shared" si="2"/>
        <v>1.9</v>
      </c>
      <c r="AM48" s="87">
        <f t="shared" si="2"/>
        <v>1.0416666666666667</v>
      </c>
      <c r="AN48" s="87">
        <f t="shared" si="2"/>
        <v>1</v>
      </c>
      <c r="AO48" s="87">
        <f t="shared" si="2"/>
        <v>0</v>
      </c>
      <c r="AP48" s="87"/>
      <c r="AQ48" s="87"/>
      <c r="AR48" s="87"/>
      <c r="AS48" s="87">
        <f t="shared" si="3"/>
        <v>0.22285714285714286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30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  <c r="AE49" s="31">
        <v>0</v>
      </c>
      <c r="AF49" s="31">
        <v>0</v>
      </c>
      <c r="AG49" s="31">
        <v>0</v>
      </c>
      <c r="AH49" s="21" t="s">
        <v>113</v>
      </c>
      <c r="AI49" s="22"/>
      <c r="AK49" s="87">
        <f t="shared" si="2"/>
        <v>0.75</v>
      </c>
      <c r="AL49" s="87">
        <f t="shared" si="2"/>
        <v>0</v>
      </c>
      <c r="AM49" s="87">
        <f t="shared" si="2"/>
        <v>0</v>
      </c>
      <c r="AN49" s="87">
        <f t="shared" si="2"/>
        <v>0</v>
      </c>
      <c r="AO49" s="87">
        <f t="shared" si="2"/>
        <v>0</v>
      </c>
      <c r="AP49" s="87"/>
      <c r="AQ49" s="87"/>
      <c r="AR49" s="87"/>
      <c r="AS49" s="87">
        <f t="shared" si="3"/>
        <v>0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>
        <v>20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  <c r="AC50" s="31">
        <v>0</v>
      </c>
      <c r="AD50" s="31">
        <v>0</v>
      </c>
      <c r="AE50" s="31">
        <v>0</v>
      </c>
      <c r="AF50" s="31">
        <v>0</v>
      </c>
      <c r="AG50" s="31">
        <v>0</v>
      </c>
      <c r="AH50" s="21" t="s">
        <v>113</v>
      </c>
      <c r="AI50" s="22"/>
      <c r="AK50" s="87">
        <f t="shared" si="2"/>
        <v>0.5</v>
      </c>
      <c r="AL50" s="87">
        <f t="shared" si="2"/>
        <v>0</v>
      </c>
      <c r="AM50" s="87">
        <f t="shared" si="2"/>
        <v>0</v>
      </c>
      <c r="AN50" s="87">
        <f t="shared" si="2"/>
        <v>0</v>
      </c>
      <c r="AO50" s="87">
        <f t="shared" si="2"/>
        <v>0</v>
      </c>
      <c r="AP50" s="87"/>
      <c r="AQ50" s="87"/>
      <c r="AR50" s="87"/>
      <c r="AS50" s="87">
        <f t="shared" si="3"/>
        <v>0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27</v>
      </c>
      <c r="T51" s="31">
        <v>22</v>
      </c>
      <c r="U51" s="31">
        <v>111</v>
      </c>
      <c r="V51" s="32">
        <v>0</v>
      </c>
      <c r="W51" s="32">
        <v>0</v>
      </c>
      <c r="X51" s="32">
        <v>35</v>
      </c>
      <c r="Y51" s="75">
        <v>11</v>
      </c>
      <c r="Z51" s="33">
        <v>0</v>
      </c>
      <c r="AA51" s="34">
        <v>0</v>
      </c>
      <c r="AB51" s="34">
        <v>0</v>
      </c>
      <c r="AC51" s="34">
        <v>0</v>
      </c>
      <c r="AD51" s="35">
        <v>0</v>
      </c>
      <c r="AE51" s="34">
        <v>0</v>
      </c>
      <c r="AF51" s="34">
        <v>0</v>
      </c>
      <c r="AG51" s="34">
        <v>0</v>
      </c>
      <c r="AH51" s="21"/>
      <c r="AI51" s="22"/>
      <c r="AK51" s="87">
        <f t="shared" si="2"/>
        <v>0.67500000000000004</v>
      </c>
      <c r="AL51" s="87">
        <f t="shared" si="2"/>
        <v>1.1000000000000001</v>
      </c>
      <c r="AM51" s="87">
        <f t="shared" si="2"/>
        <v>0.92500000000000004</v>
      </c>
      <c r="AN51" s="87">
        <f t="shared" si="2"/>
        <v>0</v>
      </c>
      <c r="AO51" s="87">
        <f t="shared" si="2"/>
        <v>0</v>
      </c>
      <c r="AP51" s="87"/>
      <c r="AQ51" s="87"/>
      <c r="AR51" s="87"/>
      <c r="AS51" s="87">
        <f t="shared" si="3"/>
        <v>0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39</v>
      </c>
      <c r="T52" s="31">
        <v>30</v>
      </c>
      <c r="U52" s="31">
        <v>90</v>
      </c>
      <c r="V52" s="32">
        <v>10</v>
      </c>
      <c r="W52" s="32">
        <v>0</v>
      </c>
      <c r="X52" s="32">
        <v>20</v>
      </c>
      <c r="Y52" s="75">
        <v>9</v>
      </c>
      <c r="Z52" s="33">
        <v>0</v>
      </c>
      <c r="AA52" s="34">
        <v>90</v>
      </c>
      <c r="AB52" s="34">
        <v>20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/>
      <c r="AI52" s="22"/>
      <c r="AK52" s="87">
        <f t="shared" si="2"/>
        <v>0.97499999999999998</v>
      </c>
      <c r="AL52" s="87">
        <f t="shared" si="2"/>
        <v>1.5</v>
      </c>
      <c r="AM52" s="87">
        <f t="shared" si="2"/>
        <v>0.75</v>
      </c>
      <c r="AN52" s="87">
        <f t="shared" si="2"/>
        <v>1.4285714285714286</v>
      </c>
      <c r="AO52" s="87">
        <f t="shared" si="2"/>
        <v>0</v>
      </c>
      <c r="AP52" s="87"/>
      <c r="AQ52" s="87"/>
      <c r="AR52" s="87"/>
      <c r="AS52" s="87">
        <f t="shared" si="3"/>
        <v>0.51428571428571423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30</v>
      </c>
      <c r="T53" s="31">
        <v>20</v>
      </c>
      <c r="U53" s="31">
        <v>120</v>
      </c>
      <c r="V53" s="32">
        <v>1</v>
      </c>
      <c r="W53" s="32">
        <v>0</v>
      </c>
      <c r="X53" s="32">
        <v>3</v>
      </c>
      <c r="Y53" s="75">
        <v>5</v>
      </c>
      <c r="Z53" s="33">
        <v>0</v>
      </c>
      <c r="AA53" s="34">
        <v>90</v>
      </c>
      <c r="AB53" s="34">
        <v>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0.75</v>
      </c>
      <c r="AL53" s="87">
        <f t="shared" si="2"/>
        <v>1</v>
      </c>
      <c r="AM53" s="87">
        <f t="shared" si="2"/>
        <v>1</v>
      </c>
      <c r="AN53" s="87">
        <f t="shared" si="2"/>
        <v>0.14285714285714285</v>
      </c>
      <c r="AO53" s="87">
        <f t="shared" si="2"/>
        <v>0</v>
      </c>
      <c r="AP53" s="87"/>
      <c r="AQ53" s="87"/>
      <c r="AR53" s="87"/>
      <c r="AS53" s="87">
        <f t="shared" si="3"/>
        <v>0.51428571428571423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>
        <v>20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  <c r="AC54" s="31">
        <v>0</v>
      </c>
      <c r="AD54" s="31">
        <v>0</v>
      </c>
      <c r="AE54" s="31">
        <v>0</v>
      </c>
      <c r="AF54" s="31">
        <v>0</v>
      </c>
      <c r="AG54" s="31">
        <v>0</v>
      </c>
      <c r="AH54" s="21" t="s">
        <v>113</v>
      </c>
      <c r="AI54" s="22"/>
      <c r="AK54" s="87">
        <f t="shared" si="2"/>
        <v>0.5</v>
      </c>
      <c r="AL54" s="87">
        <f t="shared" si="2"/>
        <v>0</v>
      </c>
      <c r="AM54" s="87">
        <f t="shared" si="2"/>
        <v>0</v>
      </c>
      <c r="AN54" s="87">
        <f t="shared" si="2"/>
        <v>0</v>
      </c>
      <c r="AO54" s="87">
        <f t="shared" si="2"/>
        <v>0</v>
      </c>
      <c r="AP54" s="87"/>
      <c r="AQ54" s="87"/>
      <c r="AR54" s="87"/>
      <c r="AS54" s="87">
        <f t="shared" si="3"/>
        <v>0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1545</v>
      </c>
      <c r="T55" s="61">
        <f t="shared" si="4"/>
        <v>421</v>
      </c>
      <c r="U55" s="61">
        <f t="shared" si="4"/>
        <v>1959</v>
      </c>
      <c r="V55" s="61">
        <f t="shared" si="4"/>
        <v>33</v>
      </c>
      <c r="W55" s="61">
        <f t="shared" si="4"/>
        <v>0</v>
      </c>
      <c r="X55" s="61">
        <f t="shared" si="4"/>
        <v>472</v>
      </c>
      <c r="Y55" s="61">
        <f t="shared" si="4"/>
        <v>98</v>
      </c>
      <c r="Z55" s="61">
        <f t="shared" si="4"/>
        <v>0</v>
      </c>
      <c r="AA55" s="61">
        <f t="shared" si="4"/>
        <v>698</v>
      </c>
      <c r="AB55" s="61">
        <f t="shared" si="4"/>
        <v>25</v>
      </c>
      <c r="AC55" s="61">
        <f t="shared" si="4"/>
        <v>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0.77249999999999996</v>
      </c>
      <c r="AL55" s="87">
        <f t="shared" si="2"/>
        <v>0.42099999999999999</v>
      </c>
      <c r="AM55" s="87">
        <f t="shared" si="2"/>
        <v>0.32650000000000001</v>
      </c>
      <c r="AN55" s="87">
        <f t="shared" si="2"/>
        <v>9.4285714285714292E-2</v>
      </c>
      <c r="AO55" s="87">
        <f t="shared" si="2"/>
        <v>0</v>
      </c>
      <c r="AP55" s="87"/>
      <c r="AQ55" s="87"/>
      <c r="AR55" s="87"/>
      <c r="AS55" s="87">
        <f t="shared" si="3"/>
        <v>7.9771428571428576E-2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1" t="s">
        <v>18</v>
      </c>
      <c r="C57" s="112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1545</v>
      </c>
      <c r="T57" s="24">
        <f>T55</f>
        <v>421</v>
      </c>
      <c r="U57" s="24">
        <f>U55/120</f>
        <v>16.324999999999999</v>
      </c>
      <c r="V57" s="25">
        <f>V55/6</f>
        <v>5.5</v>
      </c>
      <c r="W57" s="25">
        <f>W55/10</f>
        <v>0</v>
      </c>
      <c r="X57" s="25">
        <f>X55/100</f>
        <v>4.72</v>
      </c>
      <c r="Y57" s="76">
        <f>Y55/20</f>
        <v>4.9000000000000004</v>
      </c>
      <c r="Z57" s="26">
        <f>Z55/60</f>
        <v>0</v>
      </c>
      <c r="AA57" s="27">
        <f>AA55/120</f>
        <v>5.8166666666666664</v>
      </c>
      <c r="AB57" s="27">
        <f>AB55/100</f>
        <v>0.25</v>
      </c>
      <c r="AC57" s="27">
        <f>AC55/60</f>
        <v>0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2.7208333333333334E-3</v>
      </c>
      <c r="AN57" s="25">
        <f>AN55/6</f>
        <v>1.5714285714285715E-2</v>
      </c>
      <c r="AO57" s="25">
        <f>AO55/20</f>
        <v>0</v>
      </c>
      <c r="AP57" s="25">
        <f>AP55/100</f>
        <v>0</v>
      </c>
      <c r="AQ57" s="76"/>
      <c r="AR57" s="26">
        <f>AR55/20</f>
        <v>0</v>
      </c>
      <c r="AS57" s="27">
        <f>AS55/120</f>
        <v>6.6476190476190476E-4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</sheetData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3147-F32D-411B-891B-D457911430AE}">
  <dimension ref="A1:AY5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46111</v>
      </c>
      <c r="D2" s="113" t="s">
        <v>107</v>
      </c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5" t="s">
        <v>108</v>
      </c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7"/>
      <c r="AK2" s="118" t="s">
        <v>109</v>
      </c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20"/>
    </row>
    <row r="3" spans="2:51" ht="18" thickBot="1" x14ac:dyDescent="0.3">
      <c r="B3" s="121" t="s">
        <v>1</v>
      </c>
      <c r="C3" s="123" t="s">
        <v>2</v>
      </c>
      <c r="D3" s="5" t="s">
        <v>3</v>
      </c>
      <c r="E3" s="6" t="str">
        <f>T3</f>
        <v>Acheteurs</v>
      </c>
      <c r="F3" s="125" t="s">
        <v>4</v>
      </c>
      <c r="G3" s="125"/>
      <c r="H3" s="125"/>
      <c r="I3" s="125"/>
      <c r="J3" s="126"/>
      <c r="K3" s="56"/>
      <c r="L3" s="127" t="s">
        <v>5</v>
      </c>
      <c r="M3" s="128"/>
      <c r="N3" s="129"/>
      <c r="O3" s="70"/>
      <c r="P3" s="70"/>
      <c r="Q3" s="70"/>
      <c r="R3" s="70"/>
      <c r="S3" s="7" t="s">
        <v>3</v>
      </c>
      <c r="T3" s="7" t="s">
        <v>6</v>
      </c>
      <c r="U3" s="130" t="s">
        <v>7</v>
      </c>
      <c r="V3" s="131"/>
      <c r="W3" s="131"/>
      <c r="X3" s="131"/>
      <c r="Y3" s="131"/>
      <c r="Z3" s="132"/>
      <c r="AA3" s="133" t="str">
        <f>L3</f>
        <v>Gratuités pour achats 
(en unités)</v>
      </c>
      <c r="AB3" s="134"/>
      <c r="AC3" s="135"/>
      <c r="AD3" s="133" t="s">
        <v>19</v>
      </c>
      <c r="AE3" s="134"/>
      <c r="AF3" s="134"/>
      <c r="AG3" s="135"/>
      <c r="AH3" s="136" t="s">
        <v>8</v>
      </c>
      <c r="AI3" s="138" t="s">
        <v>9</v>
      </c>
      <c r="AK3" s="79" t="s">
        <v>3</v>
      </c>
      <c r="AL3" s="79" t="s">
        <v>6</v>
      </c>
      <c r="AM3" s="140" t="s">
        <v>7</v>
      </c>
      <c r="AN3" s="141"/>
      <c r="AO3" s="141"/>
      <c r="AP3" s="141"/>
      <c r="AQ3" s="141"/>
      <c r="AR3" s="142"/>
      <c r="AS3" s="143" t="str">
        <f>AD3</f>
        <v>GOODIES</v>
      </c>
      <c r="AT3" s="144"/>
      <c r="AU3" s="145"/>
      <c r="AV3" s="143" t="s">
        <v>19</v>
      </c>
      <c r="AW3" s="144"/>
      <c r="AX3" s="144"/>
      <c r="AY3" s="145"/>
    </row>
    <row r="4" spans="2:51" ht="212.4" thickBot="1" x14ac:dyDescent="0.3">
      <c r="B4" s="122"/>
      <c r="C4" s="12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7"/>
      <c r="AI4" s="139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/>
      <c r="T5" s="31"/>
      <c r="U5" s="31"/>
      <c r="V5" s="32"/>
      <c r="W5" s="32"/>
      <c r="X5" s="32"/>
      <c r="Y5" s="75"/>
      <c r="Z5" s="33"/>
      <c r="AA5" s="34"/>
      <c r="AB5" s="34"/>
      <c r="AC5" s="34"/>
      <c r="AD5" s="35"/>
      <c r="AE5" s="34"/>
      <c r="AF5" s="34"/>
      <c r="AG5" s="34"/>
      <c r="AH5" s="21" t="s">
        <v>116</v>
      </c>
      <c r="AI5" s="22"/>
      <c r="AK5" s="87">
        <f>S5/D5</f>
        <v>0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>
        <v>30</v>
      </c>
      <c r="T6" s="31">
        <v>20</v>
      </c>
      <c r="U6" s="31">
        <v>90</v>
      </c>
      <c r="V6" s="32">
        <v>0</v>
      </c>
      <c r="W6" s="32">
        <v>0</v>
      </c>
      <c r="X6" s="32">
        <v>86</v>
      </c>
      <c r="Y6" s="75">
        <v>0</v>
      </c>
      <c r="Z6" s="33">
        <v>0</v>
      </c>
      <c r="AA6" s="34">
        <v>37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7">
        <f t="shared" ref="AK6:AO55" si="2">S6/D6</f>
        <v>0.75</v>
      </c>
      <c r="AL6" s="87">
        <f t="shared" si="0"/>
        <v>1</v>
      </c>
      <c r="AM6" s="87">
        <f t="shared" si="0"/>
        <v>0.75</v>
      </c>
      <c r="AN6" s="87">
        <f t="shared" si="0"/>
        <v>0</v>
      </c>
      <c r="AO6" s="87">
        <f t="shared" si="0"/>
        <v>0</v>
      </c>
      <c r="AP6" s="87"/>
      <c r="AQ6" s="87"/>
      <c r="AR6" s="87"/>
      <c r="AS6" s="87">
        <f t="shared" si="0"/>
        <v>0.21142857142857144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39</v>
      </c>
      <c r="T7" s="31">
        <v>24</v>
      </c>
      <c r="U7" s="31">
        <v>110</v>
      </c>
      <c r="V7" s="32">
        <v>4</v>
      </c>
      <c r="W7" s="32">
        <v>0</v>
      </c>
      <c r="X7" s="32">
        <v>30</v>
      </c>
      <c r="Y7" s="75">
        <v>0</v>
      </c>
      <c r="Z7" s="33">
        <v>0</v>
      </c>
      <c r="AA7" s="34">
        <v>14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0.97499999999999998</v>
      </c>
      <c r="AL7" s="87">
        <f t="shared" si="0"/>
        <v>1.2</v>
      </c>
      <c r="AM7" s="87">
        <f t="shared" si="0"/>
        <v>0.91666666666666663</v>
      </c>
      <c r="AN7" s="87">
        <f t="shared" si="0"/>
        <v>0.5714285714285714</v>
      </c>
      <c r="AO7" s="87">
        <f t="shared" si="0"/>
        <v>0</v>
      </c>
      <c r="AP7" s="87"/>
      <c r="AQ7" s="87"/>
      <c r="AR7" s="87"/>
      <c r="AS7" s="87">
        <f t="shared" si="0"/>
        <v>0.08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45</v>
      </c>
      <c r="T8" s="31">
        <v>21</v>
      </c>
      <c r="U8" s="31">
        <v>200</v>
      </c>
      <c r="V8" s="32">
        <v>0</v>
      </c>
      <c r="W8" s="32">
        <v>0</v>
      </c>
      <c r="X8" s="32">
        <v>0</v>
      </c>
      <c r="Y8" s="75">
        <v>0</v>
      </c>
      <c r="Z8" s="33">
        <v>0</v>
      </c>
      <c r="AA8" s="34">
        <v>22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7">
        <f t="shared" si="2"/>
        <v>1.125</v>
      </c>
      <c r="AL8" s="87">
        <f t="shared" si="0"/>
        <v>1.05</v>
      </c>
      <c r="AM8" s="87">
        <f t="shared" si="0"/>
        <v>1.6666666666666667</v>
      </c>
      <c r="AN8" s="87">
        <f t="shared" si="0"/>
        <v>0</v>
      </c>
      <c r="AO8" s="87">
        <f t="shared" si="0"/>
        <v>0</v>
      </c>
      <c r="AP8" s="87"/>
      <c r="AQ8" s="87"/>
      <c r="AR8" s="87"/>
      <c r="AS8" s="87">
        <f t="shared" si="0"/>
        <v>0.12571428571428572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40</v>
      </c>
      <c r="T9" s="31">
        <v>35</v>
      </c>
      <c r="U9" s="31">
        <v>250</v>
      </c>
      <c r="V9" s="32">
        <v>4</v>
      </c>
      <c r="W9" s="32">
        <v>0</v>
      </c>
      <c r="X9" s="32">
        <v>50</v>
      </c>
      <c r="Y9" s="75">
        <v>0</v>
      </c>
      <c r="Z9" s="33">
        <v>0</v>
      </c>
      <c r="AA9" s="34">
        <v>200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21"/>
      <c r="AI9" s="22"/>
      <c r="AK9" s="87">
        <f t="shared" si="2"/>
        <v>1</v>
      </c>
      <c r="AL9" s="87">
        <f t="shared" si="0"/>
        <v>1.75</v>
      </c>
      <c r="AM9" s="87">
        <f t="shared" si="0"/>
        <v>2.0833333333333335</v>
      </c>
      <c r="AN9" s="87">
        <f t="shared" si="0"/>
        <v>0.5714285714285714</v>
      </c>
      <c r="AO9" s="87">
        <f t="shared" si="0"/>
        <v>0</v>
      </c>
      <c r="AP9" s="87"/>
      <c r="AQ9" s="87"/>
      <c r="AR9" s="87"/>
      <c r="AS9" s="87">
        <f t="shared" si="0"/>
        <v>1.1428571428571428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30</v>
      </c>
      <c r="T10" s="31">
        <v>19</v>
      </c>
      <c r="U10" s="31">
        <v>255</v>
      </c>
      <c r="V10" s="32">
        <v>4</v>
      </c>
      <c r="W10" s="32">
        <v>0</v>
      </c>
      <c r="X10" s="32">
        <v>136</v>
      </c>
      <c r="Y10" s="75">
        <v>0</v>
      </c>
      <c r="Z10" s="33">
        <v>0</v>
      </c>
      <c r="AA10" s="34">
        <v>81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7">
        <f t="shared" si="2"/>
        <v>0.75</v>
      </c>
      <c r="AL10" s="87">
        <f t="shared" si="0"/>
        <v>0.95</v>
      </c>
      <c r="AM10" s="87">
        <f t="shared" si="0"/>
        <v>2.125</v>
      </c>
      <c r="AN10" s="87">
        <f t="shared" si="0"/>
        <v>0.5714285714285714</v>
      </c>
      <c r="AO10" s="87">
        <f t="shared" si="0"/>
        <v>0</v>
      </c>
      <c r="AP10" s="87"/>
      <c r="AQ10" s="87"/>
      <c r="AR10" s="87"/>
      <c r="AS10" s="87">
        <f t="shared" si="0"/>
        <v>0.46285714285714286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40</v>
      </c>
      <c r="T11" s="31">
        <v>22</v>
      </c>
      <c r="U11" s="31">
        <v>110</v>
      </c>
      <c r="V11" s="32">
        <v>4</v>
      </c>
      <c r="W11" s="32">
        <v>0</v>
      </c>
      <c r="X11" s="32">
        <v>30</v>
      </c>
      <c r="Y11" s="75">
        <v>0</v>
      </c>
      <c r="Z11" s="33">
        <v>0</v>
      </c>
      <c r="AA11" s="34">
        <v>14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7">
        <f t="shared" si="2"/>
        <v>1</v>
      </c>
      <c r="AL11" s="87">
        <f t="shared" si="0"/>
        <v>1.1000000000000001</v>
      </c>
      <c r="AM11" s="87">
        <f t="shared" si="0"/>
        <v>0.91666666666666663</v>
      </c>
      <c r="AN11" s="87">
        <f t="shared" si="0"/>
        <v>0.5714285714285714</v>
      </c>
      <c r="AO11" s="87">
        <f t="shared" si="0"/>
        <v>0</v>
      </c>
      <c r="AP11" s="87"/>
      <c r="AQ11" s="87"/>
      <c r="AR11" s="87"/>
      <c r="AS11" s="87">
        <f t="shared" si="0"/>
        <v>0.08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10</v>
      </c>
      <c r="T12" s="31">
        <v>5</v>
      </c>
      <c r="U12" s="31">
        <v>30</v>
      </c>
      <c r="V12" s="32">
        <v>0</v>
      </c>
      <c r="W12" s="32">
        <v>0</v>
      </c>
      <c r="X12" s="32">
        <v>50</v>
      </c>
      <c r="Y12" s="75">
        <v>1</v>
      </c>
      <c r="Z12" s="33">
        <v>0</v>
      </c>
      <c r="AA12" s="34">
        <v>16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21"/>
      <c r="AI12" s="22"/>
      <c r="AK12" s="87">
        <f t="shared" si="2"/>
        <v>0.25</v>
      </c>
      <c r="AL12" s="87">
        <f t="shared" si="0"/>
        <v>0.25</v>
      </c>
      <c r="AM12" s="87">
        <f t="shared" si="0"/>
        <v>0.25</v>
      </c>
      <c r="AN12" s="87">
        <f t="shared" si="0"/>
        <v>0</v>
      </c>
      <c r="AO12" s="87">
        <f t="shared" si="0"/>
        <v>0</v>
      </c>
      <c r="AP12" s="87"/>
      <c r="AQ12" s="87"/>
      <c r="AR12" s="87"/>
      <c r="AS12" s="87">
        <f t="shared" si="0"/>
        <v>9.1428571428571428E-2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20</v>
      </c>
      <c r="T13" s="31">
        <v>11</v>
      </c>
      <c r="U13" s="31">
        <v>70</v>
      </c>
      <c r="V13" s="32">
        <v>1</v>
      </c>
      <c r="W13" s="32">
        <v>0</v>
      </c>
      <c r="X13" s="32">
        <v>30</v>
      </c>
      <c r="Y13" s="75">
        <v>8</v>
      </c>
      <c r="Z13" s="33">
        <v>0</v>
      </c>
      <c r="AA13" s="34">
        <v>32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7">
        <f t="shared" si="2"/>
        <v>0.5</v>
      </c>
      <c r="AL13" s="87">
        <f t="shared" si="0"/>
        <v>0.55000000000000004</v>
      </c>
      <c r="AM13" s="87">
        <f t="shared" si="0"/>
        <v>0.58333333333333337</v>
      </c>
      <c r="AN13" s="87">
        <f t="shared" si="0"/>
        <v>0.14285714285714285</v>
      </c>
      <c r="AO13" s="87">
        <f t="shared" si="0"/>
        <v>0</v>
      </c>
      <c r="AP13" s="87"/>
      <c r="AQ13" s="87"/>
      <c r="AR13" s="87"/>
      <c r="AS13" s="87">
        <f t="shared" si="0"/>
        <v>0.18285714285714286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30</v>
      </c>
      <c r="T14" s="31">
        <v>20</v>
      </c>
      <c r="U14" s="31">
        <v>60</v>
      </c>
      <c r="V14" s="32">
        <v>3</v>
      </c>
      <c r="W14" s="32">
        <v>0</v>
      </c>
      <c r="X14" s="32">
        <v>70</v>
      </c>
      <c r="Y14" s="75">
        <v>45</v>
      </c>
      <c r="Z14" s="33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21"/>
      <c r="AI14" s="22"/>
      <c r="AK14" s="87">
        <f t="shared" si="2"/>
        <v>0.75</v>
      </c>
      <c r="AL14" s="87">
        <f t="shared" si="0"/>
        <v>1</v>
      </c>
      <c r="AM14" s="87">
        <f t="shared" si="0"/>
        <v>0.5</v>
      </c>
      <c r="AN14" s="87">
        <f t="shared" si="0"/>
        <v>0.42857142857142855</v>
      </c>
      <c r="AO14" s="87">
        <f t="shared" si="0"/>
        <v>0</v>
      </c>
      <c r="AP14" s="87"/>
      <c r="AQ14" s="87"/>
      <c r="AR14" s="87"/>
      <c r="AS14" s="87">
        <f t="shared" si="0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30</v>
      </c>
      <c r="T15" s="31">
        <v>20</v>
      </c>
      <c r="U15" s="31">
        <v>12</v>
      </c>
      <c r="V15" s="32">
        <v>3</v>
      </c>
      <c r="W15" s="32">
        <v>0</v>
      </c>
      <c r="X15" s="32">
        <v>4</v>
      </c>
      <c r="Y15" s="75">
        <v>3</v>
      </c>
      <c r="Z15" s="33">
        <v>0</v>
      </c>
      <c r="AA15" s="34">
        <v>20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7">
        <f t="shared" si="2"/>
        <v>0.75</v>
      </c>
      <c r="AL15" s="87">
        <f t="shared" si="0"/>
        <v>1</v>
      </c>
      <c r="AM15" s="87">
        <f t="shared" si="0"/>
        <v>0.1</v>
      </c>
      <c r="AN15" s="87">
        <f t="shared" si="0"/>
        <v>0.42857142857142855</v>
      </c>
      <c r="AO15" s="87">
        <f t="shared" si="0"/>
        <v>0</v>
      </c>
      <c r="AP15" s="87"/>
      <c r="AQ15" s="87"/>
      <c r="AR15" s="87"/>
      <c r="AS15" s="87">
        <f t="shared" si="0"/>
        <v>0.11428571428571428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30</v>
      </c>
      <c r="T16" s="31">
        <v>10</v>
      </c>
      <c r="U16" s="31">
        <v>100</v>
      </c>
      <c r="V16" s="32">
        <v>4</v>
      </c>
      <c r="W16" s="32">
        <v>0</v>
      </c>
      <c r="X16" s="32">
        <v>15</v>
      </c>
      <c r="Y16" s="75">
        <v>0</v>
      </c>
      <c r="Z16" s="33">
        <v>0</v>
      </c>
      <c r="AA16" s="34">
        <v>24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21"/>
      <c r="AI16" s="22"/>
      <c r="AK16" s="87">
        <f t="shared" si="2"/>
        <v>0.75</v>
      </c>
      <c r="AL16" s="87">
        <f t="shared" si="0"/>
        <v>0.5</v>
      </c>
      <c r="AM16" s="87">
        <f t="shared" si="0"/>
        <v>0.83333333333333337</v>
      </c>
      <c r="AN16" s="87">
        <f t="shared" si="0"/>
        <v>0.5714285714285714</v>
      </c>
      <c r="AO16" s="87">
        <f t="shared" si="0"/>
        <v>0</v>
      </c>
      <c r="AP16" s="87"/>
      <c r="AQ16" s="87"/>
      <c r="AR16" s="87"/>
      <c r="AS16" s="87">
        <f t="shared" si="0"/>
        <v>0.13714285714285715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21</v>
      </c>
      <c r="T17" s="31">
        <v>5</v>
      </c>
      <c r="U17" s="31">
        <v>0</v>
      </c>
      <c r="V17" s="32">
        <v>0</v>
      </c>
      <c r="W17" s="32">
        <v>0</v>
      </c>
      <c r="X17" s="32">
        <v>0</v>
      </c>
      <c r="Y17" s="75">
        <v>10</v>
      </c>
      <c r="Z17" s="33">
        <v>0</v>
      </c>
      <c r="AA17" s="34">
        <v>48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7">
        <f t="shared" si="2"/>
        <v>0.52500000000000002</v>
      </c>
      <c r="AL17" s="87">
        <f t="shared" si="0"/>
        <v>0.25</v>
      </c>
      <c r="AM17" s="87">
        <f t="shared" si="0"/>
        <v>0</v>
      </c>
      <c r="AN17" s="87">
        <f t="shared" si="0"/>
        <v>0</v>
      </c>
      <c r="AO17" s="87">
        <f t="shared" si="0"/>
        <v>0</v>
      </c>
      <c r="AP17" s="87"/>
      <c r="AQ17" s="87"/>
      <c r="AR17" s="87"/>
      <c r="AS17" s="87">
        <f t="shared" si="0"/>
        <v>0.2742857142857143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30</v>
      </c>
      <c r="T18" s="31">
        <v>22</v>
      </c>
      <c r="U18" s="31">
        <v>110</v>
      </c>
      <c r="V18" s="32">
        <v>0</v>
      </c>
      <c r="W18" s="32">
        <v>0</v>
      </c>
      <c r="X18" s="32">
        <v>0</v>
      </c>
      <c r="Y18" s="75">
        <v>0</v>
      </c>
      <c r="Z18" s="33">
        <v>0</v>
      </c>
      <c r="AA18" s="34">
        <v>22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7">
        <f t="shared" si="2"/>
        <v>0.75</v>
      </c>
      <c r="AL18" s="87">
        <f t="shared" si="0"/>
        <v>1.1000000000000001</v>
      </c>
      <c r="AM18" s="87">
        <f t="shared" si="0"/>
        <v>0.91666666666666663</v>
      </c>
      <c r="AN18" s="87">
        <f t="shared" si="0"/>
        <v>0</v>
      </c>
      <c r="AO18" s="87">
        <f t="shared" si="0"/>
        <v>0</v>
      </c>
      <c r="AP18" s="87"/>
      <c r="AQ18" s="87"/>
      <c r="AR18" s="87"/>
      <c r="AS18" s="87">
        <f t="shared" si="0"/>
        <v>0.12571428571428572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40</v>
      </c>
      <c r="T19" s="31">
        <v>25</v>
      </c>
      <c r="U19" s="31">
        <v>300</v>
      </c>
      <c r="V19" s="32">
        <v>2</v>
      </c>
      <c r="W19" s="32">
        <v>0</v>
      </c>
      <c r="X19" s="32">
        <v>30</v>
      </c>
      <c r="Y19" s="75">
        <v>15</v>
      </c>
      <c r="Z19" s="33">
        <v>0</v>
      </c>
      <c r="AA19" s="34">
        <v>20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7">
        <f t="shared" si="2"/>
        <v>1</v>
      </c>
      <c r="AL19" s="87">
        <f t="shared" si="0"/>
        <v>1.25</v>
      </c>
      <c r="AM19" s="87">
        <f t="shared" si="0"/>
        <v>2.5</v>
      </c>
      <c r="AN19" s="87">
        <f t="shared" si="0"/>
        <v>0.2857142857142857</v>
      </c>
      <c r="AO19" s="87">
        <f t="shared" si="0"/>
        <v>0</v>
      </c>
      <c r="AP19" s="87"/>
      <c r="AQ19" s="87"/>
      <c r="AR19" s="87"/>
      <c r="AS19" s="87">
        <f t="shared" si="0"/>
        <v>0.11428571428571428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46</v>
      </c>
      <c r="T20" s="31">
        <v>38</v>
      </c>
      <c r="U20" s="31">
        <v>67</v>
      </c>
      <c r="V20" s="32">
        <v>3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 t="s">
        <v>129</v>
      </c>
      <c r="AI20" s="22"/>
      <c r="AK20" s="87">
        <f t="shared" si="2"/>
        <v>1.1499999999999999</v>
      </c>
      <c r="AL20" s="87">
        <f t="shared" si="0"/>
        <v>1.9</v>
      </c>
      <c r="AM20" s="87">
        <f t="shared" si="0"/>
        <v>0.55833333333333335</v>
      </c>
      <c r="AN20" s="87">
        <f t="shared" si="0"/>
        <v>0.42857142857142855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30</v>
      </c>
      <c r="T21" s="31">
        <v>10</v>
      </c>
      <c r="U21" s="31">
        <v>80</v>
      </c>
      <c r="V21" s="32">
        <v>1</v>
      </c>
      <c r="W21" s="32">
        <v>0</v>
      </c>
      <c r="X21" s="32">
        <v>30</v>
      </c>
      <c r="Y21" s="75">
        <v>5</v>
      </c>
      <c r="Z21" s="33">
        <v>0</v>
      </c>
      <c r="AA21" s="34">
        <v>40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7">
        <f t="shared" si="2"/>
        <v>0.75</v>
      </c>
      <c r="AL21" s="87">
        <f t="shared" si="2"/>
        <v>0.5</v>
      </c>
      <c r="AM21" s="87">
        <f t="shared" si="2"/>
        <v>0.66666666666666663</v>
      </c>
      <c r="AN21" s="87">
        <f t="shared" si="2"/>
        <v>0.14285714285714285</v>
      </c>
      <c r="AO21" s="87">
        <f t="shared" si="2"/>
        <v>0</v>
      </c>
      <c r="AP21" s="87"/>
      <c r="AQ21" s="87"/>
      <c r="AR21" s="87"/>
      <c r="AS21" s="87">
        <f t="shared" ref="AS21:AS55" si="3">AA21/L21</f>
        <v>0.22857142857142856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5"/>
      <c r="Z22" s="33"/>
      <c r="AA22" s="34"/>
      <c r="AB22" s="34"/>
      <c r="AC22" s="34"/>
      <c r="AD22" s="35"/>
      <c r="AE22" s="34"/>
      <c r="AF22" s="34"/>
      <c r="AG22" s="34"/>
      <c r="AH22" s="21" t="s">
        <v>116</v>
      </c>
      <c r="AI22" s="22"/>
      <c r="AK22" s="87">
        <f t="shared" si="2"/>
        <v>0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25</v>
      </c>
      <c r="T23" s="31">
        <v>6</v>
      </c>
      <c r="U23" s="31">
        <v>61</v>
      </c>
      <c r="V23" s="32">
        <v>0</v>
      </c>
      <c r="W23" s="32">
        <v>0</v>
      </c>
      <c r="X23" s="32">
        <v>2</v>
      </c>
      <c r="Y23" s="75">
        <v>3</v>
      </c>
      <c r="Z23" s="33">
        <v>0</v>
      </c>
      <c r="AA23" s="34">
        <v>11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/>
      <c r="AI23" s="22"/>
      <c r="AK23" s="87">
        <f t="shared" si="2"/>
        <v>0.625</v>
      </c>
      <c r="AL23" s="87">
        <f t="shared" si="2"/>
        <v>0.3</v>
      </c>
      <c r="AM23" s="87">
        <f t="shared" si="2"/>
        <v>0.5083333333333333</v>
      </c>
      <c r="AN23" s="87">
        <f t="shared" si="2"/>
        <v>0</v>
      </c>
      <c r="AO23" s="87">
        <f t="shared" si="2"/>
        <v>0</v>
      </c>
      <c r="AP23" s="87"/>
      <c r="AQ23" s="87"/>
      <c r="AR23" s="87"/>
      <c r="AS23" s="87">
        <f t="shared" si="3"/>
        <v>6.2857142857142861E-2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31</v>
      </c>
      <c r="T24" s="31">
        <v>10</v>
      </c>
      <c r="U24" s="31">
        <v>52</v>
      </c>
      <c r="V24" s="32">
        <v>0</v>
      </c>
      <c r="W24" s="32">
        <v>0</v>
      </c>
      <c r="X24" s="32">
        <v>0</v>
      </c>
      <c r="Y24" s="75">
        <v>5</v>
      </c>
      <c r="Z24" s="33">
        <v>0</v>
      </c>
      <c r="AA24" s="34">
        <v>15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/>
      <c r="AI24" s="22"/>
      <c r="AK24" s="87">
        <f t="shared" si="2"/>
        <v>0.77500000000000002</v>
      </c>
      <c r="AL24" s="87">
        <f t="shared" si="2"/>
        <v>0.5</v>
      </c>
      <c r="AM24" s="87">
        <f t="shared" si="2"/>
        <v>0.43333333333333335</v>
      </c>
      <c r="AN24" s="87">
        <f t="shared" si="2"/>
        <v>0</v>
      </c>
      <c r="AO24" s="87">
        <f t="shared" si="2"/>
        <v>0</v>
      </c>
      <c r="AP24" s="87"/>
      <c r="AQ24" s="87"/>
      <c r="AR24" s="87"/>
      <c r="AS24" s="87">
        <f t="shared" si="3"/>
        <v>8.5714285714285715E-2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>
        <v>50</v>
      </c>
      <c r="T25" s="31">
        <v>30</v>
      </c>
      <c r="U25" s="31">
        <v>70</v>
      </c>
      <c r="V25" s="32">
        <v>2</v>
      </c>
      <c r="W25" s="32">
        <v>0</v>
      </c>
      <c r="X25" s="32">
        <v>40</v>
      </c>
      <c r="Y25" s="75">
        <v>8</v>
      </c>
      <c r="Z25" s="33">
        <v>0</v>
      </c>
      <c r="AA25" s="34">
        <v>30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21"/>
      <c r="AI25" s="22"/>
      <c r="AK25" s="87">
        <f t="shared" si="2"/>
        <v>1.25</v>
      </c>
      <c r="AL25" s="87">
        <f t="shared" si="2"/>
        <v>1.5</v>
      </c>
      <c r="AM25" s="87">
        <f t="shared" si="2"/>
        <v>0.58333333333333337</v>
      </c>
      <c r="AN25" s="87">
        <f t="shared" si="2"/>
        <v>0.2857142857142857</v>
      </c>
      <c r="AO25" s="87">
        <f t="shared" si="2"/>
        <v>0</v>
      </c>
      <c r="AP25" s="87"/>
      <c r="AQ25" s="87"/>
      <c r="AR25" s="87"/>
      <c r="AS25" s="87">
        <f t="shared" si="3"/>
        <v>0.17142857142857143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/>
      <c r="T26" s="31"/>
      <c r="U26" s="31"/>
      <c r="V26" s="32"/>
      <c r="W26" s="32"/>
      <c r="X26" s="32"/>
      <c r="Y26" s="75"/>
      <c r="Z26" s="33"/>
      <c r="AA26" s="34"/>
      <c r="AB26" s="34"/>
      <c r="AC26" s="34"/>
      <c r="AD26" s="35"/>
      <c r="AE26" s="34"/>
      <c r="AF26" s="34"/>
      <c r="AG26" s="34"/>
      <c r="AH26" s="21" t="s">
        <v>116</v>
      </c>
      <c r="AI26" s="22"/>
      <c r="AK26" s="87">
        <f t="shared" si="2"/>
        <v>0</v>
      </c>
      <c r="AL26" s="87">
        <f t="shared" si="2"/>
        <v>0</v>
      </c>
      <c r="AM26" s="87">
        <f t="shared" si="2"/>
        <v>0</v>
      </c>
      <c r="AN26" s="87">
        <f t="shared" si="2"/>
        <v>0</v>
      </c>
      <c r="AO26" s="87">
        <f t="shared" si="2"/>
        <v>0</v>
      </c>
      <c r="AP26" s="87"/>
      <c r="AQ26" s="87"/>
      <c r="AR26" s="87"/>
      <c r="AS26" s="87">
        <f t="shared" si="3"/>
        <v>0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>
        <v>26</v>
      </c>
      <c r="T27" s="31">
        <v>18</v>
      </c>
      <c r="U27" s="31">
        <v>270</v>
      </c>
      <c r="V27" s="32">
        <v>0</v>
      </c>
      <c r="W27" s="32">
        <v>0</v>
      </c>
      <c r="X27" s="32">
        <v>260</v>
      </c>
      <c r="Y27" s="75">
        <v>22</v>
      </c>
      <c r="Z27" s="33">
        <v>0</v>
      </c>
      <c r="AA27" s="34">
        <v>23</v>
      </c>
      <c r="AB27" s="34">
        <v>0</v>
      </c>
      <c r="AC27" s="34">
        <v>0</v>
      </c>
      <c r="AD27" s="35">
        <v>0</v>
      </c>
      <c r="AE27" s="34">
        <v>0</v>
      </c>
      <c r="AF27" s="34">
        <v>0</v>
      </c>
      <c r="AG27" s="34">
        <v>0</v>
      </c>
      <c r="AH27" s="21"/>
      <c r="AI27" s="22"/>
      <c r="AK27" s="87">
        <f t="shared" si="2"/>
        <v>0.65</v>
      </c>
      <c r="AL27" s="87">
        <f t="shared" si="2"/>
        <v>0.9</v>
      </c>
      <c r="AM27" s="87">
        <f t="shared" si="2"/>
        <v>2.25</v>
      </c>
      <c r="AN27" s="87">
        <f t="shared" si="2"/>
        <v>0</v>
      </c>
      <c r="AO27" s="87">
        <f t="shared" si="2"/>
        <v>0</v>
      </c>
      <c r="AP27" s="87"/>
      <c r="AQ27" s="87"/>
      <c r="AR27" s="87"/>
      <c r="AS27" s="87">
        <f t="shared" si="3"/>
        <v>0.13142857142857142</v>
      </c>
      <c r="AT27" s="87"/>
      <c r="AU27" s="87"/>
      <c r="AV27" s="87"/>
      <c r="AW27" s="87"/>
      <c r="AX27" s="87"/>
      <c r="AY27" s="87"/>
    </row>
    <row r="28" spans="2:51" ht="17.399999999999999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30</v>
      </c>
      <c r="T28" s="31">
        <v>11</v>
      </c>
      <c r="U28" s="31">
        <v>90</v>
      </c>
      <c r="V28" s="32">
        <v>5</v>
      </c>
      <c r="W28" s="32">
        <v>0</v>
      </c>
      <c r="X28" s="32">
        <v>0</v>
      </c>
      <c r="Y28" s="75">
        <v>6</v>
      </c>
      <c r="Z28" s="33">
        <v>0</v>
      </c>
      <c r="AA28" s="34">
        <v>10</v>
      </c>
      <c r="AB28" s="34">
        <v>0</v>
      </c>
      <c r="AC28" s="34">
        <v>0</v>
      </c>
      <c r="AD28" s="35">
        <v>0</v>
      </c>
      <c r="AE28" s="34">
        <v>0</v>
      </c>
      <c r="AF28" s="34">
        <v>0</v>
      </c>
      <c r="AG28" s="34">
        <v>0</v>
      </c>
      <c r="AH28" s="21"/>
      <c r="AI28" s="22"/>
      <c r="AK28" s="87">
        <f t="shared" si="2"/>
        <v>0.75</v>
      </c>
      <c r="AL28" s="87">
        <f t="shared" si="2"/>
        <v>0.55000000000000004</v>
      </c>
      <c r="AM28" s="87">
        <f t="shared" si="2"/>
        <v>0.75</v>
      </c>
      <c r="AN28" s="87">
        <f t="shared" si="2"/>
        <v>0.7142857142857143</v>
      </c>
      <c r="AO28" s="87">
        <f t="shared" si="2"/>
        <v>0</v>
      </c>
      <c r="AP28" s="87"/>
      <c r="AQ28" s="87"/>
      <c r="AR28" s="87"/>
      <c r="AS28" s="87">
        <f t="shared" si="3"/>
        <v>5.7142857142857141E-2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>
        <v>40</v>
      </c>
      <c r="T29" s="31">
        <v>20</v>
      </c>
      <c r="U29" s="31">
        <v>35</v>
      </c>
      <c r="V29" s="32">
        <v>2</v>
      </c>
      <c r="W29" s="32">
        <v>0</v>
      </c>
      <c r="X29" s="32">
        <v>40</v>
      </c>
      <c r="Y29" s="75">
        <v>15</v>
      </c>
      <c r="Z29" s="33">
        <v>0</v>
      </c>
      <c r="AA29" s="34">
        <v>15</v>
      </c>
      <c r="AB29" s="34">
        <v>0</v>
      </c>
      <c r="AC29" s="34">
        <v>0</v>
      </c>
      <c r="AD29" s="35">
        <v>0</v>
      </c>
      <c r="AE29" s="34">
        <v>0</v>
      </c>
      <c r="AF29" s="34">
        <v>0</v>
      </c>
      <c r="AG29" s="34">
        <v>0</v>
      </c>
      <c r="AH29" s="21"/>
      <c r="AI29" s="22"/>
      <c r="AK29" s="87">
        <f t="shared" si="2"/>
        <v>1</v>
      </c>
      <c r="AL29" s="87">
        <f t="shared" si="2"/>
        <v>1</v>
      </c>
      <c r="AM29" s="87">
        <f t="shared" si="2"/>
        <v>0.29166666666666669</v>
      </c>
      <c r="AN29" s="87">
        <f t="shared" si="2"/>
        <v>0.2857142857142857</v>
      </c>
      <c r="AO29" s="87">
        <f t="shared" si="2"/>
        <v>0</v>
      </c>
      <c r="AP29" s="87"/>
      <c r="AQ29" s="87"/>
      <c r="AR29" s="87"/>
      <c r="AS29" s="87">
        <f t="shared" si="3"/>
        <v>8.5714285714285715E-2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/>
      <c r="T30" s="31"/>
      <c r="U30" s="31"/>
      <c r="V30" s="32"/>
      <c r="W30" s="32"/>
      <c r="X30" s="32"/>
      <c r="Y30" s="75"/>
      <c r="Z30" s="33"/>
      <c r="AA30" s="34"/>
      <c r="AB30" s="34"/>
      <c r="AC30" s="34"/>
      <c r="AD30" s="35"/>
      <c r="AE30" s="34"/>
      <c r="AF30" s="34"/>
      <c r="AG30" s="34"/>
      <c r="AH30" s="21" t="s">
        <v>116</v>
      </c>
      <c r="AI30" s="22"/>
      <c r="AK30" s="87">
        <f t="shared" si="2"/>
        <v>0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>
        <v>29</v>
      </c>
      <c r="T31" s="31">
        <v>18</v>
      </c>
      <c r="U31" s="31">
        <v>90</v>
      </c>
      <c r="V31" s="32">
        <v>0</v>
      </c>
      <c r="W31" s="32">
        <v>0</v>
      </c>
      <c r="X31" s="32">
        <v>35</v>
      </c>
      <c r="Y31" s="75">
        <v>2</v>
      </c>
      <c r="Z31" s="33">
        <v>0</v>
      </c>
      <c r="AA31" s="34">
        <v>0</v>
      </c>
      <c r="AB31" s="34">
        <v>0</v>
      </c>
      <c r="AC31" s="34">
        <v>0</v>
      </c>
      <c r="AD31" s="35">
        <v>0</v>
      </c>
      <c r="AE31" s="34">
        <v>0</v>
      </c>
      <c r="AF31" s="34">
        <v>0</v>
      </c>
      <c r="AG31" s="34">
        <v>0</v>
      </c>
      <c r="AH31" s="21"/>
      <c r="AI31" s="22"/>
      <c r="AK31" s="87">
        <f t="shared" si="2"/>
        <v>0.72499999999999998</v>
      </c>
      <c r="AL31" s="87">
        <f t="shared" si="2"/>
        <v>0.9</v>
      </c>
      <c r="AM31" s="87">
        <f t="shared" si="2"/>
        <v>0.75</v>
      </c>
      <c r="AN31" s="87">
        <f t="shared" si="2"/>
        <v>0</v>
      </c>
      <c r="AO31" s="87">
        <f t="shared" si="2"/>
        <v>0</v>
      </c>
      <c r="AP31" s="87"/>
      <c r="AQ31" s="87"/>
      <c r="AR31" s="87"/>
      <c r="AS31" s="87">
        <f t="shared" si="3"/>
        <v>0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>
        <v>20</v>
      </c>
      <c r="T32" s="31">
        <v>15</v>
      </c>
      <c r="U32" s="31">
        <v>120</v>
      </c>
      <c r="V32" s="32">
        <v>0</v>
      </c>
      <c r="W32" s="32">
        <v>0</v>
      </c>
      <c r="X32" s="32">
        <v>20</v>
      </c>
      <c r="Y32" s="75">
        <v>10</v>
      </c>
      <c r="Z32" s="33">
        <v>0</v>
      </c>
      <c r="AA32" s="34">
        <v>20</v>
      </c>
      <c r="AB32" s="34">
        <v>0</v>
      </c>
      <c r="AC32" s="34">
        <v>0</v>
      </c>
      <c r="AD32" s="35">
        <v>0</v>
      </c>
      <c r="AE32" s="34">
        <v>0</v>
      </c>
      <c r="AF32" s="34">
        <v>0</v>
      </c>
      <c r="AG32" s="34">
        <v>0</v>
      </c>
      <c r="AH32" s="21"/>
      <c r="AI32" s="22"/>
      <c r="AK32" s="87">
        <f t="shared" si="2"/>
        <v>0.5</v>
      </c>
      <c r="AL32" s="87">
        <f t="shared" si="2"/>
        <v>0.75</v>
      </c>
      <c r="AM32" s="87">
        <f t="shared" si="2"/>
        <v>1</v>
      </c>
      <c r="AN32" s="87">
        <f t="shared" si="2"/>
        <v>0</v>
      </c>
      <c r="AO32" s="87">
        <f t="shared" si="2"/>
        <v>0</v>
      </c>
      <c r="AP32" s="87"/>
      <c r="AQ32" s="87"/>
      <c r="AR32" s="87"/>
      <c r="AS32" s="87">
        <f t="shared" si="3"/>
        <v>0.11428571428571428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>
        <v>30</v>
      </c>
      <c r="T33" s="31">
        <v>10</v>
      </c>
      <c r="U33" s="31">
        <v>67</v>
      </c>
      <c r="V33" s="32">
        <v>0</v>
      </c>
      <c r="W33" s="32">
        <v>0</v>
      </c>
      <c r="X33" s="32">
        <v>0</v>
      </c>
      <c r="Y33" s="75">
        <v>0</v>
      </c>
      <c r="Z33" s="33">
        <v>0</v>
      </c>
      <c r="AA33" s="34">
        <v>15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21"/>
      <c r="AI33" s="22"/>
      <c r="AK33" s="87">
        <f t="shared" si="2"/>
        <v>0.75</v>
      </c>
      <c r="AL33" s="87">
        <f t="shared" si="2"/>
        <v>0.5</v>
      </c>
      <c r="AM33" s="87">
        <f t="shared" si="2"/>
        <v>0.55833333333333335</v>
      </c>
      <c r="AN33" s="87">
        <f t="shared" si="2"/>
        <v>0</v>
      </c>
      <c r="AO33" s="87">
        <f t="shared" si="2"/>
        <v>0</v>
      </c>
      <c r="AP33" s="87"/>
      <c r="AQ33" s="87"/>
      <c r="AR33" s="87"/>
      <c r="AS33" s="87">
        <f t="shared" si="3"/>
        <v>8.5714285714285715E-2</v>
      </c>
      <c r="AT33" s="87"/>
      <c r="AU33" s="87"/>
      <c r="AV33" s="87"/>
      <c r="AW33" s="87"/>
      <c r="AX33" s="87"/>
      <c r="AY33" s="87"/>
    </row>
    <row r="34" spans="2:51" ht="34.799999999999997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28</v>
      </c>
      <c r="T34" s="31">
        <v>13</v>
      </c>
      <c r="U34" s="31">
        <v>120</v>
      </c>
      <c r="V34" s="32">
        <v>2</v>
      </c>
      <c r="W34" s="32">
        <v>0</v>
      </c>
      <c r="X34" s="32">
        <v>30</v>
      </c>
      <c r="Y34" s="75">
        <v>0</v>
      </c>
      <c r="Z34" s="33">
        <v>0</v>
      </c>
      <c r="AA34" s="34">
        <v>32</v>
      </c>
      <c r="AB34" s="34">
        <v>0</v>
      </c>
      <c r="AC34" s="34">
        <v>0</v>
      </c>
      <c r="AD34" s="35">
        <v>0</v>
      </c>
      <c r="AE34" s="34">
        <v>0</v>
      </c>
      <c r="AF34" s="34">
        <v>0</v>
      </c>
      <c r="AG34" s="34">
        <v>0</v>
      </c>
      <c r="AH34" s="21" t="s">
        <v>117</v>
      </c>
      <c r="AI34" s="22"/>
      <c r="AK34" s="87">
        <f t="shared" si="2"/>
        <v>0.7</v>
      </c>
      <c r="AL34" s="87">
        <f t="shared" si="2"/>
        <v>0.65</v>
      </c>
      <c r="AM34" s="87">
        <f t="shared" si="2"/>
        <v>1</v>
      </c>
      <c r="AN34" s="87">
        <f t="shared" si="2"/>
        <v>0.2857142857142857</v>
      </c>
      <c r="AO34" s="87">
        <f t="shared" si="2"/>
        <v>0</v>
      </c>
      <c r="AP34" s="87"/>
      <c r="AQ34" s="87"/>
      <c r="AR34" s="87"/>
      <c r="AS34" s="87">
        <f t="shared" si="3"/>
        <v>0.18285714285714286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>
        <v>20</v>
      </c>
      <c r="T35" s="31">
        <v>5</v>
      </c>
      <c r="U35" s="31">
        <v>30</v>
      </c>
      <c r="V35" s="32">
        <v>0</v>
      </c>
      <c r="W35" s="32">
        <v>0</v>
      </c>
      <c r="X35" s="32">
        <v>0</v>
      </c>
      <c r="Y35" s="75">
        <v>0</v>
      </c>
      <c r="Z35" s="33">
        <v>0</v>
      </c>
      <c r="AA35" s="34">
        <v>0</v>
      </c>
      <c r="AB35" s="34">
        <v>0</v>
      </c>
      <c r="AC35" s="34">
        <v>0</v>
      </c>
      <c r="AD35" s="35">
        <v>0</v>
      </c>
      <c r="AE35" s="34">
        <v>0</v>
      </c>
      <c r="AF35" s="34">
        <v>0</v>
      </c>
      <c r="AG35" s="34">
        <v>0</v>
      </c>
      <c r="AH35" s="21"/>
      <c r="AI35" s="22"/>
      <c r="AK35" s="87">
        <f t="shared" si="2"/>
        <v>0.5</v>
      </c>
      <c r="AL35" s="87">
        <f t="shared" si="2"/>
        <v>0.25</v>
      </c>
      <c r="AM35" s="87">
        <f t="shared" si="2"/>
        <v>0.25</v>
      </c>
      <c r="AN35" s="87">
        <f t="shared" si="2"/>
        <v>0</v>
      </c>
      <c r="AO35" s="87">
        <f t="shared" si="2"/>
        <v>0</v>
      </c>
      <c r="AP35" s="87"/>
      <c r="AQ35" s="87"/>
      <c r="AR35" s="87"/>
      <c r="AS35" s="87">
        <f t="shared" si="3"/>
        <v>0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>
        <v>25</v>
      </c>
      <c r="T36" s="31">
        <v>20</v>
      </c>
      <c r="U36" s="31">
        <v>20</v>
      </c>
      <c r="V36" s="32">
        <v>1</v>
      </c>
      <c r="W36" s="32">
        <v>0</v>
      </c>
      <c r="X36" s="32">
        <v>30</v>
      </c>
      <c r="Y36" s="75">
        <v>12</v>
      </c>
      <c r="Z36" s="33">
        <v>0</v>
      </c>
      <c r="AA36" s="34">
        <v>16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21"/>
      <c r="AI36" s="22"/>
      <c r="AK36" s="87">
        <f t="shared" si="2"/>
        <v>0.625</v>
      </c>
      <c r="AL36" s="87">
        <f t="shared" si="2"/>
        <v>1</v>
      </c>
      <c r="AM36" s="87">
        <f t="shared" si="2"/>
        <v>0.16666666666666666</v>
      </c>
      <c r="AN36" s="87">
        <f t="shared" si="2"/>
        <v>0.14285714285714285</v>
      </c>
      <c r="AO36" s="87">
        <f t="shared" si="2"/>
        <v>0</v>
      </c>
      <c r="AP36" s="87"/>
      <c r="AQ36" s="87"/>
      <c r="AR36" s="87"/>
      <c r="AS36" s="87">
        <f t="shared" si="3"/>
        <v>9.1428571428571428E-2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45</v>
      </c>
      <c r="T37" s="31">
        <v>30</v>
      </c>
      <c r="U37" s="31">
        <v>80</v>
      </c>
      <c r="V37" s="32">
        <v>2</v>
      </c>
      <c r="W37" s="32">
        <v>0</v>
      </c>
      <c r="X37" s="32">
        <v>30</v>
      </c>
      <c r="Y37" s="75">
        <v>4</v>
      </c>
      <c r="Z37" s="33">
        <v>0</v>
      </c>
      <c r="AA37" s="34">
        <v>52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1.125</v>
      </c>
      <c r="AL37" s="87">
        <f t="shared" si="2"/>
        <v>1.5</v>
      </c>
      <c r="AM37" s="87">
        <f t="shared" si="2"/>
        <v>0.66666666666666663</v>
      </c>
      <c r="AN37" s="87">
        <f t="shared" si="2"/>
        <v>0.2857142857142857</v>
      </c>
      <c r="AO37" s="87">
        <f t="shared" si="2"/>
        <v>0</v>
      </c>
      <c r="AP37" s="87"/>
      <c r="AQ37" s="87"/>
      <c r="AR37" s="87"/>
      <c r="AS37" s="87">
        <f t="shared" si="3"/>
        <v>0.29714285714285715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48</v>
      </c>
      <c r="T38" s="31">
        <v>31</v>
      </c>
      <c r="U38" s="31">
        <v>100</v>
      </c>
      <c r="V38" s="32">
        <v>1</v>
      </c>
      <c r="W38" s="32">
        <v>0</v>
      </c>
      <c r="X38" s="32">
        <v>50</v>
      </c>
      <c r="Y38" s="75">
        <v>0</v>
      </c>
      <c r="Z38" s="33">
        <v>0</v>
      </c>
      <c r="AA38" s="34">
        <v>30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1.2</v>
      </c>
      <c r="AL38" s="87">
        <f t="shared" si="2"/>
        <v>1.55</v>
      </c>
      <c r="AM38" s="87">
        <f t="shared" si="2"/>
        <v>0.83333333333333337</v>
      </c>
      <c r="AN38" s="87">
        <f t="shared" si="2"/>
        <v>0.14285714285714285</v>
      </c>
      <c r="AO38" s="87">
        <f t="shared" si="2"/>
        <v>0</v>
      </c>
      <c r="AP38" s="87"/>
      <c r="AQ38" s="87"/>
      <c r="AR38" s="87"/>
      <c r="AS38" s="87">
        <f t="shared" si="3"/>
        <v>0.17142857142857143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35</v>
      </c>
      <c r="T39" s="31">
        <v>25</v>
      </c>
      <c r="U39" s="31">
        <v>250</v>
      </c>
      <c r="V39" s="32">
        <v>1</v>
      </c>
      <c r="W39" s="32">
        <v>0</v>
      </c>
      <c r="X39" s="32">
        <v>22</v>
      </c>
      <c r="Y39" s="75">
        <v>3</v>
      </c>
      <c r="Z39" s="33">
        <v>0</v>
      </c>
      <c r="AA39" s="34">
        <v>30</v>
      </c>
      <c r="AB39" s="34">
        <v>0</v>
      </c>
      <c r="AC39" s="34">
        <v>0</v>
      </c>
      <c r="AD39" s="35">
        <v>0</v>
      </c>
      <c r="AE39" s="34">
        <v>0</v>
      </c>
      <c r="AF39" s="34">
        <v>0</v>
      </c>
      <c r="AG39" s="34">
        <v>0</v>
      </c>
      <c r="AH39" s="21"/>
      <c r="AI39" s="22"/>
      <c r="AK39" s="87">
        <f t="shared" si="2"/>
        <v>0.875</v>
      </c>
      <c r="AL39" s="87">
        <f t="shared" si="2"/>
        <v>1.25</v>
      </c>
      <c r="AM39" s="87">
        <f t="shared" si="2"/>
        <v>2.0833333333333335</v>
      </c>
      <c r="AN39" s="87">
        <f t="shared" si="2"/>
        <v>0.14285714285714285</v>
      </c>
      <c r="AO39" s="87">
        <f t="shared" si="2"/>
        <v>0</v>
      </c>
      <c r="AP39" s="87"/>
      <c r="AQ39" s="87"/>
      <c r="AR39" s="87"/>
      <c r="AS39" s="87">
        <f t="shared" si="3"/>
        <v>0.17142857142857143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>
        <v>36</v>
      </c>
      <c r="T40" s="31">
        <v>30</v>
      </c>
      <c r="U40" s="31">
        <v>300</v>
      </c>
      <c r="V40" s="32">
        <v>3</v>
      </c>
      <c r="W40" s="32">
        <v>0</v>
      </c>
      <c r="X40" s="32">
        <v>50</v>
      </c>
      <c r="Y40" s="75">
        <v>20</v>
      </c>
      <c r="Z40" s="33">
        <v>0</v>
      </c>
      <c r="AA40" s="34">
        <v>40</v>
      </c>
      <c r="AB40" s="34">
        <v>0</v>
      </c>
      <c r="AC40" s="34">
        <v>0</v>
      </c>
      <c r="AD40" s="35">
        <v>0</v>
      </c>
      <c r="AE40" s="34">
        <v>0</v>
      </c>
      <c r="AF40" s="34">
        <v>0</v>
      </c>
      <c r="AG40" s="34">
        <v>0</v>
      </c>
      <c r="AH40" s="21"/>
      <c r="AI40" s="22"/>
      <c r="AK40" s="87">
        <f t="shared" si="2"/>
        <v>0.9</v>
      </c>
      <c r="AL40" s="87">
        <f t="shared" si="2"/>
        <v>1.5</v>
      </c>
      <c r="AM40" s="87">
        <f t="shared" si="2"/>
        <v>2.5</v>
      </c>
      <c r="AN40" s="87">
        <f t="shared" si="2"/>
        <v>0.42857142857142855</v>
      </c>
      <c r="AO40" s="87">
        <f t="shared" si="2"/>
        <v>0</v>
      </c>
      <c r="AP40" s="87"/>
      <c r="AQ40" s="87"/>
      <c r="AR40" s="87"/>
      <c r="AS40" s="87">
        <f t="shared" si="3"/>
        <v>0.22857142857142856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50</v>
      </c>
      <c r="T41" s="31">
        <v>30</v>
      </c>
      <c r="U41" s="31">
        <v>80</v>
      </c>
      <c r="V41" s="32">
        <v>4</v>
      </c>
      <c r="W41" s="32">
        <v>0</v>
      </c>
      <c r="X41" s="32">
        <v>30</v>
      </c>
      <c r="Y41" s="75">
        <v>5</v>
      </c>
      <c r="Z41" s="33">
        <v>0</v>
      </c>
      <c r="AA41" s="34">
        <v>65</v>
      </c>
      <c r="AB41" s="34">
        <v>0</v>
      </c>
      <c r="AC41" s="34">
        <v>0</v>
      </c>
      <c r="AD41" s="35">
        <v>0</v>
      </c>
      <c r="AE41" s="34">
        <v>0</v>
      </c>
      <c r="AF41" s="34">
        <v>0</v>
      </c>
      <c r="AG41" s="34">
        <v>0</v>
      </c>
      <c r="AH41" s="21"/>
      <c r="AI41" s="22"/>
      <c r="AK41" s="87">
        <f t="shared" si="2"/>
        <v>1.25</v>
      </c>
      <c r="AL41" s="87">
        <f t="shared" si="2"/>
        <v>1.5</v>
      </c>
      <c r="AM41" s="87">
        <f t="shared" si="2"/>
        <v>0.66666666666666663</v>
      </c>
      <c r="AN41" s="87">
        <f t="shared" si="2"/>
        <v>0.5714285714285714</v>
      </c>
      <c r="AO41" s="87">
        <f t="shared" si="2"/>
        <v>0</v>
      </c>
      <c r="AP41" s="87"/>
      <c r="AQ41" s="87"/>
      <c r="AR41" s="87"/>
      <c r="AS41" s="87">
        <f t="shared" si="3"/>
        <v>0.37142857142857144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>
        <v>30</v>
      </c>
      <c r="T42" s="31">
        <v>20</v>
      </c>
      <c r="U42" s="31">
        <v>280</v>
      </c>
      <c r="V42" s="32">
        <v>2</v>
      </c>
      <c r="W42" s="32">
        <v>0</v>
      </c>
      <c r="X42" s="32">
        <v>70</v>
      </c>
      <c r="Y42" s="75">
        <v>18</v>
      </c>
      <c r="Z42" s="33">
        <v>0</v>
      </c>
      <c r="AA42" s="34">
        <v>40</v>
      </c>
      <c r="AB42" s="34">
        <v>0</v>
      </c>
      <c r="AC42" s="34">
        <v>0</v>
      </c>
      <c r="AD42" s="35">
        <v>0</v>
      </c>
      <c r="AE42" s="34">
        <v>0</v>
      </c>
      <c r="AF42" s="34">
        <v>0</v>
      </c>
      <c r="AG42" s="34">
        <v>0</v>
      </c>
      <c r="AH42" s="21"/>
      <c r="AI42" s="22"/>
      <c r="AK42" s="87">
        <f t="shared" si="2"/>
        <v>0.75</v>
      </c>
      <c r="AL42" s="87">
        <f t="shared" si="2"/>
        <v>1</v>
      </c>
      <c r="AM42" s="87">
        <f t="shared" si="2"/>
        <v>2.3333333333333335</v>
      </c>
      <c r="AN42" s="87">
        <f t="shared" si="2"/>
        <v>0.2857142857142857</v>
      </c>
      <c r="AO42" s="87">
        <f t="shared" si="2"/>
        <v>0</v>
      </c>
      <c r="AP42" s="87"/>
      <c r="AQ42" s="87"/>
      <c r="AR42" s="87"/>
      <c r="AS42" s="87">
        <f t="shared" si="3"/>
        <v>0.22857142857142856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>
        <v>10</v>
      </c>
      <c r="T43" s="31">
        <v>5</v>
      </c>
      <c r="U43" s="31">
        <v>40</v>
      </c>
      <c r="V43" s="32">
        <v>1</v>
      </c>
      <c r="W43" s="32">
        <v>0</v>
      </c>
      <c r="X43" s="32">
        <v>0</v>
      </c>
      <c r="Y43" s="75">
        <v>0</v>
      </c>
      <c r="Z43" s="33">
        <v>0</v>
      </c>
      <c r="AA43" s="34">
        <v>14</v>
      </c>
      <c r="AB43" s="34">
        <v>0</v>
      </c>
      <c r="AC43" s="34">
        <v>0</v>
      </c>
      <c r="AD43" s="34">
        <v>0</v>
      </c>
      <c r="AE43" s="34">
        <v>0</v>
      </c>
      <c r="AF43" s="34">
        <v>0</v>
      </c>
      <c r="AG43" s="34">
        <v>0</v>
      </c>
      <c r="AH43" s="21"/>
      <c r="AI43" s="22"/>
      <c r="AK43" s="87">
        <f t="shared" si="2"/>
        <v>0.25</v>
      </c>
      <c r="AL43" s="87">
        <f t="shared" si="2"/>
        <v>0.25</v>
      </c>
      <c r="AM43" s="87">
        <f t="shared" si="2"/>
        <v>0.33333333333333331</v>
      </c>
      <c r="AN43" s="87">
        <f t="shared" si="2"/>
        <v>0.14285714285714285</v>
      </c>
      <c r="AO43" s="87">
        <f t="shared" si="2"/>
        <v>0</v>
      </c>
      <c r="AP43" s="87"/>
      <c r="AQ43" s="87"/>
      <c r="AR43" s="87"/>
      <c r="AS43" s="87">
        <f t="shared" si="3"/>
        <v>0.08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>
        <v>30</v>
      </c>
      <c r="T44" s="31">
        <v>10</v>
      </c>
      <c r="U44" s="31">
        <v>40</v>
      </c>
      <c r="V44" s="32">
        <v>2</v>
      </c>
      <c r="W44" s="32">
        <v>0</v>
      </c>
      <c r="X44" s="32">
        <v>0</v>
      </c>
      <c r="Y44" s="75">
        <v>0</v>
      </c>
      <c r="Z44" s="33">
        <v>0</v>
      </c>
      <c r="AA44" s="34">
        <v>15</v>
      </c>
      <c r="AB44" s="34">
        <v>0</v>
      </c>
      <c r="AC44" s="34">
        <v>0</v>
      </c>
      <c r="AD44" s="35">
        <v>0</v>
      </c>
      <c r="AE44" s="34">
        <v>0</v>
      </c>
      <c r="AF44" s="34">
        <v>0</v>
      </c>
      <c r="AG44" s="34">
        <v>0</v>
      </c>
      <c r="AH44" s="21"/>
      <c r="AI44" s="22"/>
      <c r="AK44" s="87">
        <f t="shared" si="2"/>
        <v>0.75</v>
      </c>
      <c r="AL44" s="87">
        <f t="shared" si="2"/>
        <v>0.5</v>
      </c>
      <c r="AM44" s="87">
        <f t="shared" si="2"/>
        <v>0.33333333333333331</v>
      </c>
      <c r="AN44" s="87">
        <f t="shared" si="2"/>
        <v>0.2857142857142857</v>
      </c>
      <c r="AO44" s="87">
        <f t="shared" si="2"/>
        <v>0</v>
      </c>
      <c r="AP44" s="87"/>
      <c r="AQ44" s="87"/>
      <c r="AR44" s="87"/>
      <c r="AS44" s="87">
        <f t="shared" si="3"/>
        <v>8.5714285714285715E-2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>
        <v>15</v>
      </c>
      <c r="T45" s="31">
        <v>5</v>
      </c>
      <c r="U45" s="31">
        <v>20</v>
      </c>
      <c r="V45" s="32">
        <v>0</v>
      </c>
      <c r="W45" s="32">
        <v>0</v>
      </c>
      <c r="X45" s="32">
        <v>0</v>
      </c>
      <c r="Y45" s="75">
        <v>0</v>
      </c>
      <c r="Z45" s="33">
        <v>0</v>
      </c>
      <c r="AA45" s="34">
        <v>32</v>
      </c>
      <c r="AB45" s="34">
        <v>0</v>
      </c>
      <c r="AC45" s="34">
        <v>0</v>
      </c>
      <c r="AD45" s="35">
        <v>0</v>
      </c>
      <c r="AE45" s="34">
        <v>0</v>
      </c>
      <c r="AF45" s="34">
        <v>0</v>
      </c>
      <c r="AG45" s="34">
        <v>0</v>
      </c>
      <c r="AH45" s="21"/>
      <c r="AI45" s="22"/>
      <c r="AK45" s="87">
        <f t="shared" si="2"/>
        <v>0.375</v>
      </c>
      <c r="AL45" s="87">
        <f t="shared" si="2"/>
        <v>0.25</v>
      </c>
      <c r="AM45" s="87">
        <f t="shared" si="2"/>
        <v>0.16666666666666666</v>
      </c>
      <c r="AN45" s="87">
        <f t="shared" si="2"/>
        <v>0</v>
      </c>
      <c r="AO45" s="87">
        <f t="shared" si="2"/>
        <v>0</v>
      </c>
      <c r="AP45" s="87"/>
      <c r="AQ45" s="87"/>
      <c r="AR45" s="87"/>
      <c r="AS45" s="87">
        <f t="shared" si="3"/>
        <v>0.18285714285714286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>
        <v>40</v>
      </c>
      <c r="T46" s="31">
        <v>33</v>
      </c>
      <c r="U46" s="31">
        <v>350</v>
      </c>
      <c r="V46" s="32">
        <v>3</v>
      </c>
      <c r="W46" s="32">
        <v>0</v>
      </c>
      <c r="X46" s="32">
        <v>40</v>
      </c>
      <c r="Y46" s="75">
        <v>60</v>
      </c>
      <c r="Z46" s="33">
        <v>0</v>
      </c>
      <c r="AA46" s="34">
        <v>55</v>
      </c>
      <c r="AB46" s="34">
        <v>0</v>
      </c>
      <c r="AC46" s="34">
        <v>0</v>
      </c>
      <c r="AD46" s="35">
        <v>0</v>
      </c>
      <c r="AE46" s="34">
        <v>0</v>
      </c>
      <c r="AF46" s="34">
        <v>0</v>
      </c>
      <c r="AG46" s="34">
        <v>0</v>
      </c>
      <c r="AH46" s="21"/>
      <c r="AI46" s="22"/>
      <c r="AK46" s="87">
        <f t="shared" si="2"/>
        <v>1</v>
      </c>
      <c r="AL46" s="87">
        <f t="shared" si="2"/>
        <v>1.65</v>
      </c>
      <c r="AM46" s="87">
        <f t="shared" si="2"/>
        <v>2.9166666666666665</v>
      </c>
      <c r="AN46" s="87">
        <f t="shared" si="2"/>
        <v>0.42857142857142855</v>
      </c>
      <c r="AO46" s="87">
        <f t="shared" si="2"/>
        <v>0</v>
      </c>
      <c r="AP46" s="87"/>
      <c r="AQ46" s="87"/>
      <c r="AR46" s="87"/>
      <c r="AS46" s="87">
        <f t="shared" si="3"/>
        <v>0.31428571428571428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>
        <v>30</v>
      </c>
      <c r="T47" s="31">
        <v>10</v>
      </c>
      <c r="U47" s="31">
        <v>20</v>
      </c>
      <c r="V47" s="32">
        <v>0</v>
      </c>
      <c r="W47" s="32">
        <v>0</v>
      </c>
      <c r="X47" s="32">
        <v>41</v>
      </c>
      <c r="Y47" s="75">
        <v>0</v>
      </c>
      <c r="Z47" s="33">
        <v>0</v>
      </c>
      <c r="AA47" s="34">
        <v>56</v>
      </c>
      <c r="AB47" s="34">
        <v>0</v>
      </c>
      <c r="AC47" s="34">
        <v>0</v>
      </c>
      <c r="AD47" s="34">
        <v>0</v>
      </c>
      <c r="AE47" s="34">
        <v>0</v>
      </c>
      <c r="AF47" s="34">
        <v>0</v>
      </c>
      <c r="AG47" s="34">
        <v>0</v>
      </c>
      <c r="AH47" s="21"/>
      <c r="AI47" s="22"/>
      <c r="AK47" s="87">
        <f t="shared" si="2"/>
        <v>0.75</v>
      </c>
      <c r="AL47" s="87">
        <f t="shared" si="2"/>
        <v>0.5</v>
      </c>
      <c r="AM47" s="87">
        <f t="shared" si="2"/>
        <v>0.16666666666666666</v>
      </c>
      <c r="AN47" s="87">
        <f t="shared" si="2"/>
        <v>0</v>
      </c>
      <c r="AO47" s="87">
        <f t="shared" si="2"/>
        <v>0</v>
      </c>
      <c r="AP47" s="87"/>
      <c r="AQ47" s="87"/>
      <c r="AR47" s="87"/>
      <c r="AS47" s="87">
        <f t="shared" si="3"/>
        <v>0.32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28</v>
      </c>
      <c r="T48" s="31">
        <v>17</v>
      </c>
      <c r="U48" s="31">
        <v>0</v>
      </c>
      <c r="V48" s="32">
        <v>8</v>
      </c>
      <c r="W48" s="32">
        <v>0</v>
      </c>
      <c r="X48" s="32">
        <v>90</v>
      </c>
      <c r="Y48" s="75">
        <v>0</v>
      </c>
      <c r="Z48" s="33">
        <v>0</v>
      </c>
      <c r="AA48" s="34">
        <v>29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/>
      <c r="AI48" s="22"/>
      <c r="AK48" s="87">
        <f t="shared" si="2"/>
        <v>0.7</v>
      </c>
      <c r="AL48" s="87">
        <f t="shared" si="2"/>
        <v>0.85</v>
      </c>
      <c r="AM48" s="87">
        <f t="shared" si="2"/>
        <v>0</v>
      </c>
      <c r="AN48" s="87">
        <f t="shared" si="2"/>
        <v>1.1428571428571428</v>
      </c>
      <c r="AO48" s="87">
        <f t="shared" si="2"/>
        <v>0</v>
      </c>
      <c r="AP48" s="87"/>
      <c r="AQ48" s="87"/>
      <c r="AR48" s="87"/>
      <c r="AS48" s="87">
        <f t="shared" si="3"/>
        <v>0.1657142857142857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30</v>
      </c>
      <c r="T49" s="31">
        <v>18</v>
      </c>
      <c r="U49" s="31">
        <v>210</v>
      </c>
      <c r="V49" s="32">
        <v>12</v>
      </c>
      <c r="W49" s="32">
        <v>0</v>
      </c>
      <c r="X49" s="32">
        <v>100</v>
      </c>
      <c r="Y49" s="75">
        <v>23</v>
      </c>
      <c r="Z49" s="33">
        <v>0</v>
      </c>
      <c r="AA49" s="34">
        <v>45</v>
      </c>
      <c r="AB49" s="34">
        <v>0</v>
      </c>
      <c r="AC49" s="34">
        <v>0</v>
      </c>
      <c r="AD49" s="35">
        <v>0</v>
      </c>
      <c r="AE49" s="34">
        <v>0</v>
      </c>
      <c r="AF49" s="34">
        <v>0</v>
      </c>
      <c r="AG49" s="34">
        <v>0</v>
      </c>
      <c r="AH49" s="21" t="s">
        <v>116</v>
      </c>
      <c r="AI49" s="22"/>
      <c r="AK49" s="87">
        <f t="shared" si="2"/>
        <v>0.75</v>
      </c>
      <c r="AL49" s="87">
        <f t="shared" si="2"/>
        <v>0.9</v>
      </c>
      <c r="AM49" s="87">
        <f t="shared" si="2"/>
        <v>1.75</v>
      </c>
      <c r="AN49" s="87">
        <f t="shared" si="2"/>
        <v>1.7142857142857142</v>
      </c>
      <c r="AO49" s="87">
        <f t="shared" si="2"/>
        <v>0</v>
      </c>
      <c r="AP49" s="87"/>
      <c r="AQ49" s="87"/>
      <c r="AR49" s="87"/>
      <c r="AS49" s="87">
        <f t="shared" si="3"/>
        <v>0.25714285714285712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>
        <v>40</v>
      </c>
      <c r="T50" s="31">
        <v>25</v>
      </c>
      <c r="U50" s="31">
        <v>300</v>
      </c>
      <c r="V50" s="32">
        <v>8</v>
      </c>
      <c r="W50" s="32">
        <v>0</v>
      </c>
      <c r="X50" s="32">
        <v>20</v>
      </c>
      <c r="Y50" s="75">
        <v>30</v>
      </c>
      <c r="Z50" s="33">
        <v>0</v>
      </c>
      <c r="AA50" s="34">
        <v>30</v>
      </c>
      <c r="AB50" s="34">
        <v>0</v>
      </c>
      <c r="AC50" s="34">
        <v>0</v>
      </c>
      <c r="AD50" s="35">
        <v>0</v>
      </c>
      <c r="AE50" s="34">
        <v>0</v>
      </c>
      <c r="AF50" s="34">
        <v>0</v>
      </c>
      <c r="AG50" s="34">
        <v>0</v>
      </c>
      <c r="AH50" s="21"/>
      <c r="AI50" s="22"/>
      <c r="AK50" s="87">
        <f t="shared" si="2"/>
        <v>1</v>
      </c>
      <c r="AL50" s="87">
        <f t="shared" si="2"/>
        <v>1.25</v>
      </c>
      <c r="AM50" s="87">
        <f t="shared" si="2"/>
        <v>2.5</v>
      </c>
      <c r="AN50" s="87">
        <f t="shared" si="2"/>
        <v>1.1428571428571428</v>
      </c>
      <c r="AO50" s="87">
        <f t="shared" si="2"/>
        <v>0</v>
      </c>
      <c r="AP50" s="87"/>
      <c r="AQ50" s="87"/>
      <c r="AR50" s="87"/>
      <c r="AS50" s="87">
        <f t="shared" si="3"/>
        <v>0.17142857142857143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27</v>
      </c>
      <c r="T51" s="31">
        <v>22</v>
      </c>
      <c r="U51" s="31">
        <v>111</v>
      </c>
      <c r="V51" s="32">
        <v>0</v>
      </c>
      <c r="W51" s="32">
        <v>0</v>
      </c>
      <c r="X51" s="32">
        <v>35</v>
      </c>
      <c r="Y51" s="75">
        <v>11</v>
      </c>
      <c r="Z51" s="33">
        <v>0</v>
      </c>
      <c r="AA51" s="34">
        <v>0</v>
      </c>
      <c r="AB51" s="34">
        <v>0</v>
      </c>
      <c r="AC51" s="34">
        <v>0</v>
      </c>
      <c r="AD51" s="35">
        <v>0</v>
      </c>
      <c r="AE51" s="34">
        <v>0</v>
      </c>
      <c r="AF51" s="34">
        <v>0</v>
      </c>
      <c r="AG51" s="34">
        <v>0</v>
      </c>
      <c r="AH51" s="21"/>
      <c r="AI51" s="22"/>
      <c r="AK51" s="87">
        <f t="shared" si="2"/>
        <v>0.67500000000000004</v>
      </c>
      <c r="AL51" s="87">
        <f t="shared" si="2"/>
        <v>1.1000000000000001</v>
      </c>
      <c r="AM51" s="87">
        <f t="shared" si="2"/>
        <v>0.92500000000000004</v>
      </c>
      <c r="AN51" s="87">
        <f t="shared" si="2"/>
        <v>0</v>
      </c>
      <c r="AO51" s="87">
        <f t="shared" si="2"/>
        <v>0</v>
      </c>
      <c r="AP51" s="87"/>
      <c r="AQ51" s="87"/>
      <c r="AR51" s="87"/>
      <c r="AS51" s="87">
        <f t="shared" si="3"/>
        <v>0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40</v>
      </c>
      <c r="T52" s="31">
        <v>29</v>
      </c>
      <c r="U52" s="31">
        <v>70</v>
      </c>
      <c r="V52" s="32">
        <v>8</v>
      </c>
      <c r="W52" s="32">
        <v>0</v>
      </c>
      <c r="X52" s="32">
        <v>30</v>
      </c>
      <c r="Y52" s="75">
        <v>8</v>
      </c>
      <c r="Z52" s="33">
        <v>0</v>
      </c>
      <c r="AA52" s="34">
        <v>47</v>
      </c>
      <c r="AB52" s="34">
        <v>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/>
      <c r="AI52" s="22"/>
      <c r="AK52" s="87">
        <f t="shared" si="2"/>
        <v>1</v>
      </c>
      <c r="AL52" s="87">
        <f t="shared" si="2"/>
        <v>1.45</v>
      </c>
      <c r="AM52" s="87">
        <f t="shared" si="2"/>
        <v>0.58333333333333337</v>
      </c>
      <c r="AN52" s="87">
        <f t="shared" si="2"/>
        <v>1.1428571428571428</v>
      </c>
      <c r="AO52" s="87">
        <f t="shared" si="2"/>
        <v>0</v>
      </c>
      <c r="AP52" s="87"/>
      <c r="AQ52" s="87"/>
      <c r="AR52" s="87"/>
      <c r="AS52" s="87">
        <f t="shared" si="3"/>
        <v>0.26857142857142857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40</v>
      </c>
      <c r="T53" s="31">
        <v>13</v>
      </c>
      <c r="U53" s="31">
        <v>10</v>
      </c>
      <c r="V53" s="32">
        <v>0</v>
      </c>
      <c r="W53" s="32">
        <v>0</v>
      </c>
      <c r="X53" s="32">
        <v>0</v>
      </c>
      <c r="Y53" s="75">
        <v>30</v>
      </c>
      <c r="Z53" s="33">
        <v>0</v>
      </c>
      <c r="AA53" s="34">
        <v>150</v>
      </c>
      <c r="AB53" s="34">
        <v>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1</v>
      </c>
      <c r="AL53" s="87">
        <f t="shared" si="2"/>
        <v>0.65</v>
      </c>
      <c r="AM53" s="87">
        <f t="shared" si="2"/>
        <v>8.3333333333333329E-2</v>
      </c>
      <c r="AN53" s="87">
        <f t="shared" si="2"/>
        <v>0</v>
      </c>
      <c r="AO53" s="87">
        <f t="shared" si="2"/>
        <v>0</v>
      </c>
      <c r="AP53" s="87"/>
      <c r="AQ53" s="87"/>
      <c r="AR53" s="87"/>
      <c r="AS53" s="87">
        <f t="shared" si="3"/>
        <v>0.8571428571428571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>
        <v>30</v>
      </c>
      <c r="T54" s="31">
        <v>19</v>
      </c>
      <c r="U54" s="31">
        <v>70</v>
      </c>
      <c r="V54" s="32">
        <v>2</v>
      </c>
      <c r="W54" s="32">
        <v>0</v>
      </c>
      <c r="X54" s="32">
        <v>40</v>
      </c>
      <c r="Y54" s="75">
        <v>0</v>
      </c>
      <c r="Z54" s="33">
        <v>0</v>
      </c>
      <c r="AA54" s="34">
        <v>20</v>
      </c>
      <c r="AB54" s="34">
        <v>0</v>
      </c>
      <c r="AC54" s="34">
        <v>0</v>
      </c>
      <c r="AD54" s="35">
        <v>0</v>
      </c>
      <c r="AE54" s="34">
        <v>0</v>
      </c>
      <c r="AF54" s="34">
        <v>0</v>
      </c>
      <c r="AG54" s="34">
        <v>0</v>
      </c>
      <c r="AH54" s="21"/>
      <c r="AI54" s="22"/>
      <c r="AK54" s="87">
        <f t="shared" si="2"/>
        <v>0.75</v>
      </c>
      <c r="AL54" s="87">
        <f t="shared" si="2"/>
        <v>0.95</v>
      </c>
      <c r="AM54" s="87">
        <f t="shared" si="2"/>
        <v>0.58333333333333337</v>
      </c>
      <c r="AN54" s="87">
        <f t="shared" si="2"/>
        <v>0.2857142857142857</v>
      </c>
      <c r="AO54" s="87">
        <f t="shared" si="2"/>
        <v>0</v>
      </c>
      <c r="AP54" s="87"/>
      <c r="AQ54" s="87"/>
      <c r="AR54" s="87"/>
      <c r="AS54" s="87">
        <f t="shared" si="3"/>
        <v>0.11428571428571428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1469</v>
      </c>
      <c r="T55" s="61">
        <f t="shared" si="4"/>
        <v>855</v>
      </c>
      <c r="U55" s="61">
        <f t="shared" si="4"/>
        <v>5200</v>
      </c>
      <c r="V55" s="61">
        <f t="shared" si="4"/>
        <v>102</v>
      </c>
      <c r="W55" s="61">
        <f t="shared" si="4"/>
        <v>0</v>
      </c>
      <c r="X55" s="61">
        <f t="shared" si="4"/>
        <v>1666</v>
      </c>
      <c r="Y55" s="61">
        <f t="shared" si="4"/>
        <v>382</v>
      </c>
      <c r="Z55" s="61">
        <f t="shared" si="4"/>
        <v>0</v>
      </c>
      <c r="AA55" s="61">
        <f t="shared" si="4"/>
        <v>1527</v>
      </c>
      <c r="AB55" s="61">
        <f t="shared" si="4"/>
        <v>0</v>
      </c>
      <c r="AC55" s="61">
        <f t="shared" si="4"/>
        <v>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0.73450000000000004</v>
      </c>
      <c r="AL55" s="87">
        <f t="shared" si="2"/>
        <v>0.85499999999999998</v>
      </c>
      <c r="AM55" s="87">
        <f t="shared" si="2"/>
        <v>0.8666666666666667</v>
      </c>
      <c r="AN55" s="87">
        <f t="shared" si="2"/>
        <v>0.29142857142857143</v>
      </c>
      <c r="AO55" s="87">
        <f t="shared" si="2"/>
        <v>0</v>
      </c>
      <c r="AP55" s="87"/>
      <c r="AQ55" s="87"/>
      <c r="AR55" s="87"/>
      <c r="AS55" s="87">
        <f t="shared" si="3"/>
        <v>0.17451428571428571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1" t="s">
        <v>18</v>
      </c>
      <c r="C57" s="112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1469</v>
      </c>
      <c r="T57" s="24">
        <f>T55</f>
        <v>855</v>
      </c>
      <c r="U57" s="24">
        <f>U55/120</f>
        <v>43.333333333333336</v>
      </c>
      <c r="V57" s="25">
        <f>V55/6</f>
        <v>17</v>
      </c>
      <c r="W57" s="25">
        <f>W55/10</f>
        <v>0</v>
      </c>
      <c r="X57" s="25">
        <f>X55/100</f>
        <v>16.66</v>
      </c>
      <c r="Y57" s="76">
        <f>Y55/20</f>
        <v>19.100000000000001</v>
      </c>
      <c r="Z57" s="26">
        <f>Z55/60</f>
        <v>0</v>
      </c>
      <c r="AA57" s="27">
        <f>AA55/120</f>
        <v>12.725</v>
      </c>
      <c r="AB57" s="27">
        <f>AB55/100</f>
        <v>0</v>
      </c>
      <c r="AC57" s="27">
        <f>AC55/60</f>
        <v>0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7.2222222222222228E-3</v>
      </c>
      <c r="AN57" s="25">
        <f>AN55/6</f>
        <v>4.8571428571428571E-2</v>
      </c>
      <c r="AO57" s="25">
        <f>AO55/20</f>
        <v>0</v>
      </c>
      <c r="AP57" s="25">
        <f>AP55/100</f>
        <v>0</v>
      </c>
      <c r="AQ57" s="76"/>
      <c r="AR57" s="26">
        <f>AR55/20</f>
        <v>0</v>
      </c>
      <c r="AS57" s="27">
        <f>AS55/120</f>
        <v>1.4542857142857142E-3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</sheetData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D7BED-F7C5-4F45-8E97-8E46034E2EF1}">
  <dimension ref="A1:AY5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46112</v>
      </c>
      <c r="D2" s="113" t="s">
        <v>107</v>
      </c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5" t="s">
        <v>108</v>
      </c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7"/>
      <c r="AK2" s="118" t="s">
        <v>109</v>
      </c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20"/>
    </row>
    <row r="3" spans="2:51" ht="18" thickBot="1" x14ac:dyDescent="0.3">
      <c r="B3" s="121" t="s">
        <v>1</v>
      </c>
      <c r="C3" s="123" t="s">
        <v>2</v>
      </c>
      <c r="D3" s="5" t="s">
        <v>3</v>
      </c>
      <c r="E3" s="6" t="str">
        <f>T3</f>
        <v>Acheteurs</v>
      </c>
      <c r="F3" s="125" t="s">
        <v>4</v>
      </c>
      <c r="G3" s="125"/>
      <c r="H3" s="125"/>
      <c r="I3" s="125"/>
      <c r="J3" s="126"/>
      <c r="K3" s="56"/>
      <c r="L3" s="127" t="s">
        <v>5</v>
      </c>
      <c r="M3" s="128"/>
      <c r="N3" s="129"/>
      <c r="O3" s="70"/>
      <c r="P3" s="70"/>
      <c r="Q3" s="70"/>
      <c r="R3" s="70"/>
      <c r="S3" s="7" t="s">
        <v>3</v>
      </c>
      <c r="T3" s="7" t="s">
        <v>6</v>
      </c>
      <c r="U3" s="130" t="s">
        <v>7</v>
      </c>
      <c r="V3" s="131"/>
      <c r="W3" s="131"/>
      <c r="X3" s="131"/>
      <c r="Y3" s="131"/>
      <c r="Z3" s="132"/>
      <c r="AA3" s="133" t="str">
        <f>L3</f>
        <v>Gratuités pour achats 
(en unités)</v>
      </c>
      <c r="AB3" s="134"/>
      <c r="AC3" s="135"/>
      <c r="AD3" s="133" t="s">
        <v>19</v>
      </c>
      <c r="AE3" s="134"/>
      <c r="AF3" s="134"/>
      <c r="AG3" s="135"/>
      <c r="AH3" s="136" t="s">
        <v>8</v>
      </c>
      <c r="AI3" s="138" t="s">
        <v>9</v>
      </c>
      <c r="AK3" s="79" t="s">
        <v>3</v>
      </c>
      <c r="AL3" s="79" t="s">
        <v>6</v>
      </c>
      <c r="AM3" s="140" t="s">
        <v>7</v>
      </c>
      <c r="AN3" s="141"/>
      <c r="AO3" s="141"/>
      <c r="AP3" s="141"/>
      <c r="AQ3" s="141"/>
      <c r="AR3" s="142"/>
      <c r="AS3" s="143" t="str">
        <f>AD3</f>
        <v>GOODIES</v>
      </c>
      <c r="AT3" s="144"/>
      <c r="AU3" s="145"/>
      <c r="AV3" s="143" t="s">
        <v>19</v>
      </c>
      <c r="AW3" s="144"/>
      <c r="AX3" s="144"/>
      <c r="AY3" s="145"/>
    </row>
    <row r="4" spans="2:51" ht="202.2" thickBot="1" x14ac:dyDescent="0.3">
      <c r="B4" s="122"/>
      <c r="C4" s="12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7"/>
      <c r="AI4" s="139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/>
      <c r="T5" s="31"/>
      <c r="U5" s="31"/>
      <c r="V5" s="32"/>
      <c r="W5" s="32"/>
      <c r="X5" s="32"/>
      <c r="Y5" s="75"/>
      <c r="Z5" s="33"/>
      <c r="AA5" s="34"/>
      <c r="AB5" s="34"/>
      <c r="AC5" s="34"/>
      <c r="AD5" s="35"/>
      <c r="AE5" s="34"/>
      <c r="AF5" s="34"/>
      <c r="AG5" s="34"/>
      <c r="AH5" s="21"/>
      <c r="AI5" s="22"/>
      <c r="AK5" s="87">
        <f>S5/D5</f>
        <v>0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>
        <v>27</v>
      </c>
      <c r="T6" s="31">
        <v>20</v>
      </c>
      <c r="U6" s="31">
        <v>100</v>
      </c>
      <c r="V6" s="32">
        <v>1</v>
      </c>
      <c r="W6" s="32">
        <v>0</v>
      </c>
      <c r="X6" s="32">
        <v>70</v>
      </c>
      <c r="Y6" s="75">
        <v>0</v>
      </c>
      <c r="Z6" s="33">
        <v>0</v>
      </c>
      <c r="AA6" s="34">
        <v>44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7">
        <f t="shared" ref="AK6:AO55" si="2">S6/D6</f>
        <v>0.67500000000000004</v>
      </c>
      <c r="AL6" s="87">
        <f t="shared" si="0"/>
        <v>1</v>
      </c>
      <c r="AM6" s="87">
        <f t="shared" si="0"/>
        <v>0.83333333333333337</v>
      </c>
      <c r="AN6" s="87">
        <f t="shared" si="0"/>
        <v>0.14285714285714285</v>
      </c>
      <c r="AO6" s="87">
        <f t="shared" si="0"/>
        <v>0</v>
      </c>
      <c r="AP6" s="87"/>
      <c r="AQ6" s="87"/>
      <c r="AR6" s="87"/>
      <c r="AS6" s="87">
        <f t="shared" si="0"/>
        <v>0.25142857142857145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42</v>
      </c>
      <c r="T7" s="31">
        <v>24</v>
      </c>
      <c r="U7" s="31">
        <v>200</v>
      </c>
      <c r="V7" s="32">
        <v>5</v>
      </c>
      <c r="W7" s="32">
        <v>0</v>
      </c>
      <c r="X7" s="32">
        <v>40</v>
      </c>
      <c r="Y7" s="75">
        <v>0</v>
      </c>
      <c r="Z7" s="33">
        <v>0</v>
      </c>
      <c r="AA7" s="34">
        <v>10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1.05</v>
      </c>
      <c r="AL7" s="87">
        <f t="shared" si="0"/>
        <v>1.2</v>
      </c>
      <c r="AM7" s="87">
        <f t="shared" si="0"/>
        <v>1.6666666666666667</v>
      </c>
      <c r="AN7" s="87">
        <f t="shared" si="0"/>
        <v>0.7142857142857143</v>
      </c>
      <c r="AO7" s="87">
        <f t="shared" si="0"/>
        <v>0</v>
      </c>
      <c r="AP7" s="87"/>
      <c r="AQ7" s="87"/>
      <c r="AR7" s="87"/>
      <c r="AS7" s="87">
        <f t="shared" si="0"/>
        <v>5.7142857142857141E-2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13</v>
      </c>
      <c r="T8" s="31">
        <v>8</v>
      </c>
      <c r="U8" s="31">
        <v>140</v>
      </c>
      <c r="V8" s="32">
        <v>2</v>
      </c>
      <c r="W8" s="32">
        <v>0</v>
      </c>
      <c r="X8" s="32">
        <v>20</v>
      </c>
      <c r="Y8" s="75">
        <v>6</v>
      </c>
      <c r="Z8" s="33">
        <v>0</v>
      </c>
      <c r="AA8" s="34">
        <v>54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21" t="s">
        <v>130</v>
      </c>
      <c r="AI8" s="22"/>
      <c r="AK8" s="87">
        <f t="shared" si="2"/>
        <v>0.32500000000000001</v>
      </c>
      <c r="AL8" s="87">
        <f t="shared" si="0"/>
        <v>0.4</v>
      </c>
      <c r="AM8" s="87">
        <f t="shared" si="0"/>
        <v>1.1666666666666667</v>
      </c>
      <c r="AN8" s="87">
        <f t="shared" si="0"/>
        <v>0.2857142857142857</v>
      </c>
      <c r="AO8" s="87">
        <f t="shared" si="0"/>
        <v>0</v>
      </c>
      <c r="AP8" s="87"/>
      <c r="AQ8" s="87"/>
      <c r="AR8" s="87"/>
      <c r="AS8" s="87">
        <f t="shared" si="0"/>
        <v>0.30857142857142855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45</v>
      </c>
      <c r="T9" s="31">
        <v>30</v>
      </c>
      <c r="U9" s="31">
        <v>125</v>
      </c>
      <c r="V9" s="32">
        <v>5</v>
      </c>
      <c r="W9" s="32">
        <v>0</v>
      </c>
      <c r="X9" s="32">
        <v>30</v>
      </c>
      <c r="Y9" s="75">
        <v>0</v>
      </c>
      <c r="Z9" s="33">
        <v>0</v>
      </c>
      <c r="AA9" s="34">
        <v>70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21"/>
      <c r="AI9" s="22"/>
      <c r="AK9" s="87">
        <f t="shared" si="2"/>
        <v>1.125</v>
      </c>
      <c r="AL9" s="87">
        <f t="shared" si="0"/>
        <v>1.5</v>
      </c>
      <c r="AM9" s="87">
        <f t="shared" si="0"/>
        <v>1.0416666666666667</v>
      </c>
      <c r="AN9" s="87">
        <f t="shared" si="0"/>
        <v>0.7142857142857143</v>
      </c>
      <c r="AO9" s="87">
        <f t="shared" si="0"/>
        <v>0</v>
      </c>
      <c r="AP9" s="87"/>
      <c r="AQ9" s="87"/>
      <c r="AR9" s="87"/>
      <c r="AS9" s="87">
        <f t="shared" si="0"/>
        <v>0.4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19</v>
      </c>
      <c r="T10" s="31">
        <v>13</v>
      </c>
      <c r="U10" s="31">
        <v>170</v>
      </c>
      <c r="V10" s="32">
        <v>3</v>
      </c>
      <c r="W10" s="32">
        <v>0</v>
      </c>
      <c r="X10" s="32">
        <v>35</v>
      </c>
      <c r="Y10" s="75">
        <v>0</v>
      </c>
      <c r="Z10" s="33">
        <v>0</v>
      </c>
      <c r="AA10" s="34">
        <v>49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21"/>
      <c r="AI10" s="22"/>
      <c r="AK10" s="87">
        <f t="shared" si="2"/>
        <v>0.47499999999999998</v>
      </c>
      <c r="AL10" s="87">
        <f t="shared" si="0"/>
        <v>0.65</v>
      </c>
      <c r="AM10" s="87">
        <f t="shared" si="0"/>
        <v>1.4166666666666667</v>
      </c>
      <c r="AN10" s="87">
        <f t="shared" si="0"/>
        <v>0.42857142857142855</v>
      </c>
      <c r="AO10" s="87">
        <f t="shared" si="0"/>
        <v>0</v>
      </c>
      <c r="AP10" s="87"/>
      <c r="AQ10" s="87"/>
      <c r="AR10" s="87"/>
      <c r="AS10" s="87">
        <f t="shared" si="0"/>
        <v>0.28000000000000003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36</v>
      </c>
      <c r="T11" s="31">
        <v>21</v>
      </c>
      <c r="U11" s="31">
        <v>110</v>
      </c>
      <c r="V11" s="32">
        <v>4</v>
      </c>
      <c r="W11" s="32">
        <v>0</v>
      </c>
      <c r="X11" s="32">
        <v>30</v>
      </c>
      <c r="Y11" s="75">
        <v>0</v>
      </c>
      <c r="Z11" s="33">
        <v>0</v>
      </c>
      <c r="AA11" s="34">
        <v>14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7">
        <f t="shared" si="2"/>
        <v>0.9</v>
      </c>
      <c r="AL11" s="87">
        <f t="shared" si="0"/>
        <v>1.05</v>
      </c>
      <c r="AM11" s="87">
        <f t="shared" si="0"/>
        <v>0.91666666666666663</v>
      </c>
      <c r="AN11" s="87">
        <f t="shared" si="0"/>
        <v>0.5714285714285714</v>
      </c>
      <c r="AO11" s="87">
        <f t="shared" si="0"/>
        <v>0</v>
      </c>
      <c r="AP11" s="87"/>
      <c r="AQ11" s="87"/>
      <c r="AR11" s="87"/>
      <c r="AS11" s="87">
        <f t="shared" si="0"/>
        <v>0.08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10</v>
      </c>
      <c r="T12" s="31">
        <v>5</v>
      </c>
      <c r="U12" s="31">
        <v>60</v>
      </c>
      <c r="V12" s="32">
        <v>0</v>
      </c>
      <c r="W12" s="32">
        <v>0</v>
      </c>
      <c r="X12" s="32">
        <v>15</v>
      </c>
      <c r="Y12" s="75">
        <v>3</v>
      </c>
      <c r="Z12" s="33">
        <v>0</v>
      </c>
      <c r="AA12" s="34">
        <v>12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21"/>
      <c r="AI12" s="22"/>
      <c r="AK12" s="87">
        <f t="shared" si="2"/>
        <v>0.25</v>
      </c>
      <c r="AL12" s="87">
        <f t="shared" si="0"/>
        <v>0.25</v>
      </c>
      <c r="AM12" s="87">
        <f t="shared" si="0"/>
        <v>0.5</v>
      </c>
      <c r="AN12" s="87">
        <f t="shared" si="0"/>
        <v>0</v>
      </c>
      <c r="AO12" s="87">
        <f t="shared" si="0"/>
        <v>0</v>
      </c>
      <c r="AP12" s="87"/>
      <c r="AQ12" s="87"/>
      <c r="AR12" s="87"/>
      <c r="AS12" s="87">
        <f t="shared" si="0"/>
        <v>6.8571428571428575E-2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50</v>
      </c>
      <c r="T13" s="31">
        <v>20</v>
      </c>
      <c r="U13" s="31">
        <v>120</v>
      </c>
      <c r="V13" s="32">
        <v>2</v>
      </c>
      <c r="W13" s="32">
        <v>0</v>
      </c>
      <c r="X13" s="32">
        <v>66</v>
      </c>
      <c r="Y13" s="75">
        <v>3</v>
      </c>
      <c r="Z13" s="33">
        <v>0</v>
      </c>
      <c r="AA13" s="34">
        <v>36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7">
        <f t="shared" si="2"/>
        <v>1.25</v>
      </c>
      <c r="AL13" s="87">
        <f t="shared" si="0"/>
        <v>1</v>
      </c>
      <c r="AM13" s="87">
        <f t="shared" si="0"/>
        <v>1</v>
      </c>
      <c r="AN13" s="87">
        <f t="shared" si="0"/>
        <v>0.2857142857142857</v>
      </c>
      <c r="AO13" s="87">
        <f t="shared" si="0"/>
        <v>0</v>
      </c>
      <c r="AP13" s="87"/>
      <c r="AQ13" s="87"/>
      <c r="AR13" s="87"/>
      <c r="AS13" s="87">
        <f t="shared" si="0"/>
        <v>0.20571428571428571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60</v>
      </c>
      <c r="T14" s="31">
        <v>50</v>
      </c>
      <c r="U14" s="31">
        <v>590</v>
      </c>
      <c r="V14" s="32">
        <v>0</v>
      </c>
      <c r="W14" s="32">
        <v>0</v>
      </c>
      <c r="X14" s="32">
        <v>260</v>
      </c>
      <c r="Y14" s="75">
        <v>0</v>
      </c>
      <c r="Z14" s="33">
        <v>0</v>
      </c>
      <c r="AA14" s="34">
        <v>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7">
        <f t="shared" si="2"/>
        <v>1.5</v>
      </c>
      <c r="AL14" s="87">
        <f t="shared" si="0"/>
        <v>2.5</v>
      </c>
      <c r="AM14" s="87">
        <f t="shared" si="0"/>
        <v>4.916666666666667</v>
      </c>
      <c r="AN14" s="87">
        <f t="shared" si="0"/>
        <v>0</v>
      </c>
      <c r="AO14" s="87">
        <f t="shared" si="0"/>
        <v>0</v>
      </c>
      <c r="AP14" s="87"/>
      <c r="AQ14" s="87"/>
      <c r="AR14" s="87"/>
      <c r="AS14" s="87">
        <f t="shared" si="0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20</v>
      </c>
      <c r="T15" s="31">
        <v>15</v>
      </c>
      <c r="U15" s="31">
        <v>22</v>
      </c>
      <c r="V15" s="32">
        <v>2</v>
      </c>
      <c r="W15" s="32">
        <v>0</v>
      </c>
      <c r="X15" s="32">
        <v>27</v>
      </c>
      <c r="Y15" s="75">
        <v>0</v>
      </c>
      <c r="Z15" s="33">
        <v>0</v>
      </c>
      <c r="AA15" s="34">
        <v>92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21"/>
      <c r="AI15" s="22"/>
      <c r="AK15" s="87">
        <f t="shared" si="2"/>
        <v>0.5</v>
      </c>
      <c r="AL15" s="87">
        <f t="shared" si="0"/>
        <v>0.75</v>
      </c>
      <c r="AM15" s="87">
        <f t="shared" si="0"/>
        <v>0.18333333333333332</v>
      </c>
      <c r="AN15" s="87">
        <f t="shared" si="0"/>
        <v>0.2857142857142857</v>
      </c>
      <c r="AO15" s="87">
        <f t="shared" si="0"/>
        <v>0</v>
      </c>
      <c r="AP15" s="87"/>
      <c r="AQ15" s="87"/>
      <c r="AR15" s="87"/>
      <c r="AS15" s="87">
        <f t="shared" si="0"/>
        <v>0.52571428571428569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45</v>
      </c>
      <c r="T16" s="31">
        <v>25</v>
      </c>
      <c r="U16" s="31">
        <v>40</v>
      </c>
      <c r="V16" s="32">
        <v>5</v>
      </c>
      <c r="W16" s="32">
        <v>0</v>
      </c>
      <c r="X16" s="32">
        <v>10</v>
      </c>
      <c r="Y16" s="75">
        <v>0</v>
      </c>
      <c r="Z16" s="33">
        <v>0</v>
      </c>
      <c r="AA16" s="34">
        <v>15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21"/>
      <c r="AI16" s="22"/>
      <c r="AK16" s="87">
        <f t="shared" si="2"/>
        <v>1.125</v>
      </c>
      <c r="AL16" s="87">
        <f t="shared" si="0"/>
        <v>1.25</v>
      </c>
      <c r="AM16" s="87">
        <f t="shared" si="0"/>
        <v>0.33333333333333331</v>
      </c>
      <c r="AN16" s="87">
        <f t="shared" si="0"/>
        <v>0.7142857142857143</v>
      </c>
      <c r="AO16" s="87">
        <f t="shared" si="0"/>
        <v>0</v>
      </c>
      <c r="AP16" s="87"/>
      <c r="AQ16" s="87"/>
      <c r="AR16" s="87"/>
      <c r="AS16" s="87">
        <f t="shared" si="0"/>
        <v>8.5714285714285715E-2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21</v>
      </c>
      <c r="T17" s="31">
        <v>10</v>
      </c>
      <c r="U17" s="31">
        <v>0</v>
      </c>
      <c r="V17" s="32">
        <v>0</v>
      </c>
      <c r="W17" s="32">
        <v>0</v>
      </c>
      <c r="X17" s="32">
        <v>4</v>
      </c>
      <c r="Y17" s="75">
        <v>12</v>
      </c>
      <c r="Z17" s="33">
        <v>0</v>
      </c>
      <c r="AA17" s="34">
        <v>10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7">
        <f t="shared" si="2"/>
        <v>0.52500000000000002</v>
      </c>
      <c r="AL17" s="87">
        <f t="shared" si="0"/>
        <v>0.5</v>
      </c>
      <c r="AM17" s="87">
        <f t="shared" si="0"/>
        <v>0</v>
      </c>
      <c r="AN17" s="87">
        <f t="shared" si="0"/>
        <v>0</v>
      </c>
      <c r="AO17" s="87">
        <f t="shared" si="0"/>
        <v>0</v>
      </c>
      <c r="AP17" s="87"/>
      <c r="AQ17" s="87"/>
      <c r="AR17" s="87"/>
      <c r="AS17" s="87">
        <f t="shared" si="0"/>
        <v>5.7142857142857141E-2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38</v>
      </c>
      <c r="T18" s="31">
        <v>25</v>
      </c>
      <c r="U18" s="31">
        <v>123</v>
      </c>
      <c r="V18" s="32">
        <v>0</v>
      </c>
      <c r="W18" s="32">
        <v>0</v>
      </c>
      <c r="X18" s="32">
        <v>0</v>
      </c>
      <c r="Y18" s="75">
        <v>0</v>
      </c>
      <c r="Z18" s="33">
        <v>0</v>
      </c>
      <c r="AA18" s="34">
        <v>24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7">
        <f t="shared" si="2"/>
        <v>0.95</v>
      </c>
      <c r="AL18" s="87">
        <f t="shared" si="0"/>
        <v>1.25</v>
      </c>
      <c r="AM18" s="87">
        <f t="shared" si="0"/>
        <v>1.0249999999999999</v>
      </c>
      <c r="AN18" s="87">
        <f t="shared" si="0"/>
        <v>0</v>
      </c>
      <c r="AO18" s="87">
        <f t="shared" si="0"/>
        <v>0</v>
      </c>
      <c r="AP18" s="87"/>
      <c r="AQ18" s="87"/>
      <c r="AR18" s="87"/>
      <c r="AS18" s="87">
        <f t="shared" si="0"/>
        <v>0.13714285714285715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25</v>
      </c>
      <c r="T19" s="31">
        <v>10</v>
      </c>
      <c r="U19" s="31">
        <v>25</v>
      </c>
      <c r="V19" s="32">
        <v>0</v>
      </c>
      <c r="W19" s="32">
        <v>0</v>
      </c>
      <c r="X19" s="32">
        <v>16</v>
      </c>
      <c r="Y19" s="75">
        <v>0</v>
      </c>
      <c r="Z19" s="33">
        <v>0</v>
      </c>
      <c r="AA19" s="34">
        <v>10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21"/>
      <c r="AI19" s="22"/>
      <c r="AK19" s="87">
        <f t="shared" si="2"/>
        <v>0.625</v>
      </c>
      <c r="AL19" s="87">
        <f t="shared" si="0"/>
        <v>0.5</v>
      </c>
      <c r="AM19" s="87">
        <f t="shared" si="0"/>
        <v>0.20833333333333334</v>
      </c>
      <c r="AN19" s="87">
        <f t="shared" si="0"/>
        <v>0</v>
      </c>
      <c r="AO19" s="87">
        <f t="shared" si="0"/>
        <v>0</v>
      </c>
      <c r="AP19" s="87"/>
      <c r="AQ19" s="87"/>
      <c r="AR19" s="87"/>
      <c r="AS19" s="87">
        <f t="shared" si="0"/>
        <v>5.7142857142857141E-2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38</v>
      </c>
      <c r="T20" s="31">
        <v>28</v>
      </c>
      <c r="U20" s="31">
        <v>130</v>
      </c>
      <c r="V20" s="32">
        <v>0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7">
        <f t="shared" si="2"/>
        <v>0.95</v>
      </c>
      <c r="AL20" s="87">
        <f t="shared" si="0"/>
        <v>1.4</v>
      </c>
      <c r="AM20" s="87">
        <f t="shared" si="0"/>
        <v>1.0833333333333333</v>
      </c>
      <c r="AN20" s="87">
        <f t="shared" si="0"/>
        <v>0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20</v>
      </c>
      <c r="T21" s="31">
        <v>9</v>
      </c>
      <c r="U21" s="31">
        <v>121</v>
      </c>
      <c r="V21" s="32">
        <v>2</v>
      </c>
      <c r="W21" s="32">
        <v>0</v>
      </c>
      <c r="X21" s="32">
        <v>50</v>
      </c>
      <c r="Y21" s="75">
        <v>8</v>
      </c>
      <c r="Z21" s="33">
        <v>0</v>
      </c>
      <c r="AA21" s="34">
        <v>70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21"/>
      <c r="AI21" s="22"/>
      <c r="AK21" s="87">
        <f t="shared" si="2"/>
        <v>0.5</v>
      </c>
      <c r="AL21" s="87">
        <f t="shared" si="2"/>
        <v>0.45</v>
      </c>
      <c r="AM21" s="87">
        <f t="shared" si="2"/>
        <v>1.0083333333333333</v>
      </c>
      <c r="AN21" s="87">
        <f t="shared" si="2"/>
        <v>0.2857142857142857</v>
      </c>
      <c r="AO21" s="87">
        <f t="shared" si="2"/>
        <v>0</v>
      </c>
      <c r="AP21" s="87"/>
      <c r="AQ21" s="87"/>
      <c r="AR21" s="87"/>
      <c r="AS21" s="87">
        <f t="shared" ref="AS21:AS55" si="3">AA21/L21</f>
        <v>0.4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5"/>
      <c r="Z22" s="33"/>
      <c r="AA22" s="34"/>
      <c r="AB22" s="34"/>
      <c r="AC22" s="34"/>
      <c r="AD22" s="35"/>
      <c r="AE22" s="34"/>
      <c r="AF22" s="34"/>
      <c r="AG22" s="34"/>
      <c r="AH22" s="21" t="s">
        <v>114</v>
      </c>
      <c r="AI22" s="22"/>
      <c r="AK22" s="87">
        <f t="shared" si="2"/>
        <v>0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30</v>
      </c>
      <c r="T23" s="31">
        <v>12</v>
      </c>
      <c r="U23" s="31">
        <v>75</v>
      </c>
      <c r="V23" s="32">
        <v>1</v>
      </c>
      <c r="W23" s="32">
        <v>0</v>
      </c>
      <c r="X23" s="32">
        <v>4</v>
      </c>
      <c r="Y23" s="75">
        <v>4</v>
      </c>
      <c r="Z23" s="33">
        <v>0</v>
      </c>
      <c r="AA23" s="34">
        <v>18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/>
      <c r="AI23" s="22"/>
      <c r="AK23" s="87">
        <f t="shared" si="2"/>
        <v>0.75</v>
      </c>
      <c r="AL23" s="87">
        <f t="shared" si="2"/>
        <v>0.6</v>
      </c>
      <c r="AM23" s="87">
        <f t="shared" si="2"/>
        <v>0.625</v>
      </c>
      <c r="AN23" s="87">
        <f t="shared" si="2"/>
        <v>0.14285714285714285</v>
      </c>
      <c r="AO23" s="87">
        <f t="shared" si="2"/>
        <v>0</v>
      </c>
      <c r="AP23" s="87"/>
      <c r="AQ23" s="87"/>
      <c r="AR23" s="87"/>
      <c r="AS23" s="87">
        <f t="shared" si="3"/>
        <v>0.10285714285714286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39</v>
      </c>
      <c r="T24" s="31">
        <v>10</v>
      </c>
      <c r="U24" s="31">
        <v>67</v>
      </c>
      <c r="V24" s="32">
        <v>0</v>
      </c>
      <c r="W24" s="32">
        <v>0</v>
      </c>
      <c r="X24" s="32">
        <v>3</v>
      </c>
      <c r="Y24" s="75">
        <v>7</v>
      </c>
      <c r="Z24" s="33">
        <v>0</v>
      </c>
      <c r="AA24" s="34">
        <v>19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/>
      <c r="AI24" s="22"/>
      <c r="AK24" s="87">
        <f t="shared" si="2"/>
        <v>0.97499999999999998</v>
      </c>
      <c r="AL24" s="87">
        <f t="shared" si="2"/>
        <v>0.5</v>
      </c>
      <c r="AM24" s="87">
        <f t="shared" si="2"/>
        <v>0.55833333333333335</v>
      </c>
      <c r="AN24" s="87">
        <f t="shared" si="2"/>
        <v>0</v>
      </c>
      <c r="AO24" s="87">
        <f t="shared" si="2"/>
        <v>0</v>
      </c>
      <c r="AP24" s="87"/>
      <c r="AQ24" s="87"/>
      <c r="AR24" s="87"/>
      <c r="AS24" s="87">
        <f t="shared" si="3"/>
        <v>0.10857142857142857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>
        <v>39</v>
      </c>
      <c r="T25" s="31">
        <v>26</v>
      </c>
      <c r="U25" s="31">
        <v>95</v>
      </c>
      <c r="V25" s="32">
        <v>3</v>
      </c>
      <c r="W25" s="32">
        <v>0</v>
      </c>
      <c r="X25" s="32">
        <v>50</v>
      </c>
      <c r="Y25" s="75">
        <v>10</v>
      </c>
      <c r="Z25" s="33">
        <v>0</v>
      </c>
      <c r="AA25" s="34">
        <v>50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21"/>
      <c r="AI25" s="22"/>
      <c r="AK25" s="87">
        <f t="shared" si="2"/>
        <v>0.97499999999999998</v>
      </c>
      <c r="AL25" s="87">
        <f t="shared" si="2"/>
        <v>1.3</v>
      </c>
      <c r="AM25" s="87">
        <f t="shared" si="2"/>
        <v>0.79166666666666663</v>
      </c>
      <c r="AN25" s="87">
        <f t="shared" si="2"/>
        <v>0.42857142857142855</v>
      </c>
      <c r="AO25" s="87">
        <f t="shared" si="2"/>
        <v>0</v>
      </c>
      <c r="AP25" s="87"/>
      <c r="AQ25" s="87"/>
      <c r="AR25" s="87"/>
      <c r="AS25" s="87">
        <f t="shared" si="3"/>
        <v>0.2857142857142857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>
        <v>30</v>
      </c>
      <c r="T26" s="31">
        <v>25</v>
      </c>
      <c r="U26" s="31">
        <v>55</v>
      </c>
      <c r="V26" s="32">
        <v>3</v>
      </c>
      <c r="W26" s="32">
        <v>0</v>
      </c>
      <c r="X26" s="32">
        <v>56</v>
      </c>
      <c r="Y26" s="75">
        <v>0</v>
      </c>
      <c r="Z26" s="33">
        <v>0</v>
      </c>
      <c r="AA26" s="34">
        <v>90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21"/>
      <c r="AI26" s="22"/>
      <c r="AK26" s="87">
        <f t="shared" si="2"/>
        <v>0.75</v>
      </c>
      <c r="AL26" s="87">
        <f t="shared" si="2"/>
        <v>1.25</v>
      </c>
      <c r="AM26" s="87">
        <f t="shared" si="2"/>
        <v>0.45833333333333331</v>
      </c>
      <c r="AN26" s="87">
        <f t="shared" si="2"/>
        <v>0.42857142857142855</v>
      </c>
      <c r="AO26" s="87">
        <f t="shared" si="2"/>
        <v>0</v>
      </c>
      <c r="AP26" s="87"/>
      <c r="AQ26" s="87"/>
      <c r="AR26" s="87"/>
      <c r="AS26" s="87">
        <f t="shared" si="3"/>
        <v>0.51428571428571423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>
        <v>30</v>
      </c>
      <c r="T27" s="31">
        <v>23</v>
      </c>
      <c r="U27" s="31">
        <v>205</v>
      </c>
      <c r="V27" s="32">
        <v>8</v>
      </c>
      <c r="W27" s="32">
        <v>0</v>
      </c>
      <c r="X27" s="32">
        <v>155</v>
      </c>
      <c r="Y27" s="75">
        <v>32</v>
      </c>
      <c r="Z27" s="33">
        <v>0</v>
      </c>
      <c r="AA27" s="34">
        <v>47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21"/>
      <c r="AI27" s="22"/>
      <c r="AK27" s="87">
        <f t="shared" si="2"/>
        <v>0.75</v>
      </c>
      <c r="AL27" s="87">
        <f t="shared" si="2"/>
        <v>1.1499999999999999</v>
      </c>
      <c r="AM27" s="87">
        <f t="shared" si="2"/>
        <v>1.7083333333333333</v>
      </c>
      <c r="AN27" s="87">
        <f t="shared" si="2"/>
        <v>1.1428571428571428</v>
      </c>
      <c r="AO27" s="87">
        <f t="shared" si="2"/>
        <v>0</v>
      </c>
      <c r="AP27" s="87"/>
      <c r="AQ27" s="87"/>
      <c r="AR27" s="87"/>
      <c r="AS27" s="87">
        <f t="shared" si="3"/>
        <v>0.26857142857142857</v>
      </c>
      <c r="AT27" s="87"/>
      <c r="AU27" s="87"/>
      <c r="AV27" s="87"/>
      <c r="AW27" s="87"/>
      <c r="AX27" s="87"/>
      <c r="AY27" s="87"/>
    </row>
    <row r="28" spans="2:51" ht="17.399999999999999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38</v>
      </c>
      <c r="T28" s="31">
        <v>20</v>
      </c>
      <c r="U28" s="31">
        <v>310</v>
      </c>
      <c r="V28" s="32">
        <v>7</v>
      </c>
      <c r="W28" s="32">
        <v>0</v>
      </c>
      <c r="X28" s="32">
        <v>0</v>
      </c>
      <c r="Y28" s="75">
        <v>7</v>
      </c>
      <c r="Z28" s="33">
        <v>0</v>
      </c>
      <c r="AA28" s="34">
        <v>30</v>
      </c>
      <c r="AB28" s="34">
        <v>0</v>
      </c>
      <c r="AC28" s="34">
        <v>0</v>
      </c>
      <c r="AD28" s="35">
        <v>0</v>
      </c>
      <c r="AE28" s="34">
        <v>0</v>
      </c>
      <c r="AF28" s="34">
        <v>0</v>
      </c>
      <c r="AG28" s="34">
        <v>0</v>
      </c>
      <c r="AH28" s="21"/>
      <c r="AI28" s="22"/>
      <c r="AK28" s="87">
        <f t="shared" si="2"/>
        <v>0.95</v>
      </c>
      <c r="AL28" s="87">
        <f t="shared" si="2"/>
        <v>1</v>
      </c>
      <c r="AM28" s="87">
        <f t="shared" si="2"/>
        <v>2.5833333333333335</v>
      </c>
      <c r="AN28" s="87">
        <f t="shared" si="2"/>
        <v>1</v>
      </c>
      <c r="AO28" s="87">
        <f t="shared" si="2"/>
        <v>0</v>
      </c>
      <c r="AP28" s="87"/>
      <c r="AQ28" s="87"/>
      <c r="AR28" s="87"/>
      <c r="AS28" s="87">
        <f t="shared" si="3"/>
        <v>0.17142857142857143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>
        <v>30</v>
      </c>
      <c r="T29" s="31">
        <v>12</v>
      </c>
      <c r="U29" s="31">
        <v>40</v>
      </c>
      <c r="V29" s="32">
        <v>3</v>
      </c>
      <c r="W29" s="32">
        <v>0</v>
      </c>
      <c r="X29" s="32">
        <v>20</v>
      </c>
      <c r="Y29" s="75">
        <v>30</v>
      </c>
      <c r="Z29" s="33">
        <v>0</v>
      </c>
      <c r="AA29" s="34">
        <v>20</v>
      </c>
      <c r="AB29" s="34">
        <v>0</v>
      </c>
      <c r="AC29" s="34">
        <v>0</v>
      </c>
      <c r="AD29" s="35">
        <v>0</v>
      </c>
      <c r="AE29" s="34">
        <v>0</v>
      </c>
      <c r="AF29" s="34">
        <v>0</v>
      </c>
      <c r="AG29" s="34">
        <v>0</v>
      </c>
      <c r="AH29" s="21"/>
      <c r="AI29" s="22"/>
      <c r="AK29" s="87">
        <f t="shared" si="2"/>
        <v>0.75</v>
      </c>
      <c r="AL29" s="87">
        <f t="shared" si="2"/>
        <v>0.6</v>
      </c>
      <c r="AM29" s="87">
        <f t="shared" si="2"/>
        <v>0.33333333333333331</v>
      </c>
      <c r="AN29" s="87">
        <f t="shared" si="2"/>
        <v>0.42857142857142855</v>
      </c>
      <c r="AO29" s="87">
        <f t="shared" si="2"/>
        <v>0</v>
      </c>
      <c r="AP29" s="87"/>
      <c r="AQ29" s="87"/>
      <c r="AR29" s="87"/>
      <c r="AS29" s="87">
        <f t="shared" si="3"/>
        <v>0.11428571428571428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/>
      <c r="T30" s="31"/>
      <c r="U30" s="31"/>
      <c r="V30" s="32"/>
      <c r="W30" s="32"/>
      <c r="X30" s="32"/>
      <c r="Y30" s="75"/>
      <c r="Z30" s="33"/>
      <c r="AA30" s="34"/>
      <c r="AB30" s="34"/>
      <c r="AC30" s="34"/>
      <c r="AD30" s="35"/>
      <c r="AE30" s="34"/>
      <c r="AF30" s="34"/>
      <c r="AG30" s="34"/>
      <c r="AH30" s="21" t="s">
        <v>114</v>
      </c>
      <c r="AI30" s="22"/>
      <c r="AK30" s="87">
        <f t="shared" si="2"/>
        <v>0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>
        <v>49</v>
      </c>
      <c r="T31" s="31">
        <v>36</v>
      </c>
      <c r="U31" s="31">
        <v>218</v>
      </c>
      <c r="V31" s="32">
        <v>3</v>
      </c>
      <c r="W31" s="32">
        <v>0</v>
      </c>
      <c r="X31" s="32">
        <v>25</v>
      </c>
      <c r="Y31" s="75">
        <v>9</v>
      </c>
      <c r="Z31" s="33">
        <v>0</v>
      </c>
      <c r="AA31" s="34">
        <v>210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21"/>
      <c r="AI31" s="22"/>
      <c r="AK31" s="87">
        <f t="shared" si="2"/>
        <v>1.2250000000000001</v>
      </c>
      <c r="AL31" s="87">
        <f t="shared" si="2"/>
        <v>1.8</v>
      </c>
      <c r="AM31" s="87">
        <f t="shared" si="2"/>
        <v>1.8166666666666667</v>
      </c>
      <c r="AN31" s="87">
        <f t="shared" si="2"/>
        <v>0.42857142857142855</v>
      </c>
      <c r="AO31" s="87">
        <f t="shared" si="2"/>
        <v>0</v>
      </c>
      <c r="AP31" s="87"/>
      <c r="AQ31" s="87"/>
      <c r="AR31" s="87"/>
      <c r="AS31" s="87">
        <f t="shared" si="3"/>
        <v>1.2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>
        <v>20</v>
      </c>
      <c r="T32" s="31">
        <v>5</v>
      </c>
      <c r="U32" s="31">
        <v>0</v>
      </c>
      <c r="V32" s="32">
        <v>4</v>
      </c>
      <c r="W32" s="32">
        <v>0</v>
      </c>
      <c r="X32" s="32">
        <v>0</v>
      </c>
      <c r="Y32" s="75">
        <v>0</v>
      </c>
      <c r="Z32" s="33">
        <v>0</v>
      </c>
      <c r="AA32" s="34">
        <v>17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21" t="s">
        <v>131</v>
      </c>
      <c r="AI32" s="22"/>
      <c r="AK32" s="87">
        <f t="shared" si="2"/>
        <v>0.5</v>
      </c>
      <c r="AL32" s="87">
        <f t="shared" si="2"/>
        <v>0.25</v>
      </c>
      <c r="AM32" s="87">
        <f t="shared" si="2"/>
        <v>0</v>
      </c>
      <c r="AN32" s="87">
        <f t="shared" si="2"/>
        <v>0.5714285714285714</v>
      </c>
      <c r="AO32" s="87">
        <f t="shared" si="2"/>
        <v>0</v>
      </c>
      <c r="AP32" s="87"/>
      <c r="AQ32" s="87"/>
      <c r="AR32" s="87"/>
      <c r="AS32" s="87">
        <f t="shared" si="3"/>
        <v>9.7142857142857142E-2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>
        <v>40</v>
      </c>
      <c r="T33" s="31">
        <v>10</v>
      </c>
      <c r="U33" s="31">
        <v>37</v>
      </c>
      <c r="V33" s="32">
        <v>0</v>
      </c>
      <c r="W33" s="32">
        <v>0</v>
      </c>
      <c r="X33" s="32">
        <v>0</v>
      </c>
      <c r="Y33" s="32">
        <v>0</v>
      </c>
      <c r="Z33" s="32">
        <v>0</v>
      </c>
      <c r="AA33" s="32">
        <v>0</v>
      </c>
      <c r="AB33" s="32">
        <v>0</v>
      </c>
      <c r="AC33" s="32">
        <v>0</v>
      </c>
      <c r="AD33" s="32">
        <v>0</v>
      </c>
      <c r="AE33" s="32">
        <v>0</v>
      </c>
      <c r="AF33" s="32">
        <v>0</v>
      </c>
      <c r="AG33" s="32">
        <v>0</v>
      </c>
      <c r="AH33" s="21"/>
      <c r="AI33" s="22"/>
      <c r="AK33" s="87">
        <f t="shared" si="2"/>
        <v>1</v>
      </c>
      <c r="AL33" s="87">
        <f t="shared" si="2"/>
        <v>0.5</v>
      </c>
      <c r="AM33" s="87">
        <f t="shared" si="2"/>
        <v>0.30833333333333335</v>
      </c>
      <c r="AN33" s="87">
        <f t="shared" si="2"/>
        <v>0</v>
      </c>
      <c r="AO33" s="87">
        <f t="shared" si="2"/>
        <v>0</v>
      </c>
      <c r="AP33" s="87"/>
      <c r="AQ33" s="87"/>
      <c r="AR33" s="87"/>
      <c r="AS33" s="87">
        <f t="shared" si="3"/>
        <v>0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20</v>
      </c>
      <c r="T34" s="31">
        <v>10</v>
      </c>
      <c r="U34" s="31">
        <v>95</v>
      </c>
      <c r="V34" s="32">
        <v>0</v>
      </c>
      <c r="W34" s="32">
        <v>0</v>
      </c>
      <c r="X34" s="32">
        <v>50</v>
      </c>
      <c r="Y34" s="75">
        <v>0</v>
      </c>
      <c r="Z34" s="33">
        <v>0</v>
      </c>
      <c r="AA34" s="34">
        <v>28</v>
      </c>
      <c r="AB34" s="34">
        <v>0</v>
      </c>
      <c r="AC34" s="34">
        <v>0</v>
      </c>
      <c r="AD34" s="35">
        <v>0</v>
      </c>
      <c r="AE34" s="34">
        <v>0</v>
      </c>
      <c r="AF34" s="34">
        <v>0</v>
      </c>
      <c r="AG34" s="34">
        <v>0</v>
      </c>
      <c r="AH34" s="21"/>
      <c r="AI34" s="22"/>
      <c r="AK34" s="87">
        <f t="shared" si="2"/>
        <v>0.5</v>
      </c>
      <c r="AL34" s="87">
        <f t="shared" si="2"/>
        <v>0.5</v>
      </c>
      <c r="AM34" s="87">
        <f t="shared" si="2"/>
        <v>0.79166666666666663</v>
      </c>
      <c r="AN34" s="87">
        <f t="shared" si="2"/>
        <v>0</v>
      </c>
      <c r="AO34" s="87">
        <f t="shared" si="2"/>
        <v>0</v>
      </c>
      <c r="AP34" s="87"/>
      <c r="AQ34" s="87"/>
      <c r="AR34" s="87"/>
      <c r="AS34" s="87">
        <f t="shared" si="3"/>
        <v>0.16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>
        <v>25</v>
      </c>
      <c r="T35" s="31">
        <v>4</v>
      </c>
      <c r="U35" s="31">
        <v>40</v>
      </c>
      <c r="V35" s="32">
        <v>0</v>
      </c>
      <c r="W35" s="32">
        <v>0</v>
      </c>
      <c r="X35" s="32">
        <v>0</v>
      </c>
      <c r="Y35" s="75">
        <v>0</v>
      </c>
      <c r="Z35" s="33">
        <v>0</v>
      </c>
      <c r="AA35" s="34">
        <v>0</v>
      </c>
      <c r="AB35" s="34">
        <v>0</v>
      </c>
      <c r="AC35" s="34">
        <v>0</v>
      </c>
      <c r="AD35" s="35">
        <v>0</v>
      </c>
      <c r="AE35" s="34">
        <v>0</v>
      </c>
      <c r="AF35" s="34">
        <v>0</v>
      </c>
      <c r="AG35" s="34">
        <v>0</v>
      </c>
      <c r="AH35" s="21"/>
      <c r="AI35" s="22"/>
      <c r="AK35" s="87">
        <f t="shared" si="2"/>
        <v>0.625</v>
      </c>
      <c r="AL35" s="87">
        <f t="shared" si="2"/>
        <v>0.2</v>
      </c>
      <c r="AM35" s="87">
        <f t="shared" si="2"/>
        <v>0.33333333333333331</v>
      </c>
      <c r="AN35" s="87">
        <f t="shared" si="2"/>
        <v>0</v>
      </c>
      <c r="AO35" s="87">
        <f t="shared" si="2"/>
        <v>0</v>
      </c>
      <c r="AP35" s="87"/>
      <c r="AQ35" s="87"/>
      <c r="AR35" s="87"/>
      <c r="AS35" s="87">
        <f t="shared" si="3"/>
        <v>0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>
        <v>27</v>
      </c>
      <c r="T36" s="31">
        <v>14</v>
      </c>
      <c r="U36" s="31">
        <v>220</v>
      </c>
      <c r="V36" s="32">
        <v>0</v>
      </c>
      <c r="W36" s="32">
        <v>0</v>
      </c>
      <c r="X36" s="32">
        <v>60</v>
      </c>
      <c r="Y36" s="75">
        <v>0</v>
      </c>
      <c r="Z36" s="33">
        <v>0</v>
      </c>
      <c r="AA36" s="34">
        <v>48</v>
      </c>
      <c r="AB36" s="34">
        <v>0</v>
      </c>
      <c r="AC36" s="34">
        <v>0</v>
      </c>
      <c r="AD36" s="35">
        <v>0</v>
      </c>
      <c r="AE36" s="34">
        <v>0</v>
      </c>
      <c r="AF36" s="34">
        <v>0</v>
      </c>
      <c r="AG36" s="34">
        <v>0</v>
      </c>
      <c r="AH36" s="21"/>
      <c r="AI36" s="22"/>
      <c r="AK36" s="87">
        <f t="shared" si="2"/>
        <v>0.67500000000000004</v>
      </c>
      <c r="AL36" s="87">
        <f t="shared" si="2"/>
        <v>0.7</v>
      </c>
      <c r="AM36" s="87">
        <f t="shared" si="2"/>
        <v>1.8333333333333333</v>
      </c>
      <c r="AN36" s="87">
        <f t="shared" si="2"/>
        <v>0</v>
      </c>
      <c r="AO36" s="87">
        <f t="shared" si="2"/>
        <v>0</v>
      </c>
      <c r="AP36" s="87"/>
      <c r="AQ36" s="87"/>
      <c r="AR36" s="87"/>
      <c r="AS36" s="87">
        <f t="shared" si="3"/>
        <v>0.2742857142857143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34</v>
      </c>
      <c r="T37" s="31">
        <v>21</v>
      </c>
      <c r="U37" s="31">
        <v>120</v>
      </c>
      <c r="V37" s="32">
        <v>2</v>
      </c>
      <c r="W37" s="32">
        <v>0</v>
      </c>
      <c r="X37" s="32">
        <v>120</v>
      </c>
      <c r="Y37" s="75">
        <v>6</v>
      </c>
      <c r="Z37" s="33">
        <v>0</v>
      </c>
      <c r="AA37" s="34">
        <v>120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0.85</v>
      </c>
      <c r="AL37" s="87">
        <f t="shared" si="2"/>
        <v>1.05</v>
      </c>
      <c r="AM37" s="87">
        <f t="shared" si="2"/>
        <v>1</v>
      </c>
      <c r="AN37" s="87">
        <f t="shared" si="2"/>
        <v>0.2857142857142857</v>
      </c>
      <c r="AO37" s="87">
        <f t="shared" si="2"/>
        <v>0</v>
      </c>
      <c r="AP37" s="87"/>
      <c r="AQ37" s="87"/>
      <c r="AR37" s="87"/>
      <c r="AS37" s="87">
        <f t="shared" si="3"/>
        <v>0.68571428571428572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32</v>
      </c>
      <c r="T38" s="31">
        <v>28</v>
      </c>
      <c r="U38" s="31">
        <v>50</v>
      </c>
      <c r="V38" s="32">
        <v>2</v>
      </c>
      <c r="W38" s="32">
        <v>0</v>
      </c>
      <c r="X38" s="32">
        <v>100</v>
      </c>
      <c r="Y38" s="75">
        <v>0</v>
      </c>
      <c r="Z38" s="33">
        <v>0</v>
      </c>
      <c r="AA38" s="34">
        <v>33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0.8</v>
      </c>
      <c r="AL38" s="87">
        <f t="shared" si="2"/>
        <v>1.4</v>
      </c>
      <c r="AM38" s="87">
        <f t="shared" si="2"/>
        <v>0.41666666666666669</v>
      </c>
      <c r="AN38" s="87">
        <f t="shared" si="2"/>
        <v>0.2857142857142857</v>
      </c>
      <c r="AO38" s="87">
        <f t="shared" si="2"/>
        <v>0</v>
      </c>
      <c r="AP38" s="87"/>
      <c r="AQ38" s="87"/>
      <c r="AR38" s="87"/>
      <c r="AS38" s="87">
        <f t="shared" si="3"/>
        <v>0.18857142857142858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26</v>
      </c>
      <c r="T39" s="31">
        <v>15</v>
      </c>
      <c r="U39" s="31">
        <v>145</v>
      </c>
      <c r="V39" s="32">
        <v>1</v>
      </c>
      <c r="W39" s="32">
        <v>0</v>
      </c>
      <c r="X39" s="32">
        <v>30</v>
      </c>
      <c r="Y39" s="75">
        <v>6</v>
      </c>
      <c r="Z39" s="33">
        <v>0</v>
      </c>
      <c r="AA39" s="34">
        <v>50</v>
      </c>
      <c r="AB39" s="34">
        <v>0</v>
      </c>
      <c r="AC39" s="34">
        <v>0</v>
      </c>
      <c r="AD39" s="35">
        <v>0</v>
      </c>
      <c r="AE39" s="34">
        <v>0</v>
      </c>
      <c r="AF39" s="34">
        <v>0</v>
      </c>
      <c r="AG39" s="34">
        <v>0</v>
      </c>
      <c r="AH39" s="21"/>
      <c r="AI39" s="22"/>
      <c r="AK39" s="87">
        <f t="shared" si="2"/>
        <v>0.65</v>
      </c>
      <c r="AL39" s="87">
        <f t="shared" si="2"/>
        <v>0.75</v>
      </c>
      <c r="AM39" s="87">
        <f t="shared" si="2"/>
        <v>1.2083333333333333</v>
      </c>
      <c r="AN39" s="87">
        <f t="shared" si="2"/>
        <v>0.14285714285714285</v>
      </c>
      <c r="AO39" s="87">
        <f t="shared" si="2"/>
        <v>0</v>
      </c>
      <c r="AP39" s="87"/>
      <c r="AQ39" s="87"/>
      <c r="AR39" s="87"/>
      <c r="AS39" s="87">
        <f t="shared" si="3"/>
        <v>0.2857142857142857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>
        <v>50</v>
      </c>
      <c r="T40" s="31">
        <v>39</v>
      </c>
      <c r="U40" s="31">
        <v>350</v>
      </c>
      <c r="V40" s="32">
        <v>8</v>
      </c>
      <c r="W40" s="32">
        <v>0</v>
      </c>
      <c r="X40" s="32">
        <v>7</v>
      </c>
      <c r="Y40" s="75">
        <v>0</v>
      </c>
      <c r="Z40" s="33">
        <v>0</v>
      </c>
      <c r="AA40" s="34">
        <v>102</v>
      </c>
      <c r="AB40" s="34">
        <v>0</v>
      </c>
      <c r="AC40" s="34">
        <v>0</v>
      </c>
      <c r="AD40" s="35">
        <v>0</v>
      </c>
      <c r="AE40" s="34">
        <v>0</v>
      </c>
      <c r="AF40" s="34">
        <v>0</v>
      </c>
      <c r="AG40" s="34">
        <v>0</v>
      </c>
      <c r="AH40" s="21"/>
      <c r="AI40" s="22"/>
      <c r="AK40" s="87">
        <f t="shared" si="2"/>
        <v>1.25</v>
      </c>
      <c r="AL40" s="87">
        <f t="shared" si="2"/>
        <v>1.95</v>
      </c>
      <c r="AM40" s="87">
        <f t="shared" si="2"/>
        <v>2.9166666666666665</v>
      </c>
      <c r="AN40" s="87">
        <f t="shared" si="2"/>
        <v>1.1428571428571428</v>
      </c>
      <c r="AO40" s="87">
        <f t="shared" si="2"/>
        <v>0</v>
      </c>
      <c r="AP40" s="87"/>
      <c r="AQ40" s="87"/>
      <c r="AR40" s="87"/>
      <c r="AS40" s="87">
        <f t="shared" si="3"/>
        <v>0.58285714285714285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28</v>
      </c>
      <c r="T41" s="31">
        <v>15</v>
      </c>
      <c r="U41" s="31">
        <v>0</v>
      </c>
      <c r="V41" s="32">
        <v>0</v>
      </c>
      <c r="W41" s="32">
        <v>0</v>
      </c>
      <c r="X41" s="32">
        <v>10</v>
      </c>
      <c r="Y41" s="75">
        <v>7</v>
      </c>
      <c r="Z41" s="33">
        <v>0</v>
      </c>
      <c r="AA41" s="34">
        <v>10</v>
      </c>
      <c r="AB41" s="34">
        <v>0</v>
      </c>
      <c r="AC41" s="34">
        <v>0</v>
      </c>
      <c r="AD41" s="35">
        <v>0</v>
      </c>
      <c r="AE41" s="34">
        <v>0</v>
      </c>
      <c r="AF41" s="34">
        <v>0</v>
      </c>
      <c r="AG41" s="34">
        <v>0</v>
      </c>
      <c r="AH41" s="21"/>
      <c r="AI41" s="22"/>
      <c r="AK41" s="87">
        <f t="shared" si="2"/>
        <v>0.7</v>
      </c>
      <c r="AL41" s="87">
        <f t="shared" si="2"/>
        <v>0.75</v>
      </c>
      <c r="AM41" s="87">
        <f t="shared" si="2"/>
        <v>0</v>
      </c>
      <c r="AN41" s="87">
        <f t="shared" si="2"/>
        <v>0</v>
      </c>
      <c r="AO41" s="87">
        <f t="shared" si="2"/>
        <v>0</v>
      </c>
      <c r="AP41" s="87"/>
      <c r="AQ41" s="87"/>
      <c r="AR41" s="87"/>
      <c r="AS41" s="87">
        <f t="shared" si="3"/>
        <v>5.7142857142857141E-2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>
        <v>20</v>
      </c>
      <c r="T42" s="31">
        <v>16</v>
      </c>
      <c r="U42" s="31">
        <v>43</v>
      </c>
      <c r="V42" s="32">
        <v>2</v>
      </c>
      <c r="W42" s="32">
        <v>0</v>
      </c>
      <c r="X42" s="32">
        <v>30</v>
      </c>
      <c r="Y42" s="75">
        <v>0</v>
      </c>
      <c r="Z42" s="33">
        <v>0</v>
      </c>
      <c r="AA42" s="34">
        <v>20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0</v>
      </c>
      <c r="AH42" s="21"/>
      <c r="AI42" s="22"/>
      <c r="AK42" s="87">
        <f t="shared" si="2"/>
        <v>0.5</v>
      </c>
      <c r="AL42" s="87">
        <f t="shared" si="2"/>
        <v>0.8</v>
      </c>
      <c r="AM42" s="87">
        <f t="shared" si="2"/>
        <v>0.35833333333333334</v>
      </c>
      <c r="AN42" s="87">
        <f t="shared" si="2"/>
        <v>0.2857142857142857</v>
      </c>
      <c r="AO42" s="87">
        <f t="shared" si="2"/>
        <v>0</v>
      </c>
      <c r="AP42" s="87"/>
      <c r="AQ42" s="87"/>
      <c r="AR42" s="87"/>
      <c r="AS42" s="87">
        <f t="shared" si="3"/>
        <v>0.11428571428571428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>
        <v>10</v>
      </c>
      <c r="T43" s="31">
        <v>6</v>
      </c>
      <c r="U43" s="31">
        <v>70</v>
      </c>
      <c r="V43" s="32">
        <v>2</v>
      </c>
      <c r="W43" s="32">
        <v>0</v>
      </c>
      <c r="X43" s="32">
        <v>0</v>
      </c>
      <c r="Y43" s="75">
        <v>0</v>
      </c>
      <c r="Z43" s="33">
        <v>0</v>
      </c>
      <c r="AA43" s="34">
        <v>14</v>
      </c>
      <c r="AB43" s="34">
        <v>0</v>
      </c>
      <c r="AC43" s="34">
        <v>0</v>
      </c>
      <c r="AD43" s="34">
        <v>0</v>
      </c>
      <c r="AE43" s="34">
        <v>0</v>
      </c>
      <c r="AF43" s="34">
        <v>0</v>
      </c>
      <c r="AG43" s="34">
        <v>0</v>
      </c>
      <c r="AH43" s="21"/>
      <c r="AI43" s="22"/>
      <c r="AK43" s="87">
        <f t="shared" si="2"/>
        <v>0.25</v>
      </c>
      <c r="AL43" s="87">
        <f t="shared" si="2"/>
        <v>0.3</v>
      </c>
      <c r="AM43" s="87">
        <f t="shared" si="2"/>
        <v>0.58333333333333337</v>
      </c>
      <c r="AN43" s="87">
        <f t="shared" si="2"/>
        <v>0.2857142857142857</v>
      </c>
      <c r="AO43" s="87">
        <f t="shared" si="2"/>
        <v>0</v>
      </c>
      <c r="AP43" s="87"/>
      <c r="AQ43" s="87"/>
      <c r="AR43" s="87"/>
      <c r="AS43" s="87">
        <f t="shared" si="3"/>
        <v>0.08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>
        <v>30</v>
      </c>
      <c r="T44" s="31">
        <v>19</v>
      </c>
      <c r="U44" s="31">
        <v>160</v>
      </c>
      <c r="V44" s="32">
        <v>5</v>
      </c>
      <c r="W44" s="32">
        <v>0</v>
      </c>
      <c r="X44" s="32">
        <v>0</v>
      </c>
      <c r="Y44" s="75">
        <v>0</v>
      </c>
      <c r="Z44" s="33">
        <v>0</v>
      </c>
      <c r="AA44" s="34">
        <v>30</v>
      </c>
      <c r="AB44" s="34">
        <v>0</v>
      </c>
      <c r="AC44" s="34">
        <v>0</v>
      </c>
      <c r="AD44" s="34">
        <v>0</v>
      </c>
      <c r="AE44" s="34">
        <v>0</v>
      </c>
      <c r="AF44" s="34">
        <v>0</v>
      </c>
      <c r="AG44" s="34">
        <v>0</v>
      </c>
      <c r="AH44" s="21"/>
      <c r="AI44" s="22"/>
      <c r="AK44" s="87">
        <f t="shared" si="2"/>
        <v>0.75</v>
      </c>
      <c r="AL44" s="87">
        <f t="shared" si="2"/>
        <v>0.95</v>
      </c>
      <c r="AM44" s="87">
        <f t="shared" si="2"/>
        <v>1.3333333333333333</v>
      </c>
      <c r="AN44" s="87">
        <f t="shared" si="2"/>
        <v>0.7142857142857143</v>
      </c>
      <c r="AO44" s="87">
        <f t="shared" si="2"/>
        <v>0</v>
      </c>
      <c r="AP44" s="87"/>
      <c r="AQ44" s="87"/>
      <c r="AR44" s="87"/>
      <c r="AS44" s="87">
        <f t="shared" si="3"/>
        <v>0.17142857142857143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>
        <v>19</v>
      </c>
      <c r="T45" s="31">
        <v>16</v>
      </c>
      <c r="U45" s="31">
        <v>123</v>
      </c>
      <c r="V45" s="32">
        <v>3</v>
      </c>
      <c r="W45" s="32">
        <v>0</v>
      </c>
      <c r="X45" s="32">
        <v>28</v>
      </c>
      <c r="Y45" s="75">
        <v>0</v>
      </c>
      <c r="Z45" s="33">
        <v>0</v>
      </c>
      <c r="AA45" s="34">
        <v>82</v>
      </c>
      <c r="AB45" s="34">
        <v>0</v>
      </c>
      <c r="AC45" s="34">
        <v>0</v>
      </c>
      <c r="AD45" s="34">
        <v>0</v>
      </c>
      <c r="AE45" s="34">
        <v>0</v>
      </c>
      <c r="AF45" s="34">
        <v>0</v>
      </c>
      <c r="AG45" s="34">
        <v>0</v>
      </c>
      <c r="AH45" s="21"/>
      <c r="AI45" s="22"/>
      <c r="AK45" s="87">
        <f t="shared" si="2"/>
        <v>0.47499999999999998</v>
      </c>
      <c r="AL45" s="87">
        <f t="shared" si="2"/>
        <v>0.8</v>
      </c>
      <c r="AM45" s="87">
        <f t="shared" si="2"/>
        <v>1.0249999999999999</v>
      </c>
      <c r="AN45" s="87">
        <f t="shared" si="2"/>
        <v>0.42857142857142855</v>
      </c>
      <c r="AO45" s="87">
        <f t="shared" si="2"/>
        <v>0</v>
      </c>
      <c r="AP45" s="87"/>
      <c r="AQ45" s="87"/>
      <c r="AR45" s="87"/>
      <c r="AS45" s="87">
        <f t="shared" si="3"/>
        <v>0.46857142857142858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>
        <v>30</v>
      </c>
      <c r="T46" s="31">
        <v>20</v>
      </c>
      <c r="U46" s="31">
        <v>70</v>
      </c>
      <c r="V46" s="32">
        <v>1</v>
      </c>
      <c r="W46" s="32">
        <v>0</v>
      </c>
      <c r="X46" s="32">
        <v>60</v>
      </c>
      <c r="Y46" s="75">
        <v>8</v>
      </c>
      <c r="Z46" s="33">
        <v>0</v>
      </c>
      <c r="AA46" s="34">
        <v>48</v>
      </c>
      <c r="AB46" s="34">
        <v>0</v>
      </c>
      <c r="AC46" s="34">
        <v>0</v>
      </c>
      <c r="AD46" s="35">
        <v>0</v>
      </c>
      <c r="AE46" s="34">
        <v>0</v>
      </c>
      <c r="AF46" s="34">
        <v>0</v>
      </c>
      <c r="AG46" s="34">
        <v>0</v>
      </c>
      <c r="AH46" s="21"/>
      <c r="AI46" s="22"/>
      <c r="AK46" s="87">
        <f t="shared" si="2"/>
        <v>0.75</v>
      </c>
      <c r="AL46" s="87">
        <f t="shared" si="2"/>
        <v>1</v>
      </c>
      <c r="AM46" s="87">
        <f t="shared" si="2"/>
        <v>0.58333333333333337</v>
      </c>
      <c r="AN46" s="87">
        <f t="shared" si="2"/>
        <v>0.14285714285714285</v>
      </c>
      <c r="AO46" s="87">
        <f t="shared" si="2"/>
        <v>0</v>
      </c>
      <c r="AP46" s="87"/>
      <c r="AQ46" s="87"/>
      <c r="AR46" s="87"/>
      <c r="AS46" s="87">
        <f t="shared" si="3"/>
        <v>0.2742857142857143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>
        <v>32</v>
      </c>
      <c r="T47" s="31">
        <v>15</v>
      </c>
      <c r="U47" s="31">
        <v>76</v>
      </c>
      <c r="V47" s="32">
        <v>2</v>
      </c>
      <c r="W47" s="32">
        <v>0</v>
      </c>
      <c r="X47" s="32">
        <v>51</v>
      </c>
      <c r="Y47" s="75">
        <v>0</v>
      </c>
      <c r="Z47" s="33">
        <v>0</v>
      </c>
      <c r="AA47" s="34">
        <v>84</v>
      </c>
      <c r="AB47" s="34">
        <v>0</v>
      </c>
      <c r="AC47" s="34">
        <v>0</v>
      </c>
      <c r="AD47" s="34">
        <v>0</v>
      </c>
      <c r="AE47" s="34">
        <v>0</v>
      </c>
      <c r="AF47" s="34">
        <v>0</v>
      </c>
      <c r="AG47" s="34">
        <v>0</v>
      </c>
      <c r="AH47" s="21"/>
      <c r="AI47" s="22"/>
      <c r="AK47" s="87">
        <f t="shared" si="2"/>
        <v>0.8</v>
      </c>
      <c r="AL47" s="87">
        <f t="shared" si="2"/>
        <v>0.75</v>
      </c>
      <c r="AM47" s="87">
        <f t="shared" si="2"/>
        <v>0.6333333333333333</v>
      </c>
      <c r="AN47" s="87">
        <f t="shared" si="2"/>
        <v>0.2857142857142857</v>
      </c>
      <c r="AO47" s="87">
        <f t="shared" si="2"/>
        <v>0</v>
      </c>
      <c r="AP47" s="87"/>
      <c r="AQ47" s="87"/>
      <c r="AR47" s="87"/>
      <c r="AS47" s="87">
        <f t="shared" si="3"/>
        <v>0.48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42</v>
      </c>
      <c r="T48" s="31">
        <v>23</v>
      </c>
      <c r="U48" s="31">
        <v>0</v>
      </c>
      <c r="V48" s="32">
        <v>8</v>
      </c>
      <c r="W48" s="32">
        <v>0</v>
      </c>
      <c r="X48" s="32">
        <v>55</v>
      </c>
      <c r="Y48" s="75">
        <v>0</v>
      </c>
      <c r="Z48" s="33">
        <v>0</v>
      </c>
      <c r="AA48" s="34">
        <v>21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 t="s">
        <v>114</v>
      </c>
      <c r="AI48" s="22"/>
      <c r="AK48" s="87">
        <f t="shared" si="2"/>
        <v>1.05</v>
      </c>
      <c r="AL48" s="87">
        <f t="shared" si="2"/>
        <v>1.1499999999999999</v>
      </c>
      <c r="AM48" s="87">
        <f t="shared" si="2"/>
        <v>0</v>
      </c>
      <c r="AN48" s="87">
        <f t="shared" si="2"/>
        <v>1.1428571428571428</v>
      </c>
      <c r="AO48" s="87">
        <f t="shared" si="2"/>
        <v>0</v>
      </c>
      <c r="AP48" s="87"/>
      <c r="AQ48" s="87"/>
      <c r="AR48" s="87"/>
      <c r="AS48" s="87">
        <f t="shared" si="3"/>
        <v>0.12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20</v>
      </c>
      <c r="T49" s="31">
        <v>12</v>
      </c>
      <c r="U49" s="31">
        <v>120</v>
      </c>
      <c r="V49" s="32">
        <v>0</v>
      </c>
      <c r="W49" s="32">
        <v>0</v>
      </c>
      <c r="X49" s="32">
        <v>6</v>
      </c>
      <c r="Y49" s="75">
        <v>0</v>
      </c>
      <c r="Z49" s="33">
        <v>0</v>
      </c>
      <c r="AA49" s="34">
        <v>30</v>
      </c>
      <c r="AB49" s="34">
        <v>0</v>
      </c>
      <c r="AC49" s="34">
        <v>0</v>
      </c>
      <c r="AD49" s="35">
        <v>0</v>
      </c>
      <c r="AE49" s="34">
        <v>0</v>
      </c>
      <c r="AF49" s="34">
        <v>0</v>
      </c>
      <c r="AG49" s="34">
        <v>0</v>
      </c>
      <c r="AH49" s="21"/>
      <c r="AI49" s="22"/>
      <c r="AK49" s="87">
        <f t="shared" si="2"/>
        <v>0.5</v>
      </c>
      <c r="AL49" s="87">
        <f t="shared" si="2"/>
        <v>0.6</v>
      </c>
      <c r="AM49" s="87">
        <f t="shared" si="2"/>
        <v>1</v>
      </c>
      <c r="AN49" s="87">
        <f t="shared" si="2"/>
        <v>0</v>
      </c>
      <c r="AO49" s="87">
        <f t="shared" si="2"/>
        <v>0</v>
      </c>
      <c r="AP49" s="87"/>
      <c r="AQ49" s="87"/>
      <c r="AR49" s="87"/>
      <c r="AS49" s="87">
        <f t="shared" si="3"/>
        <v>0.17142857142857143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>
        <v>30</v>
      </c>
      <c r="T50" s="31">
        <v>15</v>
      </c>
      <c r="U50" s="31">
        <v>100</v>
      </c>
      <c r="V50" s="32">
        <v>0</v>
      </c>
      <c r="W50" s="32">
        <v>0</v>
      </c>
      <c r="X50" s="32">
        <v>20</v>
      </c>
      <c r="Y50" s="75">
        <v>30</v>
      </c>
      <c r="Z50" s="33">
        <v>0</v>
      </c>
      <c r="AA50" s="34">
        <v>50</v>
      </c>
      <c r="AB50" s="34">
        <v>0</v>
      </c>
      <c r="AC50" s="34">
        <v>0</v>
      </c>
      <c r="AD50" s="35">
        <v>0</v>
      </c>
      <c r="AE50" s="34">
        <v>0</v>
      </c>
      <c r="AF50" s="34">
        <v>0</v>
      </c>
      <c r="AG50" s="34">
        <v>0</v>
      </c>
      <c r="AH50" s="21"/>
      <c r="AI50" s="22"/>
      <c r="AK50" s="87">
        <f t="shared" si="2"/>
        <v>0.75</v>
      </c>
      <c r="AL50" s="87">
        <f t="shared" si="2"/>
        <v>0.75</v>
      </c>
      <c r="AM50" s="87">
        <f t="shared" si="2"/>
        <v>0.83333333333333337</v>
      </c>
      <c r="AN50" s="87">
        <f t="shared" si="2"/>
        <v>0</v>
      </c>
      <c r="AO50" s="87">
        <f t="shared" si="2"/>
        <v>0</v>
      </c>
      <c r="AP50" s="87"/>
      <c r="AQ50" s="87"/>
      <c r="AR50" s="87"/>
      <c r="AS50" s="87">
        <f t="shared" si="3"/>
        <v>0.2857142857142857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20</v>
      </c>
      <c r="T51" s="31">
        <v>15</v>
      </c>
      <c r="U51" s="31">
        <v>83</v>
      </c>
      <c r="V51" s="32">
        <v>0</v>
      </c>
      <c r="W51" s="32">
        <v>0</v>
      </c>
      <c r="X51" s="32">
        <v>1</v>
      </c>
      <c r="Y51" s="75">
        <v>42</v>
      </c>
      <c r="Z51" s="33">
        <v>0</v>
      </c>
      <c r="AA51" s="34">
        <v>23</v>
      </c>
      <c r="AB51" s="34">
        <v>0</v>
      </c>
      <c r="AC51" s="34">
        <v>0</v>
      </c>
      <c r="AD51" s="35">
        <v>0</v>
      </c>
      <c r="AE51" s="34">
        <v>0</v>
      </c>
      <c r="AF51" s="34">
        <v>0</v>
      </c>
      <c r="AG51" s="34">
        <v>0</v>
      </c>
      <c r="AH51" s="21"/>
      <c r="AI51" s="22"/>
      <c r="AK51" s="87">
        <f t="shared" si="2"/>
        <v>0.5</v>
      </c>
      <c r="AL51" s="87">
        <f t="shared" si="2"/>
        <v>0.75</v>
      </c>
      <c r="AM51" s="87">
        <f t="shared" si="2"/>
        <v>0.69166666666666665</v>
      </c>
      <c r="AN51" s="87">
        <f t="shared" si="2"/>
        <v>0</v>
      </c>
      <c r="AO51" s="87">
        <f t="shared" si="2"/>
        <v>0</v>
      </c>
      <c r="AP51" s="87"/>
      <c r="AQ51" s="87"/>
      <c r="AR51" s="87"/>
      <c r="AS51" s="87">
        <f t="shared" si="3"/>
        <v>0.13142857142857142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50</v>
      </c>
      <c r="T52" s="31">
        <v>40</v>
      </c>
      <c r="U52" s="31">
        <v>100</v>
      </c>
      <c r="V52" s="32">
        <v>5</v>
      </c>
      <c r="W52" s="32">
        <v>0</v>
      </c>
      <c r="X52" s="32">
        <v>52</v>
      </c>
      <c r="Y52" s="75">
        <v>11</v>
      </c>
      <c r="Z52" s="33">
        <v>0</v>
      </c>
      <c r="AA52" s="34">
        <v>60</v>
      </c>
      <c r="AB52" s="34">
        <v>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/>
      <c r="AI52" s="22"/>
      <c r="AK52" s="87">
        <f t="shared" si="2"/>
        <v>1.25</v>
      </c>
      <c r="AL52" s="87">
        <f t="shared" si="2"/>
        <v>2</v>
      </c>
      <c r="AM52" s="87">
        <f t="shared" si="2"/>
        <v>0.83333333333333337</v>
      </c>
      <c r="AN52" s="87">
        <f t="shared" si="2"/>
        <v>0.7142857142857143</v>
      </c>
      <c r="AO52" s="87">
        <f t="shared" si="2"/>
        <v>0</v>
      </c>
      <c r="AP52" s="87"/>
      <c r="AQ52" s="87"/>
      <c r="AR52" s="87"/>
      <c r="AS52" s="87">
        <f t="shared" si="3"/>
        <v>0.34285714285714286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28</v>
      </c>
      <c r="T53" s="31">
        <v>20</v>
      </c>
      <c r="U53" s="31">
        <v>0</v>
      </c>
      <c r="V53" s="32">
        <v>4</v>
      </c>
      <c r="W53" s="32">
        <v>0</v>
      </c>
      <c r="X53" s="32">
        <v>120</v>
      </c>
      <c r="Y53" s="75">
        <v>4</v>
      </c>
      <c r="Z53" s="33">
        <v>0</v>
      </c>
      <c r="AA53" s="34">
        <v>30</v>
      </c>
      <c r="AB53" s="34">
        <v>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0.7</v>
      </c>
      <c r="AL53" s="87">
        <f t="shared" si="2"/>
        <v>1</v>
      </c>
      <c r="AM53" s="87">
        <f t="shared" si="2"/>
        <v>0</v>
      </c>
      <c r="AN53" s="87">
        <f t="shared" si="2"/>
        <v>0.5714285714285714</v>
      </c>
      <c r="AO53" s="87">
        <f t="shared" si="2"/>
        <v>0</v>
      </c>
      <c r="AP53" s="87"/>
      <c r="AQ53" s="87"/>
      <c r="AR53" s="87"/>
      <c r="AS53" s="87">
        <f t="shared" si="3"/>
        <v>0.17142857142857143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>
        <v>30</v>
      </c>
      <c r="T54" s="31">
        <v>7</v>
      </c>
      <c r="U54" s="31">
        <v>70</v>
      </c>
      <c r="V54" s="32">
        <v>1</v>
      </c>
      <c r="W54" s="32">
        <v>0</v>
      </c>
      <c r="X54" s="32">
        <v>20</v>
      </c>
      <c r="Y54" s="75">
        <v>0</v>
      </c>
      <c r="Z54" s="33">
        <v>0</v>
      </c>
      <c r="AA54" s="34">
        <v>70</v>
      </c>
      <c r="AB54" s="34">
        <v>0</v>
      </c>
      <c r="AC54" s="34">
        <v>0</v>
      </c>
      <c r="AD54" s="34">
        <v>0</v>
      </c>
      <c r="AE54" s="34">
        <v>0</v>
      </c>
      <c r="AF54" s="34">
        <v>0</v>
      </c>
      <c r="AG54" s="34">
        <v>0</v>
      </c>
      <c r="AH54" s="21"/>
      <c r="AI54" s="22"/>
      <c r="AK54" s="87">
        <f t="shared" si="2"/>
        <v>0.75</v>
      </c>
      <c r="AL54" s="87">
        <f t="shared" si="2"/>
        <v>0.35</v>
      </c>
      <c r="AM54" s="87">
        <f t="shared" si="2"/>
        <v>0.58333333333333337</v>
      </c>
      <c r="AN54" s="87">
        <f t="shared" si="2"/>
        <v>0.14285714285714285</v>
      </c>
      <c r="AO54" s="87">
        <f t="shared" si="2"/>
        <v>0</v>
      </c>
      <c r="AP54" s="87"/>
      <c r="AQ54" s="87"/>
      <c r="AR54" s="87"/>
      <c r="AS54" s="87">
        <f t="shared" si="3"/>
        <v>0.4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1457</v>
      </c>
      <c r="T55" s="61">
        <f t="shared" si="4"/>
        <v>862</v>
      </c>
      <c r="U55" s="61">
        <f t="shared" si="4"/>
        <v>5213</v>
      </c>
      <c r="V55" s="61">
        <f t="shared" si="4"/>
        <v>109</v>
      </c>
      <c r="W55" s="61">
        <f t="shared" si="4"/>
        <v>0</v>
      </c>
      <c r="X55" s="61">
        <f t="shared" si="4"/>
        <v>1806</v>
      </c>
      <c r="Y55" s="61">
        <f t="shared" si="4"/>
        <v>245</v>
      </c>
      <c r="Z55" s="61">
        <f t="shared" si="4"/>
        <v>0</v>
      </c>
      <c r="AA55" s="61">
        <f t="shared" si="4"/>
        <v>1964</v>
      </c>
      <c r="AB55" s="61">
        <f t="shared" si="4"/>
        <v>0</v>
      </c>
      <c r="AC55" s="61">
        <f t="shared" si="4"/>
        <v>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0.72850000000000004</v>
      </c>
      <c r="AL55" s="87">
        <f t="shared" si="2"/>
        <v>0.86199999999999999</v>
      </c>
      <c r="AM55" s="87">
        <f t="shared" si="2"/>
        <v>0.86883333333333335</v>
      </c>
      <c r="AN55" s="87">
        <f t="shared" si="2"/>
        <v>0.31142857142857144</v>
      </c>
      <c r="AO55" s="87">
        <f t="shared" si="2"/>
        <v>0</v>
      </c>
      <c r="AP55" s="87"/>
      <c r="AQ55" s="87"/>
      <c r="AR55" s="87"/>
      <c r="AS55" s="87">
        <f t="shared" si="3"/>
        <v>0.22445714285714286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1" t="s">
        <v>18</v>
      </c>
      <c r="C57" s="112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1457</v>
      </c>
      <c r="T57" s="24">
        <f>T55</f>
        <v>862</v>
      </c>
      <c r="U57" s="24">
        <f>U55/120</f>
        <v>43.44166666666667</v>
      </c>
      <c r="V57" s="25">
        <f>V55/6</f>
        <v>18.166666666666668</v>
      </c>
      <c r="W57" s="25">
        <f>W55/10</f>
        <v>0</v>
      </c>
      <c r="X57" s="25">
        <f>X55/100</f>
        <v>18.059999999999999</v>
      </c>
      <c r="Y57" s="76">
        <f>Y55/20</f>
        <v>12.25</v>
      </c>
      <c r="Z57" s="26">
        <f>Z55/60</f>
        <v>0</v>
      </c>
      <c r="AA57" s="27">
        <f>AA55/120</f>
        <v>16.366666666666667</v>
      </c>
      <c r="AB57" s="27">
        <f>AB55/100</f>
        <v>0</v>
      </c>
      <c r="AC57" s="27">
        <f>AC55/60</f>
        <v>0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7.2402777777777778E-3</v>
      </c>
      <c r="AN57" s="25">
        <f>AN55/6</f>
        <v>5.1904761904761905E-2</v>
      </c>
      <c r="AO57" s="25">
        <f>AO55/20</f>
        <v>0</v>
      </c>
      <c r="AP57" s="25">
        <f>AP55/100</f>
        <v>0</v>
      </c>
      <c r="AQ57" s="76"/>
      <c r="AR57" s="26">
        <f>AR55/20</f>
        <v>0</v>
      </c>
      <c r="AS57" s="27">
        <f>AS55/120</f>
        <v>1.8704761904761904E-3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</sheetData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5875-7217-4417-858F-0040D4157AD5}">
  <dimension ref="A1:AY5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46113</v>
      </c>
      <c r="D2" s="113" t="s">
        <v>107</v>
      </c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5" t="s">
        <v>108</v>
      </c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7"/>
      <c r="AK2" s="118" t="s">
        <v>109</v>
      </c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20"/>
    </row>
    <row r="3" spans="2:51" ht="18" thickBot="1" x14ac:dyDescent="0.3">
      <c r="B3" s="121" t="s">
        <v>1</v>
      </c>
      <c r="C3" s="123" t="s">
        <v>2</v>
      </c>
      <c r="D3" s="5" t="s">
        <v>3</v>
      </c>
      <c r="E3" s="6" t="str">
        <f>T3</f>
        <v>Acheteurs</v>
      </c>
      <c r="F3" s="125" t="s">
        <v>4</v>
      </c>
      <c r="G3" s="125"/>
      <c r="H3" s="125"/>
      <c r="I3" s="125"/>
      <c r="J3" s="126"/>
      <c r="K3" s="56"/>
      <c r="L3" s="127" t="s">
        <v>5</v>
      </c>
      <c r="M3" s="128"/>
      <c r="N3" s="129"/>
      <c r="O3" s="70"/>
      <c r="P3" s="70"/>
      <c r="Q3" s="70"/>
      <c r="R3" s="70"/>
      <c r="S3" s="7" t="s">
        <v>3</v>
      </c>
      <c r="T3" s="7" t="s">
        <v>6</v>
      </c>
      <c r="U3" s="130" t="s">
        <v>7</v>
      </c>
      <c r="V3" s="131"/>
      <c r="W3" s="131"/>
      <c r="X3" s="131"/>
      <c r="Y3" s="131"/>
      <c r="Z3" s="132"/>
      <c r="AA3" s="133" t="str">
        <f>L3</f>
        <v>Gratuités pour achats 
(en unités)</v>
      </c>
      <c r="AB3" s="134"/>
      <c r="AC3" s="135"/>
      <c r="AD3" s="133" t="s">
        <v>19</v>
      </c>
      <c r="AE3" s="134"/>
      <c r="AF3" s="134"/>
      <c r="AG3" s="135"/>
      <c r="AH3" s="136" t="s">
        <v>8</v>
      </c>
      <c r="AI3" s="138" t="s">
        <v>9</v>
      </c>
      <c r="AK3" s="79" t="s">
        <v>3</v>
      </c>
      <c r="AL3" s="79" t="s">
        <v>6</v>
      </c>
      <c r="AM3" s="140" t="s">
        <v>7</v>
      </c>
      <c r="AN3" s="141"/>
      <c r="AO3" s="141"/>
      <c r="AP3" s="141"/>
      <c r="AQ3" s="141"/>
      <c r="AR3" s="142"/>
      <c r="AS3" s="143" t="str">
        <f>AD3</f>
        <v>GOODIES</v>
      </c>
      <c r="AT3" s="144"/>
      <c r="AU3" s="145"/>
      <c r="AV3" s="143" t="s">
        <v>19</v>
      </c>
      <c r="AW3" s="144"/>
      <c r="AX3" s="144"/>
      <c r="AY3" s="145"/>
    </row>
    <row r="4" spans="2:51" ht="212.4" thickBot="1" x14ac:dyDescent="0.3">
      <c r="B4" s="122"/>
      <c r="C4" s="12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7"/>
      <c r="AI4" s="139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/>
      <c r="T5" s="31"/>
      <c r="U5" s="31"/>
      <c r="V5" s="32"/>
      <c r="W5" s="32"/>
      <c r="X5" s="32"/>
      <c r="Y5" s="75"/>
      <c r="Z5" s="33"/>
      <c r="AA5" s="34"/>
      <c r="AB5" s="34"/>
      <c r="AC5" s="34"/>
      <c r="AD5" s="35"/>
      <c r="AE5" s="34"/>
      <c r="AF5" s="34"/>
      <c r="AG5" s="34"/>
      <c r="AH5" s="21" t="s">
        <v>119</v>
      </c>
      <c r="AI5" s="22"/>
      <c r="AK5" s="87">
        <f>S5/D5</f>
        <v>0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>
        <v>25</v>
      </c>
      <c r="T6" s="31">
        <v>18</v>
      </c>
      <c r="U6" s="31">
        <v>70</v>
      </c>
      <c r="V6" s="32">
        <v>0</v>
      </c>
      <c r="W6" s="32">
        <v>0</v>
      </c>
      <c r="X6" s="32">
        <v>60</v>
      </c>
      <c r="Y6" s="75">
        <v>0</v>
      </c>
      <c r="Z6" s="33">
        <v>0</v>
      </c>
      <c r="AA6" s="34">
        <v>20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7">
        <f t="shared" ref="AK6:AO55" si="2">S6/D6</f>
        <v>0.625</v>
      </c>
      <c r="AL6" s="87">
        <f t="shared" si="0"/>
        <v>0.9</v>
      </c>
      <c r="AM6" s="87">
        <f t="shared" si="0"/>
        <v>0.58333333333333337</v>
      </c>
      <c r="AN6" s="87">
        <f t="shared" si="0"/>
        <v>0</v>
      </c>
      <c r="AO6" s="87">
        <f t="shared" si="0"/>
        <v>0</v>
      </c>
      <c r="AP6" s="87"/>
      <c r="AQ6" s="87"/>
      <c r="AR6" s="87"/>
      <c r="AS6" s="87">
        <f t="shared" si="0"/>
        <v>0.11428571428571428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37</v>
      </c>
      <c r="T7" s="31">
        <v>23</v>
      </c>
      <c r="U7" s="31">
        <v>300</v>
      </c>
      <c r="V7" s="32">
        <v>3</v>
      </c>
      <c r="W7" s="32">
        <v>0</v>
      </c>
      <c r="X7" s="32">
        <v>50</v>
      </c>
      <c r="Y7" s="75">
        <v>0</v>
      </c>
      <c r="Z7" s="33">
        <v>0</v>
      </c>
      <c r="AA7" s="34">
        <v>12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0.92500000000000004</v>
      </c>
      <c r="AL7" s="87">
        <f t="shared" si="0"/>
        <v>1.1499999999999999</v>
      </c>
      <c r="AM7" s="87">
        <f t="shared" si="0"/>
        <v>2.5</v>
      </c>
      <c r="AN7" s="87">
        <f t="shared" si="0"/>
        <v>0.42857142857142855</v>
      </c>
      <c r="AO7" s="87">
        <f t="shared" si="0"/>
        <v>0</v>
      </c>
      <c r="AP7" s="87"/>
      <c r="AQ7" s="87"/>
      <c r="AR7" s="87"/>
      <c r="AS7" s="87">
        <f t="shared" si="0"/>
        <v>6.8571428571428575E-2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23</v>
      </c>
      <c r="T8" s="31">
        <v>19</v>
      </c>
      <c r="U8" s="31">
        <v>150</v>
      </c>
      <c r="V8" s="32">
        <v>0</v>
      </c>
      <c r="W8" s="32">
        <v>0</v>
      </c>
      <c r="X8" s="32">
        <v>100</v>
      </c>
      <c r="Y8" s="75">
        <v>0</v>
      </c>
      <c r="Z8" s="33">
        <v>0</v>
      </c>
      <c r="AA8" s="34">
        <v>50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21"/>
      <c r="AI8" s="22"/>
      <c r="AK8" s="87">
        <f t="shared" si="2"/>
        <v>0.57499999999999996</v>
      </c>
      <c r="AL8" s="87">
        <f t="shared" si="0"/>
        <v>0.95</v>
      </c>
      <c r="AM8" s="87">
        <f t="shared" si="0"/>
        <v>1.25</v>
      </c>
      <c r="AN8" s="87">
        <f t="shared" si="0"/>
        <v>0</v>
      </c>
      <c r="AO8" s="87">
        <f t="shared" si="0"/>
        <v>0</v>
      </c>
      <c r="AP8" s="87"/>
      <c r="AQ8" s="87"/>
      <c r="AR8" s="87"/>
      <c r="AS8" s="87">
        <f t="shared" si="0"/>
        <v>0.2857142857142857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50</v>
      </c>
      <c r="T9" s="31">
        <v>33</v>
      </c>
      <c r="U9" s="31">
        <v>302</v>
      </c>
      <c r="V9" s="32">
        <v>6</v>
      </c>
      <c r="W9" s="32">
        <v>0</v>
      </c>
      <c r="X9" s="32">
        <v>60</v>
      </c>
      <c r="Y9" s="75">
        <v>0</v>
      </c>
      <c r="Z9" s="33">
        <v>0</v>
      </c>
      <c r="AA9" s="34">
        <v>200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21"/>
      <c r="AI9" s="22"/>
      <c r="AK9" s="87">
        <f t="shared" si="2"/>
        <v>1.25</v>
      </c>
      <c r="AL9" s="87">
        <f t="shared" si="0"/>
        <v>1.65</v>
      </c>
      <c r="AM9" s="87">
        <f t="shared" si="0"/>
        <v>2.5166666666666666</v>
      </c>
      <c r="AN9" s="87">
        <f t="shared" si="0"/>
        <v>0.8571428571428571</v>
      </c>
      <c r="AO9" s="87">
        <f t="shared" si="0"/>
        <v>0</v>
      </c>
      <c r="AP9" s="87"/>
      <c r="AQ9" s="87"/>
      <c r="AR9" s="87"/>
      <c r="AS9" s="87">
        <f t="shared" si="0"/>
        <v>1.1428571428571428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20</v>
      </c>
      <c r="T10" s="31">
        <v>14</v>
      </c>
      <c r="U10" s="31">
        <v>290</v>
      </c>
      <c r="V10" s="32">
        <v>3</v>
      </c>
      <c r="W10" s="32">
        <v>0</v>
      </c>
      <c r="X10" s="32">
        <v>75</v>
      </c>
      <c r="Y10" s="75">
        <v>3</v>
      </c>
      <c r="Z10" s="33">
        <v>0</v>
      </c>
      <c r="AA10" s="34">
        <v>79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7">
        <f t="shared" si="2"/>
        <v>0.5</v>
      </c>
      <c r="AL10" s="87">
        <f t="shared" si="0"/>
        <v>0.7</v>
      </c>
      <c r="AM10" s="87">
        <f t="shared" si="0"/>
        <v>2.4166666666666665</v>
      </c>
      <c r="AN10" s="87">
        <f t="shared" si="0"/>
        <v>0.42857142857142855</v>
      </c>
      <c r="AO10" s="87">
        <f t="shared" si="0"/>
        <v>0</v>
      </c>
      <c r="AP10" s="87"/>
      <c r="AQ10" s="87"/>
      <c r="AR10" s="87"/>
      <c r="AS10" s="87">
        <f t="shared" si="0"/>
        <v>0.4514285714285714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40</v>
      </c>
      <c r="T11" s="31">
        <v>20</v>
      </c>
      <c r="U11" s="31">
        <v>200</v>
      </c>
      <c r="V11" s="32">
        <v>4</v>
      </c>
      <c r="W11" s="32">
        <v>0</v>
      </c>
      <c r="X11" s="32">
        <v>40</v>
      </c>
      <c r="Y11" s="75">
        <v>0</v>
      </c>
      <c r="Z11" s="33">
        <v>0</v>
      </c>
      <c r="AA11" s="34">
        <v>30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7">
        <f t="shared" si="2"/>
        <v>1</v>
      </c>
      <c r="AL11" s="87">
        <f t="shared" si="0"/>
        <v>1</v>
      </c>
      <c r="AM11" s="87">
        <f t="shared" si="0"/>
        <v>1.6666666666666667</v>
      </c>
      <c r="AN11" s="87">
        <f t="shared" si="0"/>
        <v>0.5714285714285714</v>
      </c>
      <c r="AO11" s="87">
        <f t="shared" si="0"/>
        <v>0</v>
      </c>
      <c r="AP11" s="87"/>
      <c r="AQ11" s="87"/>
      <c r="AR11" s="87"/>
      <c r="AS11" s="87">
        <f t="shared" si="0"/>
        <v>0.17142857142857143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40</v>
      </c>
      <c r="T12" s="31">
        <v>35</v>
      </c>
      <c r="U12" s="31">
        <v>100</v>
      </c>
      <c r="V12" s="32">
        <v>2</v>
      </c>
      <c r="W12" s="32">
        <v>0</v>
      </c>
      <c r="X12" s="32">
        <v>20</v>
      </c>
      <c r="Y12" s="75">
        <v>0</v>
      </c>
      <c r="Z12" s="33">
        <v>0</v>
      </c>
      <c r="AA12" s="34">
        <v>30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/>
      <c r="AK12" s="87">
        <f t="shared" si="2"/>
        <v>1</v>
      </c>
      <c r="AL12" s="87">
        <f t="shared" si="0"/>
        <v>1.75</v>
      </c>
      <c r="AM12" s="87">
        <f t="shared" si="0"/>
        <v>0.83333333333333337</v>
      </c>
      <c r="AN12" s="87">
        <f t="shared" si="0"/>
        <v>0.2857142857142857</v>
      </c>
      <c r="AO12" s="87">
        <f t="shared" si="0"/>
        <v>0</v>
      </c>
      <c r="AP12" s="87"/>
      <c r="AQ12" s="87"/>
      <c r="AR12" s="87"/>
      <c r="AS12" s="87">
        <f t="shared" si="0"/>
        <v>0.17142857142857143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28</v>
      </c>
      <c r="T13" s="31">
        <v>7</v>
      </c>
      <c r="U13" s="31">
        <v>50</v>
      </c>
      <c r="V13" s="32">
        <v>0</v>
      </c>
      <c r="W13" s="32">
        <v>0</v>
      </c>
      <c r="X13" s="32">
        <v>20</v>
      </c>
      <c r="Y13" s="75">
        <v>4</v>
      </c>
      <c r="Z13" s="33">
        <v>0</v>
      </c>
      <c r="AA13" s="34">
        <v>17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7">
        <f t="shared" si="2"/>
        <v>0.7</v>
      </c>
      <c r="AL13" s="87">
        <f t="shared" si="0"/>
        <v>0.35</v>
      </c>
      <c r="AM13" s="87">
        <f t="shared" si="0"/>
        <v>0.41666666666666669</v>
      </c>
      <c r="AN13" s="87">
        <f t="shared" si="0"/>
        <v>0</v>
      </c>
      <c r="AO13" s="87">
        <f t="shared" si="0"/>
        <v>0</v>
      </c>
      <c r="AP13" s="87"/>
      <c r="AQ13" s="87"/>
      <c r="AR13" s="87"/>
      <c r="AS13" s="87">
        <f t="shared" si="0"/>
        <v>9.7142857142857142E-2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30</v>
      </c>
      <c r="T14" s="31">
        <v>22</v>
      </c>
      <c r="U14" s="31">
        <v>160</v>
      </c>
      <c r="V14" s="32">
        <v>0</v>
      </c>
      <c r="W14" s="32">
        <v>0</v>
      </c>
      <c r="X14" s="32">
        <v>120</v>
      </c>
      <c r="Y14" s="75">
        <v>0</v>
      </c>
      <c r="Z14" s="33">
        <v>0</v>
      </c>
      <c r="AA14" s="34">
        <v>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7">
        <f t="shared" si="2"/>
        <v>0.75</v>
      </c>
      <c r="AL14" s="87">
        <f t="shared" si="0"/>
        <v>1.1000000000000001</v>
      </c>
      <c r="AM14" s="87">
        <f t="shared" si="0"/>
        <v>1.3333333333333333</v>
      </c>
      <c r="AN14" s="87">
        <f t="shared" si="0"/>
        <v>0</v>
      </c>
      <c r="AO14" s="87">
        <f t="shared" si="0"/>
        <v>0</v>
      </c>
      <c r="AP14" s="87"/>
      <c r="AQ14" s="87"/>
      <c r="AR14" s="87"/>
      <c r="AS14" s="87">
        <f t="shared" si="0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15</v>
      </c>
      <c r="T15" s="31">
        <v>10</v>
      </c>
      <c r="U15" s="31">
        <v>23</v>
      </c>
      <c r="V15" s="32">
        <v>3</v>
      </c>
      <c r="W15" s="32">
        <v>0</v>
      </c>
      <c r="X15" s="32">
        <v>16</v>
      </c>
      <c r="Y15" s="75">
        <v>14</v>
      </c>
      <c r="Z15" s="33">
        <v>0</v>
      </c>
      <c r="AA15" s="34">
        <v>30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21"/>
      <c r="AI15" s="22"/>
      <c r="AK15" s="87">
        <f t="shared" si="2"/>
        <v>0.375</v>
      </c>
      <c r="AL15" s="87">
        <f t="shared" si="0"/>
        <v>0.5</v>
      </c>
      <c r="AM15" s="87">
        <f t="shared" si="0"/>
        <v>0.19166666666666668</v>
      </c>
      <c r="AN15" s="87">
        <f t="shared" si="0"/>
        <v>0.42857142857142855</v>
      </c>
      <c r="AO15" s="87">
        <f t="shared" si="0"/>
        <v>0</v>
      </c>
      <c r="AP15" s="87"/>
      <c r="AQ15" s="87"/>
      <c r="AR15" s="87"/>
      <c r="AS15" s="87">
        <f t="shared" si="0"/>
        <v>0.17142857142857143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45</v>
      </c>
      <c r="T16" s="31">
        <v>25</v>
      </c>
      <c r="U16" s="31">
        <v>180</v>
      </c>
      <c r="V16" s="32">
        <v>7</v>
      </c>
      <c r="W16" s="32">
        <v>0</v>
      </c>
      <c r="X16" s="32">
        <v>10</v>
      </c>
      <c r="Y16" s="75">
        <v>0</v>
      </c>
      <c r="Z16" s="33">
        <v>0</v>
      </c>
      <c r="AA16" s="34">
        <v>61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21" t="s">
        <v>119</v>
      </c>
      <c r="AI16" s="22"/>
      <c r="AK16" s="87">
        <f t="shared" si="2"/>
        <v>1.125</v>
      </c>
      <c r="AL16" s="87">
        <f t="shared" si="0"/>
        <v>1.25</v>
      </c>
      <c r="AM16" s="87">
        <f t="shared" si="0"/>
        <v>1.5</v>
      </c>
      <c r="AN16" s="87">
        <f t="shared" si="0"/>
        <v>1</v>
      </c>
      <c r="AO16" s="87">
        <f t="shared" si="0"/>
        <v>0</v>
      </c>
      <c r="AP16" s="87"/>
      <c r="AQ16" s="87"/>
      <c r="AR16" s="87"/>
      <c r="AS16" s="87">
        <f t="shared" si="0"/>
        <v>0.34857142857142859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28</v>
      </c>
      <c r="T17" s="31">
        <v>7</v>
      </c>
      <c r="U17" s="31">
        <v>10</v>
      </c>
      <c r="V17" s="32">
        <v>0</v>
      </c>
      <c r="W17" s="32">
        <v>0</v>
      </c>
      <c r="X17" s="32">
        <v>5</v>
      </c>
      <c r="Y17" s="75">
        <v>0</v>
      </c>
      <c r="Z17" s="33">
        <v>0</v>
      </c>
      <c r="AA17" s="34">
        <v>10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 t="s">
        <v>120</v>
      </c>
      <c r="AI17" s="22"/>
      <c r="AK17" s="87">
        <f t="shared" si="2"/>
        <v>0.7</v>
      </c>
      <c r="AL17" s="87">
        <f t="shared" si="0"/>
        <v>0.35</v>
      </c>
      <c r="AM17" s="87">
        <f t="shared" si="0"/>
        <v>8.3333333333333329E-2</v>
      </c>
      <c r="AN17" s="87">
        <f t="shared" si="0"/>
        <v>0</v>
      </c>
      <c r="AO17" s="87">
        <f t="shared" si="0"/>
        <v>0</v>
      </c>
      <c r="AP17" s="87"/>
      <c r="AQ17" s="87"/>
      <c r="AR17" s="87"/>
      <c r="AS17" s="87">
        <f t="shared" si="0"/>
        <v>5.7142857142857141E-2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32</v>
      </c>
      <c r="T18" s="31">
        <v>20</v>
      </c>
      <c r="U18" s="31">
        <v>120</v>
      </c>
      <c r="V18" s="32">
        <v>0</v>
      </c>
      <c r="W18" s="32">
        <v>0</v>
      </c>
      <c r="X18" s="32">
        <v>0</v>
      </c>
      <c r="Y18" s="75">
        <v>0</v>
      </c>
      <c r="Z18" s="33">
        <v>0</v>
      </c>
      <c r="AA18" s="34">
        <v>22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7">
        <f t="shared" si="2"/>
        <v>0.8</v>
      </c>
      <c r="AL18" s="87">
        <f t="shared" si="0"/>
        <v>1</v>
      </c>
      <c r="AM18" s="87">
        <f t="shared" si="0"/>
        <v>1</v>
      </c>
      <c r="AN18" s="87">
        <f t="shared" si="0"/>
        <v>0</v>
      </c>
      <c r="AO18" s="87">
        <f t="shared" si="0"/>
        <v>0</v>
      </c>
      <c r="AP18" s="87"/>
      <c r="AQ18" s="87"/>
      <c r="AR18" s="87"/>
      <c r="AS18" s="87">
        <f t="shared" si="0"/>
        <v>0.12571428571428572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22</v>
      </c>
      <c r="T19" s="31">
        <v>10</v>
      </c>
      <c r="U19" s="31">
        <v>44</v>
      </c>
      <c r="V19" s="32">
        <v>2</v>
      </c>
      <c r="W19" s="32">
        <v>0</v>
      </c>
      <c r="X19" s="32">
        <v>26</v>
      </c>
      <c r="Y19" s="75">
        <v>0</v>
      </c>
      <c r="Z19" s="33">
        <v>0</v>
      </c>
      <c r="AA19" s="34">
        <v>21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21"/>
      <c r="AI19" s="22"/>
      <c r="AK19" s="87">
        <f t="shared" si="2"/>
        <v>0.55000000000000004</v>
      </c>
      <c r="AL19" s="87">
        <f t="shared" si="0"/>
        <v>0.5</v>
      </c>
      <c r="AM19" s="87">
        <f t="shared" si="0"/>
        <v>0.36666666666666664</v>
      </c>
      <c r="AN19" s="87">
        <f t="shared" si="0"/>
        <v>0.2857142857142857</v>
      </c>
      <c r="AO19" s="87">
        <f t="shared" si="0"/>
        <v>0</v>
      </c>
      <c r="AP19" s="87"/>
      <c r="AQ19" s="87"/>
      <c r="AR19" s="87"/>
      <c r="AS19" s="87">
        <f t="shared" si="0"/>
        <v>0.12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42</v>
      </c>
      <c r="T20" s="31">
        <v>33</v>
      </c>
      <c r="U20" s="31">
        <v>120</v>
      </c>
      <c r="V20" s="32">
        <v>0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7">
        <f t="shared" si="2"/>
        <v>1.05</v>
      </c>
      <c r="AL20" s="87">
        <f t="shared" si="0"/>
        <v>1.65</v>
      </c>
      <c r="AM20" s="87">
        <f t="shared" si="0"/>
        <v>1</v>
      </c>
      <c r="AN20" s="87">
        <f t="shared" si="0"/>
        <v>0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30</v>
      </c>
      <c r="T21" s="31">
        <v>10</v>
      </c>
      <c r="U21" s="31">
        <v>120</v>
      </c>
      <c r="V21" s="32">
        <v>3</v>
      </c>
      <c r="W21" s="32">
        <v>0</v>
      </c>
      <c r="X21" s="32">
        <v>60</v>
      </c>
      <c r="Y21" s="75">
        <v>10</v>
      </c>
      <c r="Z21" s="33">
        <v>0</v>
      </c>
      <c r="AA21" s="34">
        <v>85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21"/>
      <c r="AI21" s="22"/>
      <c r="AK21" s="87">
        <f t="shared" si="2"/>
        <v>0.75</v>
      </c>
      <c r="AL21" s="87">
        <f t="shared" si="2"/>
        <v>0.5</v>
      </c>
      <c r="AM21" s="87">
        <f t="shared" si="2"/>
        <v>1</v>
      </c>
      <c r="AN21" s="87">
        <f t="shared" si="2"/>
        <v>0.42857142857142855</v>
      </c>
      <c r="AO21" s="87">
        <f t="shared" si="2"/>
        <v>0</v>
      </c>
      <c r="AP21" s="87"/>
      <c r="AQ21" s="87"/>
      <c r="AR21" s="87"/>
      <c r="AS21" s="87">
        <f t="shared" ref="AS21:AS55" si="3">AA21/L21</f>
        <v>0.48571428571428571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5"/>
      <c r="Z22" s="33"/>
      <c r="AA22" s="34"/>
      <c r="AB22" s="34"/>
      <c r="AC22" s="34"/>
      <c r="AD22" s="35"/>
      <c r="AE22" s="34"/>
      <c r="AF22" s="34"/>
      <c r="AG22" s="34"/>
      <c r="AH22" s="21" t="s">
        <v>119</v>
      </c>
      <c r="AI22" s="22"/>
      <c r="AK22" s="87">
        <f t="shared" si="2"/>
        <v>0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33</v>
      </c>
      <c r="T23" s="31">
        <v>12</v>
      </c>
      <c r="U23" s="31">
        <v>20</v>
      </c>
      <c r="V23" s="32">
        <v>2</v>
      </c>
      <c r="W23" s="32">
        <v>0</v>
      </c>
      <c r="X23" s="32">
        <v>61</v>
      </c>
      <c r="Y23" s="75">
        <v>0</v>
      </c>
      <c r="Z23" s="33">
        <v>0</v>
      </c>
      <c r="AA23" s="34">
        <v>17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 t="s">
        <v>118</v>
      </c>
      <c r="AI23" s="22"/>
      <c r="AK23" s="87">
        <f t="shared" si="2"/>
        <v>0.82499999999999996</v>
      </c>
      <c r="AL23" s="87">
        <f t="shared" si="2"/>
        <v>0.6</v>
      </c>
      <c r="AM23" s="87">
        <f t="shared" si="2"/>
        <v>0.16666666666666666</v>
      </c>
      <c r="AN23" s="87">
        <f t="shared" si="2"/>
        <v>0.2857142857142857</v>
      </c>
      <c r="AO23" s="87">
        <f t="shared" si="2"/>
        <v>0</v>
      </c>
      <c r="AP23" s="87"/>
      <c r="AQ23" s="87"/>
      <c r="AR23" s="87"/>
      <c r="AS23" s="87">
        <f t="shared" si="3"/>
        <v>9.7142857142857142E-2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28</v>
      </c>
      <c r="T24" s="31">
        <v>10</v>
      </c>
      <c r="U24" s="31">
        <v>40</v>
      </c>
      <c r="V24" s="32">
        <v>1</v>
      </c>
      <c r="W24" s="32">
        <v>0</v>
      </c>
      <c r="X24" s="32">
        <v>15</v>
      </c>
      <c r="Y24" s="75">
        <v>8</v>
      </c>
      <c r="Z24" s="33">
        <v>0</v>
      </c>
      <c r="AA24" s="34">
        <v>25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/>
      <c r="AI24" s="22"/>
      <c r="AK24" s="87">
        <f t="shared" si="2"/>
        <v>0.7</v>
      </c>
      <c r="AL24" s="87">
        <f t="shared" si="2"/>
        <v>0.5</v>
      </c>
      <c r="AM24" s="87">
        <f t="shared" si="2"/>
        <v>0.33333333333333331</v>
      </c>
      <c r="AN24" s="87">
        <f t="shared" si="2"/>
        <v>0.14285714285714285</v>
      </c>
      <c r="AO24" s="87">
        <f t="shared" si="2"/>
        <v>0</v>
      </c>
      <c r="AP24" s="87"/>
      <c r="AQ24" s="87"/>
      <c r="AR24" s="87"/>
      <c r="AS24" s="87">
        <f t="shared" si="3"/>
        <v>0.14285714285714285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>
        <v>30</v>
      </c>
      <c r="T25" s="31">
        <v>25</v>
      </c>
      <c r="U25" s="31">
        <v>90</v>
      </c>
      <c r="V25" s="32">
        <v>3</v>
      </c>
      <c r="W25" s="32">
        <v>0</v>
      </c>
      <c r="X25" s="32">
        <v>50</v>
      </c>
      <c r="Y25" s="75">
        <v>10</v>
      </c>
      <c r="Z25" s="33">
        <v>0</v>
      </c>
      <c r="AA25" s="34">
        <v>60</v>
      </c>
      <c r="AB25" s="34">
        <v>0</v>
      </c>
      <c r="AC25" s="34"/>
      <c r="AD25" s="35"/>
      <c r="AE25" s="34"/>
      <c r="AF25" s="34"/>
      <c r="AG25" s="34"/>
      <c r="AH25" s="21" t="s">
        <v>119</v>
      </c>
      <c r="AI25" s="22"/>
      <c r="AK25" s="87">
        <f t="shared" si="2"/>
        <v>0.75</v>
      </c>
      <c r="AL25" s="87">
        <f t="shared" si="2"/>
        <v>1.25</v>
      </c>
      <c r="AM25" s="87">
        <f t="shared" si="2"/>
        <v>0.75</v>
      </c>
      <c r="AN25" s="87">
        <f t="shared" si="2"/>
        <v>0.42857142857142855</v>
      </c>
      <c r="AO25" s="87">
        <f t="shared" si="2"/>
        <v>0</v>
      </c>
      <c r="AP25" s="87"/>
      <c r="AQ25" s="87"/>
      <c r="AR25" s="87"/>
      <c r="AS25" s="87">
        <f t="shared" si="3"/>
        <v>0.34285714285714286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>
        <v>30</v>
      </c>
      <c r="T26" s="31">
        <v>25</v>
      </c>
      <c r="U26" s="31">
        <v>89</v>
      </c>
      <c r="V26" s="32">
        <v>2</v>
      </c>
      <c r="W26" s="32">
        <v>0</v>
      </c>
      <c r="X26" s="32">
        <v>58</v>
      </c>
      <c r="Y26" s="75">
        <v>0</v>
      </c>
      <c r="Z26" s="33">
        <v>0</v>
      </c>
      <c r="AA26" s="34">
        <v>56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21"/>
      <c r="AI26" s="22"/>
      <c r="AK26" s="87">
        <f t="shared" si="2"/>
        <v>0.75</v>
      </c>
      <c r="AL26" s="87">
        <f t="shared" si="2"/>
        <v>1.25</v>
      </c>
      <c r="AM26" s="87">
        <f t="shared" si="2"/>
        <v>0.7416666666666667</v>
      </c>
      <c r="AN26" s="87">
        <f t="shared" si="2"/>
        <v>0.2857142857142857</v>
      </c>
      <c r="AO26" s="87">
        <f t="shared" si="2"/>
        <v>0</v>
      </c>
      <c r="AP26" s="87"/>
      <c r="AQ26" s="87"/>
      <c r="AR26" s="87"/>
      <c r="AS26" s="87">
        <f t="shared" si="3"/>
        <v>0.32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>
        <v>22</v>
      </c>
      <c r="T27" s="31">
        <v>18</v>
      </c>
      <c r="U27" s="31">
        <v>220</v>
      </c>
      <c r="V27" s="32">
        <v>11</v>
      </c>
      <c r="W27" s="32">
        <v>0</v>
      </c>
      <c r="X27" s="32">
        <v>110</v>
      </c>
      <c r="Y27" s="75">
        <v>18</v>
      </c>
      <c r="Z27" s="33">
        <v>0</v>
      </c>
      <c r="AA27" s="34">
        <v>32</v>
      </c>
      <c r="AB27" s="34">
        <v>0</v>
      </c>
      <c r="AC27" s="34">
        <v>0</v>
      </c>
      <c r="AD27" s="35">
        <v>0</v>
      </c>
      <c r="AE27" s="34">
        <v>0</v>
      </c>
      <c r="AF27" s="34">
        <v>0</v>
      </c>
      <c r="AG27" s="34">
        <v>0</v>
      </c>
      <c r="AH27" s="21"/>
      <c r="AI27" s="22"/>
      <c r="AK27" s="87">
        <f t="shared" si="2"/>
        <v>0.55000000000000004</v>
      </c>
      <c r="AL27" s="87">
        <f t="shared" si="2"/>
        <v>0.9</v>
      </c>
      <c r="AM27" s="87">
        <f t="shared" si="2"/>
        <v>1.8333333333333333</v>
      </c>
      <c r="AN27" s="87">
        <f t="shared" si="2"/>
        <v>1.5714285714285714</v>
      </c>
      <c r="AO27" s="87">
        <f t="shared" si="2"/>
        <v>0</v>
      </c>
      <c r="AP27" s="87"/>
      <c r="AQ27" s="87"/>
      <c r="AR27" s="87"/>
      <c r="AS27" s="87">
        <f t="shared" si="3"/>
        <v>0.18285714285714286</v>
      </c>
      <c r="AT27" s="87"/>
      <c r="AU27" s="87"/>
      <c r="AV27" s="87"/>
      <c r="AW27" s="87"/>
      <c r="AX27" s="87"/>
      <c r="AY27" s="87"/>
    </row>
    <row r="28" spans="2:51" ht="17.399999999999999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30</v>
      </c>
      <c r="T28" s="31">
        <v>9</v>
      </c>
      <c r="U28" s="31">
        <v>150</v>
      </c>
      <c r="V28" s="32">
        <v>0</v>
      </c>
      <c r="W28" s="32">
        <v>0</v>
      </c>
      <c r="X28" s="32">
        <v>0</v>
      </c>
      <c r="Y28" s="75">
        <v>0</v>
      </c>
      <c r="Z28" s="33">
        <v>0</v>
      </c>
      <c r="AA28" s="34">
        <v>30</v>
      </c>
      <c r="AB28" s="34">
        <v>0</v>
      </c>
      <c r="AC28" s="34">
        <v>0</v>
      </c>
      <c r="AD28" s="35">
        <v>0</v>
      </c>
      <c r="AE28" s="34">
        <v>0</v>
      </c>
      <c r="AF28" s="34">
        <v>0</v>
      </c>
      <c r="AG28" s="34">
        <v>0</v>
      </c>
      <c r="AH28" s="21"/>
      <c r="AI28" s="22"/>
      <c r="AK28" s="87">
        <f t="shared" si="2"/>
        <v>0.75</v>
      </c>
      <c r="AL28" s="87">
        <f t="shared" si="2"/>
        <v>0.45</v>
      </c>
      <c r="AM28" s="87">
        <f t="shared" si="2"/>
        <v>1.25</v>
      </c>
      <c r="AN28" s="87">
        <f t="shared" si="2"/>
        <v>0</v>
      </c>
      <c r="AO28" s="87">
        <f t="shared" si="2"/>
        <v>0</v>
      </c>
      <c r="AP28" s="87"/>
      <c r="AQ28" s="87"/>
      <c r="AR28" s="87"/>
      <c r="AS28" s="87">
        <f t="shared" si="3"/>
        <v>0.17142857142857143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>
        <v>22</v>
      </c>
      <c r="T29" s="31">
        <v>15</v>
      </c>
      <c r="U29" s="31">
        <v>30</v>
      </c>
      <c r="V29" s="32">
        <v>2</v>
      </c>
      <c r="W29" s="32">
        <v>0</v>
      </c>
      <c r="X29" s="32">
        <v>38</v>
      </c>
      <c r="Y29" s="75">
        <v>20</v>
      </c>
      <c r="Z29" s="33">
        <v>0</v>
      </c>
      <c r="AA29" s="34">
        <v>0</v>
      </c>
      <c r="AB29" s="34">
        <v>0</v>
      </c>
      <c r="AC29" s="34">
        <v>0</v>
      </c>
      <c r="AD29" s="35">
        <v>0</v>
      </c>
      <c r="AE29" s="34">
        <v>0</v>
      </c>
      <c r="AF29" s="34">
        <v>0</v>
      </c>
      <c r="AG29" s="34">
        <v>0</v>
      </c>
      <c r="AH29" s="21"/>
      <c r="AI29" s="22"/>
      <c r="AK29" s="87">
        <f t="shared" si="2"/>
        <v>0.55000000000000004</v>
      </c>
      <c r="AL29" s="87">
        <f t="shared" si="2"/>
        <v>0.75</v>
      </c>
      <c r="AM29" s="87">
        <f t="shared" si="2"/>
        <v>0.25</v>
      </c>
      <c r="AN29" s="87">
        <f t="shared" si="2"/>
        <v>0.2857142857142857</v>
      </c>
      <c r="AO29" s="87">
        <f t="shared" si="2"/>
        <v>0</v>
      </c>
      <c r="AP29" s="87"/>
      <c r="AQ29" s="87"/>
      <c r="AR29" s="87"/>
      <c r="AS29" s="87">
        <f t="shared" si="3"/>
        <v>0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/>
      <c r="T30" s="31"/>
      <c r="U30" s="31"/>
      <c r="V30" s="32"/>
      <c r="W30" s="32"/>
      <c r="X30" s="32"/>
      <c r="Y30" s="75"/>
      <c r="Z30" s="33"/>
      <c r="AA30" s="34"/>
      <c r="AB30" s="34"/>
      <c r="AC30" s="34"/>
      <c r="AD30" s="35"/>
      <c r="AE30" s="34"/>
      <c r="AF30" s="34"/>
      <c r="AG30" s="34"/>
      <c r="AH30" s="21" t="s">
        <v>119</v>
      </c>
      <c r="AI30" s="22"/>
      <c r="AK30" s="87">
        <f t="shared" si="2"/>
        <v>0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>
        <v>25</v>
      </c>
      <c r="T31" s="31">
        <v>12</v>
      </c>
      <c r="U31" s="31">
        <v>115</v>
      </c>
      <c r="V31" s="32">
        <v>1</v>
      </c>
      <c r="W31" s="32">
        <v>0</v>
      </c>
      <c r="X31" s="32">
        <v>20</v>
      </c>
      <c r="Y31" s="75">
        <v>3</v>
      </c>
      <c r="Z31" s="33">
        <v>0</v>
      </c>
      <c r="AA31" s="34">
        <v>120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21"/>
      <c r="AI31" s="22"/>
      <c r="AK31" s="87">
        <f t="shared" si="2"/>
        <v>0.625</v>
      </c>
      <c r="AL31" s="87">
        <f t="shared" si="2"/>
        <v>0.6</v>
      </c>
      <c r="AM31" s="87">
        <f t="shared" si="2"/>
        <v>0.95833333333333337</v>
      </c>
      <c r="AN31" s="87">
        <f t="shared" si="2"/>
        <v>0.14285714285714285</v>
      </c>
      <c r="AO31" s="87">
        <f t="shared" si="2"/>
        <v>0</v>
      </c>
      <c r="AP31" s="87"/>
      <c r="AQ31" s="87"/>
      <c r="AR31" s="87"/>
      <c r="AS31" s="87">
        <f t="shared" si="3"/>
        <v>0.68571428571428572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>
        <v>30</v>
      </c>
      <c r="T32" s="31">
        <v>20</v>
      </c>
      <c r="U32" s="31">
        <v>240</v>
      </c>
      <c r="V32" s="32">
        <v>2</v>
      </c>
      <c r="W32" s="32">
        <v>0</v>
      </c>
      <c r="X32" s="32">
        <v>30</v>
      </c>
      <c r="Y32" s="75">
        <v>5</v>
      </c>
      <c r="Z32" s="33">
        <v>0</v>
      </c>
      <c r="AA32" s="34">
        <v>30</v>
      </c>
      <c r="AB32" s="34">
        <v>0</v>
      </c>
      <c r="AC32" s="34">
        <v>0</v>
      </c>
      <c r="AD32" s="35">
        <v>0</v>
      </c>
      <c r="AE32" s="34">
        <v>0</v>
      </c>
      <c r="AF32" s="34">
        <v>0</v>
      </c>
      <c r="AG32" s="34">
        <v>0</v>
      </c>
      <c r="AH32" s="21"/>
      <c r="AI32" s="22"/>
      <c r="AK32" s="87">
        <f t="shared" si="2"/>
        <v>0.75</v>
      </c>
      <c r="AL32" s="87">
        <f t="shared" si="2"/>
        <v>1</v>
      </c>
      <c r="AM32" s="87">
        <f t="shared" si="2"/>
        <v>2</v>
      </c>
      <c r="AN32" s="87">
        <f t="shared" si="2"/>
        <v>0.2857142857142857</v>
      </c>
      <c r="AO32" s="87">
        <f t="shared" si="2"/>
        <v>0</v>
      </c>
      <c r="AP32" s="87"/>
      <c r="AQ32" s="87"/>
      <c r="AR32" s="87"/>
      <c r="AS32" s="87">
        <f t="shared" si="3"/>
        <v>0.17142857142857143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>
        <v>30</v>
      </c>
      <c r="T33" s="31">
        <v>27</v>
      </c>
      <c r="U33" s="31">
        <v>50</v>
      </c>
      <c r="V33" s="32">
        <v>1</v>
      </c>
      <c r="W33" s="32">
        <v>0</v>
      </c>
      <c r="X33" s="32">
        <v>6</v>
      </c>
      <c r="Y33" s="75">
        <v>0</v>
      </c>
      <c r="Z33" s="33">
        <v>0</v>
      </c>
      <c r="AA33" s="34">
        <v>66</v>
      </c>
      <c r="AB33" s="34">
        <v>0</v>
      </c>
      <c r="AC33" s="34">
        <v>0</v>
      </c>
      <c r="AD33" s="35">
        <v>0</v>
      </c>
      <c r="AE33" s="35">
        <v>0</v>
      </c>
      <c r="AF33" s="35">
        <v>0</v>
      </c>
      <c r="AG33" s="35">
        <v>0</v>
      </c>
      <c r="AH33" s="21"/>
      <c r="AI33" s="22"/>
      <c r="AK33" s="87">
        <f t="shared" si="2"/>
        <v>0.75</v>
      </c>
      <c r="AL33" s="87">
        <f t="shared" si="2"/>
        <v>1.35</v>
      </c>
      <c r="AM33" s="87">
        <f t="shared" si="2"/>
        <v>0.41666666666666669</v>
      </c>
      <c r="AN33" s="87">
        <f t="shared" si="2"/>
        <v>0.14285714285714285</v>
      </c>
      <c r="AO33" s="87">
        <f t="shared" si="2"/>
        <v>0</v>
      </c>
      <c r="AP33" s="87"/>
      <c r="AQ33" s="87"/>
      <c r="AR33" s="87"/>
      <c r="AS33" s="87">
        <f t="shared" si="3"/>
        <v>0.37714285714285717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31</v>
      </c>
      <c r="T34" s="31">
        <v>25</v>
      </c>
      <c r="U34" s="31">
        <v>95</v>
      </c>
      <c r="V34" s="32">
        <v>1</v>
      </c>
      <c r="W34" s="32">
        <v>0</v>
      </c>
      <c r="X34" s="32">
        <v>45</v>
      </c>
      <c r="Y34" s="75">
        <v>0</v>
      </c>
      <c r="Z34" s="33">
        <v>0</v>
      </c>
      <c r="AA34" s="34">
        <v>34</v>
      </c>
      <c r="AB34" s="34">
        <v>0</v>
      </c>
      <c r="AC34" s="34">
        <v>0</v>
      </c>
      <c r="AD34" s="35">
        <v>0</v>
      </c>
      <c r="AE34" s="34">
        <v>0</v>
      </c>
      <c r="AF34" s="34">
        <v>0</v>
      </c>
      <c r="AG34" s="34">
        <v>0</v>
      </c>
      <c r="AH34" s="21"/>
      <c r="AI34" s="22"/>
      <c r="AK34" s="87">
        <f t="shared" si="2"/>
        <v>0.77500000000000002</v>
      </c>
      <c r="AL34" s="87">
        <f t="shared" si="2"/>
        <v>1.25</v>
      </c>
      <c r="AM34" s="87">
        <f t="shared" si="2"/>
        <v>0.79166666666666663</v>
      </c>
      <c r="AN34" s="87">
        <f t="shared" si="2"/>
        <v>0.14285714285714285</v>
      </c>
      <c r="AO34" s="87">
        <f t="shared" si="2"/>
        <v>0</v>
      </c>
      <c r="AP34" s="87"/>
      <c r="AQ34" s="87"/>
      <c r="AR34" s="87"/>
      <c r="AS34" s="87">
        <f t="shared" si="3"/>
        <v>0.19428571428571428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>
        <v>10</v>
      </c>
      <c r="T35" s="31">
        <v>5</v>
      </c>
      <c r="U35" s="31">
        <v>50</v>
      </c>
      <c r="V35" s="32">
        <v>0</v>
      </c>
      <c r="W35" s="32">
        <v>0</v>
      </c>
      <c r="X35" s="32">
        <v>0</v>
      </c>
      <c r="Y35" s="75">
        <v>0</v>
      </c>
      <c r="Z35" s="33">
        <v>0</v>
      </c>
      <c r="AA35" s="34">
        <v>0</v>
      </c>
      <c r="AB35" s="34">
        <v>0</v>
      </c>
      <c r="AC35" s="34">
        <v>0</v>
      </c>
      <c r="AD35" s="35">
        <v>0</v>
      </c>
      <c r="AE35" s="34">
        <v>0</v>
      </c>
      <c r="AF35" s="34">
        <v>0</v>
      </c>
      <c r="AG35" s="34">
        <v>0</v>
      </c>
      <c r="AH35" s="21"/>
      <c r="AI35" s="22"/>
      <c r="AK35" s="87">
        <f t="shared" si="2"/>
        <v>0.25</v>
      </c>
      <c r="AL35" s="87">
        <f t="shared" si="2"/>
        <v>0.25</v>
      </c>
      <c r="AM35" s="87">
        <f t="shared" si="2"/>
        <v>0.41666666666666669</v>
      </c>
      <c r="AN35" s="87">
        <f t="shared" si="2"/>
        <v>0</v>
      </c>
      <c r="AO35" s="87">
        <f t="shared" si="2"/>
        <v>0</v>
      </c>
      <c r="AP35" s="87"/>
      <c r="AQ35" s="87"/>
      <c r="AR35" s="87"/>
      <c r="AS35" s="87">
        <f t="shared" si="3"/>
        <v>0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>
        <v>26</v>
      </c>
      <c r="T36" s="31">
        <v>6</v>
      </c>
      <c r="U36" s="31">
        <v>35</v>
      </c>
      <c r="V36" s="32">
        <v>2</v>
      </c>
      <c r="W36" s="32">
        <v>0</v>
      </c>
      <c r="X36" s="32">
        <v>30</v>
      </c>
      <c r="Y36" s="75">
        <v>0</v>
      </c>
      <c r="Z36" s="33">
        <v>0</v>
      </c>
      <c r="AA36" s="34">
        <v>31</v>
      </c>
      <c r="AB36" s="34">
        <v>0</v>
      </c>
      <c r="AC36" s="34">
        <v>0</v>
      </c>
      <c r="AD36" s="35">
        <v>0</v>
      </c>
      <c r="AE36" s="34">
        <v>0</v>
      </c>
      <c r="AF36" s="34">
        <v>0</v>
      </c>
      <c r="AG36" s="34">
        <v>0</v>
      </c>
      <c r="AH36" s="21"/>
      <c r="AI36" s="22"/>
      <c r="AK36" s="87">
        <f t="shared" si="2"/>
        <v>0.65</v>
      </c>
      <c r="AL36" s="87">
        <f t="shared" si="2"/>
        <v>0.3</v>
      </c>
      <c r="AM36" s="87">
        <f t="shared" si="2"/>
        <v>0.29166666666666669</v>
      </c>
      <c r="AN36" s="87">
        <f t="shared" si="2"/>
        <v>0.2857142857142857</v>
      </c>
      <c r="AO36" s="87">
        <f t="shared" si="2"/>
        <v>0</v>
      </c>
      <c r="AP36" s="87"/>
      <c r="AQ36" s="87"/>
      <c r="AR36" s="87"/>
      <c r="AS36" s="87">
        <f t="shared" si="3"/>
        <v>0.17714285714285713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31</v>
      </c>
      <c r="T37" s="31">
        <v>25</v>
      </c>
      <c r="U37" s="31">
        <v>120</v>
      </c>
      <c r="V37" s="32">
        <v>1</v>
      </c>
      <c r="W37" s="32">
        <v>0</v>
      </c>
      <c r="X37" s="32">
        <v>70</v>
      </c>
      <c r="Y37" s="75">
        <v>2</v>
      </c>
      <c r="Z37" s="33">
        <v>0</v>
      </c>
      <c r="AA37" s="34">
        <v>30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0.77500000000000002</v>
      </c>
      <c r="AL37" s="87">
        <f t="shared" si="2"/>
        <v>1.25</v>
      </c>
      <c r="AM37" s="87">
        <f t="shared" si="2"/>
        <v>1</v>
      </c>
      <c r="AN37" s="87">
        <f t="shared" si="2"/>
        <v>0.14285714285714285</v>
      </c>
      <c r="AO37" s="87">
        <f t="shared" si="2"/>
        <v>0</v>
      </c>
      <c r="AP37" s="87"/>
      <c r="AQ37" s="87"/>
      <c r="AR37" s="87"/>
      <c r="AS37" s="87">
        <f t="shared" si="3"/>
        <v>0.17142857142857143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40</v>
      </c>
      <c r="T38" s="31">
        <v>27</v>
      </c>
      <c r="U38" s="31">
        <v>110</v>
      </c>
      <c r="V38" s="32">
        <v>4</v>
      </c>
      <c r="W38" s="32">
        <v>0</v>
      </c>
      <c r="X38" s="32">
        <v>30</v>
      </c>
      <c r="Y38" s="75">
        <v>0</v>
      </c>
      <c r="Z38" s="33">
        <v>0</v>
      </c>
      <c r="AA38" s="34">
        <v>14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1</v>
      </c>
      <c r="AL38" s="87">
        <f t="shared" si="2"/>
        <v>1.35</v>
      </c>
      <c r="AM38" s="87">
        <f t="shared" si="2"/>
        <v>0.91666666666666663</v>
      </c>
      <c r="AN38" s="87">
        <f t="shared" si="2"/>
        <v>0.5714285714285714</v>
      </c>
      <c r="AO38" s="87">
        <f t="shared" si="2"/>
        <v>0</v>
      </c>
      <c r="AP38" s="87"/>
      <c r="AQ38" s="87"/>
      <c r="AR38" s="87"/>
      <c r="AS38" s="87">
        <f t="shared" si="3"/>
        <v>0.08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15</v>
      </c>
      <c r="T39" s="31">
        <v>7</v>
      </c>
      <c r="U39" s="31">
        <v>140</v>
      </c>
      <c r="V39" s="32">
        <v>0</v>
      </c>
      <c r="W39" s="32">
        <v>0</v>
      </c>
      <c r="X39" s="32">
        <v>0</v>
      </c>
      <c r="Y39" s="75">
        <v>0</v>
      </c>
      <c r="Z39" s="33">
        <v>0</v>
      </c>
      <c r="AA39" s="34">
        <v>50</v>
      </c>
      <c r="AB39" s="34">
        <v>0</v>
      </c>
      <c r="AC39" s="34">
        <v>0</v>
      </c>
      <c r="AD39" s="34">
        <v>0</v>
      </c>
      <c r="AE39" s="34">
        <v>0</v>
      </c>
      <c r="AF39" s="34">
        <v>0</v>
      </c>
      <c r="AG39" s="34">
        <v>0</v>
      </c>
      <c r="AH39" s="21"/>
      <c r="AI39" s="22"/>
      <c r="AK39" s="87">
        <f t="shared" si="2"/>
        <v>0.375</v>
      </c>
      <c r="AL39" s="87">
        <f t="shared" si="2"/>
        <v>0.35</v>
      </c>
      <c r="AM39" s="87">
        <f t="shared" si="2"/>
        <v>1.1666666666666667</v>
      </c>
      <c r="AN39" s="87">
        <f t="shared" si="2"/>
        <v>0</v>
      </c>
      <c r="AO39" s="87">
        <f t="shared" si="2"/>
        <v>0</v>
      </c>
      <c r="AP39" s="87"/>
      <c r="AQ39" s="87"/>
      <c r="AR39" s="87"/>
      <c r="AS39" s="87">
        <f t="shared" si="3"/>
        <v>0.2857142857142857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>
        <v>28</v>
      </c>
      <c r="T40" s="31">
        <v>20</v>
      </c>
      <c r="U40" s="31">
        <v>200</v>
      </c>
      <c r="V40" s="32">
        <v>3</v>
      </c>
      <c r="W40" s="32">
        <v>0</v>
      </c>
      <c r="X40" s="32">
        <v>20</v>
      </c>
      <c r="Y40" s="75">
        <v>30</v>
      </c>
      <c r="Z40" s="33">
        <v>0</v>
      </c>
      <c r="AA40" s="34">
        <v>50</v>
      </c>
      <c r="AB40" s="34">
        <v>0</v>
      </c>
      <c r="AC40" s="34">
        <v>0</v>
      </c>
      <c r="AD40" s="35">
        <v>0</v>
      </c>
      <c r="AE40" s="34">
        <v>0</v>
      </c>
      <c r="AF40" s="34">
        <v>0</v>
      </c>
      <c r="AG40" s="34">
        <v>0</v>
      </c>
      <c r="AH40" s="21"/>
      <c r="AI40" s="22"/>
      <c r="AK40" s="87">
        <f t="shared" si="2"/>
        <v>0.7</v>
      </c>
      <c r="AL40" s="87">
        <f t="shared" si="2"/>
        <v>1</v>
      </c>
      <c r="AM40" s="87">
        <f t="shared" si="2"/>
        <v>1.6666666666666667</v>
      </c>
      <c r="AN40" s="87">
        <f t="shared" si="2"/>
        <v>0.42857142857142855</v>
      </c>
      <c r="AO40" s="87">
        <f t="shared" si="2"/>
        <v>0</v>
      </c>
      <c r="AP40" s="87"/>
      <c r="AQ40" s="87"/>
      <c r="AR40" s="87"/>
      <c r="AS40" s="87">
        <f t="shared" si="3"/>
        <v>0.2857142857142857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35</v>
      </c>
      <c r="T41" s="31">
        <v>10</v>
      </c>
      <c r="U41" s="31">
        <v>0</v>
      </c>
      <c r="V41" s="32">
        <v>0</v>
      </c>
      <c r="W41" s="32">
        <v>0</v>
      </c>
      <c r="X41" s="32">
        <v>55</v>
      </c>
      <c r="Y41" s="75">
        <v>5</v>
      </c>
      <c r="Z41" s="33">
        <v>0</v>
      </c>
      <c r="AA41" s="34">
        <v>10</v>
      </c>
      <c r="AB41" s="34">
        <v>0</v>
      </c>
      <c r="AC41" s="34">
        <v>0</v>
      </c>
      <c r="AD41" s="35">
        <v>0</v>
      </c>
      <c r="AE41" s="34">
        <v>0</v>
      </c>
      <c r="AF41" s="34">
        <v>0</v>
      </c>
      <c r="AG41" s="34">
        <v>0</v>
      </c>
      <c r="AH41" s="21"/>
      <c r="AI41" s="22"/>
      <c r="AK41" s="87">
        <f t="shared" si="2"/>
        <v>0.875</v>
      </c>
      <c r="AL41" s="87">
        <f t="shared" si="2"/>
        <v>0.5</v>
      </c>
      <c r="AM41" s="87">
        <f t="shared" si="2"/>
        <v>0</v>
      </c>
      <c r="AN41" s="87">
        <f t="shared" si="2"/>
        <v>0</v>
      </c>
      <c r="AO41" s="87">
        <f t="shared" si="2"/>
        <v>0</v>
      </c>
      <c r="AP41" s="87"/>
      <c r="AQ41" s="87"/>
      <c r="AR41" s="87"/>
      <c r="AS41" s="87">
        <f t="shared" si="3"/>
        <v>5.7142857142857141E-2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>
        <v>26</v>
      </c>
      <c r="T42" s="31">
        <v>20</v>
      </c>
      <c r="U42" s="31">
        <v>170</v>
      </c>
      <c r="V42" s="32">
        <v>2</v>
      </c>
      <c r="W42" s="32">
        <v>0</v>
      </c>
      <c r="X42" s="32">
        <v>45</v>
      </c>
      <c r="Y42" s="75">
        <v>20</v>
      </c>
      <c r="Z42" s="33">
        <v>0</v>
      </c>
      <c r="AA42" s="34">
        <v>20</v>
      </c>
      <c r="AB42" s="34">
        <v>0</v>
      </c>
      <c r="AC42" s="34">
        <v>0</v>
      </c>
      <c r="AD42" s="35">
        <v>0</v>
      </c>
      <c r="AE42" s="34">
        <v>0</v>
      </c>
      <c r="AF42" s="34">
        <v>0</v>
      </c>
      <c r="AG42" s="34">
        <v>0</v>
      </c>
      <c r="AH42" s="21"/>
      <c r="AI42" s="22"/>
      <c r="AK42" s="87">
        <f t="shared" si="2"/>
        <v>0.65</v>
      </c>
      <c r="AL42" s="87">
        <f t="shared" si="2"/>
        <v>1</v>
      </c>
      <c r="AM42" s="87">
        <f t="shared" si="2"/>
        <v>1.4166666666666667</v>
      </c>
      <c r="AN42" s="87">
        <f t="shared" si="2"/>
        <v>0.2857142857142857</v>
      </c>
      <c r="AO42" s="87">
        <f t="shared" si="2"/>
        <v>0</v>
      </c>
      <c r="AP42" s="87"/>
      <c r="AQ42" s="87"/>
      <c r="AR42" s="87"/>
      <c r="AS42" s="87">
        <f t="shared" si="3"/>
        <v>0.11428571428571428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>
        <v>10</v>
      </c>
      <c r="T43" s="31">
        <v>4</v>
      </c>
      <c r="U43" s="31">
        <v>35</v>
      </c>
      <c r="V43" s="32">
        <v>1</v>
      </c>
      <c r="W43" s="32">
        <v>0</v>
      </c>
      <c r="X43" s="32">
        <v>0</v>
      </c>
      <c r="Y43" s="75">
        <v>0</v>
      </c>
      <c r="Z43" s="33">
        <v>0</v>
      </c>
      <c r="AA43" s="34">
        <v>14</v>
      </c>
      <c r="AB43" s="34">
        <v>0</v>
      </c>
      <c r="AC43" s="34">
        <v>0</v>
      </c>
      <c r="AD43" s="34">
        <v>0</v>
      </c>
      <c r="AE43" s="34">
        <v>0</v>
      </c>
      <c r="AF43" s="34">
        <v>0</v>
      </c>
      <c r="AG43" s="34">
        <v>0</v>
      </c>
      <c r="AH43" s="21"/>
      <c r="AI43" s="22"/>
      <c r="AK43" s="87">
        <f t="shared" si="2"/>
        <v>0.25</v>
      </c>
      <c r="AL43" s="87">
        <f t="shared" si="2"/>
        <v>0.2</v>
      </c>
      <c r="AM43" s="87">
        <f t="shared" si="2"/>
        <v>0.29166666666666669</v>
      </c>
      <c r="AN43" s="87">
        <f t="shared" si="2"/>
        <v>0.14285714285714285</v>
      </c>
      <c r="AO43" s="87">
        <f t="shared" si="2"/>
        <v>0</v>
      </c>
      <c r="AP43" s="87"/>
      <c r="AQ43" s="87"/>
      <c r="AR43" s="87"/>
      <c r="AS43" s="87">
        <f t="shared" si="3"/>
        <v>0.08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>
        <v>37</v>
      </c>
      <c r="T44" s="31">
        <v>14</v>
      </c>
      <c r="U44" s="31">
        <v>5</v>
      </c>
      <c r="V44" s="32">
        <v>0</v>
      </c>
      <c r="W44" s="32">
        <v>0</v>
      </c>
      <c r="X44" s="32">
        <v>65</v>
      </c>
      <c r="Y44" s="75">
        <v>11</v>
      </c>
      <c r="Z44" s="33">
        <v>0</v>
      </c>
      <c r="AA44" s="34">
        <v>50</v>
      </c>
      <c r="AB44" s="34">
        <v>0</v>
      </c>
      <c r="AC44" s="34">
        <v>0</v>
      </c>
      <c r="AD44" s="35">
        <v>0</v>
      </c>
      <c r="AE44" s="34">
        <v>0</v>
      </c>
      <c r="AF44" s="34">
        <v>0</v>
      </c>
      <c r="AG44" s="34">
        <v>0</v>
      </c>
      <c r="AH44" s="21"/>
      <c r="AI44" s="22"/>
      <c r="AK44" s="87">
        <f t="shared" si="2"/>
        <v>0.92500000000000004</v>
      </c>
      <c r="AL44" s="87">
        <f t="shared" si="2"/>
        <v>0.7</v>
      </c>
      <c r="AM44" s="87">
        <f t="shared" si="2"/>
        <v>4.1666666666666664E-2</v>
      </c>
      <c r="AN44" s="87">
        <f t="shared" si="2"/>
        <v>0</v>
      </c>
      <c r="AO44" s="87">
        <f t="shared" si="2"/>
        <v>0</v>
      </c>
      <c r="AP44" s="87"/>
      <c r="AQ44" s="87"/>
      <c r="AR44" s="87"/>
      <c r="AS44" s="87">
        <f t="shared" si="3"/>
        <v>0.2857142857142857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>
        <v>20</v>
      </c>
      <c r="T45" s="31">
        <v>15</v>
      </c>
      <c r="U45" s="31">
        <v>152</v>
      </c>
      <c r="V45" s="32">
        <v>1</v>
      </c>
      <c r="W45" s="32">
        <v>0</v>
      </c>
      <c r="X45" s="32">
        <v>50</v>
      </c>
      <c r="Y45" s="75">
        <v>0</v>
      </c>
      <c r="Z45" s="33">
        <v>0</v>
      </c>
      <c r="AA45" s="34">
        <v>98</v>
      </c>
      <c r="AB45" s="34">
        <v>0</v>
      </c>
      <c r="AC45" s="34">
        <v>0</v>
      </c>
      <c r="AD45" s="34">
        <v>0</v>
      </c>
      <c r="AE45" s="34">
        <v>0</v>
      </c>
      <c r="AF45" s="34">
        <v>0</v>
      </c>
      <c r="AG45" s="34">
        <v>0</v>
      </c>
      <c r="AH45" s="21"/>
      <c r="AI45" s="22"/>
      <c r="AK45" s="87">
        <f t="shared" si="2"/>
        <v>0.5</v>
      </c>
      <c r="AL45" s="87">
        <f t="shared" si="2"/>
        <v>0.75</v>
      </c>
      <c r="AM45" s="87">
        <f t="shared" si="2"/>
        <v>1.2666666666666666</v>
      </c>
      <c r="AN45" s="87">
        <f t="shared" si="2"/>
        <v>0.14285714285714285</v>
      </c>
      <c r="AO45" s="87">
        <f t="shared" si="2"/>
        <v>0</v>
      </c>
      <c r="AP45" s="87"/>
      <c r="AQ45" s="87"/>
      <c r="AR45" s="87"/>
      <c r="AS45" s="87">
        <f t="shared" si="3"/>
        <v>0.56000000000000005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>
        <v>50</v>
      </c>
      <c r="T46" s="31">
        <v>30</v>
      </c>
      <c r="U46" s="31">
        <v>200</v>
      </c>
      <c r="V46" s="32">
        <v>0</v>
      </c>
      <c r="W46" s="32">
        <v>0</v>
      </c>
      <c r="X46" s="32">
        <v>60</v>
      </c>
      <c r="Y46" s="75">
        <v>14</v>
      </c>
      <c r="Z46" s="33">
        <v>0</v>
      </c>
      <c r="AA46" s="34">
        <v>0</v>
      </c>
      <c r="AB46" s="34">
        <v>0</v>
      </c>
      <c r="AC46" s="34">
        <v>0</v>
      </c>
      <c r="AD46" s="35">
        <v>0</v>
      </c>
      <c r="AE46" s="34">
        <v>0</v>
      </c>
      <c r="AF46" s="34">
        <v>0</v>
      </c>
      <c r="AG46" s="34">
        <v>0</v>
      </c>
      <c r="AH46" s="21"/>
      <c r="AI46" s="22"/>
      <c r="AK46" s="87">
        <f t="shared" si="2"/>
        <v>1.25</v>
      </c>
      <c r="AL46" s="87">
        <f t="shared" si="2"/>
        <v>1.5</v>
      </c>
      <c r="AM46" s="87">
        <f t="shared" si="2"/>
        <v>1.6666666666666667</v>
      </c>
      <c r="AN46" s="87">
        <f t="shared" si="2"/>
        <v>0</v>
      </c>
      <c r="AO46" s="87">
        <f t="shared" si="2"/>
        <v>0</v>
      </c>
      <c r="AP46" s="87"/>
      <c r="AQ46" s="87"/>
      <c r="AR46" s="87"/>
      <c r="AS46" s="87">
        <f t="shared" si="3"/>
        <v>0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>
        <v>26</v>
      </c>
      <c r="T47" s="31">
        <v>8</v>
      </c>
      <c r="U47" s="31">
        <v>25</v>
      </c>
      <c r="V47" s="32">
        <v>0</v>
      </c>
      <c r="W47" s="32">
        <v>25</v>
      </c>
      <c r="X47" s="32">
        <v>0</v>
      </c>
      <c r="Y47" s="75">
        <v>0</v>
      </c>
      <c r="Z47" s="33">
        <v>0</v>
      </c>
      <c r="AA47" s="34">
        <v>84</v>
      </c>
      <c r="AB47" s="34">
        <v>0</v>
      </c>
      <c r="AC47" s="34"/>
      <c r="AD47" s="35"/>
      <c r="AE47" s="34"/>
      <c r="AF47" s="34"/>
      <c r="AG47" s="34"/>
      <c r="AH47" s="21" t="s">
        <v>119</v>
      </c>
      <c r="AI47" s="22"/>
      <c r="AK47" s="87">
        <f t="shared" si="2"/>
        <v>0.65</v>
      </c>
      <c r="AL47" s="87">
        <f t="shared" si="2"/>
        <v>0.4</v>
      </c>
      <c r="AM47" s="87">
        <f t="shared" si="2"/>
        <v>0.20833333333333334</v>
      </c>
      <c r="AN47" s="87">
        <f t="shared" si="2"/>
        <v>0</v>
      </c>
      <c r="AO47" s="87">
        <f t="shared" si="2"/>
        <v>6.25</v>
      </c>
      <c r="AP47" s="87"/>
      <c r="AQ47" s="87"/>
      <c r="AR47" s="87"/>
      <c r="AS47" s="87">
        <f t="shared" si="3"/>
        <v>0.48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28</v>
      </c>
      <c r="T48" s="31">
        <v>7</v>
      </c>
      <c r="U48" s="31">
        <v>0</v>
      </c>
      <c r="V48" s="32">
        <v>12</v>
      </c>
      <c r="W48" s="32">
        <v>0</v>
      </c>
      <c r="X48" s="32">
        <v>75</v>
      </c>
      <c r="Y48" s="75">
        <v>6</v>
      </c>
      <c r="Z48" s="33">
        <v>0</v>
      </c>
      <c r="AA48" s="34">
        <v>25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/>
      <c r="AI48" s="22"/>
      <c r="AK48" s="87">
        <f t="shared" si="2"/>
        <v>0.7</v>
      </c>
      <c r="AL48" s="87">
        <f t="shared" si="2"/>
        <v>0.35</v>
      </c>
      <c r="AM48" s="87">
        <f t="shared" si="2"/>
        <v>0</v>
      </c>
      <c r="AN48" s="87">
        <f t="shared" si="2"/>
        <v>1.7142857142857142</v>
      </c>
      <c r="AO48" s="87">
        <f t="shared" si="2"/>
        <v>0</v>
      </c>
      <c r="AP48" s="87"/>
      <c r="AQ48" s="87"/>
      <c r="AR48" s="87"/>
      <c r="AS48" s="87">
        <f t="shared" si="3"/>
        <v>0.14285714285714285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25</v>
      </c>
      <c r="T49" s="31">
        <v>15</v>
      </c>
      <c r="U49" s="31">
        <v>174</v>
      </c>
      <c r="V49" s="32">
        <v>4</v>
      </c>
      <c r="W49" s="32">
        <v>0</v>
      </c>
      <c r="X49" s="32">
        <v>100</v>
      </c>
      <c r="Y49" s="75">
        <v>9</v>
      </c>
      <c r="Z49" s="33">
        <v>0</v>
      </c>
      <c r="AA49" s="34">
        <v>20</v>
      </c>
      <c r="AB49" s="34">
        <v>0</v>
      </c>
      <c r="AC49" s="34">
        <v>0</v>
      </c>
      <c r="AD49" s="35">
        <v>0</v>
      </c>
      <c r="AE49" s="34">
        <v>0</v>
      </c>
      <c r="AF49" s="34">
        <v>0</v>
      </c>
      <c r="AG49" s="34">
        <v>0</v>
      </c>
      <c r="AH49" s="21"/>
      <c r="AI49" s="22"/>
      <c r="AK49" s="87">
        <f t="shared" si="2"/>
        <v>0.625</v>
      </c>
      <c r="AL49" s="87">
        <f t="shared" si="2"/>
        <v>0.75</v>
      </c>
      <c r="AM49" s="87">
        <f t="shared" si="2"/>
        <v>1.45</v>
      </c>
      <c r="AN49" s="87">
        <f t="shared" si="2"/>
        <v>0.5714285714285714</v>
      </c>
      <c r="AO49" s="87">
        <f t="shared" si="2"/>
        <v>0</v>
      </c>
      <c r="AP49" s="87"/>
      <c r="AQ49" s="87"/>
      <c r="AR49" s="87"/>
      <c r="AS49" s="87">
        <f t="shared" si="3"/>
        <v>0.11428571428571428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>
        <v>28</v>
      </c>
      <c r="T50" s="31">
        <v>17</v>
      </c>
      <c r="U50" s="31">
        <v>106</v>
      </c>
      <c r="V50" s="32">
        <v>4</v>
      </c>
      <c r="W50" s="32">
        <v>0</v>
      </c>
      <c r="X50" s="32">
        <v>30</v>
      </c>
      <c r="Y50" s="75">
        <v>20</v>
      </c>
      <c r="Z50" s="33">
        <v>0</v>
      </c>
      <c r="AA50" s="34">
        <v>15</v>
      </c>
      <c r="AB50" s="34">
        <v>0</v>
      </c>
      <c r="AC50" s="34">
        <v>0</v>
      </c>
      <c r="AD50" s="35">
        <v>0</v>
      </c>
      <c r="AE50" s="34">
        <v>0</v>
      </c>
      <c r="AF50" s="34">
        <v>0</v>
      </c>
      <c r="AG50" s="34">
        <v>0</v>
      </c>
      <c r="AH50" s="21"/>
      <c r="AI50" s="22"/>
      <c r="AK50" s="87">
        <f t="shared" si="2"/>
        <v>0.7</v>
      </c>
      <c r="AL50" s="87">
        <f t="shared" si="2"/>
        <v>0.85</v>
      </c>
      <c r="AM50" s="87">
        <f t="shared" si="2"/>
        <v>0.8833333333333333</v>
      </c>
      <c r="AN50" s="87">
        <f t="shared" si="2"/>
        <v>0.5714285714285714</v>
      </c>
      <c r="AO50" s="87">
        <f t="shared" si="2"/>
        <v>0</v>
      </c>
      <c r="AP50" s="87"/>
      <c r="AQ50" s="87"/>
      <c r="AR50" s="87"/>
      <c r="AS50" s="87">
        <f t="shared" si="3"/>
        <v>8.5714285714285715E-2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30</v>
      </c>
      <c r="T51" s="31">
        <v>20</v>
      </c>
      <c r="U51" s="31">
        <v>105</v>
      </c>
      <c r="V51" s="32">
        <v>0</v>
      </c>
      <c r="W51" s="32">
        <v>0</v>
      </c>
      <c r="X51" s="32">
        <v>19</v>
      </c>
      <c r="Y51" s="75">
        <v>0</v>
      </c>
      <c r="Z51" s="33">
        <v>0</v>
      </c>
      <c r="AA51" s="34">
        <v>31</v>
      </c>
      <c r="AB51" s="34">
        <v>0</v>
      </c>
      <c r="AC51" s="34">
        <v>0</v>
      </c>
      <c r="AD51" s="35">
        <v>0</v>
      </c>
      <c r="AE51" s="34">
        <v>0</v>
      </c>
      <c r="AF51" s="34">
        <v>0</v>
      </c>
      <c r="AG51" s="34">
        <v>0</v>
      </c>
      <c r="AH51" s="21"/>
      <c r="AI51" s="22"/>
      <c r="AK51" s="87">
        <f t="shared" si="2"/>
        <v>0.75</v>
      </c>
      <c r="AL51" s="87">
        <f t="shared" si="2"/>
        <v>1</v>
      </c>
      <c r="AM51" s="87">
        <f t="shared" si="2"/>
        <v>0.875</v>
      </c>
      <c r="AN51" s="87">
        <f t="shared" si="2"/>
        <v>0</v>
      </c>
      <c r="AO51" s="87">
        <f t="shared" si="2"/>
        <v>0</v>
      </c>
      <c r="AP51" s="87"/>
      <c r="AQ51" s="87"/>
      <c r="AR51" s="87"/>
      <c r="AS51" s="87">
        <f t="shared" si="3"/>
        <v>0.17714285714285713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30</v>
      </c>
      <c r="T52" s="31">
        <v>15</v>
      </c>
      <c r="U52" s="31">
        <v>70</v>
      </c>
      <c r="V52" s="32">
        <v>5</v>
      </c>
      <c r="W52" s="32">
        <v>0</v>
      </c>
      <c r="X52" s="32">
        <v>52</v>
      </c>
      <c r="Y52" s="75">
        <v>10</v>
      </c>
      <c r="Z52" s="33">
        <v>0</v>
      </c>
      <c r="AA52" s="34">
        <v>42</v>
      </c>
      <c r="AB52" s="34">
        <v>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/>
      <c r="AI52" s="22"/>
      <c r="AK52" s="87">
        <f t="shared" si="2"/>
        <v>0.75</v>
      </c>
      <c r="AL52" s="87">
        <f t="shared" si="2"/>
        <v>0.75</v>
      </c>
      <c r="AM52" s="87">
        <f t="shared" si="2"/>
        <v>0.58333333333333337</v>
      </c>
      <c r="AN52" s="87">
        <f t="shared" si="2"/>
        <v>0.7142857142857143</v>
      </c>
      <c r="AO52" s="87">
        <f t="shared" si="2"/>
        <v>0</v>
      </c>
      <c r="AP52" s="87"/>
      <c r="AQ52" s="87"/>
      <c r="AR52" s="87"/>
      <c r="AS52" s="87">
        <f t="shared" si="3"/>
        <v>0.24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40</v>
      </c>
      <c r="T53" s="31">
        <v>12</v>
      </c>
      <c r="U53" s="31">
        <v>10</v>
      </c>
      <c r="V53" s="32">
        <v>5</v>
      </c>
      <c r="W53" s="32">
        <v>0</v>
      </c>
      <c r="X53" s="32">
        <v>120</v>
      </c>
      <c r="Y53" s="75">
        <v>0</v>
      </c>
      <c r="Z53" s="33">
        <v>0</v>
      </c>
      <c r="AA53" s="34">
        <v>20</v>
      </c>
      <c r="AB53" s="34">
        <v>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1</v>
      </c>
      <c r="AL53" s="87">
        <f t="shared" si="2"/>
        <v>0.6</v>
      </c>
      <c r="AM53" s="87">
        <f t="shared" si="2"/>
        <v>8.3333333333333329E-2</v>
      </c>
      <c r="AN53" s="87">
        <f t="shared" si="2"/>
        <v>0.7142857142857143</v>
      </c>
      <c r="AO53" s="87">
        <f t="shared" si="2"/>
        <v>0</v>
      </c>
      <c r="AP53" s="87"/>
      <c r="AQ53" s="87"/>
      <c r="AR53" s="87"/>
      <c r="AS53" s="87">
        <f t="shared" si="3"/>
        <v>0.11428571428571428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>
        <v>40</v>
      </c>
      <c r="T54" s="31">
        <v>20</v>
      </c>
      <c r="U54" s="31">
        <v>100</v>
      </c>
      <c r="V54" s="32">
        <v>2</v>
      </c>
      <c r="W54" s="32">
        <v>0</v>
      </c>
      <c r="X54" s="32">
        <v>20</v>
      </c>
      <c r="Y54" s="75">
        <v>0</v>
      </c>
      <c r="Z54" s="33">
        <v>0</v>
      </c>
      <c r="AA54" s="34">
        <v>90</v>
      </c>
      <c r="AB54" s="34">
        <v>0</v>
      </c>
      <c r="AC54" s="34">
        <v>0</v>
      </c>
      <c r="AD54" s="35">
        <v>0</v>
      </c>
      <c r="AE54" s="34">
        <v>0</v>
      </c>
      <c r="AF54" s="34">
        <v>0</v>
      </c>
      <c r="AG54" s="34">
        <v>0</v>
      </c>
      <c r="AH54" s="21" t="s">
        <v>119</v>
      </c>
      <c r="AI54" s="22"/>
      <c r="AK54" s="87">
        <f t="shared" si="2"/>
        <v>1</v>
      </c>
      <c r="AL54" s="87">
        <f t="shared" si="2"/>
        <v>1</v>
      </c>
      <c r="AM54" s="87">
        <f t="shared" si="2"/>
        <v>0.83333333333333337</v>
      </c>
      <c r="AN54" s="87">
        <f t="shared" si="2"/>
        <v>0.2857142857142857</v>
      </c>
      <c r="AO54" s="87">
        <f t="shared" si="2"/>
        <v>0</v>
      </c>
      <c r="AP54" s="87"/>
      <c r="AQ54" s="87"/>
      <c r="AR54" s="87"/>
      <c r="AS54" s="87">
        <f t="shared" si="3"/>
        <v>0.51428571428571423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1393</v>
      </c>
      <c r="T55" s="61">
        <f t="shared" si="4"/>
        <v>801</v>
      </c>
      <c r="U55" s="61">
        <f t="shared" si="4"/>
        <v>5185</v>
      </c>
      <c r="V55" s="61">
        <f t="shared" si="4"/>
        <v>105</v>
      </c>
      <c r="W55" s="61">
        <f t="shared" si="4"/>
        <v>25</v>
      </c>
      <c r="X55" s="61">
        <f t="shared" si="4"/>
        <v>1936</v>
      </c>
      <c r="Y55" s="61">
        <f t="shared" si="4"/>
        <v>222</v>
      </c>
      <c r="Z55" s="61">
        <f t="shared" si="4"/>
        <v>0</v>
      </c>
      <c r="AA55" s="61">
        <f t="shared" si="4"/>
        <v>1831</v>
      </c>
      <c r="AB55" s="61">
        <f t="shared" si="4"/>
        <v>0</v>
      </c>
      <c r="AC55" s="61">
        <f t="shared" si="4"/>
        <v>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0.69650000000000001</v>
      </c>
      <c r="AL55" s="87">
        <f t="shared" si="2"/>
        <v>0.80100000000000005</v>
      </c>
      <c r="AM55" s="87">
        <f t="shared" si="2"/>
        <v>0.86416666666666664</v>
      </c>
      <c r="AN55" s="87">
        <f t="shared" si="2"/>
        <v>0.3</v>
      </c>
      <c r="AO55" s="87">
        <f t="shared" si="2"/>
        <v>0.125</v>
      </c>
      <c r="AP55" s="87"/>
      <c r="AQ55" s="87"/>
      <c r="AR55" s="87"/>
      <c r="AS55" s="87">
        <f t="shared" si="3"/>
        <v>0.20925714285714286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1" t="s">
        <v>18</v>
      </c>
      <c r="C57" s="112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1393</v>
      </c>
      <c r="T57" s="24">
        <f>T55</f>
        <v>801</v>
      </c>
      <c r="U57" s="24">
        <f>U55/120</f>
        <v>43.208333333333336</v>
      </c>
      <c r="V57" s="25">
        <f>V55/6</f>
        <v>17.5</v>
      </c>
      <c r="W57" s="25">
        <f>W55/10</f>
        <v>2.5</v>
      </c>
      <c r="X57" s="25">
        <f>X55/100</f>
        <v>19.36</v>
      </c>
      <c r="Y57" s="76">
        <f>Y55/20</f>
        <v>11.1</v>
      </c>
      <c r="Z57" s="26">
        <f>Z55/60</f>
        <v>0</v>
      </c>
      <c r="AA57" s="27">
        <f>AA55/120</f>
        <v>15.258333333333333</v>
      </c>
      <c r="AB57" s="27">
        <f>AB55/100</f>
        <v>0</v>
      </c>
      <c r="AC57" s="27">
        <f>AC55/60</f>
        <v>0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7.2013888888888882E-3</v>
      </c>
      <c r="AN57" s="25">
        <f>AN55/6</f>
        <v>4.9999999999999996E-2</v>
      </c>
      <c r="AO57" s="25">
        <f>AO55/20</f>
        <v>6.2500000000000003E-3</v>
      </c>
      <c r="AP57" s="25">
        <f>AP55/100</f>
        <v>0</v>
      </c>
      <c r="AQ57" s="76"/>
      <c r="AR57" s="26">
        <f>AR55/20</f>
        <v>0</v>
      </c>
      <c r="AS57" s="27">
        <f>AS55/120</f>
        <v>1.7438095238095238E-3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</sheetData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CC774-C058-49E9-A645-1D90626A1893}">
  <dimension ref="A1:AY73"/>
  <sheetViews>
    <sheetView topLeftCell="B1" zoomScale="50" zoomScaleNormal="50" workbookViewId="0">
      <pane xSplit="2" ySplit="4" topLeftCell="D24" activePane="bottomRight" state="frozen"/>
      <selection activeCell="E29" sqref="E29"/>
      <selection pane="topRight" activeCell="E29" sqref="E29"/>
      <selection pane="bottomLeft" activeCell="E29" sqref="E29"/>
      <selection pane="bottomRight" activeCell="D24" sqref="D24:H73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46114</v>
      </c>
      <c r="D2" s="113" t="s">
        <v>107</v>
      </c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5" t="s">
        <v>108</v>
      </c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7"/>
      <c r="AK2" s="118" t="s">
        <v>109</v>
      </c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20"/>
    </row>
    <row r="3" spans="2:51" ht="18" thickBot="1" x14ac:dyDescent="0.3">
      <c r="B3" s="121" t="s">
        <v>1</v>
      </c>
      <c r="C3" s="123" t="s">
        <v>2</v>
      </c>
      <c r="D3" s="5" t="s">
        <v>3</v>
      </c>
      <c r="E3" s="6" t="str">
        <f>T3</f>
        <v>Acheteurs</v>
      </c>
      <c r="F3" s="125" t="s">
        <v>4</v>
      </c>
      <c r="G3" s="125"/>
      <c r="H3" s="125"/>
      <c r="I3" s="125"/>
      <c r="J3" s="126"/>
      <c r="K3" s="56"/>
      <c r="L3" s="127" t="s">
        <v>5</v>
      </c>
      <c r="M3" s="128"/>
      <c r="N3" s="129"/>
      <c r="O3" s="70"/>
      <c r="P3" s="70"/>
      <c r="Q3" s="70"/>
      <c r="R3" s="70"/>
      <c r="S3" s="7" t="s">
        <v>3</v>
      </c>
      <c r="T3" s="7" t="s">
        <v>6</v>
      </c>
      <c r="U3" s="130" t="s">
        <v>7</v>
      </c>
      <c r="V3" s="131"/>
      <c r="W3" s="131"/>
      <c r="X3" s="131"/>
      <c r="Y3" s="131"/>
      <c r="Z3" s="132"/>
      <c r="AA3" s="133" t="str">
        <f>L3</f>
        <v>Gratuités pour achats 
(en unités)</v>
      </c>
      <c r="AB3" s="134"/>
      <c r="AC3" s="135"/>
      <c r="AD3" s="133" t="s">
        <v>19</v>
      </c>
      <c r="AE3" s="134"/>
      <c r="AF3" s="134"/>
      <c r="AG3" s="135"/>
      <c r="AH3" s="136" t="s">
        <v>8</v>
      </c>
      <c r="AI3" s="138" t="s">
        <v>9</v>
      </c>
      <c r="AK3" s="79" t="s">
        <v>3</v>
      </c>
      <c r="AL3" s="79" t="s">
        <v>6</v>
      </c>
      <c r="AM3" s="140" t="s">
        <v>7</v>
      </c>
      <c r="AN3" s="141"/>
      <c r="AO3" s="141"/>
      <c r="AP3" s="141"/>
      <c r="AQ3" s="141"/>
      <c r="AR3" s="142"/>
      <c r="AS3" s="143" t="str">
        <f>AD3</f>
        <v>GOODIES</v>
      </c>
      <c r="AT3" s="144"/>
      <c r="AU3" s="145"/>
      <c r="AV3" s="143" t="s">
        <v>19</v>
      </c>
      <c r="AW3" s="144"/>
      <c r="AX3" s="144"/>
      <c r="AY3" s="145"/>
    </row>
    <row r="4" spans="2:51" ht="202.2" thickBot="1" x14ac:dyDescent="0.3">
      <c r="B4" s="122"/>
      <c r="C4" s="12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7"/>
      <c r="AI4" s="139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34.799999999999997" x14ac:dyDescent="0.25">
      <c r="B5" s="16" t="s">
        <v>45</v>
      </c>
      <c r="C5" s="16" t="s">
        <v>46</v>
      </c>
      <c r="D5" s="17">
        <v>60</v>
      </c>
      <c r="E5" s="18">
        <v>35</v>
      </c>
      <c r="F5" s="17">
        <v>180</v>
      </c>
      <c r="G5" s="19">
        <v>12</v>
      </c>
      <c r="H5" s="19">
        <v>5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/>
      <c r="T5" s="31"/>
      <c r="U5" s="31"/>
      <c r="V5" s="32"/>
      <c r="W5" s="32"/>
      <c r="X5" s="32"/>
      <c r="Y5" s="75"/>
      <c r="Z5" s="33"/>
      <c r="AA5" s="34"/>
      <c r="AB5" s="34"/>
      <c r="AC5" s="34"/>
      <c r="AD5" s="35"/>
      <c r="AE5" s="34"/>
      <c r="AF5" s="34"/>
      <c r="AG5" s="34"/>
      <c r="AH5" s="21" t="s">
        <v>133</v>
      </c>
      <c r="AI5" s="22"/>
      <c r="AK5" s="87">
        <f>S5/D5</f>
        <v>0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60</v>
      </c>
      <c r="E6" s="18">
        <v>35</v>
      </c>
      <c r="F6" s="17">
        <v>180</v>
      </c>
      <c r="G6" s="19">
        <v>12</v>
      </c>
      <c r="H6" s="19">
        <v>5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>
        <v>27</v>
      </c>
      <c r="T6" s="31">
        <v>15</v>
      </c>
      <c r="U6" s="31">
        <v>50</v>
      </c>
      <c r="V6" s="32">
        <v>0</v>
      </c>
      <c r="W6" s="32">
        <v>0</v>
      </c>
      <c r="X6" s="32">
        <v>40</v>
      </c>
      <c r="Y6" s="75">
        <v>0</v>
      </c>
      <c r="Z6" s="33">
        <v>0</v>
      </c>
      <c r="AA6" s="34">
        <v>18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7">
        <f t="shared" ref="AK6:AO55" si="2">S6/D6</f>
        <v>0.45</v>
      </c>
      <c r="AL6" s="87">
        <f t="shared" si="0"/>
        <v>0.42857142857142855</v>
      </c>
      <c r="AM6" s="87">
        <f t="shared" si="0"/>
        <v>0.27777777777777779</v>
      </c>
      <c r="AN6" s="87">
        <f t="shared" si="0"/>
        <v>0</v>
      </c>
      <c r="AO6" s="87">
        <f t="shared" si="0"/>
        <v>0</v>
      </c>
      <c r="AP6" s="87"/>
      <c r="AQ6" s="87"/>
      <c r="AR6" s="87"/>
      <c r="AS6" s="87">
        <f t="shared" si="0"/>
        <v>0.10285714285714286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60</v>
      </c>
      <c r="E7" s="18">
        <v>35</v>
      </c>
      <c r="F7" s="17">
        <v>180</v>
      </c>
      <c r="G7" s="19">
        <v>12</v>
      </c>
      <c r="H7" s="19">
        <v>5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27</v>
      </c>
      <c r="T7" s="31">
        <v>18</v>
      </c>
      <c r="U7" s="31">
        <v>100</v>
      </c>
      <c r="V7" s="32">
        <v>7</v>
      </c>
      <c r="W7" s="32">
        <v>0</v>
      </c>
      <c r="X7" s="32">
        <v>50</v>
      </c>
      <c r="Y7" s="75">
        <v>0</v>
      </c>
      <c r="Z7" s="33">
        <v>0</v>
      </c>
      <c r="AA7" s="34">
        <v>10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0.45</v>
      </c>
      <c r="AL7" s="87">
        <f t="shared" si="0"/>
        <v>0.51428571428571423</v>
      </c>
      <c r="AM7" s="87">
        <f t="shared" si="0"/>
        <v>0.55555555555555558</v>
      </c>
      <c r="AN7" s="87">
        <f t="shared" si="0"/>
        <v>0.58333333333333337</v>
      </c>
      <c r="AO7" s="87">
        <f t="shared" si="0"/>
        <v>0</v>
      </c>
      <c r="AP7" s="87"/>
      <c r="AQ7" s="87"/>
      <c r="AR7" s="87"/>
      <c r="AS7" s="87">
        <f t="shared" si="0"/>
        <v>5.7142857142857141E-2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60</v>
      </c>
      <c r="E8" s="18">
        <v>35</v>
      </c>
      <c r="F8" s="17">
        <v>180</v>
      </c>
      <c r="G8" s="19">
        <v>12</v>
      </c>
      <c r="H8" s="19">
        <v>5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22</v>
      </c>
      <c r="T8" s="31">
        <v>16</v>
      </c>
      <c r="U8" s="31">
        <v>120</v>
      </c>
      <c r="V8" s="32">
        <v>3</v>
      </c>
      <c r="W8" s="32">
        <v>0</v>
      </c>
      <c r="X8" s="32">
        <v>30</v>
      </c>
      <c r="Y8" s="75">
        <v>0</v>
      </c>
      <c r="Z8" s="33">
        <v>0</v>
      </c>
      <c r="AA8" s="34">
        <v>20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7">
        <f t="shared" si="2"/>
        <v>0.36666666666666664</v>
      </c>
      <c r="AL8" s="87">
        <f t="shared" si="0"/>
        <v>0.45714285714285713</v>
      </c>
      <c r="AM8" s="87">
        <f t="shared" si="0"/>
        <v>0.66666666666666663</v>
      </c>
      <c r="AN8" s="87">
        <f t="shared" si="0"/>
        <v>0.25</v>
      </c>
      <c r="AO8" s="87">
        <f t="shared" si="0"/>
        <v>0</v>
      </c>
      <c r="AP8" s="87"/>
      <c r="AQ8" s="87"/>
      <c r="AR8" s="87"/>
      <c r="AS8" s="87">
        <f t="shared" si="0"/>
        <v>0.11428571428571428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60</v>
      </c>
      <c r="E9" s="18">
        <v>35</v>
      </c>
      <c r="F9" s="17">
        <v>180</v>
      </c>
      <c r="G9" s="19">
        <v>12</v>
      </c>
      <c r="H9" s="19">
        <v>5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30</v>
      </c>
      <c r="T9" s="31">
        <v>25</v>
      </c>
      <c r="U9" s="31">
        <v>340</v>
      </c>
      <c r="V9" s="32">
        <v>6</v>
      </c>
      <c r="W9" s="32">
        <v>0</v>
      </c>
      <c r="X9" s="32">
        <v>70</v>
      </c>
      <c r="Y9" s="75">
        <v>0</v>
      </c>
      <c r="Z9" s="33">
        <v>0</v>
      </c>
      <c r="AA9" s="34">
        <v>230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21"/>
      <c r="AI9" s="22"/>
      <c r="AK9" s="87">
        <f t="shared" si="2"/>
        <v>0.5</v>
      </c>
      <c r="AL9" s="87">
        <f t="shared" si="0"/>
        <v>0.7142857142857143</v>
      </c>
      <c r="AM9" s="87">
        <f t="shared" si="0"/>
        <v>1.8888888888888888</v>
      </c>
      <c r="AN9" s="87">
        <f t="shared" si="0"/>
        <v>0.5</v>
      </c>
      <c r="AO9" s="87">
        <f t="shared" si="0"/>
        <v>0</v>
      </c>
      <c r="AP9" s="87"/>
      <c r="AQ9" s="87"/>
      <c r="AR9" s="87"/>
      <c r="AS9" s="87">
        <f t="shared" si="0"/>
        <v>1.3142857142857143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60</v>
      </c>
      <c r="E10" s="18">
        <v>35</v>
      </c>
      <c r="F10" s="17">
        <v>180</v>
      </c>
      <c r="G10" s="19">
        <v>12</v>
      </c>
      <c r="H10" s="19">
        <v>5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22</v>
      </c>
      <c r="T10" s="31">
        <v>17</v>
      </c>
      <c r="U10" s="31">
        <v>190</v>
      </c>
      <c r="V10" s="32">
        <v>4</v>
      </c>
      <c r="W10" s="32">
        <v>0</v>
      </c>
      <c r="X10" s="32">
        <v>60</v>
      </c>
      <c r="Y10" s="75">
        <v>0</v>
      </c>
      <c r="Z10" s="33">
        <v>0</v>
      </c>
      <c r="AA10" s="34">
        <v>59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21"/>
      <c r="AI10" s="22"/>
      <c r="AK10" s="87">
        <f t="shared" si="2"/>
        <v>0.36666666666666664</v>
      </c>
      <c r="AL10" s="87">
        <f t="shared" si="0"/>
        <v>0.48571428571428571</v>
      </c>
      <c r="AM10" s="87">
        <f t="shared" si="0"/>
        <v>1.0555555555555556</v>
      </c>
      <c r="AN10" s="87">
        <f t="shared" si="0"/>
        <v>0.33333333333333331</v>
      </c>
      <c r="AO10" s="87">
        <f t="shared" si="0"/>
        <v>0</v>
      </c>
      <c r="AP10" s="87"/>
      <c r="AQ10" s="87"/>
      <c r="AR10" s="87"/>
      <c r="AS10" s="87">
        <f t="shared" si="0"/>
        <v>0.33714285714285713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60</v>
      </c>
      <c r="E11" s="18">
        <v>35</v>
      </c>
      <c r="F11" s="17">
        <v>180</v>
      </c>
      <c r="G11" s="19">
        <v>12</v>
      </c>
      <c r="H11" s="19">
        <v>5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20</v>
      </c>
      <c r="T11" s="31">
        <v>15</v>
      </c>
      <c r="U11" s="31">
        <v>60</v>
      </c>
      <c r="V11" s="32">
        <v>2</v>
      </c>
      <c r="W11" s="32">
        <v>0</v>
      </c>
      <c r="X11" s="32">
        <v>20</v>
      </c>
      <c r="Y11" s="75">
        <v>0</v>
      </c>
      <c r="Z11" s="33">
        <v>0</v>
      </c>
      <c r="AA11" s="34">
        <v>10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7">
        <f t="shared" si="2"/>
        <v>0.33333333333333331</v>
      </c>
      <c r="AL11" s="87">
        <f t="shared" si="0"/>
        <v>0.42857142857142855</v>
      </c>
      <c r="AM11" s="87">
        <f t="shared" si="0"/>
        <v>0.33333333333333331</v>
      </c>
      <c r="AN11" s="87">
        <f t="shared" si="0"/>
        <v>0.16666666666666666</v>
      </c>
      <c r="AO11" s="87">
        <f t="shared" si="0"/>
        <v>0</v>
      </c>
      <c r="AP11" s="87"/>
      <c r="AQ11" s="87"/>
      <c r="AR11" s="87"/>
      <c r="AS11" s="87">
        <f t="shared" si="0"/>
        <v>5.7142857142857141E-2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60</v>
      </c>
      <c r="E12" s="18">
        <v>35</v>
      </c>
      <c r="F12" s="17">
        <v>180</v>
      </c>
      <c r="G12" s="19">
        <v>12</v>
      </c>
      <c r="H12" s="19">
        <v>5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20</v>
      </c>
      <c r="T12" s="31">
        <v>13</v>
      </c>
      <c r="U12" s="31">
        <v>40</v>
      </c>
      <c r="V12" s="32">
        <v>0</v>
      </c>
      <c r="W12" s="32">
        <v>0</v>
      </c>
      <c r="X12" s="32">
        <v>20</v>
      </c>
      <c r="Y12" s="75">
        <v>7</v>
      </c>
      <c r="Z12" s="33">
        <v>0</v>
      </c>
      <c r="AA12" s="34">
        <v>21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21"/>
      <c r="AI12" s="22"/>
      <c r="AK12" s="87">
        <f t="shared" si="2"/>
        <v>0.33333333333333331</v>
      </c>
      <c r="AL12" s="87">
        <f t="shared" si="0"/>
        <v>0.37142857142857144</v>
      </c>
      <c r="AM12" s="87">
        <f t="shared" si="0"/>
        <v>0.22222222222222221</v>
      </c>
      <c r="AN12" s="87">
        <f t="shared" si="0"/>
        <v>0</v>
      </c>
      <c r="AO12" s="87">
        <f t="shared" si="0"/>
        <v>0</v>
      </c>
      <c r="AP12" s="87"/>
      <c r="AQ12" s="87"/>
      <c r="AR12" s="87"/>
      <c r="AS12" s="87">
        <f t="shared" si="0"/>
        <v>0.12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60</v>
      </c>
      <c r="E13" s="18">
        <v>35</v>
      </c>
      <c r="F13" s="17">
        <v>180</v>
      </c>
      <c r="G13" s="19">
        <v>12</v>
      </c>
      <c r="H13" s="19">
        <v>5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37</v>
      </c>
      <c r="T13" s="31">
        <v>28</v>
      </c>
      <c r="U13" s="31">
        <v>180</v>
      </c>
      <c r="V13" s="32">
        <v>2</v>
      </c>
      <c r="W13" s="32">
        <v>0</v>
      </c>
      <c r="X13" s="32">
        <v>135</v>
      </c>
      <c r="Y13" s="75">
        <v>10</v>
      </c>
      <c r="Z13" s="33">
        <v>0</v>
      </c>
      <c r="AA13" s="34">
        <v>65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7">
        <f t="shared" si="2"/>
        <v>0.6166666666666667</v>
      </c>
      <c r="AL13" s="87">
        <f t="shared" si="0"/>
        <v>0.8</v>
      </c>
      <c r="AM13" s="87">
        <f t="shared" si="0"/>
        <v>1</v>
      </c>
      <c r="AN13" s="87">
        <f t="shared" si="0"/>
        <v>0.16666666666666666</v>
      </c>
      <c r="AO13" s="87">
        <f t="shared" si="0"/>
        <v>0</v>
      </c>
      <c r="AP13" s="87"/>
      <c r="AQ13" s="87"/>
      <c r="AR13" s="87"/>
      <c r="AS13" s="87">
        <f t="shared" si="0"/>
        <v>0.37142857142857144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60</v>
      </c>
      <c r="E14" s="18">
        <v>35</v>
      </c>
      <c r="F14" s="17">
        <v>180</v>
      </c>
      <c r="G14" s="19">
        <v>12</v>
      </c>
      <c r="H14" s="19">
        <v>5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56</v>
      </c>
      <c r="T14" s="31">
        <v>39</v>
      </c>
      <c r="U14" s="31">
        <v>235</v>
      </c>
      <c r="V14" s="32">
        <v>3</v>
      </c>
      <c r="W14" s="32">
        <v>0</v>
      </c>
      <c r="X14" s="32">
        <v>120</v>
      </c>
      <c r="Y14" s="75">
        <v>20</v>
      </c>
      <c r="Z14" s="33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21"/>
      <c r="AI14" s="22"/>
      <c r="AK14" s="87">
        <f t="shared" si="2"/>
        <v>0.93333333333333335</v>
      </c>
      <c r="AL14" s="87">
        <f t="shared" si="0"/>
        <v>1.1142857142857143</v>
      </c>
      <c r="AM14" s="87">
        <f t="shared" si="0"/>
        <v>1.3055555555555556</v>
      </c>
      <c r="AN14" s="87">
        <f t="shared" si="0"/>
        <v>0.25</v>
      </c>
      <c r="AO14" s="87">
        <f t="shared" si="0"/>
        <v>0</v>
      </c>
      <c r="AP14" s="87"/>
      <c r="AQ14" s="87"/>
      <c r="AR14" s="87"/>
      <c r="AS14" s="87">
        <f t="shared" si="0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60</v>
      </c>
      <c r="E15" s="18">
        <v>35</v>
      </c>
      <c r="F15" s="17">
        <v>180</v>
      </c>
      <c r="G15" s="19">
        <v>12</v>
      </c>
      <c r="H15" s="19">
        <v>5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20</v>
      </c>
      <c r="T15" s="31">
        <v>10</v>
      </c>
      <c r="U15" s="31">
        <v>9</v>
      </c>
      <c r="V15" s="32">
        <v>2</v>
      </c>
      <c r="W15" s="32">
        <v>0</v>
      </c>
      <c r="X15" s="32">
        <v>3</v>
      </c>
      <c r="Y15" s="75">
        <v>5</v>
      </c>
      <c r="Z15" s="33">
        <v>0</v>
      </c>
      <c r="AA15" s="34">
        <v>15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7">
        <f t="shared" si="2"/>
        <v>0.33333333333333331</v>
      </c>
      <c r="AL15" s="87">
        <f t="shared" si="0"/>
        <v>0.2857142857142857</v>
      </c>
      <c r="AM15" s="87">
        <f t="shared" si="0"/>
        <v>0.05</v>
      </c>
      <c r="AN15" s="87">
        <f t="shared" si="0"/>
        <v>0.16666666666666666</v>
      </c>
      <c r="AO15" s="87">
        <f t="shared" si="0"/>
        <v>0</v>
      </c>
      <c r="AP15" s="87"/>
      <c r="AQ15" s="87"/>
      <c r="AR15" s="87"/>
      <c r="AS15" s="87">
        <f t="shared" si="0"/>
        <v>8.5714285714285715E-2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60</v>
      </c>
      <c r="E16" s="18">
        <v>35</v>
      </c>
      <c r="F16" s="17">
        <v>180</v>
      </c>
      <c r="G16" s="19">
        <v>12</v>
      </c>
      <c r="H16" s="19">
        <v>5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20</v>
      </c>
      <c r="T16" s="31">
        <v>13</v>
      </c>
      <c r="U16" s="31">
        <v>105</v>
      </c>
      <c r="V16" s="32">
        <v>3</v>
      </c>
      <c r="W16" s="32">
        <v>0</v>
      </c>
      <c r="X16" s="32">
        <v>5</v>
      </c>
      <c r="Y16" s="75">
        <v>0</v>
      </c>
      <c r="Z16" s="33">
        <v>0</v>
      </c>
      <c r="AA16" s="34">
        <v>30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/>
      <c r="AI16" s="22"/>
      <c r="AK16" s="87">
        <f t="shared" si="2"/>
        <v>0.33333333333333331</v>
      </c>
      <c r="AL16" s="87">
        <f t="shared" si="0"/>
        <v>0.37142857142857144</v>
      </c>
      <c r="AM16" s="87">
        <f t="shared" si="0"/>
        <v>0.58333333333333337</v>
      </c>
      <c r="AN16" s="87">
        <f t="shared" si="0"/>
        <v>0.25</v>
      </c>
      <c r="AO16" s="87">
        <f t="shared" si="0"/>
        <v>0</v>
      </c>
      <c r="AP16" s="87"/>
      <c r="AQ16" s="87"/>
      <c r="AR16" s="87"/>
      <c r="AS16" s="87">
        <f t="shared" si="0"/>
        <v>0.17142857142857143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60</v>
      </c>
      <c r="E17" s="18">
        <v>35</v>
      </c>
      <c r="F17" s="17">
        <v>180</v>
      </c>
      <c r="G17" s="19">
        <v>12</v>
      </c>
      <c r="H17" s="19">
        <v>5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20</v>
      </c>
      <c r="T17" s="31">
        <v>16</v>
      </c>
      <c r="U17" s="31">
        <v>64</v>
      </c>
      <c r="V17" s="32">
        <v>4</v>
      </c>
      <c r="W17" s="32">
        <v>0</v>
      </c>
      <c r="X17" s="32">
        <v>30</v>
      </c>
      <c r="Y17" s="75">
        <v>0</v>
      </c>
      <c r="Z17" s="33">
        <v>0</v>
      </c>
      <c r="AA17" s="34">
        <v>25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21"/>
      <c r="AI17" s="22"/>
      <c r="AK17" s="87">
        <f t="shared" si="2"/>
        <v>0.33333333333333331</v>
      </c>
      <c r="AL17" s="87">
        <f t="shared" si="0"/>
        <v>0.45714285714285713</v>
      </c>
      <c r="AM17" s="87">
        <f t="shared" si="0"/>
        <v>0.35555555555555557</v>
      </c>
      <c r="AN17" s="87">
        <f t="shared" si="0"/>
        <v>0.33333333333333331</v>
      </c>
      <c r="AO17" s="87">
        <f t="shared" si="0"/>
        <v>0</v>
      </c>
      <c r="AP17" s="87"/>
      <c r="AQ17" s="87"/>
      <c r="AR17" s="87"/>
      <c r="AS17" s="87">
        <f t="shared" si="0"/>
        <v>0.14285714285714285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60</v>
      </c>
      <c r="E18" s="18">
        <v>35</v>
      </c>
      <c r="F18" s="17">
        <v>180</v>
      </c>
      <c r="G18" s="19">
        <v>12</v>
      </c>
      <c r="H18" s="19">
        <v>5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40</v>
      </c>
      <c r="T18" s="31">
        <v>25</v>
      </c>
      <c r="U18" s="31">
        <v>158</v>
      </c>
      <c r="V18" s="32">
        <v>0</v>
      </c>
      <c r="W18" s="32">
        <v>0</v>
      </c>
      <c r="X18" s="32">
        <v>0</v>
      </c>
      <c r="Y18" s="75">
        <v>0</v>
      </c>
      <c r="Z18" s="33">
        <v>0</v>
      </c>
      <c r="AA18" s="34">
        <v>31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7">
        <f t="shared" si="2"/>
        <v>0.66666666666666663</v>
      </c>
      <c r="AL18" s="87">
        <f t="shared" si="0"/>
        <v>0.7142857142857143</v>
      </c>
      <c r="AM18" s="87">
        <f t="shared" si="0"/>
        <v>0.87777777777777777</v>
      </c>
      <c r="AN18" s="87">
        <f t="shared" si="0"/>
        <v>0</v>
      </c>
      <c r="AO18" s="87">
        <f t="shared" si="0"/>
        <v>0</v>
      </c>
      <c r="AP18" s="87"/>
      <c r="AQ18" s="87"/>
      <c r="AR18" s="87"/>
      <c r="AS18" s="87">
        <f t="shared" si="0"/>
        <v>0.17714285714285713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60</v>
      </c>
      <c r="E19" s="18">
        <v>35</v>
      </c>
      <c r="F19" s="17">
        <v>180</v>
      </c>
      <c r="G19" s="19">
        <v>12</v>
      </c>
      <c r="H19" s="19">
        <v>5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15</v>
      </c>
      <c r="T19" s="31">
        <v>6</v>
      </c>
      <c r="U19" s="31">
        <v>27</v>
      </c>
      <c r="V19" s="32">
        <v>0</v>
      </c>
      <c r="W19" s="32">
        <v>0</v>
      </c>
      <c r="X19" s="32">
        <v>12</v>
      </c>
      <c r="Y19" s="75">
        <v>0</v>
      </c>
      <c r="Z19" s="33">
        <v>0</v>
      </c>
      <c r="AA19" s="34">
        <v>10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7">
        <f t="shared" si="2"/>
        <v>0.25</v>
      </c>
      <c r="AL19" s="87">
        <f t="shared" si="0"/>
        <v>0.17142857142857143</v>
      </c>
      <c r="AM19" s="87">
        <f t="shared" si="0"/>
        <v>0.15</v>
      </c>
      <c r="AN19" s="87">
        <f t="shared" si="0"/>
        <v>0</v>
      </c>
      <c r="AO19" s="87">
        <f t="shared" si="0"/>
        <v>0</v>
      </c>
      <c r="AP19" s="87"/>
      <c r="AQ19" s="87"/>
      <c r="AR19" s="87"/>
      <c r="AS19" s="87">
        <f t="shared" si="0"/>
        <v>5.7142857142857141E-2</v>
      </c>
      <c r="AT19" s="87"/>
      <c r="AU19" s="87"/>
      <c r="AV19" s="87"/>
      <c r="AW19" s="87"/>
      <c r="AX19" s="87"/>
      <c r="AY19" s="87"/>
    </row>
    <row r="20" spans="2:51" ht="34.799999999999997" x14ac:dyDescent="0.25">
      <c r="B20" s="16" t="s">
        <v>45</v>
      </c>
      <c r="C20" s="16" t="s">
        <v>60</v>
      </c>
      <c r="D20" s="17">
        <v>60</v>
      </c>
      <c r="E20" s="18">
        <v>35</v>
      </c>
      <c r="F20" s="17">
        <v>180</v>
      </c>
      <c r="G20" s="19">
        <v>12</v>
      </c>
      <c r="H20" s="19">
        <v>5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44</v>
      </c>
      <c r="T20" s="31">
        <v>33</v>
      </c>
      <c r="U20" s="31">
        <v>135</v>
      </c>
      <c r="V20" s="32">
        <v>0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 t="s">
        <v>122</v>
      </c>
      <c r="AI20" s="22"/>
      <c r="AK20" s="87">
        <f t="shared" si="2"/>
        <v>0.73333333333333328</v>
      </c>
      <c r="AL20" s="87">
        <f t="shared" si="0"/>
        <v>0.94285714285714284</v>
      </c>
      <c r="AM20" s="87">
        <f t="shared" si="0"/>
        <v>0.75</v>
      </c>
      <c r="AN20" s="87">
        <f t="shared" si="0"/>
        <v>0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60</v>
      </c>
      <c r="E21" s="18">
        <v>35</v>
      </c>
      <c r="F21" s="17">
        <v>180</v>
      </c>
      <c r="G21" s="19">
        <v>12</v>
      </c>
      <c r="H21" s="19">
        <v>5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30</v>
      </c>
      <c r="T21" s="31">
        <v>27</v>
      </c>
      <c r="U21" s="31">
        <v>180</v>
      </c>
      <c r="V21" s="32">
        <v>4</v>
      </c>
      <c r="W21" s="32">
        <v>0</v>
      </c>
      <c r="X21" s="32">
        <v>80</v>
      </c>
      <c r="Y21" s="75">
        <v>5</v>
      </c>
      <c r="Z21" s="33">
        <v>0</v>
      </c>
      <c r="AA21" s="34">
        <v>90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21"/>
      <c r="AI21" s="22"/>
      <c r="AK21" s="87">
        <f t="shared" si="2"/>
        <v>0.5</v>
      </c>
      <c r="AL21" s="87">
        <f t="shared" si="2"/>
        <v>0.77142857142857146</v>
      </c>
      <c r="AM21" s="87">
        <f t="shared" si="2"/>
        <v>1</v>
      </c>
      <c r="AN21" s="87">
        <f t="shared" si="2"/>
        <v>0.33333333333333331</v>
      </c>
      <c r="AO21" s="87">
        <f t="shared" si="2"/>
        <v>0</v>
      </c>
      <c r="AP21" s="87"/>
      <c r="AQ21" s="87"/>
      <c r="AR21" s="87"/>
      <c r="AS21" s="87">
        <f t="shared" ref="AS21:AS55" si="3">AA21/L21</f>
        <v>0.51428571428571423</v>
      </c>
      <c r="AT21" s="87"/>
      <c r="AU21" s="87"/>
      <c r="AV21" s="87"/>
      <c r="AW21" s="87"/>
      <c r="AX21" s="87"/>
      <c r="AY21" s="87"/>
    </row>
    <row r="22" spans="2:51" ht="34.799999999999997" x14ac:dyDescent="0.25">
      <c r="B22" s="16" t="s">
        <v>45</v>
      </c>
      <c r="C22" s="16" t="s">
        <v>62</v>
      </c>
      <c r="D22" s="17">
        <v>60</v>
      </c>
      <c r="E22" s="18">
        <v>35</v>
      </c>
      <c r="F22" s="17">
        <v>180</v>
      </c>
      <c r="G22" s="19">
        <v>12</v>
      </c>
      <c r="H22" s="19">
        <v>5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5"/>
      <c r="Z22" s="33"/>
      <c r="AA22" s="34"/>
      <c r="AB22" s="34"/>
      <c r="AC22" s="34"/>
      <c r="AD22" s="35"/>
      <c r="AE22" s="34"/>
      <c r="AF22" s="34"/>
      <c r="AG22" s="34"/>
      <c r="AH22" s="21" t="s">
        <v>132</v>
      </c>
      <c r="AI22" s="22"/>
      <c r="AK22" s="87">
        <f t="shared" si="2"/>
        <v>0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34.799999999999997" x14ac:dyDescent="0.25">
      <c r="B23" s="16" t="s">
        <v>45</v>
      </c>
      <c r="C23" s="16" t="s">
        <v>63</v>
      </c>
      <c r="D23" s="17">
        <v>60</v>
      </c>
      <c r="E23" s="18">
        <v>35</v>
      </c>
      <c r="F23" s="17">
        <v>180</v>
      </c>
      <c r="G23" s="19">
        <v>12</v>
      </c>
      <c r="H23" s="19">
        <v>5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35</v>
      </c>
      <c r="T23" s="31">
        <v>18</v>
      </c>
      <c r="U23" s="31">
        <v>20</v>
      </c>
      <c r="V23" s="32">
        <v>7</v>
      </c>
      <c r="W23" s="32">
        <v>0</v>
      </c>
      <c r="X23" s="32">
        <v>15</v>
      </c>
      <c r="Y23" s="75">
        <v>5</v>
      </c>
      <c r="Z23" s="33">
        <v>0</v>
      </c>
      <c r="AA23" s="34">
        <v>20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 t="s">
        <v>123</v>
      </c>
      <c r="AI23" s="22"/>
      <c r="AK23" s="87">
        <f t="shared" si="2"/>
        <v>0.58333333333333337</v>
      </c>
      <c r="AL23" s="87">
        <f t="shared" si="2"/>
        <v>0.51428571428571423</v>
      </c>
      <c r="AM23" s="87">
        <f t="shared" si="2"/>
        <v>0.1111111111111111</v>
      </c>
      <c r="AN23" s="87">
        <f t="shared" si="2"/>
        <v>0.58333333333333337</v>
      </c>
      <c r="AO23" s="87">
        <f t="shared" si="2"/>
        <v>0</v>
      </c>
      <c r="AP23" s="87"/>
      <c r="AQ23" s="87"/>
      <c r="AR23" s="87"/>
      <c r="AS23" s="87">
        <f t="shared" si="3"/>
        <v>0.11428571428571428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41</v>
      </c>
      <c r="T24" s="31">
        <v>15</v>
      </c>
      <c r="U24" s="31">
        <v>41</v>
      </c>
      <c r="V24" s="32">
        <v>1</v>
      </c>
      <c r="W24" s="32">
        <v>0</v>
      </c>
      <c r="X24" s="32">
        <v>48</v>
      </c>
      <c r="Y24" s="75">
        <v>0</v>
      </c>
      <c r="Z24" s="33">
        <v>0</v>
      </c>
      <c r="AA24" s="34">
        <v>25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/>
      <c r="AI24" s="22"/>
      <c r="AK24" s="87">
        <f t="shared" si="2"/>
        <v>1.0249999999999999</v>
      </c>
      <c r="AL24" s="87">
        <f t="shared" si="2"/>
        <v>0.75</v>
      </c>
      <c r="AM24" s="87">
        <f t="shared" si="2"/>
        <v>0.34166666666666667</v>
      </c>
      <c r="AN24" s="87">
        <f t="shared" si="2"/>
        <v>0.14285714285714285</v>
      </c>
      <c r="AO24" s="87">
        <f t="shared" si="2"/>
        <v>0</v>
      </c>
      <c r="AP24" s="87"/>
      <c r="AQ24" s="87"/>
      <c r="AR24" s="87"/>
      <c r="AS24" s="87">
        <f t="shared" si="3"/>
        <v>0.14285714285714285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>
        <v>33</v>
      </c>
      <c r="T25" s="31">
        <v>25</v>
      </c>
      <c r="U25" s="31">
        <v>280</v>
      </c>
      <c r="V25" s="32">
        <v>2</v>
      </c>
      <c r="W25" s="32">
        <v>0</v>
      </c>
      <c r="X25" s="32">
        <v>50</v>
      </c>
      <c r="Y25" s="75">
        <v>20</v>
      </c>
      <c r="Z25" s="33">
        <v>0</v>
      </c>
      <c r="AA25" s="34">
        <v>30</v>
      </c>
      <c r="AB25" s="34">
        <v>0</v>
      </c>
      <c r="AC25" s="34">
        <v>0</v>
      </c>
      <c r="AD25" s="35">
        <v>0</v>
      </c>
      <c r="AE25" s="34">
        <v>0</v>
      </c>
      <c r="AF25" s="34">
        <v>0</v>
      </c>
      <c r="AG25" s="34">
        <v>0</v>
      </c>
      <c r="AH25" s="21"/>
      <c r="AI25" s="22"/>
      <c r="AK25" s="87">
        <f t="shared" si="2"/>
        <v>0.82499999999999996</v>
      </c>
      <c r="AL25" s="87">
        <f t="shared" si="2"/>
        <v>1.25</v>
      </c>
      <c r="AM25" s="87">
        <f t="shared" si="2"/>
        <v>2.3333333333333335</v>
      </c>
      <c r="AN25" s="87">
        <f t="shared" si="2"/>
        <v>0.2857142857142857</v>
      </c>
      <c r="AO25" s="87">
        <f t="shared" si="2"/>
        <v>0</v>
      </c>
      <c r="AP25" s="87"/>
      <c r="AQ25" s="87"/>
      <c r="AR25" s="87"/>
      <c r="AS25" s="87">
        <f t="shared" si="3"/>
        <v>0.17142857142857143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>
        <v>30</v>
      </c>
      <c r="T26" s="31">
        <v>22</v>
      </c>
      <c r="U26" s="31">
        <v>45</v>
      </c>
      <c r="V26" s="32">
        <v>3</v>
      </c>
      <c r="W26" s="32">
        <v>0</v>
      </c>
      <c r="X26" s="32">
        <v>56</v>
      </c>
      <c r="Y26" s="75">
        <v>0</v>
      </c>
      <c r="Z26" s="33">
        <v>0</v>
      </c>
      <c r="AA26" s="34">
        <v>78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21"/>
      <c r="AI26" s="22"/>
      <c r="AK26" s="87">
        <f t="shared" si="2"/>
        <v>0.75</v>
      </c>
      <c r="AL26" s="87">
        <f t="shared" si="2"/>
        <v>1.1000000000000001</v>
      </c>
      <c r="AM26" s="87">
        <f t="shared" si="2"/>
        <v>0.375</v>
      </c>
      <c r="AN26" s="87">
        <f t="shared" si="2"/>
        <v>0.42857142857142855</v>
      </c>
      <c r="AO26" s="87">
        <f t="shared" si="2"/>
        <v>0</v>
      </c>
      <c r="AP26" s="87"/>
      <c r="AQ26" s="87"/>
      <c r="AR26" s="87"/>
      <c r="AS26" s="87">
        <f t="shared" si="3"/>
        <v>0.44571428571428573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>
        <v>47</v>
      </c>
      <c r="T27" s="31">
        <v>33</v>
      </c>
      <c r="U27" s="31">
        <v>125</v>
      </c>
      <c r="V27" s="32">
        <v>7</v>
      </c>
      <c r="W27" s="32">
        <v>0</v>
      </c>
      <c r="X27" s="32">
        <v>80</v>
      </c>
      <c r="Y27" s="75">
        <v>8</v>
      </c>
      <c r="Z27" s="33">
        <v>0</v>
      </c>
      <c r="AA27" s="34">
        <v>90</v>
      </c>
      <c r="AB27" s="34">
        <v>0</v>
      </c>
      <c r="AC27" s="34">
        <v>0</v>
      </c>
      <c r="AD27" s="35">
        <v>0</v>
      </c>
      <c r="AE27" s="34">
        <v>0</v>
      </c>
      <c r="AF27" s="34">
        <v>0</v>
      </c>
      <c r="AG27" s="34">
        <v>0</v>
      </c>
      <c r="AH27" s="21"/>
      <c r="AI27" s="22"/>
      <c r="AK27" s="87">
        <f t="shared" si="2"/>
        <v>1.175</v>
      </c>
      <c r="AL27" s="87">
        <f t="shared" si="2"/>
        <v>1.65</v>
      </c>
      <c r="AM27" s="87">
        <f t="shared" si="2"/>
        <v>1.0416666666666667</v>
      </c>
      <c r="AN27" s="87">
        <f t="shared" si="2"/>
        <v>1</v>
      </c>
      <c r="AO27" s="87">
        <f t="shared" si="2"/>
        <v>0</v>
      </c>
      <c r="AP27" s="87"/>
      <c r="AQ27" s="87"/>
      <c r="AR27" s="87"/>
      <c r="AS27" s="87">
        <f t="shared" si="3"/>
        <v>0.51428571428571423</v>
      </c>
      <c r="AT27" s="87"/>
      <c r="AU27" s="87"/>
      <c r="AV27" s="87"/>
      <c r="AW27" s="87"/>
      <c r="AX27" s="87"/>
      <c r="AY27" s="87"/>
    </row>
    <row r="28" spans="2:51" ht="34.799999999999997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30</v>
      </c>
      <c r="T28" s="31">
        <v>19</v>
      </c>
      <c r="U28" s="31">
        <v>100</v>
      </c>
      <c r="V28" s="32">
        <v>0</v>
      </c>
      <c r="W28" s="32">
        <v>0</v>
      </c>
      <c r="X28" s="32">
        <v>80</v>
      </c>
      <c r="Y28" s="75">
        <v>0</v>
      </c>
      <c r="Z28" s="33">
        <v>0</v>
      </c>
      <c r="AA28" s="34">
        <v>15</v>
      </c>
      <c r="AB28" s="34">
        <v>0</v>
      </c>
      <c r="AC28" s="34">
        <v>0</v>
      </c>
      <c r="AD28" s="35">
        <v>0</v>
      </c>
      <c r="AE28" s="34">
        <v>0</v>
      </c>
      <c r="AF28" s="34">
        <v>0</v>
      </c>
      <c r="AG28" s="34">
        <v>0</v>
      </c>
      <c r="AH28" s="21" t="s">
        <v>121</v>
      </c>
      <c r="AI28" s="22"/>
      <c r="AK28" s="87">
        <f t="shared" si="2"/>
        <v>0.75</v>
      </c>
      <c r="AL28" s="87">
        <f t="shared" si="2"/>
        <v>0.95</v>
      </c>
      <c r="AM28" s="87">
        <f t="shared" si="2"/>
        <v>0.83333333333333337</v>
      </c>
      <c r="AN28" s="87">
        <f t="shared" si="2"/>
        <v>0</v>
      </c>
      <c r="AO28" s="87">
        <f t="shared" si="2"/>
        <v>0</v>
      </c>
      <c r="AP28" s="87"/>
      <c r="AQ28" s="87"/>
      <c r="AR28" s="87"/>
      <c r="AS28" s="87">
        <f t="shared" si="3"/>
        <v>8.5714285714285715E-2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>
        <v>35</v>
      </c>
      <c r="T29" s="31">
        <v>20</v>
      </c>
      <c r="U29" s="31">
        <v>120</v>
      </c>
      <c r="V29" s="32">
        <v>0</v>
      </c>
      <c r="W29" s="32">
        <v>0</v>
      </c>
      <c r="X29" s="32">
        <v>25</v>
      </c>
      <c r="Y29" s="75">
        <v>0</v>
      </c>
      <c r="Z29" s="33">
        <v>0</v>
      </c>
      <c r="AA29" s="34">
        <v>20</v>
      </c>
      <c r="AB29" s="34">
        <v>0</v>
      </c>
      <c r="AC29" s="34">
        <v>0</v>
      </c>
      <c r="AD29" s="35">
        <v>0</v>
      </c>
      <c r="AE29" s="34">
        <v>0</v>
      </c>
      <c r="AF29" s="34">
        <v>0</v>
      </c>
      <c r="AG29" s="34">
        <v>0</v>
      </c>
      <c r="AH29" s="21"/>
      <c r="AI29" s="22"/>
      <c r="AK29" s="87">
        <f t="shared" si="2"/>
        <v>0.875</v>
      </c>
      <c r="AL29" s="87">
        <f t="shared" si="2"/>
        <v>1</v>
      </c>
      <c r="AM29" s="87">
        <f t="shared" si="2"/>
        <v>1</v>
      </c>
      <c r="AN29" s="87">
        <f t="shared" si="2"/>
        <v>0</v>
      </c>
      <c r="AO29" s="87">
        <f t="shared" si="2"/>
        <v>0</v>
      </c>
      <c r="AP29" s="87"/>
      <c r="AQ29" s="87"/>
      <c r="AR29" s="87"/>
      <c r="AS29" s="87">
        <f t="shared" si="3"/>
        <v>0.11428571428571428</v>
      </c>
      <c r="AT29" s="87"/>
      <c r="AU29" s="87"/>
      <c r="AV29" s="87"/>
      <c r="AW29" s="87"/>
      <c r="AX29" s="87"/>
      <c r="AY29" s="87"/>
    </row>
    <row r="30" spans="2:51" ht="34.799999999999997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/>
      <c r="T30" s="31"/>
      <c r="U30" s="31"/>
      <c r="V30" s="32"/>
      <c r="W30" s="32"/>
      <c r="X30" s="32"/>
      <c r="Y30" s="75"/>
      <c r="Z30" s="33"/>
      <c r="AA30" s="34"/>
      <c r="AB30" s="34"/>
      <c r="AC30" s="34"/>
      <c r="AD30" s="35"/>
      <c r="AE30" s="34"/>
      <c r="AF30" s="34"/>
      <c r="AG30" s="34"/>
      <c r="AH30" s="21" t="s">
        <v>133</v>
      </c>
      <c r="AI30" s="22"/>
      <c r="AK30" s="87">
        <f t="shared" si="2"/>
        <v>0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>
        <v>39</v>
      </c>
      <c r="T31" s="31">
        <v>15</v>
      </c>
      <c r="U31" s="31">
        <v>95</v>
      </c>
      <c r="V31" s="32">
        <v>1</v>
      </c>
      <c r="W31" s="32">
        <v>0</v>
      </c>
      <c r="X31" s="32">
        <v>15</v>
      </c>
      <c r="Y31" s="75">
        <v>4</v>
      </c>
      <c r="Z31" s="33">
        <v>0</v>
      </c>
      <c r="AA31" s="34">
        <v>80</v>
      </c>
      <c r="AB31" s="34">
        <v>0</v>
      </c>
      <c r="AC31" s="34">
        <v>0</v>
      </c>
      <c r="AD31" s="35">
        <v>0</v>
      </c>
      <c r="AE31" s="34">
        <v>0</v>
      </c>
      <c r="AF31" s="34">
        <v>0</v>
      </c>
      <c r="AG31" s="34">
        <v>0</v>
      </c>
      <c r="AH31" s="21"/>
      <c r="AI31" s="22"/>
      <c r="AK31" s="87">
        <f t="shared" si="2"/>
        <v>0.97499999999999998</v>
      </c>
      <c r="AL31" s="87">
        <f t="shared" si="2"/>
        <v>0.75</v>
      </c>
      <c r="AM31" s="87">
        <f t="shared" si="2"/>
        <v>0.79166666666666663</v>
      </c>
      <c r="AN31" s="87">
        <f t="shared" si="2"/>
        <v>0.14285714285714285</v>
      </c>
      <c r="AO31" s="87">
        <f t="shared" si="2"/>
        <v>0</v>
      </c>
      <c r="AP31" s="87"/>
      <c r="AQ31" s="87"/>
      <c r="AR31" s="87"/>
      <c r="AS31" s="87">
        <f t="shared" si="3"/>
        <v>0.45714285714285713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>
        <v>33</v>
      </c>
      <c r="T32" s="31">
        <v>20</v>
      </c>
      <c r="U32" s="31">
        <v>100</v>
      </c>
      <c r="V32" s="32">
        <v>1</v>
      </c>
      <c r="W32" s="32">
        <v>0</v>
      </c>
      <c r="X32" s="32">
        <v>25</v>
      </c>
      <c r="Y32" s="75">
        <v>2</v>
      </c>
      <c r="Z32" s="33">
        <v>0</v>
      </c>
      <c r="AA32" s="34">
        <v>20</v>
      </c>
      <c r="AB32" s="34">
        <v>0</v>
      </c>
      <c r="AC32" s="34">
        <v>0</v>
      </c>
      <c r="AD32" s="35">
        <v>0</v>
      </c>
      <c r="AE32" s="34">
        <v>0</v>
      </c>
      <c r="AF32" s="34"/>
      <c r="AG32" s="34">
        <v>0</v>
      </c>
      <c r="AH32" s="21"/>
      <c r="AI32" s="22"/>
      <c r="AK32" s="87">
        <f t="shared" si="2"/>
        <v>0.82499999999999996</v>
      </c>
      <c r="AL32" s="87">
        <f t="shared" si="2"/>
        <v>1</v>
      </c>
      <c r="AM32" s="87">
        <f t="shared" si="2"/>
        <v>0.83333333333333337</v>
      </c>
      <c r="AN32" s="87">
        <f t="shared" si="2"/>
        <v>0.14285714285714285</v>
      </c>
      <c r="AO32" s="87">
        <f t="shared" si="2"/>
        <v>0</v>
      </c>
      <c r="AP32" s="87"/>
      <c r="AQ32" s="87"/>
      <c r="AR32" s="87"/>
      <c r="AS32" s="87">
        <f t="shared" si="3"/>
        <v>0.11428571428571428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>
        <v>33</v>
      </c>
      <c r="T33" s="31">
        <v>10</v>
      </c>
      <c r="U33" s="31">
        <v>18</v>
      </c>
      <c r="V33" s="32">
        <v>0</v>
      </c>
      <c r="W33" s="32">
        <v>0</v>
      </c>
      <c r="X33" s="32">
        <v>0</v>
      </c>
      <c r="Y33" s="75">
        <v>0</v>
      </c>
      <c r="Z33" s="33">
        <v>0</v>
      </c>
      <c r="AA33" s="34">
        <v>25</v>
      </c>
      <c r="AB33" s="34">
        <v>0</v>
      </c>
      <c r="AC33" s="34">
        <v>0</v>
      </c>
      <c r="AD33" s="35">
        <v>0</v>
      </c>
      <c r="AE33" s="34">
        <v>0</v>
      </c>
      <c r="AF33" s="34">
        <v>0</v>
      </c>
      <c r="AG33" s="34">
        <v>0</v>
      </c>
      <c r="AH33" s="21"/>
      <c r="AI33" s="22"/>
      <c r="AK33" s="87">
        <f t="shared" si="2"/>
        <v>0.82499999999999996</v>
      </c>
      <c r="AL33" s="87">
        <f t="shared" si="2"/>
        <v>0.5</v>
      </c>
      <c r="AM33" s="87">
        <f t="shared" si="2"/>
        <v>0.15</v>
      </c>
      <c r="AN33" s="87">
        <f t="shared" si="2"/>
        <v>0</v>
      </c>
      <c r="AO33" s="87">
        <f t="shared" si="2"/>
        <v>0</v>
      </c>
      <c r="AP33" s="87"/>
      <c r="AQ33" s="87"/>
      <c r="AR33" s="87"/>
      <c r="AS33" s="87">
        <f t="shared" si="3"/>
        <v>0.14285714285714285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50</v>
      </c>
      <c r="T34" s="31">
        <v>30</v>
      </c>
      <c r="U34" s="31">
        <v>180</v>
      </c>
      <c r="V34" s="32">
        <v>0</v>
      </c>
      <c r="W34" s="32">
        <v>0</v>
      </c>
      <c r="X34" s="32">
        <v>80</v>
      </c>
      <c r="Y34" s="75">
        <v>0</v>
      </c>
      <c r="Z34" s="33">
        <v>0</v>
      </c>
      <c r="AA34" s="34">
        <v>46</v>
      </c>
      <c r="AB34" s="34">
        <v>0</v>
      </c>
      <c r="AC34" s="34">
        <v>0</v>
      </c>
      <c r="AD34" s="35">
        <v>0</v>
      </c>
      <c r="AE34" s="34">
        <v>0</v>
      </c>
      <c r="AF34" s="34">
        <v>0</v>
      </c>
      <c r="AG34" s="34">
        <v>0</v>
      </c>
      <c r="AH34" s="21"/>
      <c r="AI34" s="22"/>
      <c r="AK34" s="87">
        <f t="shared" si="2"/>
        <v>1.25</v>
      </c>
      <c r="AL34" s="87">
        <f t="shared" si="2"/>
        <v>1.5</v>
      </c>
      <c r="AM34" s="87">
        <f t="shared" si="2"/>
        <v>1.5</v>
      </c>
      <c r="AN34" s="87">
        <f t="shared" si="2"/>
        <v>0</v>
      </c>
      <c r="AO34" s="87">
        <f t="shared" si="2"/>
        <v>0</v>
      </c>
      <c r="AP34" s="87"/>
      <c r="AQ34" s="87"/>
      <c r="AR34" s="87"/>
      <c r="AS34" s="87">
        <f t="shared" si="3"/>
        <v>0.26285714285714284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>
        <v>13</v>
      </c>
      <c r="T35" s="31">
        <v>7</v>
      </c>
      <c r="U35" s="31">
        <v>70</v>
      </c>
      <c r="V35" s="32">
        <v>0</v>
      </c>
      <c r="W35" s="32">
        <v>0</v>
      </c>
      <c r="X35" s="32">
        <v>0</v>
      </c>
      <c r="Y35" s="75">
        <v>0</v>
      </c>
      <c r="Z35" s="33">
        <v>0</v>
      </c>
      <c r="AA35" s="34">
        <v>15</v>
      </c>
      <c r="AB35" s="34">
        <v>0</v>
      </c>
      <c r="AC35" s="34">
        <v>0</v>
      </c>
      <c r="AD35" s="35">
        <v>0</v>
      </c>
      <c r="AE35" s="34">
        <v>0</v>
      </c>
      <c r="AF35" s="34">
        <v>0</v>
      </c>
      <c r="AG35" s="34">
        <v>0</v>
      </c>
      <c r="AH35" s="21"/>
      <c r="AI35" s="22"/>
      <c r="AK35" s="87">
        <f t="shared" si="2"/>
        <v>0.32500000000000001</v>
      </c>
      <c r="AL35" s="87">
        <f t="shared" si="2"/>
        <v>0.35</v>
      </c>
      <c r="AM35" s="87">
        <f t="shared" si="2"/>
        <v>0.58333333333333337</v>
      </c>
      <c r="AN35" s="87">
        <f t="shared" si="2"/>
        <v>0</v>
      </c>
      <c r="AO35" s="87">
        <f t="shared" si="2"/>
        <v>0</v>
      </c>
      <c r="AP35" s="87"/>
      <c r="AQ35" s="87"/>
      <c r="AR35" s="87"/>
      <c r="AS35" s="87">
        <f t="shared" si="3"/>
        <v>8.5714285714285715E-2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>
        <v>40</v>
      </c>
      <c r="T36" s="31">
        <v>30</v>
      </c>
      <c r="U36" s="31">
        <v>270</v>
      </c>
      <c r="V36" s="32">
        <v>0</v>
      </c>
      <c r="W36" s="32">
        <v>0</v>
      </c>
      <c r="X36" s="32">
        <v>93</v>
      </c>
      <c r="Y36" s="75">
        <v>8</v>
      </c>
      <c r="Z36" s="33">
        <v>0</v>
      </c>
      <c r="AA36" s="34">
        <v>38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21"/>
      <c r="AI36" s="22"/>
      <c r="AK36" s="87">
        <f t="shared" si="2"/>
        <v>1</v>
      </c>
      <c r="AL36" s="87">
        <f t="shared" si="2"/>
        <v>1.5</v>
      </c>
      <c r="AM36" s="87">
        <f t="shared" si="2"/>
        <v>2.25</v>
      </c>
      <c r="AN36" s="87">
        <f t="shared" si="2"/>
        <v>0</v>
      </c>
      <c r="AO36" s="87">
        <f t="shared" si="2"/>
        <v>0</v>
      </c>
      <c r="AP36" s="87"/>
      <c r="AQ36" s="87"/>
      <c r="AR36" s="87"/>
      <c r="AS36" s="87">
        <f t="shared" si="3"/>
        <v>0.21714285714285714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25</v>
      </c>
      <c r="T37" s="31">
        <v>16</v>
      </c>
      <c r="U37" s="31">
        <v>100</v>
      </c>
      <c r="V37" s="32">
        <v>7</v>
      </c>
      <c r="W37" s="32">
        <v>0</v>
      </c>
      <c r="X37" s="32">
        <v>50</v>
      </c>
      <c r="Y37" s="75">
        <v>0</v>
      </c>
      <c r="Z37" s="33">
        <v>0</v>
      </c>
      <c r="AA37" s="34">
        <v>10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0.625</v>
      </c>
      <c r="AL37" s="87">
        <f t="shared" si="2"/>
        <v>0.8</v>
      </c>
      <c r="AM37" s="87">
        <f t="shared" si="2"/>
        <v>0.83333333333333337</v>
      </c>
      <c r="AN37" s="87">
        <f t="shared" si="2"/>
        <v>1</v>
      </c>
      <c r="AO37" s="87">
        <f t="shared" si="2"/>
        <v>0</v>
      </c>
      <c r="AP37" s="87"/>
      <c r="AQ37" s="87"/>
      <c r="AR37" s="87"/>
      <c r="AS37" s="87">
        <f t="shared" si="3"/>
        <v>5.7142857142857141E-2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55</v>
      </c>
      <c r="T38" s="31">
        <v>39</v>
      </c>
      <c r="U38" s="31">
        <v>110</v>
      </c>
      <c r="V38" s="32">
        <v>4</v>
      </c>
      <c r="W38" s="32">
        <v>0</v>
      </c>
      <c r="X38" s="32">
        <v>30</v>
      </c>
      <c r="Y38" s="75">
        <v>0</v>
      </c>
      <c r="Z38" s="33">
        <v>0</v>
      </c>
      <c r="AA38" s="34">
        <v>14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1.375</v>
      </c>
      <c r="AL38" s="87">
        <f t="shared" si="2"/>
        <v>1.95</v>
      </c>
      <c r="AM38" s="87">
        <f t="shared" si="2"/>
        <v>0.91666666666666663</v>
      </c>
      <c r="AN38" s="87">
        <f t="shared" si="2"/>
        <v>0.5714285714285714</v>
      </c>
      <c r="AO38" s="87">
        <f t="shared" si="2"/>
        <v>0</v>
      </c>
      <c r="AP38" s="87"/>
      <c r="AQ38" s="87"/>
      <c r="AR38" s="87"/>
      <c r="AS38" s="87">
        <f t="shared" si="3"/>
        <v>0.08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40</v>
      </c>
      <c r="T39" s="31">
        <v>30</v>
      </c>
      <c r="U39" s="31">
        <v>203</v>
      </c>
      <c r="V39" s="32">
        <v>2</v>
      </c>
      <c r="W39" s="32">
        <v>0</v>
      </c>
      <c r="X39" s="32">
        <v>23</v>
      </c>
      <c r="Y39" s="75">
        <v>10</v>
      </c>
      <c r="Z39" s="33">
        <v>0</v>
      </c>
      <c r="AA39" s="34">
        <v>70</v>
      </c>
      <c r="AB39" s="34">
        <v>0</v>
      </c>
      <c r="AC39" s="34">
        <v>0</v>
      </c>
      <c r="AD39" s="35">
        <v>0</v>
      </c>
      <c r="AE39" s="34">
        <v>0</v>
      </c>
      <c r="AF39" s="34">
        <v>0</v>
      </c>
      <c r="AG39" s="34">
        <v>0</v>
      </c>
      <c r="AH39" s="21"/>
      <c r="AI39" s="22"/>
      <c r="AK39" s="87">
        <f t="shared" si="2"/>
        <v>1</v>
      </c>
      <c r="AL39" s="87">
        <f t="shared" si="2"/>
        <v>1.5</v>
      </c>
      <c r="AM39" s="87">
        <f t="shared" si="2"/>
        <v>1.6916666666666667</v>
      </c>
      <c r="AN39" s="87">
        <f t="shared" si="2"/>
        <v>0.2857142857142857</v>
      </c>
      <c r="AO39" s="87">
        <f t="shared" si="2"/>
        <v>0</v>
      </c>
      <c r="AP39" s="87"/>
      <c r="AQ39" s="87"/>
      <c r="AR39" s="87"/>
      <c r="AS39" s="87">
        <f t="shared" si="3"/>
        <v>0.4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>
        <v>30</v>
      </c>
      <c r="T40" s="31">
        <v>22</v>
      </c>
      <c r="U40" s="31">
        <v>250</v>
      </c>
      <c r="V40" s="32">
        <v>2</v>
      </c>
      <c r="W40" s="32">
        <v>0</v>
      </c>
      <c r="X40" s="32">
        <v>30</v>
      </c>
      <c r="Y40" s="75">
        <v>8</v>
      </c>
      <c r="Z40" s="33">
        <v>0</v>
      </c>
      <c r="AA40" s="34">
        <v>30</v>
      </c>
      <c r="AB40" s="34">
        <v>0</v>
      </c>
      <c r="AC40" s="34">
        <v>0</v>
      </c>
      <c r="AD40" s="35">
        <v>0</v>
      </c>
      <c r="AE40" s="34">
        <v>0</v>
      </c>
      <c r="AF40" s="34">
        <v>0</v>
      </c>
      <c r="AG40" s="34">
        <v>0</v>
      </c>
      <c r="AH40" s="21"/>
      <c r="AI40" s="22"/>
      <c r="AK40" s="87">
        <f t="shared" si="2"/>
        <v>0.75</v>
      </c>
      <c r="AL40" s="87">
        <f t="shared" si="2"/>
        <v>1.1000000000000001</v>
      </c>
      <c r="AM40" s="87">
        <f t="shared" si="2"/>
        <v>2.0833333333333335</v>
      </c>
      <c r="AN40" s="87">
        <f t="shared" si="2"/>
        <v>0.2857142857142857</v>
      </c>
      <c r="AO40" s="87">
        <f t="shared" si="2"/>
        <v>0</v>
      </c>
      <c r="AP40" s="87"/>
      <c r="AQ40" s="87"/>
      <c r="AR40" s="87"/>
      <c r="AS40" s="87">
        <f t="shared" si="3"/>
        <v>0.17142857142857143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50</v>
      </c>
      <c r="T41" s="31">
        <v>20</v>
      </c>
      <c r="U41" s="31">
        <v>0</v>
      </c>
      <c r="V41" s="32">
        <v>0</v>
      </c>
      <c r="W41" s="32">
        <v>0</v>
      </c>
      <c r="X41" s="32">
        <v>65</v>
      </c>
      <c r="Y41" s="75">
        <v>5</v>
      </c>
      <c r="Z41" s="33">
        <v>0</v>
      </c>
      <c r="AA41" s="34">
        <v>18</v>
      </c>
      <c r="AB41" s="34">
        <v>0</v>
      </c>
      <c r="AC41" s="34">
        <v>0</v>
      </c>
      <c r="AD41" s="35">
        <v>0</v>
      </c>
      <c r="AE41" s="34">
        <v>0</v>
      </c>
      <c r="AF41" s="34">
        <v>0</v>
      </c>
      <c r="AG41" s="34">
        <v>0</v>
      </c>
      <c r="AH41" s="21" t="s">
        <v>124</v>
      </c>
      <c r="AI41" s="22"/>
      <c r="AK41" s="87">
        <f t="shared" si="2"/>
        <v>1.25</v>
      </c>
      <c r="AL41" s="87">
        <f t="shared" si="2"/>
        <v>1</v>
      </c>
      <c r="AM41" s="87">
        <f t="shared" si="2"/>
        <v>0</v>
      </c>
      <c r="AN41" s="87">
        <f t="shared" si="2"/>
        <v>0</v>
      </c>
      <c r="AO41" s="87">
        <f t="shared" si="2"/>
        <v>0</v>
      </c>
      <c r="AP41" s="87"/>
      <c r="AQ41" s="87"/>
      <c r="AR41" s="87"/>
      <c r="AS41" s="87">
        <f t="shared" si="3"/>
        <v>0.10285714285714286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>
        <v>17</v>
      </c>
      <c r="T42" s="31">
        <v>10</v>
      </c>
      <c r="U42" s="31">
        <v>50</v>
      </c>
      <c r="V42" s="32">
        <v>0</v>
      </c>
      <c r="W42" s="32">
        <v>0</v>
      </c>
      <c r="X42" s="32">
        <v>20</v>
      </c>
      <c r="Y42" s="75">
        <v>0</v>
      </c>
      <c r="Z42" s="33">
        <v>0</v>
      </c>
      <c r="AA42" s="34">
        <v>14</v>
      </c>
      <c r="AB42" s="34">
        <v>0</v>
      </c>
      <c r="AC42" s="34">
        <v>0</v>
      </c>
      <c r="AD42" s="35">
        <v>0</v>
      </c>
      <c r="AE42" s="34">
        <v>0</v>
      </c>
      <c r="AF42" s="34">
        <v>0</v>
      </c>
      <c r="AG42" s="34">
        <v>0</v>
      </c>
      <c r="AH42" s="21"/>
      <c r="AI42" s="22"/>
      <c r="AK42" s="87">
        <f t="shared" si="2"/>
        <v>0.42499999999999999</v>
      </c>
      <c r="AL42" s="87">
        <f t="shared" si="2"/>
        <v>0.5</v>
      </c>
      <c r="AM42" s="87">
        <f t="shared" si="2"/>
        <v>0.41666666666666669</v>
      </c>
      <c r="AN42" s="87">
        <f t="shared" si="2"/>
        <v>0</v>
      </c>
      <c r="AO42" s="87">
        <f t="shared" si="2"/>
        <v>0</v>
      </c>
      <c r="AP42" s="87"/>
      <c r="AQ42" s="87"/>
      <c r="AR42" s="87"/>
      <c r="AS42" s="87">
        <f t="shared" si="3"/>
        <v>0.08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>
        <v>19</v>
      </c>
      <c r="T43" s="31">
        <v>9</v>
      </c>
      <c r="U43" s="31">
        <v>90</v>
      </c>
      <c r="V43" s="32">
        <v>2</v>
      </c>
      <c r="W43" s="32">
        <v>0</v>
      </c>
      <c r="X43" s="32">
        <v>0</v>
      </c>
      <c r="Y43" s="75">
        <v>0</v>
      </c>
      <c r="Z43" s="33">
        <v>0</v>
      </c>
      <c r="AA43" s="34">
        <v>15</v>
      </c>
      <c r="AB43" s="34">
        <v>0</v>
      </c>
      <c r="AC43" s="34">
        <v>0</v>
      </c>
      <c r="AD43" s="35">
        <v>0</v>
      </c>
      <c r="AE43" s="34">
        <v>0</v>
      </c>
      <c r="AF43" s="34">
        <v>0</v>
      </c>
      <c r="AG43" s="34">
        <v>0</v>
      </c>
      <c r="AH43" s="21"/>
      <c r="AI43" s="22"/>
      <c r="AK43" s="87">
        <f t="shared" si="2"/>
        <v>0.47499999999999998</v>
      </c>
      <c r="AL43" s="87">
        <f t="shared" si="2"/>
        <v>0.45</v>
      </c>
      <c r="AM43" s="87">
        <f t="shared" si="2"/>
        <v>0.75</v>
      </c>
      <c r="AN43" s="87">
        <f t="shared" si="2"/>
        <v>0.2857142857142857</v>
      </c>
      <c r="AO43" s="87">
        <f t="shared" si="2"/>
        <v>0</v>
      </c>
      <c r="AP43" s="87"/>
      <c r="AQ43" s="87"/>
      <c r="AR43" s="87"/>
      <c r="AS43" s="87">
        <f t="shared" si="3"/>
        <v>8.5714285714285715E-2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>
        <v>20</v>
      </c>
      <c r="T44" s="31">
        <v>13</v>
      </c>
      <c r="U44" s="31">
        <v>30</v>
      </c>
      <c r="V44" s="32">
        <v>0</v>
      </c>
      <c r="W44" s="32">
        <v>0</v>
      </c>
      <c r="X44" s="32">
        <v>20</v>
      </c>
      <c r="Y44" s="75">
        <v>7</v>
      </c>
      <c r="Z44" s="33">
        <v>0</v>
      </c>
      <c r="AA44" s="34">
        <v>21</v>
      </c>
      <c r="AB44" s="34">
        <v>0</v>
      </c>
      <c r="AC44" s="34">
        <v>0</v>
      </c>
      <c r="AD44" s="35">
        <v>0</v>
      </c>
      <c r="AE44" s="34">
        <v>0</v>
      </c>
      <c r="AF44" s="34">
        <v>0</v>
      </c>
      <c r="AG44" s="34">
        <v>0</v>
      </c>
      <c r="AH44" s="21"/>
      <c r="AI44" s="22"/>
      <c r="AK44" s="87">
        <f t="shared" si="2"/>
        <v>0.5</v>
      </c>
      <c r="AL44" s="87">
        <f t="shared" si="2"/>
        <v>0.65</v>
      </c>
      <c r="AM44" s="87">
        <f t="shared" si="2"/>
        <v>0.25</v>
      </c>
      <c r="AN44" s="87">
        <f t="shared" si="2"/>
        <v>0</v>
      </c>
      <c r="AO44" s="87">
        <f t="shared" si="2"/>
        <v>0</v>
      </c>
      <c r="AP44" s="87"/>
      <c r="AQ44" s="87"/>
      <c r="AR44" s="87"/>
      <c r="AS44" s="87">
        <f t="shared" si="3"/>
        <v>0.12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>
        <v>33</v>
      </c>
      <c r="T45" s="31">
        <v>20</v>
      </c>
      <c r="U45" s="31">
        <v>40</v>
      </c>
      <c r="V45" s="32">
        <v>0</v>
      </c>
      <c r="W45" s="32">
        <v>0</v>
      </c>
      <c r="X45" s="32">
        <v>30</v>
      </c>
      <c r="Y45" s="75">
        <v>4</v>
      </c>
      <c r="Z45" s="33">
        <v>0</v>
      </c>
      <c r="AA45" s="34">
        <v>20</v>
      </c>
      <c r="AB45" s="34">
        <v>0</v>
      </c>
      <c r="AC45" s="34">
        <v>0</v>
      </c>
      <c r="AD45" s="35">
        <v>0</v>
      </c>
      <c r="AE45" s="34">
        <v>0</v>
      </c>
      <c r="AF45" s="34">
        <v>0</v>
      </c>
      <c r="AG45" s="34">
        <v>0</v>
      </c>
      <c r="AH45" s="21"/>
      <c r="AI45" s="22"/>
      <c r="AK45" s="87">
        <f t="shared" si="2"/>
        <v>0.82499999999999996</v>
      </c>
      <c r="AL45" s="87">
        <f t="shared" si="2"/>
        <v>1</v>
      </c>
      <c r="AM45" s="87">
        <f t="shared" si="2"/>
        <v>0.33333333333333331</v>
      </c>
      <c r="AN45" s="87">
        <f t="shared" si="2"/>
        <v>0</v>
      </c>
      <c r="AO45" s="87">
        <f t="shared" si="2"/>
        <v>0</v>
      </c>
      <c r="AP45" s="87"/>
      <c r="AQ45" s="87"/>
      <c r="AR45" s="87"/>
      <c r="AS45" s="87">
        <f t="shared" si="3"/>
        <v>0.11428571428571428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>
        <v>20</v>
      </c>
      <c r="T46" s="31">
        <v>15</v>
      </c>
      <c r="U46" s="31">
        <v>126</v>
      </c>
      <c r="V46" s="32">
        <v>3</v>
      </c>
      <c r="W46" s="32">
        <v>0</v>
      </c>
      <c r="X46" s="32">
        <v>0</v>
      </c>
      <c r="Y46" s="75">
        <v>0</v>
      </c>
      <c r="Z46" s="33">
        <v>0</v>
      </c>
      <c r="AA46" s="34">
        <v>0</v>
      </c>
      <c r="AB46" s="34">
        <v>0</v>
      </c>
      <c r="AC46" s="34">
        <v>0</v>
      </c>
      <c r="AD46" s="35">
        <v>0</v>
      </c>
      <c r="AE46" s="34">
        <v>0</v>
      </c>
      <c r="AF46" s="34">
        <v>0</v>
      </c>
      <c r="AG46" s="34">
        <v>0</v>
      </c>
      <c r="AH46" s="21"/>
      <c r="AI46" s="22"/>
      <c r="AK46" s="87">
        <f t="shared" si="2"/>
        <v>0.5</v>
      </c>
      <c r="AL46" s="87">
        <f t="shared" si="2"/>
        <v>0.75</v>
      </c>
      <c r="AM46" s="87">
        <f t="shared" si="2"/>
        <v>1.05</v>
      </c>
      <c r="AN46" s="87">
        <f t="shared" si="2"/>
        <v>0.42857142857142855</v>
      </c>
      <c r="AO46" s="87">
        <f t="shared" si="2"/>
        <v>0</v>
      </c>
      <c r="AP46" s="87"/>
      <c r="AQ46" s="87"/>
      <c r="AR46" s="87"/>
      <c r="AS46" s="87">
        <f t="shared" si="3"/>
        <v>0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>
        <v>20</v>
      </c>
      <c r="T47" s="31">
        <v>15</v>
      </c>
      <c r="U47" s="31">
        <v>48</v>
      </c>
      <c r="V47" s="32">
        <v>3</v>
      </c>
      <c r="W47" s="32">
        <v>0</v>
      </c>
      <c r="X47" s="32">
        <v>26</v>
      </c>
      <c r="Y47" s="75">
        <v>0</v>
      </c>
      <c r="Z47" s="33">
        <v>0</v>
      </c>
      <c r="AA47" s="34">
        <v>93</v>
      </c>
      <c r="AB47" s="34">
        <v>0</v>
      </c>
      <c r="AC47" s="34">
        <v>0</v>
      </c>
      <c r="AD47" s="34">
        <v>0</v>
      </c>
      <c r="AE47" s="34">
        <v>0</v>
      </c>
      <c r="AF47" s="34">
        <v>0</v>
      </c>
      <c r="AG47" s="34">
        <v>0</v>
      </c>
      <c r="AH47" s="21"/>
      <c r="AI47" s="22"/>
      <c r="AK47" s="87">
        <f t="shared" si="2"/>
        <v>0.5</v>
      </c>
      <c r="AL47" s="87">
        <f t="shared" si="2"/>
        <v>0.75</v>
      </c>
      <c r="AM47" s="87">
        <f t="shared" si="2"/>
        <v>0.4</v>
      </c>
      <c r="AN47" s="87">
        <f t="shared" si="2"/>
        <v>0.42857142857142855</v>
      </c>
      <c r="AO47" s="87">
        <f t="shared" si="2"/>
        <v>0</v>
      </c>
      <c r="AP47" s="87"/>
      <c r="AQ47" s="87"/>
      <c r="AR47" s="87"/>
      <c r="AS47" s="87">
        <f t="shared" si="3"/>
        <v>0.53142857142857147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44</v>
      </c>
      <c r="T48" s="31">
        <v>34</v>
      </c>
      <c r="U48" s="31">
        <v>0</v>
      </c>
      <c r="V48" s="32">
        <v>19</v>
      </c>
      <c r="W48" s="32">
        <v>0</v>
      </c>
      <c r="X48" s="32">
        <v>0</v>
      </c>
      <c r="Y48" s="75">
        <v>0</v>
      </c>
      <c r="Z48" s="33">
        <v>0</v>
      </c>
      <c r="AA48" s="34">
        <v>30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/>
      <c r="AI48" s="22"/>
      <c r="AK48" s="87">
        <f t="shared" si="2"/>
        <v>1.1000000000000001</v>
      </c>
      <c r="AL48" s="87">
        <f t="shared" si="2"/>
        <v>1.7</v>
      </c>
      <c r="AM48" s="87">
        <f t="shared" si="2"/>
        <v>0</v>
      </c>
      <c r="AN48" s="87">
        <f t="shared" si="2"/>
        <v>2.7142857142857144</v>
      </c>
      <c r="AO48" s="87">
        <f t="shared" si="2"/>
        <v>0</v>
      </c>
      <c r="AP48" s="87"/>
      <c r="AQ48" s="87"/>
      <c r="AR48" s="87"/>
      <c r="AS48" s="87">
        <f t="shared" si="3"/>
        <v>0.17142857142857143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37</v>
      </c>
      <c r="T49" s="31">
        <v>20</v>
      </c>
      <c r="U49" s="31">
        <v>250</v>
      </c>
      <c r="V49" s="32">
        <v>6</v>
      </c>
      <c r="W49" s="32">
        <v>0</v>
      </c>
      <c r="X49" s="32">
        <v>133</v>
      </c>
      <c r="Y49" s="75">
        <v>4</v>
      </c>
      <c r="Z49" s="33">
        <v>0</v>
      </c>
      <c r="AA49" s="34">
        <v>23</v>
      </c>
      <c r="AB49" s="34">
        <v>0</v>
      </c>
      <c r="AC49" s="34">
        <v>0</v>
      </c>
      <c r="AD49" s="35">
        <v>0</v>
      </c>
      <c r="AE49" s="34">
        <v>0</v>
      </c>
      <c r="AF49" s="34">
        <v>0</v>
      </c>
      <c r="AG49" s="34">
        <v>0</v>
      </c>
      <c r="AH49" s="21"/>
      <c r="AI49" s="22"/>
      <c r="AK49" s="87">
        <f t="shared" si="2"/>
        <v>0.92500000000000004</v>
      </c>
      <c r="AL49" s="87">
        <f t="shared" si="2"/>
        <v>1</v>
      </c>
      <c r="AM49" s="87">
        <f t="shared" si="2"/>
        <v>2.0833333333333335</v>
      </c>
      <c r="AN49" s="87">
        <f t="shared" si="2"/>
        <v>0.8571428571428571</v>
      </c>
      <c r="AO49" s="87">
        <f t="shared" si="2"/>
        <v>0</v>
      </c>
      <c r="AP49" s="87"/>
      <c r="AQ49" s="87"/>
      <c r="AR49" s="87"/>
      <c r="AS49" s="87">
        <f t="shared" si="3"/>
        <v>0.13142857142857142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>
        <v>39</v>
      </c>
      <c r="T50" s="31">
        <v>32</v>
      </c>
      <c r="U50" s="31">
        <v>500</v>
      </c>
      <c r="V50" s="32">
        <v>0</v>
      </c>
      <c r="W50" s="32">
        <v>0</v>
      </c>
      <c r="X50" s="32">
        <v>50</v>
      </c>
      <c r="Y50" s="75">
        <v>20</v>
      </c>
      <c r="Z50" s="33">
        <v>0</v>
      </c>
      <c r="AA50" s="34">
        <v>22</v>
      </c>
      <c r="AB50" s="34">
        <v>0</v>
      </c>
      <c r="AC50" s="34">
        <v>0</v>
      </c>
      <c r="AD50" s="35">
        <v>0</v>
      </c>
      <c r="AE50" s="34">
        <v>0</v>
      </c>
      <c r="AF50" s="34">
        <v>0</v>
      </c>
      <c r="AG50" s="34">
        <v>0</v>
      </c>
      <c r="AH50" s="21"/>
      <c r="AI50" s="22"/>
      <c r="AK50" s="87">
        <f t="shared" si="2"/>
        <v>0.97499999999999998</v>
      </c>
      <c r="AL50" s="87">
        <f t="shared" si="2"/>
        <v>1.6</v>
      </c>
      <c r="AM50" s="87">
        <f t="shared" si="2"/>
        <v>4.166666666666667</v>
      </c>
      <c r="AN50" s="87">
        <f t="shared" si="2"/>
        <v>0</v>
      </c>
      <c r="AO50" s="87">
        <f t="shared" si="2"/>
        <v>0</v>
      </c>
      <c r="AP50" s="87"/>
      <c r="AQ50" s="87"/>
      <c r="AR50" s="87"/>
      <c r="AS50" s="87">
        <f t="shared" si="3"/>
        <v>0.12571428571428572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30</v>
      </c>
      <c r="T51" s="31">
        <v>20</v>
      </c>
      <c r="U51" s="31">
        <v>182</v>
      </c>
      <c r="V51" s="32">
        <v>1</v>
      </c>
      <c r="W51" s="32">
        <v>0</v>
      </c>
      <c r="X51" s="32">
        <v>34</v>
      </c>
      <c r="Y51" s="75">
        <v>0</v>
      </c>
      <c r="Z51" s="33">
        <v>0</v>
      </c>
      <c r="AA51" s="34">
        <v>59</v>
      </c>
      <c r="AB51" s="34">
        <v>0</v>
      </c>
      <c r="AC51" s="34">
        <v>0</v>
      </c>
      <c r="AD51" s="35">
        <v>0</v>
      </c>
      <c r="AE51" s="34">
        <v>0</v>
      </c>
      <c r="AF51" s="34">
        <v>0</v>
      </c>
      <c r="AG51" s="34">
        <v>0</v>
      </c>
      <c r="AH51" s="21"/>
      <c r="AI51" s="22"/>
      <c r="AK51" s="87">
        <f t="shared" si="2"/>
        <v>0.75</v>
      </c>
      <c r="AL51" s="87">
        <f t="shared" si="2"/>
        <v>1</v>
      </c>
      <c r="AM51" s="87">
        <f t="shared" si="2"/>
        <v>1.5166666666666666</v>
      </c>
      <c r="AN51" s="87">
        <f t="shared" si="2"/>
        <v>0.14285714285714285</v>
      </c>
      <c r="AO51" s="87">
        <f t="shared" si="2"/>
        <v>0</v>
      </c>
      <c r="AP51" s="87"/>
      <c r="AQ51" s="87"/>
      <c r="AR51" s="87"/>
      <c r="AS51" s="87">
        <f t="shared" si="3"/>
        <v>0.33714285714285713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39</v>
      </c>
      <c r="T52" s="31">
        <v>20</v>
      </c>
      <c r="U52" s="31">
        <v>80</v>
      </c>
      <c r="V52" s="32">
        <v>6</v>
      </c>
      <c r="W52" s="32">
        <v>0</v>
      </c>
      <c r="X52" s="32">
        <v>60</v>
      </c>
      <c r="Y52" s="75">
        <v>6</v>
      </c>
      <c r="Z52" s="33">
        <v>0</v>
      </c>
      <c r="AA52" s="34">
        <v>40</v>
      </c>
      <c r="AB52" s="34">
        <v>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/>
      <c r="AI52" s="22"/>
      <c r="AK52" s="87">
        <f t="shared" si="2"/>
        <v>0.97499999999999998</v>
      </c>
      <c r="AL52" s="87">
        <f t="shared" si="2"/>
        <v>1</v>
      </c>
      <c r="AM52" s="87">
        <f t="shared" si="2"/>
        <v>0.66666666666666663</v>
      </c>
      <c r="AN52" s="87">
        <f t="shared" si="2"/>
        <v>0.8571428571428571</v>
      </c>
      <c r="AO52" s="87">
        <f t="shared" si="2"/>
        <v>0</v>
      </c>
      <c r="AP52" s="87"/>
      <c r="AQ52" s="87"/>
      <c r="AR52" s="87"/>
      <c r="AS52" s="87">
        <f t="shared" si="3"/>
        <v>0.22857142857142856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15</v>
      </c>
      <c r="T53" s="31">
        <v>1</v>
      </c>
      <c r="U53" s="31">
        <v>0</v>
      </c>
      <c r="V53" s="32">
        <v>1</v>
      </c>
      <c r="W53" s="32">
        <v>0</v>
      </c>
      <c r="X53" s="32">
        <v>1</v>
      </c>
      <c r="Y53" s="75">
        <v>0</v>
      </c>
      <c r="Z53" s="33">
        <v>0</v>
      </c>
      <c r="AA53" s="34">
        <v>10</v>
      </c>
      <c r="AB53" s="34">
        <v>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0.375</v>
      </c>
      <c r="AL53" s="87">
        <f t="shared" si="2"/>
        <v>0.05</v>
      </c>
      <c r="AM53" s="87">
        <f t="shared" si="2"/>
        <v>0</v>
      </c>
      <c r="AN53" s="87">
        <f t="shared" si="2"/>
        <v>0.14285714285714285</v>
      </c>
      <c r="AO53" s="87">
        <f t="shared" si="2"/>
        <v>0</v>
      </c>
      <c r="AP53" s="87"/>
      <c r="AQ53" s="87"/>
      <c r="AR53" s="87"/>
      <c r="AS53" s="87">
        <f t="shared" si="3"/>
        <v>5.7142857142857141E-2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>
        <v>30</v>
      </c>
      <c r="T54" s="31">
        <v>12</v>
      </c>
      <c r="U54" s="31">
        <v>130</v>
      </c>
      <c r="V54" s="32">
        <v>0</v>
      </c>
      <c r="W54" s="32">
        <v>0</v>
      </c>
      <c r="X54" s="32">
        <v>10</v>
      </c>
      <c r="Y54" s="75">
        <v>0</v>
      </c>
      <c r="Z54" s="33">
        <v>0</v>
      </c>
      <c r="AA54" s="34">
        <v>50</v>
      </c>
      <c r="AB54" s="34">
        <v>0</v>
      </c>
      <c r="AC54" s="34">
        <v>0</v>
      </c>
      <c r="AD54" s="35">
        <v>0</v>
      </c>
      <c r="AE54" s="34">
        <v>0</v>
      </c>
      <c r="AF54" s="34">
        <v>0</v>
      </c>
      <c r="AG54" s="34">
        <v>0</v>
      </c>
      <c r="AH54" s="21"/>
      <c r="AI54" s="22"/>
      <c r="AK54" s="87">
        <f t="shared" si="2"/>
        <v>0.75</v>
      </c>
      <c r="AL54" s="87">
        <f t="shared" si="2"/>
        <v>0.6</v>
      </c>
      <c r="AM54" s="87">
        <f t="shared" si="2"/>
        <v>1.0833333333333333</v>
      </c>
      <c r="AN54" s="87">
        <f t="shared" si="2"/>
        <v>0</v>
      </c>
      <c r="AO54" s="87">
        <f t="shared" si="2"/>
        <v>0</v>
      </c>
      <c r="AP54" s="87"/>
      <c r="AQ54" s="87"/>
      <c r="AR54" s="87"/>
      <c r="AS54" s="87">
        <f t="shared" si="3"/>
        <v>0.2857142857142857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17">
        <v>40</v>
      </c>
      <c r="E55" s="18">
        <v>20</v>
      </c>
      <c r="F55" s="17">
        <v>120</v>
      </c>
      <c r="G55" s="19">
        <v>7</v>
      </c>
      <c r="H55" s="19">
        <v>4</v>
      </c>
      <c r="I55" s="61">
        <f t="shared" ref="E55:AG55" si="4">SUM(I5:I54)</f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1472</v>
      </c>
      <c r="T55" s="61">
        <f t="shared" si="4"/>
        <v>928</v>
      </c>
      <c r="U55" s="61">
        <f t="shared" si="4"/>
        <v>5646</v>
      </c>
      <c r="V55" s="61">
        <f t="shared" si="4"/>
        <v>118</v>
      </c>
      <c r="W55" s="61">
        <f t="shared" si="4"/>
        <v>0</v>
      </c>
      <c r="X55" s="61">
        <f t="shared" si="4"/>
        <v>1824</v>
      </c>
      <c r="Y55" s="61">
        <f t="shared" si="4"/>
        <v>158</v>
      </c>
      <c r="Z55" s="61">
        <f t="shared" si="4"/>
        <v>0</v>
      </c>
      <c r="AA55" s="61">
        <f t="shared" si="4"/>
        <v>1675</v>
      </c>
      <c r="AB55" s="61">
        <f t="shared" si="4"/>
        <v>0</v>
      </c>
      <c r="AC55" s="61">
        <f t="shared" si="4"/>
        <v>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36.799999999999997</v>
      </c>
      <c r="AL55" s="87">
        <f t="shared" si="2"/>
        <v>46.4</v>
      </c>
      <c r="AM55" s="87">
        <f t="shared" si="2"/>
        <v>47.05</v>
      </c>
      <c r="AN55" s="87">
        <f t="shared" si="2"/>
        <v>16.857142857142858</v>
      </c>
      <c r="AO55" s="87">
        <f t="shared" si="2"/>
        <v>0</v>
      </c>
      <c r="AP55" s="87"/>
      <c r="AQ55" s="87"/>
      <c r="AR55" s="87"/>
      <c r="AS55" s="87">
        <f t="shared" si="3"/>
        <v>0.19142857142857142</v>
      </c>
      <c r="AT55" s="87"/>
      <c r="AU55" s="87"/>
      <c r="AV55" s="87"/>
      <c r="AW55" s="87"/>
      <c r="AX55" s="87"/>
      <c r="AY55" s="87"/>
    </row>
    <row r="56" spans="1:51" ht="18" thickBot="1" x14ac:dyDescent="0.3">
      <c r="D56" s="17">
        <v>40</v>
      </c>
      <c r="E56" s="18">
        <v>20</v>
      </c>
      <c r="F56" s="17">
        <v>120</v>
      </c>
      <c r="G56" s="19">
        <v>7</v>
      </c>
      <c r="H56" s="19">
        <v>4</v>
      </c>
    </row>
    <row r="57" spans="1:51" ht="20.399999999999999" thickBot="1" x14ac:dyDescent="0.3">
      <c r="B57" s="111" t="s">
        <v>18</v>
      </c>
      <c r="C57" s="112"/>
      <c r="D57" s="17">
        <v>40</v>
      </c>
      <c r="E57" s="18">
        <v>20</v>
      </c>
      <c r="F57" s="17">
        <v>120</v>
      </c>
      <c r="G57" s="19">
        <v>7</v>
      </c>
      <c r="H57" s="19">
        <v>4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1472</v>
      </c>
      <c r="T57" s="24">
        <f>T55</f>
        <v>928</v>
      </c>
      <c r="U57" s="24">
        <f>U55/120</f>
        <v>47.05</v>
      </c>
      <c r="V57" s="25">
        <f>V55/6</f>
        <v>19.666666666666668</v>
      </c>
      <c r="W57" s="25">
        <f>W55/10</f>
        <v>0</v>
      </c>
      <c r="X57" s="25">
        <f>X55/100</f>
        <v>18.239999999999998</v>
      </c>
      <c r="Y57" s="76">
        <f>Y55/20</f>
        <v>7.9</v>
      </c>
      <c r="Z57" s="26">
        <f>Z55/60</f>
        <v>0</v>
      </c>
      <c r="AA57" s="27">
        <f>AA55/120</f>
        <v>13.958333333333334</v>
      </c>
      <c r="AB57" s="27">
        <f>AB55/100</f>
        <v>0</v>
      </c>
      <c r="AC57" s="27">
        <f>AC55/60</f>
        <v>0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0.39208333333333328</v>
      </c>
      <c r="AN57" s="25">
        <f>AN55/6</f>
        <v>2.8095238095238098</v>
      </c>
      <c r="AO57" s="25">
        <f>AO55/20</f>
        <v>0</v>
      </c>
      <c r="AP57" s="25">
        <f>AP55/100</f>
        <v>0</v>
      </c>
      <c r="AQ57" s="76"/>
      <c r="AR57" s="26">
        <f>AR55/20</f>
        <v>0</v>
      </c>
      <c r="AS57" s="27">
        <f>AS55/120</f>
        <v>1.5952380952380951E-3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  <row r="58" spans="1:51" ht="17.399999999999999" x14ac:dyDescent="0.25">
      <c r="D58" s="17">
        <v>40</v>
      </c>
      <c r="E58" s="18">
        <v>20</v>
      </c>
      <c r="F58" s="17">
        <v>120</v>
      </c>
      <c r="G58" s="19">
        <v>7</v>
      </c>
      <c r="H58" s="19">
        <v>4</v>
      </c>
    </row>
    <row r="59" spans="1:51" ht="17.399999999999999" x14ac:dyDescent="0.25">
      <c r="D59" s="17">
        <v>40</v>
      </c>
      <c r="E59" s="18">
        <v>20</v>
      </c>
      <c r="F59" s="17">
        <v>120</v>
      </c>
      <c r="G59" s="19">
        <v>7</v>
      </c>
      <c r="H59" s="19">
        <v>4</v>
      </c>
    </row>
    <row r="60" spans="1:51" ht="17.399999999999999" x14ac:dyDescent="0.25">
      <c r="D60" s="17">
        <v>40</v>
      </c>
      <c r="E60" s="18">
        <v>20</v>
      </c>
      <c r="F60" s="17">
        <v>120</v>
      </c>
      <c r="G60" s="19">
        <v>7</v>
      </c>
      <c r="H60" s="19">
        <v>4</v>
      </c>
    </row>
    <row r="61" spans="1:51" ht="17.399999999999999" x14ac:dyDescent="0.25">
      <c r="D61" s="17">
        <v>40</v>
      </c>
      <c r="E61" s="18">
        <v>20</v>
      </c>
      <c r="F61" s="17">
        <v>120</v>
      </c>
      <c r="G61" s="19">
        <v>7</v>
      </c>
      <c r="H61" s="19">
        <v>4</v>
      </c>
    </row>
    <row r="62" spans="1:51" ht="17.399999999999999" x14ac:dyDescent="0.25">
      <c r="D62" s="17">
        <v>40</v>
      </c>
      <c r="E62" s="18">
        <v>20</v>
      </c>
      <c r="F62" s="17">
        <v>120</v>
      </c>
      <c r="G62" s="19">
        <v>7</v>
      </c>
      <c r="H62" s="19">
        <v>4</v>
      </c>
    </row>
    <row r="63" spans="1:51" ht="17.399999999999999" x14ac:dyDescent="0.25">
      <c r="D63" s="17">
        <v>40</v>
      </c>
      <c r="E63" s="18">
        <v>20</v>
      </c>
      <c r="F63" s="17">
        <v>120</v>
      </c>
      <c r="G63" s="19">
        <v>7</v>
      </c>
      <c r="H63" s="19">
        <v>4</v>
      </c>
    </row>
    <row r="64" spans="1:51" ht="17.399999999999999" x14ac:dyDescent="0.25">
      <c r="D64" s="17">
        <v>40</v>
      </c>
      <c r="E64" s="18">
        <v>20</v>
      </c>
      <c r="F64" s="17">
        <v>120</v>
      </c>
      <c r="G64" s="19">
        <v>7</v>
      </c>
      <c r="H64" s="19">
        <v>4</v>
      </c>
    </row>
    <row r="65" spans="4:8" ht="17.399999999999999" x14ac:dyDescent="0.25">
      <c r="D65" s="17">
        <v>40</v>
      </c>
      <c r="E65" s="18">
        <v>20</v>
      </c>
      <c r="F65" s="17">
        <v>120</v>
      </c>
      <c r="G65" s="19">
        <v>7</v>
      </c>
      <c r="H65" s="19">
        <v>4</v>
      </c>
    </row>
    <row r="66" spans="4:8" ht="17.399999999999999" x14ac:dyDescent="0.25">
      <c r="D66" s="17">
        <v>40</v>
      </c>
      <c r="E66" s="18">
        <v>20</v>
      </c>
      <c r="F66" s="17">
        <v>120</v>
      </c>
      <c r="G66" s="19">
        <v>7</v>
      </c>
      <c r="H66" s="19">
        <v>4</v>
      </c>
    </row>
    <row r="67" spans="4:8" ht="17.399999999999999" x14ac:dyDescent="0.25">
      <c r="D67" s="17">
        <v>40</v>
      </c>
      <c r="E67" s="18">
        <v>20</v>
      </c>
      <c r="F67" s="17">
        <v>120</v>
      </c>
      <c r="G67" s="19">
        <v>7</v>
      </c>
      <c r="H67" s="19">
        <v>4</v>
      </c>
    </row>
    <row r="68" spans="4:8" ht="17.399999999999999" x14ac:dyDescent="0.25">
      <c r="D68" s="17">
        <v>40</v>
      </c>
      <c r="E68" s="18">
        <v>20</v>
      </c>
      <c r="F68" s="17">
        <v>120</v>
      </c>
      <c r="G68" s="19">
        <v>7</v>
      </c>
      <c r="H68" s="19">
        <v>4</v>
      </c>
    </row>
    <row r="69" spans="4:8" ht="17.399999999999999" x14ac:dyDescent="0.25">
      <c r="D69" s="17">
        <v>40</v>
      </c>
      <c r="E69" s="18">
        <v>20</v>
      </c>
      <c r="F69" s="17">
        <v>120</v>
      </c>
      <c r="G69" s="19">
        <v>7</v>
      </c>
      <c r="H69" s="19">
        <v>4</v>
      </c>
    </row>
    <row r="70" spans="4:8" ht="17.399999999999999" x14ac:dyDescent="0.25">
      <c r="D70" s="17">
        <v>40</v>
      </c>
      <c r="E70" s="18">
        <v>20</v>
      </c>
      <c r="F70" s="17">
        <v>120</v>
      </c>
      <c r="G70" s="19">
        <v>7</v>
      </c>
      <c r="H70" s="19">
        <v>4</v>
      </c>
    </row>
    <row r="71" spans="4:8" ht="17.399999999999999" x14ac:dyDescent="0.25">
      <c r="D71" s="17">
        <v>40</v>
      </c>
      <c r="E71" s="18">
        <v>20</v>
      </c>
      <c r="F71" s="17">
        <v>120</v>
      </c>
      <c r="G71" s="19">
        <v>7</v>
      </c>
      <c r="H71" s="19">
        <v>4</v>
      </c>
    </row>
    <row r="72" spans="4:8" ht="17.399999999999999" x14ac:dyDescent="0.25">
      <c r="D72" s="17">
        <v>40</v>
      </c>
      <c r="E72" s="18">
        <v>20</v>
      </c>
      <c r="F72" s="17">
        <v>120</v>
      </c>
      <c r="G72" s="19">
        <v>7</v>
      </c>
      <c r="H72" s="19">
        <v>4</v>
      </c>
    </row>
    <row r="73" spans="4:8" ht="17.399999999999999" x14ac:dyDescent="0.25">
      <c r="D73" s="17">
        <v>40</v>
      </c>
      <c r="E73" s="18">
        <v>20</v>
      </c>
      <c r="F73" s="17">
        <v>120</v>
      </c>
      <c r="G73" s="19">
        <v>7</v>
      </c>
      <c r="H73" s="19">
        <v>4</v>
      </c>
    </row>
  </sheetData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23A6-BE26-485B-9CAC-D2823DCF10C6}">
  <dimension ref="A1:AY57"/>
  <sheetViews>
    <sheetView topLeftCell="B1" zoomScale="47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46115</v>
      </c>
      <c r="D2" s="113" t="s">
        <v>107</v>
      </c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5" t="s">
        <v>108</v>
      </c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7"/>
      <c r="AK2" s="118" t="s">
        <v>109</v>
      </c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20"/>
    </row>
    <row r="3" spans="2:51" ht="18" thickBot="1" x14ac:dyDescent="0.3">
      <c r="B3" s="121" t="s">
        <v>1</v>
      </c>
      <c r="C3" s="123" t="s">
        <v>2</v>
      </c>
      <c r="D3" s="5" t="s">
        <v>3</v>
      </c>
      <c r="E3" s="6" t="str">
        <f>T3</f>
        <v>Acheteurs</v>
      </c>
      <c r="F3" s="125" t="s">
        <v>4</v>
      </c>
      <c r="G3" s="125"/>
      <c r="H3" s="125"/>
      <c r="I3" s="125"/>
      <c r="J3" s="126"/>
      <c r="K3" s="56"/>
      <c r="L3" s="127" t="s">
        <v>5</v>
      </c>
      <c r="M3" s="128"/>
      <c r="N3" s="129"/>
      <c r="O3" s="70"/>
      <c r="P3" s="70"/>
      <c r="Q3" s="70"/>
      <c r="R3" s="70"/>
      <c r="S3" s="7" t="s">
        <v>3</v>
      </c>
      <c r="T3" s="7" t="s">
        <v>6</v>
      </c>
      <c r="U3" s="130" t="s">
        <v>7</v>
      </c>
      <c r="V3" s="131"/>
      <c r="W3" s="131"/>
      <c r="X3" s="131"/>
      <c r="Y3" s="131"/>
      <c r="Z3" s="132"/>
      <c r="AA3" s="133" t="str">
        <f>L3</f>
        <v>Gratuités pour achats 
(en unités)</v>
      </c>
      <c r="AB3" s="134"/>
      <c r="AC3" s="135"/>
      <c r="AD3" s="133" t="s">
        <v>19</v>
      </c>
      <c r="AE3" s="134"/>
      <c r="AF3" s="134"/>
      <c r="AG3" s="135"/>
      <c r="AH3" s="136" t="s">
        <v>8</v>
      </c>
      <c r="AI3" s="138" t="s">
        <v>9</v>
      </c>
      <c r="AK3" s="79" t="s">
        <v>3</v>
      </c>
      <c r="AL3" s="79" t="s">
        <v>6</v>
      </c>
      <c r="AM3" s="140" t="s">
        <v>7</v>
      </c>
      <c r="AN3" s="141"/>
      <c r="AO3" s="141"/>
      <c r="AP3" s="141"/>
      <c r="AQ3" s="141"/>
      <c r="AR3" s="142"/>
      <c r="AS3" s="143" t="str">
        <f>AD3</f>
        <v>GOODIES</v>
      </c>
      <c r="AT3" s="144"/>
      <c r="AU3" s="145"/>
      <c r="AV3" s="143" t="s">
        <v>19</v>
      </c>
      <c r="AW3" s="144"/>
      <c r="AX3" s="144"/>
      <c r="AY3" s="145"/>
    </row>
    <row r="4" spans="2:51" ht="202.2" thickBot="1" x14ac:dyDescent="0.3">
      <c r="B4" s="122"/>
      <c r="C4" s="12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7"/>
      <c r="AI4" s="139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/>
      <c r="T5" s="31"/>
      <c r="U5" s="31"/>
      <c r="V5" s="32"/>
      <c r="W5" s="32"/>
      <c r="X5" s="32"/>
      <c r="Y5" s="75"/>
      <c r="Z5" s="33"/>
      <c r="AA5" s="34"/>
      <c r="AB5" s="34"/>
      <c r="AC5" s="34"/>
      <c r="AD5" s="35"/>
      <c r="AE5" s="34"/>
      <c r="AF5" s="34"/>
      <c r="AG5" s="34"/>
      <c r="AH5" s="21"/>
      <c r="AI5" s="22"/>
      <c r="AK5" s="87">
        <f>S5/D5</f>
        <v>0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>
        <v>20</v>
      </c>
      <c r="T6" s="31">
        <v>15</v>
      </c>
      <c r="U6" s="31">
        <v>60</v>
      </c>
      <c r="V6" s="32">
        <v>0</v>
      </c>
      <c r="W6" s="32">
        <v>0</v>
      </c>
      <c r="X6" s="32">
        <v>30</v>
      </c>
      <c r="Y6" s="75">
        <v>0</v>
      </c>
      <c r="Z6" s="33">
        <v>0</v>
      </c>
      <c r="AA6" s="34">
        <v>20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7">
        <f t="shared" ref="AK6:AO55" si="2">S6/D6</f>
        <v>0.5</v>
      </c>
      <c r="AL6" s="87">
        <f t="shared" si="0"/>
        <v>0.75</v>
      </c>
      <c r="AM6" s="87">
        <f t="shared" si="0"/>
        <v>0.5</v>
      </c>
      <c r="AN6" s="87">
        <f t="shared" si="0"/>
        <v>0</v>
      </c>
      <c r="AO6" s="87">
        <f t="shared" si="0"/>
        <v>0</v>
      </c>
      <c r="AP6" s="87"/>
      <c r="AQ6" s="87"/>
      <c r="AR6" s="87"/>
      <c r="AS6" s="87">
        <f t="shared" si="0"/>
        <v>0.11428571428571428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37</v>
      </c>
      <c r="T7" s="31">
        <v>23</v>
      </c>
      <c r="U7" s="31">
        <v>108</v>
      </c>
      <c r="V7" s="32">
        <v>3</v>
      </c>
      <c r="W7" s="32">
        <v>0</v>
      </c>
      <c r="X7" s="32">
        <v>70</v>
      </c>
      <c r="Y7" s="75">
        <v>0</v>
      </c>
      <c r="Z7" s="33">
        <v>0</v>
      </c>
      <c r="AA7" s="34">
        <v>17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0.92500000000000004</v>
      </c>
      <c r="AL7" s="87">
        <f t="shared" si="0"/>
        <v>1.1499999999999999</v>
      </c>
      <c r="AM7" s="87">
        <f t="shared" si="0"/>
        <v>0.9</v>
      </c>
      <c r="AN7" s="87">
        <f t="shared" si="0"/>
        <v>0.42857142857142855</v>
      </c>
      <c r="AO7" s="87">
        <f t="shared" si="0"/>
        <v>0</v>
      </c>
      <c r="AP7" s="87"/>
      <c r="AQ7" s="87"/>
      <c r="AR7" s="87"/>
      <c r="AS7" s="87">
        <f t="shared" si="0"/>
        <v>9.7142857142857142E-2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21</v>
      </c>
      <c r="T8" s="31">
        <v>15</v>
      </c>
      <c r="U8" s="31">
        <v>90</v>
      </c>
      <c r="V8" s="32">
        <v>3</v>
      </c>
      <c r="W8" s="32">
        <v>0</v>
      </c>
      <c r="X8" s="32">
        <v>0</v>
      </c>
      <c r="Y8" s="75">
        <v>10</v>
      </c>
      <c r="Z8" s="33">
        <v>0</v>
      </c>
      <c r="AA8" s="34">
        <v>44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7">
        <f t="shared" si="2"/>
        <v>0.52500000000000002</v>
      </c>
      <c r="AL8" s="87">
        <f t="shared" si="0"/>
        <v>0.75</v>
      </c>
      <c r="AM8" s="87">
        <f t="shared" si="0"/>
        <v>0.75</v>
      </c>
      <c r="AN8" s="87">
        <f t="shared" si="0"/>
        <v>0.42857142857142855</v>
      </c>
      <c r="AO8" s="87">
        <f t="shared" si="0"/>
        <v>0</v>
      </c>
      <c r="AP8" s="87"/>
      <c r="AQ8" s="87"/>
      <c r="AR8" s="87"/>
      <c r="AS8" s="87">
        <f t="shared" si="0"/>
        <v>0.25142857142857145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45</v>
      </c>
      <c r="T9" s="31">
        <v>35</v>
      </c>
      <c r="U9" s="31">
        <v>310</v>
      </c>
      <c r="V9" s="32">
        <v>7</v>
      </c>
      <c r="W9" s="32">
        <v>0</v>
      </c>
      <c r="X9" s="32">
        <v>100</v>
      </c>
      <c r="Y9" s="75">
        <v>0</v>
      </c>
      <c r="Z9" s="33">
        <v>0</v>
      </c>
      <c r="AA9" s="34">
        <v>230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7">
        <f t="shared" si="2"/>
        <v>1.125</v>
      </c>
      <c r="AL9" s="87">
        <f t="shared" si="0"/>
        <v>1.75</v>
      </c>
      <c r="AM9" s="87">
        <f t="shared" si="0"/>
        <v>2.5833333333333335</v>
      </c>
      <c r="AN9" s="87">
        <f t="shared" si="0"/>
        <v>1</v>
      </c>
      <c r="AO9" s="87">
        <f t="shared" si="0"/>
        <v>0</v>
      </c>
      <c r="AP9" s="87"/>
      <c r="AQ9" s="87"/>
      <c r="AR9" s="87"/>
      <c r="AS9" s="87">
        <f t="shared" si="0"/>
        <v>1.3142857142857143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25</v>
      </c>
      <c r="T10" s="31">
        <v>17</v>
      </c>
      <c r="U10" s="31">
        <v>135</v>
      </c>
      <c r="V10" s="32">
        <v>4</v>
      </c>
      <c r="W10" s="32">
        <v>0</v>
      </c>
      <c r="X10" s="32">
        <v>15</v>
      </c>
      <c r="Y10" s="75">
        <v>6</v>
      </c>
      <c r="Z10" s="33">
        <v>0</v>
      </c>
      <c r="AA10" s="34">
        <v>48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7">
        <f t="shared" si="2"/>
        <v>0.625</v>
      </c>
      <c r="AL10" s="87">
        <f t="shared" si="0"/>
        <v>0.85</v>
      </c>
      <c r="AM10" s="87">
        <f t="shared" si="0"/>
        <v>1.125</v>
      </c>
      <c r="AN10" s="87">
        <f t="shared" si="0"/>
        <v>0.5714285714285714</v>
      </c>
      <c r="AO10" s="87">
        <f t="shared" si="0"/>
        <v>0</v>
      </c>
      <c r="AP10" s="87"/>
      <c r="AQ10" s="87"/>
      <c r="AR10" s="87"/>
      <c r="AS10" s="87">
        <f t="shared" si="0"/>
        <v>0.2742857142857143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26</v>
      </c>
      <c r="T11" s="31">
        <v>19</v>
      </c>
      <c r="U11" s="31">
        <v>60</v>
      </c>
      <c r="V11" s="32">
        <v>20</v>
      </c>
      <c r="W11" s="32">
        <v>0</v>
      </c>
      <c r="X11" s="32">
        <v>0</v>
      </c>
      <c r="Y11" s="75">
        <v>0</v>
      </c>
      <c r="Z11" s="33">
        <v>0</v>
      </c>
      <c r="AA11" s="34">
        <v>10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7">
        <f t="shared" si="2"/>
        <v>0.65</v>
      </c>
      <c r="AL11" s="87">
        <f t="shared" si="0"/>
        <v>0.95</v>
      </c>
      <c r="AM11" s="87">
        <f t="shared" si="0"/>
        <v>0.5</v>
      </c>
      <c r="AN11" s="87">
        <f t="shared" si="0"/>
        <v>2.8571428571428572</v>
      </c>
      <c r="AO11" s="87">
        <f t="shared" si="0"/>
        <v>0</v>
      </c>
      <c r="AP11" s="87"/>
      <c r="AQ11" s="87"/>
      <c r="AR11" s="87"/>
      <c r="AS11" s="87">
        <f t="shared" si="0"/>
        <v>5.7142857142857141E-2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30</v>
      </c>
      <c r="T12" s="31">
        <v>25</v>
      </c>
      <c r="U12" s="31">
        <v>100</v>
      </c>
      <c r="V12" s="32">
        <v>0</v>
      </c>
      <c r="W12" s="32">
        <v>0</v>
      </c>
      <c r="X12" s="32">
        <v>30</v>
      </c>
      <c r="Y12" s="75">
        <v>0</v>
      </c>
      <c r="Z12" s="33">
        <v>0</v>
      </c>
      <c r="AA12" s="34">
        <v>22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/>
      <c r="AK12" s="87">
        <f t="shared" si="2"/>
        <v>0.75</v>
      </c>
      <c r="AL12" s="87">
        <f t="shared" si="0"/>
        <v>1.25</v>
      </c>
      <c r="AM12" s="87">
        <f t="shared" si="0"/>
        <v>0.83333333333333337</v>
      </c>
      <c r="AN12" s="87">
        <f t="shared" si="0"/>
        <v>0</v>
      </c>
      <c r="AO12" s="87">
        <f t="shared" si="0"/>
        <v>0</v>
      </c>
      <c r="AP12" s="87"/>
      <c r="AQ12" s="87"/>
      <c r="AR12" s="87"/>
      <c r="AS12" s="87">
        <f t="shared" si="0"/>
        <v>0.12571428571428572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50</v>
      </c>
      <c r="T13" s="31">
        <v>30</v>
      </c>
      <c r="U13" s="31">
        <v>100</v>
      </c>
      <c r="V13" s="32">
        <v>2</v>
      </c>
      <c r="W13" s="32">
        <v>0</v>
      </c>
      <c r="X13" s="32">
        <v>70</v>
      </c>
      <c r="Y13" s="75">
        <v>20</v>
      </c>
      <c r="Z13" s="33">
        <v>0</v>
      </c>
      <c r="AA13" s="34">
        <v>65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7">
        <f t="shared" si="2"/>
        <v>1.25</v>
      </c>
      <c r="AL13" s="87">
        <f t="shared" si="0"/>
        <v>1.5</v>
      </c>
      <c r="AM13" s="87">
        <f t="shared" si="0"/>
        <v>0.83333333333333337</v>
      </c>
      <c r="AN13" s="87">
        <f t="shared" si="0"/>
        <v>0.2857142857142857</v>
      </c>
      <c r="AO13" s="87">
        <f t="shared" si="0"/>
        <v>0</v>
      </c>
      <c r="AP13" s="87"/>
      <c r="AQ13" s="87"/>
      <c r="AR13" s="87"/>
      <c r="AS13" s="87">
        <f t="shared" si="0"/>
        <v>0.37142857142857144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26</v>
      </c>
      <c r="T14" s="31">
        <v>16</v>
      </c>
      <c r="U14" s="31">
        <v>20</v>
      </c>
      <c r="V14" s="32">
        <v>2</v>
      </c>
      <c r="W14" s="32">
        <v>0</v>
      </c>
      <c r="X14" s="32">
        <v>100</v>
      </c>
      <c r="Y14" s="75">
        <v>0</v>
      </c>
      <c r="Z14" s="33">
        <v>0</v>
      </c>
      <c r="AA14" s="34">
        <v>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7">
        <f t="shared" si="2"/>
        <v>0.65</v>
      </c>
      <c r="AL14" s="87">
        <f t="shared" si="0"/>
        <v>0.8</v>
      </c>
      <c r="AM14" s="87">
        <f t="shared" si="0"/>
        <v>0.16666666666666666</v>
      </c>
      <c r="AN14" s="87">
        <f t="shared" si="0"/>
        <v>0.2857142857142857</v>
      </c>
      <c r="AO14" s="87">
        <f t="shared" si="0"/>
        <v>0</v>
      </c>
      <c r="AP14" s="87"/>
      <c r="AQ14" s="87"/>
      <c r="AR14" s="87"/>
      <c r="AS14" s="87">
        <f t="shared" si="0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15</v>
      </c>
      <c r="T15" s="31">
        <v>9</v>
      </c>
      <c r="U15" s="31">
        <v>14</v>
      </c>
      <c r="V15" s="32">
        <v>2</v>
      </c>
      <c r="W15" s="32">
        <v>0</v>
      </c>
      <c r="X15" s="32">
        <v>0</v>
      </c>
      <c r="Y15" s="75">
        <v>0</v>
      </c>
      <c r="Z15" s="33">
        <v>0</v>
      </c>
      <c r="AA15" s="34">
        <v>23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7">
        <f t="shared" si="2"/>
        <v>0.375</v>
      </c>
      <c r="AL15" s="87">
        <f t="shared" si="0"/>
        <v>0.45</v>
      </c>
      <c r="AM15" s="87">
        <f t="shared" si="0"/>
        <v>0.11666666666666667</v>
      </c>
      <c r="AN15" s="87">
        <f t="shared" si="0"/>
        <v>0.2857142857142857</v>
      </c>
      <c r="AO15" s="87">
        <f t="shared" si="0"/>
        <v>0</v>
      </c>
      <c r="AP15" s="87"/>
      <c r="AQ15" s="87"/>
      <c r="AR15" s="87"/>
      <c r="AS15" s="87">
        <f t="shared" si="0"/>
        <v>0.13142857142857142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34</v>
      </c>
      <c r="T16" s="31">
        <v>22</v>
      </c>
      <c r="U16" s="31">
        <v>250</v>
      </c>
      <c r="V16" s="32">
        <v>8</v>
      </c>
      <c r="W16" s="32">
        <v>0</v>
      </c>
      <c r="X16" s="32">
        <v>30</v>
      </c>
      <c r="Y16" s="75">
        <v>0</v>
      </c>
      <c r="Z16" s="33">
        <v>0</v>
      </c>
      <c r="AA16" s="34">
        <v>50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/>
      <c r="AI16" s="22"/>
      <c r="AK16" s="87">
        <f t="shared" si="2"/>
        <v>0.85</v>
      </c>
      <c r="AL16" s="87">
        <f t="shared" si="0"/>
        <v>1.1000000000000001</v>
      </c>
      <c r="AM16" s="87">
        <f t="shared" si="0"/>
        <v>2.0833333333333335</v>
      </c>
      <c r="AN16" s="87">
        <f t="shared" si="0"/>
        <v>1.1428571428571428</v>
      </c>
      <c r="AO16" s="87">
        <f t="shared" si="0"/>
        <v>0</v>
      </c>
      <c r="AP16" s="87"/>
      <c r="AQ16" s="87"/>
      <c r="AR16" s="87"/>
      <c r="AS16" s="87">
        <f t="shared" si="0"/>
        <v>0.2857142857142857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39</v>
      </c>
      <c r="T17" s="31">
        <v>17</v>
      </c>
      <c r="U17" s="31">
        <v>20</v>
      </c>
      <c r="V17" s="32">
        <v>4</v>
      </c>
      <c r="W17" s="32">
        <v>0</v>
      </c>
      <c r="X17" s="32">
        <v>2</v>
      </c>
      <c r="Y17" s="75">
        <v>5</v>
      </c>
      <c r="Z17" s="33">
        <v>0</v>
      </c>
      <c r="AA17" s="34">
        <v>15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7">
        <f t="shared" si="2"/>
        <v>0.97499999999999998</v>
      </c>
      <c r="AL17" s="87">
        <f t="shared" si="0"/>
        <v>0.85</v>
      </c>
      <c r="AM17" s="87">
        <f t="shared" si="0"/>
        <v>0.16666666666666666</v>
      </c>
      <c r="AN17" s="87">
        <f t="shared" si="0"/>
        <v>0.5714285714285714</v>
      </c>
      <c r="AO17" s="87">
        <f t="shared" si="0"/>
        <v>0</v>
      </c>
      <c r="AP17" s="87"/>
      <c r="AQ17" s="87"/>
      <c r="AR17" s="87"/>
      <c r="AS17" s="87">
        <f t="shared" si="0"/>
        <v>8.5714285714285715E-2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50</v>
      </c>
      <c r="T18" s="31">
        <v>28</v>
      </c>
      <c r="U18" s="31">
        <v>100</v>
      </c>
      <c r="V18" s="32">
        <v>0</v>
      </c>
      <c r="W18" s="32">
        <v>0</v>
      </c>
      <c r="X18" s="32">
        <v>0</v>
      </c>
      <c r="Y18" s="75">
        <v>0</v>
      </c>
      <c r="Z18" s="33">
        <v>0</v>
      </c>
      <c r="AA18" s="34">
        <v>20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7">
        <f t="shared" si="2"/>
        <v>1.25</v>
      </c>
      <c r="AL18" s="87">
        <f t="shared" si="0"/>
        <v>1.4</v>
      </c>
      <c r="AM18" s="87">
        <f t="shared" si="0"/>
        <v>0.83333333333333337</v>
      </c>
      <c r="AN18" s="87">
        <f t="shared" si="0"/>
        <v>0</v>
      </c>
      <c r="AO18" s="87">
        <f t="shared" si="0"/>
        <v>0</v>
      </c>
      <c r="AP18" s="87"/>
      <c r="AQ18" s="87"/>
      <c r="AR18" s="87"/>
      <c r="AS18" s="87">
        <f t="shared" si="0"/>
        <v>0.11428571428571428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18</v>
      </c>
      <c r="T19" s="31">
        <v>8</v>
      </c>
      <c r="U19" s="31">
        <v>44</v>
      </c>
      <c r="V19" s="32">
        <v>0</v>
      </c>
      <c r="W19" s="32">
        <v>0</v>
      </c>
      <c r="X19" s="32">
        <v>10</v>
      </c>
      <c r="Y19" s="75">
        <v>0</v>
      </c>
      <c r="Z19" s="33">
        <v>0</v>
      </c>
      <c r="AA19" s="34">
        <v>12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7">
        <f t="shared" si="2"/>
        <v>0.45</v>
      </c>
      <c r="AL19" s="87">
        <f t="shared" si="0"/>
        <v>0.4</v>
      </c>
      <c r="AM19" s="87">
        <f t="shared" si="0"/>
        <v>0.36666666666666664</v>
      </c>
      <c r="AN19" s="87">
        <f t="shared" si="0"/>
        <v>0</v>
      </c>
      <c r="AO19" s="87">
        <f t="shared" si="0"/>
        <v>0</v>
      </c>
      <c r="AP19" s="87"/>
      <c r="AQ19" s="87"/>
      <c r="AR19" s="87"/>
      <c r="AS19" s="87">
        <f t="shared" si="0"/>
        <v>6.8571428571428575E-2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18</v>
      </c>
      <c r="T20" s="31">
        <v>3</v>
      </c>
      <c r="U20" s="31">
        <v>85</v>
      </c>
      <c r="V20" s="32">
        <v>0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7">
        <f t="shared" si="2"/>
        <v>0.45</v>
      </c>
      <c r="AL20" s="87">
        <f t="shared" si="0"/>
        <v>0.15</v>
      </c>
      <c r="AM20" s="87">
        <f t="shared" si="0"/>
        <v>0.70833333333333337</v>
      </c>
      <c r="AN20" s="87">
        <f t="shared" si="0"/>
        <v>0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20</v>
      </c>
      <c r="T21" s="31">
        <v>5</v>
      </c>
      <c r="U21" s="31">
        <v>40</v>
      </c>
      <c r="V21" s="32">
        <v>1</v>
      </c>
      <c r="W21" s="32">
        <v>0</v>
      </c>
      <c r="X21" s="32">
        <v>30</v>
      </c>
      <c r="Y21" s="75">
        <v>8</v>
      </c>
      <c r="Z21" s="33">
        <v>0</v>
      </c>
      <c r="AA21" s="34">
        <v>45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7">
        <f t="shared" si="2"/>
        <v>0.5</v>
      </c>
      <c r="AL21" s="87">
        <f t="shared" si="2"/>
        <v>0.25</v>
      </c>
      <c r="AM21" s="87">
        <f t="shared" si="2"/>
        <v>0.33333333333333331</v>
      </c>
      <c r="AN21" s="87">
        <f t="shared" si="2"/>
        <v>0.14285714285714285</v>
      </c>
      <c r="AO21" s="87">
        <f t="shared" si="2"/>
        <v>0</v>
      </c>
      <c r="AP21" s="87"/>
      <c r="AQ21" s="87"/>
      <c r="AR21" s="87"/>
      <c r="AS21" s="87">
        <f t="shared" ref="AS21:AS55" si="3">AA21/L21</f>
        <v>0.25714285714285712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5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7">
        <f t="shared" si="2"/>
        <v>0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50</v>
      </c>
      <c r="T23" s="31">
        <v>27</v>
      </c>
      <c r="U23" s="31">
        <v>20</v>
      </c>
      <c r="V23" s="32">
        <v>3</v>
      </c>
      <c r="W23" s="32">
        <v>0</v>
      </c>
      <c r="X23" s="32">
        <v>20</v>
      </c>
      <c r="Y23" s="75">
        <v>5</v>
      </c>
      <c r="Z23" s="33">
        <v>0</v>
      </c>
      <c r="AA23" s="34">
        <v>17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/>
      <c r="AI23" s="22"/>
      <c r="AK23" s="87">
        <f t="shared" si="2"/>
        <v>1.25</v>
      </c>
      <c r="AL23" s="87">
        <f t="shared" si="2"/>
        <v>1.35</v>
      </c>
      <c r="AM23" s="87">
        <f t="shared" si="2"/>
        <v>0.16666666666666666</v>
      </c>
      <c r="AN23" s="87">
        <f t="shared" si="2"/>
        <v>0.42857142857142855</v>
      </c>
      <c r="AO23" s="87">
        <f t="shared" si="2"/>
        <v>0</v>
      </c>
      <c r="AP23" s="87"/>
      <c r="AQ23" s="87"/>
      <c r="AR23" s="87"/>
      <c r="AS23" s="87">
        <f t="shared" si="3"/>
        <v>9.7142857142857142E-2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40</v>
      </c>
      <c r="T24" s="31">
        <v>25</v>
      </c>
      <c r="U24" s="31">
        <v>121</v>
      </c>
      <c r="V24" s="32">
        <v>1</v>
      </c>
      <c r="W24" s="32">
        <v>0</v>
      </c>
      <c r="X24" s="32">
        <v>30</v>
      </c>
      <c r="Y24" s="75">
        <v>3</v>
      </c>
      <c r="Z24" s="33">
        <v>0</v>
      </c>
      <c r="AA24" s="34">
        <v>56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/>
      <c r="AI24" s="22"/>
      <c r="AK24" s="87">
        <f t="shared" si="2"/>
        <v>1</v>
      </c>
      <c r="AL24" s="87">
        <f t="shared" si="2"/>
        <v>1.25</v>
      </c>
      <c r="AM24" s="87">
        <f t="shared" si="2"/>
        <v>1.0083333333333333</v>
      </c>
      <c r="AN24" s="87">
        <f t="shared" si="2"/>
        <v>0.14285714285714285</v>
      </c>
      <c r="AO24" s="87">
        <f t="shared" si="2"/>
        <v>0</v>
      </c>
      <c r="AP24" s="87"/>
      <c r="AQ24" s="87"/>
      <c r="AR24" s="87"/>
      <c r="AS24" s="87">
        <f t="shared" si="3"/>
        <v>0.32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>
        <v>35</v>
      </c>
      <c r="T25" s="31">
        <v>22</v>
      </c>
      <c r="U25" s="31">
        <v>80</v>
      </c>
      <c r="V25" s="32">
        <v>3</v>
      </c>
      <c r="W25" s="32">
        <v>0</v>
      </c>
      <c r="X25" s="32">
        <v>70</v>
      </c>
      <c r="Y25" s="75">
        <v>4</v>
      </c>
      <c r="Z25" s="33">
        <v>0</v>
      </c>
      <c r="AA25" s="34">
        <v>40</v>
      </c>
      <c r="AB25" s="34">
        <v>0</v>
      </c>
      <c r="AC25" s="34">
        <v>0</v>
      </c>
      <c r="AD25" s="35">
        <v>0</v>
      </c>
      <c r="AE25" s="34">
        <v>0</v>
      </c>
      <c r="AF25" s="34">
        <v>0</v>
      </c>
      <c r="AG25" s="34">
        <v>0</v>
      </c>
      <c r="AH25" s="21"/>
      <c r="AI25" s="22"/>
      <c r="AK25" s="87">
        <f t="shared" si="2"/>
        <v>0.875</v>
      </c>
      <c r="AL25" s="87">
        <f t="shared" si="2"/>
        <v>1.1000000000000001</v>
      </c>
      <c r="AM25" s="87">
        <f t="shared" si="2"/>
        <v>0.66666666666666663</v>
      </c>
      <c r="AN25" s="87">
        <f t="shared" si="2"/>
        <v>0.42857142857142855</v>
      </c>
      <c r="AO25" s="87">
        <f t="shared" si="2"/>
        <v>0</v>
      </c>
      <c r="AP25" s="87"/>
      <c r="AQ25" s="87"/>
      <c r="AR25" s="87"/>
      <c r="AS25" s="87">
        <f t="shared" si="3"/>
        <v>0.22857142857142856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>
        <v>35</v>
      </c>
      <c r="T26" s="31">
        <v>28</v>
      </c>
      <c r="U26" s="31">
        <v>67</v>
      </c>
      <c r="V26" s="32">
        <v>2</v>
      </c>
      <c r="W26" s="32">
        <v>0</v>
      </c>
      <c r="X26" s="32">
        <v>46</v>
      </c>
      <c r="Y26" s="75">
        <v>3</v>
      </c>
      <c r="Z26" s="33">
        <v>0</v>
      </c>
      <c r="AA26" s="34">
        <v>68</v>
      </c>
      <c r="AB26" s="34">
        <v>0</v>
      </c>
      <c r="AC26" s="34">
        <v>0</v>
      </c>
      <c r="AD26" s="35">
        <v>0</v>
      </c>
      <c r="AE26" s="34">
        <v>0</v>
      </c>
      <c r="AF26" s="34">
        <v>0</v>
      </c>
      <c r="AG26" s="34">
        <v>0</v>
      </c>
      <c r="AH26" s="21"/>
      <c r="AI26" s="22"/>
      <c r="AK26" s="87">
        <f t="shared" si="2"/>
        <v>0.875</v>
      </c>
      <c r="AL26" s="87">
        <f t="shared" si="2"/>
        <v>1.4</v>
      </c>
      <c r="AM26" s="87">
        <f t="shared" si="2"/>
        <v>0.55833333333333335</v>
      </c>
      <c r="AN26" s="87">
        <f t="shared" si="2"/>
        <v>0.2857142857142857</v>
      </c>
      <c r="AO26" s="87">
        <f t="shared" si="2"/>
        <v>0</v>
      </c>
      <c r="AP26" s="87"/>
      <c r="AQ26" s="87"/>
      <c r="AR26" s="87"/>
      <c r="AS26" s="87">
        <f t="shared" si="3"/>
        <v>0.38857142857142857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>
        <v>50</v>
      </c>
      <c r="T27" s="31">
        <v>34</v>
      </c>
      <c r="U27" s="31">
        <v>210</v>
      </c>
      <c r="V27" s="32">
        <v>6</v>
      </c>
      <c r="W27" s="32">
        <v>0</v>
      </c>
      <c r="X27" s="32">
        <v>140</v>
      </c>
      <c r="Y27" s="75">
        <v>23</v>
      </c>
      <c r="Z27" s="33">
        <v>0</v>
      </c>
      <c r="AA27" s="34">
        <v>65</v>
      </c>
      <c r="AB27" s="34">
        <v>0</v>
      </c>
      <c r="AC27" s="34">
        <v>0</v>
      </c>
      <c r="AD27" s="35">
        <v>0</v>
      </c>
      <c r="AE27" s="34">
        <v>0</v>
      </c>
      <c r="AF27" s="34">
        <v>0</v>
      </c>
      <c r="AG27" s="34">
        <v>0</v>
      </c>
      <c r="AH27" s="21"/>
      <c r="AI27" s="22"/>
      <c r="AK27" s="87">
        <f t="shared" si="2"/>
        <v>1.25</v>
      </c>
      <c r="AL27" s="87">
        <f t="shared" si="2"/>
        <v>1.7</v>
      </c>
      <c r="AM27" s="87">
        <f t="shared" si="2"/>
        <v>1.75</v>
      </c>
      <c r="AN27" s="87">
        <f t="shared" si="2"/>
        <v>0.8571428571428571</v>
      </c>
      <c r="AO27" s="87">
        <f t="shared" si="2"/>
        <v>0</v>
      </c>
      <c r="AP27" s="87"/>
      <c r="AQ27" s="87"/>
      <c r="AR27" s="87"/>
      <c r="AS27" s="87">
        <f t="shared" si="3"/>
        <v>0.37142857142857144</v>
      </c>
      <c r="AT27" s="87"/>
      <c r="AU27" s="87"/>
      <c r="AV27" s="87"/>
      <c r="AW27" s="87"/>
      <c r="AX27" s="87"/>
      <c r="AY27" s="87"/>
    </row>
    <row r="28" spans="2:51" ht="17.399999999999999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30</v>
      </c>
      <c r="T28" s="31">
        <v>20</v>
      </c>
      <c r="U28" s="31">
        <v>0</v>
      </c>
      <c r="V28" s="32">
        <v>0</v>
      </c>
      <c r="W28" s="32">
        <v>0</v>
      </c>
      <c r="X28" s="32">
        <v>150</v>
      </c>
      <c r="Y28" s="75">
        <v>0</v>
      </c>
      <c r="Z28" s="33">
        <v>0</v>
      </c>
      <c r="AA28" s="34">
        <v>10</v>
      </c>
      <c r="AB28" s="34">
        <v>0</v>
      </c>
      <c r="AC28" s="34">
        <v>0</v>
      </c>
      <c r="AD28" s="35">
        <v>0</v>
      </c>
      <c r="AE28" s="34">
        <v>0</v>
      </c>
      <c r="AF28" s="34">
        <v>0</v>
      </c>
      <c r="AG28" s="34">
        <v>0</v>
      </c>
      <c r="AH28" s="21"/>
      <c r="AI28" s="22"/>
      <c r="AK28" s="87">
        <f t="shared" si="2"/>
        <v>0.75</v>
      </c>
      <c r="AL28" s="87">
        <f t="shared" si="2"/>
        <v>1</v>
      </c>
      <c r="AM28" s="87">
        <f t="shared" si="2"/>
        <v>0</v>
      </c>
      <c r="AN28" s="87">
        <f t="shared" si="2"/>
        <v>0</v>
      </c>
      <c r="AO28" s="87">
        <f t="shared" si="2"/>
        <v>0</v>
      </c>
      <c r="AP28" s="87"/>
      <c r="AQ28" s="87"/>
      <c r="AR28" s="87"/>
      <c r="AS28" s="87">
        <f t="shared" si="3"/>
        <v>5.7142857142857141E-2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>
        <v>40</v>
      </c>
      <c r="T29" s="31">
        <v>25</v>
      </c>
      <c r="U29" s="31">
        <v>360</v>
      </c>
      <c r="V29" s="32">
        <v>0</v>
      </c>
      <c r="W29" s="32">
        <v>0</v>
      </c>
      <c r="X29" s="32">
        <v>160</v>
      </c>
      <c r="Y29" s="75">
        <v>20</v>
      </c>
      <c r="Z29" s="33">
        <v>0</v>
      </c>
      <c r="AA29" s="34">
        <v>100</v>
      </c>
      <c r="AB29" s="34">
        <v>0</v>
      </c>
      <c r="AC29" s="34">
        <v>0</v>
      </c>
      <c r="AD29" s="35">
        <v>0</v>
      </c>
      <c r="AE29" s="34">
        <v>0</v>
      </c>
      <c r="AF29" s="34">
        <v>0</v>
      </c>
      <c r="AG29" s="34">
        <v>0</v>
      </c>
      <c r="AH29" s="21"/>
      <c r="AI29" s="22"/>
      <c r="AK29" s="87">
        <f t="shared" si="2"/>
        <v>1</v>
      </c>
      <c r="AL29" s="87">
        <f t="shared" si="2"/>
        <v>1.25</v>
      </c>
      <c r="AM29" s="87">
        <f t="shared" si="2"/>
        <v>3</v>
      </c>
      <c r="AN29" s="87">
        <f t="shared" si="2"/>
        <v>0</v>
      </c>
      <c r="AO29" s="87">
        <f t="shared" si="2"/>
        <v>0</v>
      </c>
      <c r="AP29" s="87"/>
      <c r="AQ29" s="87"/>
      <c r="AR29" s="87"/>
      <c r="AS29" s="87">
        <f t="shared" si="3"/>
        <v>0.5714285714285714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/>
      <c r="T30" s="31"/>
      <c r="U30" s="31"/>
      <c r="V30" s="32"/>
      <c r="W30" s="32"/>
      <c r="X30" s="32"/>
      <c r="Y30" s="75"/>
      <c r="Z30" s="33"/>
      <c r="AA30" s="34"/>
      <c r="AB30" s="34"/>
      <c r="AC30" s="34"/>
      <c r="AD30" s="35"/>
      <c r="AE30" s="34"/>
      <c r="AF30" s="34"/>
      <c r="AG30" s="34"/>
      <c r="AH30" s="21"/>
      <c r="AI30" s="22"/>
      <c r="AK30" s="87">
        <f t="shared" si="2"/>
        <v>0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>
        <v>22</v>
      </c>
      <c r="T31" s="31">
        <v>16</v>
      </c>
      <c r="U31" s="31">
        <v>110</v>
      </c>
      <c r="V31" s="32">
        <v>1</v>
      </c>
      <c r="W31" s="32">
        <v>0</v>
      </c>
      <c r="X31" s="32">
        <v>90</v>
      </c>
      <c r="Y31" s="75">
        <v>1</v>
      </c>
      <c r="Z31" s="33">
        <v>0</v>
      </c>
      <c r="AA31" s="34">
        <v>77</v>
      </c>
      <c r="AB31" s="34">
        <v>0</v>
      </c>
      <c r="AC31" s="34">
        <v>0</v>
      </c>
      <c r="AD31" s="35">
        <v>0</v>
      </c>
      <c r="AE31" s="34">
        <v>0</v>
      </c>
      <c r="AF31" s="34">
        <v>0</v>
      </c>
      <c r="AG31" s="34">
        <v>0</v>
      </c>
      <c r="AH31" s="21"/>
      <c r="AI31" s="22"/>
      <c r="AK31" s="87">
        <f t="shared" si="2"/>
        <v>0.55000000000000004</v>
      </c>
      <c r="AL31" s="87">
        <f t="shared" si="2"/>
        <v>0.8</v>
      </c>
      <c r="AM31" s="87">
        <f t="shared" si="2"/>
        <v>0.91666666666666663</v>
      </c>
      <c r="AN31" s="87">
        <f t="shared" si="2"/>
        <v>0.14285714285714285</v>
      </c>
      <c r="AO31" s="87">
        <f t="shared" si="2"/>
        <v>0</v>
      </c>
      <c r="AP31" s="87"/>
      <c r="AQ31" s="87"/>
      <c r="AR31" s="87"/>
      <c r="AS31" s="87">
        <f t="shared" si="3"/>
        <v>0.44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>
        <v>33</v>
      </c>
      <c r="T32" s="31">
        <v>20</v>
      </c>
      <c r="U32" s="31">
        <v>100</v>
      </c>
      <c r="V32" s="32">
        <v>2</v>
      </c>
      <c r="W32" s="32">
        <v>0</v>
      </c>
      <c r="X32" s="32">
        <v>50</v>
      </c>
      <c r="Y32" s="75">
        <v>20</v>
      </c>
      <c r="Z32" s="33">
        <v>0</v>
      </c>
      <c r="AA32" s="34">
        <v>30</v>
      </c>
      <c r="AB32" s="34">
        <v>0</v>
      </c>
      <c r="AC32" s="34">
        <v>0</v>
      </c>
      <c r="AD32" s="35">
        <v>0</v>
      </c>
      <c r="AE32" s="34">
        <v>0</v>
      </c>
      <c r="AF32" s="34">
        <v>0</v>
      </c>
      <c r="AG32" s="34">
        <v>0</v>
      </c>
      <c r="AH32" s="21"/>
      <c r="AI32" s="22"/>
      <c r="AK32" s="87">
        <f t="shared" si="2"/>
        <v>0.82499999999999996</v>
      </c>
      <c r="AL32" s="87">
        <f t="shared" si="2"/>
        <v>1</v>
      </c>
      <c r="AM32" s="87">
        <f t="shared" si="2"/>
        <v>0.83333333333333337</v>
      </c>
      <c r="AN32" s="87">
        <f t="shared" si="2"/>
        <v>0.2857142857142857</v>
      </c>
      <c r="AO32" s="87">
        <f t="shared" si="2"/>
        <v>0</v>
      </c>
      <c r="AP32" s="87"/>
      <c r="AQ32" s="87"/>
      <c r="AR32" s="87"/>
      <c r="AS32" s="87">
        <f t="shared" si="3"/>
        <v>0.17142857142857143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>
        <v>30</v>
      </c>
      <c r="T33" s="31">
        <v>19</v>
      </c>
      <c r="U33" s="31">
        <v>20</v>
      </c>
      <c r="V33" s="32">
        <v>0</v>
      </c>
      <c r="W33" s="32">
        <v>0</v>
      </c>
      <c r="X33" s="32">
        <v>0</v>
      </c>
      <c r="Y33" s="75">
        <v>0</v>
      </c>
      <c r="Z33" s="33">
        <v>0</v>
      </c>
      <c r="AA33" s="34">
        <v>50</v>
      </c>
      <c r="AB33" s="34">
        <v>0</v>
      </c>
      <c r="AC33" s="34">
        <v>0</v>
      </c>
      <c r="AD33" s="35">
        <v>0</v>
      </c>
      <c r="AE33" s="34">
        <v>0</v>
      </c>
      <c r="AF33" s="34">
        <v>0</v>
      </c>
      <c r="AG33" s="34">
        <v>0</v>
      </c>
      <c r="AH33" s="21"/>
      <c r="AI33" s="22"/>
      <c r="AK33" s="87">
        <f t="shared" si="2"/>
        <v>0.75</v>
      </c>
      <c r="AL33" s="87">
        <f t="shared" si="2"/>
        <v>0.95</v>
      </c>
      <c r="AM33" s="87">
        <f t="shared" si="2"/>
        <v>0.16666666666666666</v>
      </c>
      <c r="AN33" s="87">
        <f t="shared" si="2"/>
        <v>0</v>
      </c>
      <c r="AO33" s="87">
        <f t="shared" si="2"/>
        <v>0</v>
      </c>
      <c r="AP33" s="87"/>
      <c r="AQ33" s="87"/>
      <c r="AR33" s="87"/>
      <c r="AS33" s="87">
        <f t="shared" si="3"/>
        <v>0.2857142857142857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30</v>
      </c>
      <c r="T34" s="31">
        <v>20</v>
      </c>
      <c r="U34" s="31">
        <v>100</v>
      </c>
      <c r="V34" s="32">
        <v>1</v>
      </c>
      <c r="W34" s="32">
        <v>0</v>
      </c>
      <c r="X34" s="32">
        <v>10</v>
      </c>
      <c r="Y34" s="75">
        <v>0</v>
      </c>
      <c r="Z34" s="33">
        <v>0</v>
      </c>
      <c r="AA34" s="34">
        <v>19</v>
      </c>
      <c r="AB34" s="34">
        <v>0</v>
      </c>
      <c r="AC34" s="34">
        <v>0</v>
      </c>
      <c r="AD34" s="35">
        <v>0</v>
      </c>
      <c r="AE34" s="34">
        <v>0</v>
      </c>
      <c r="AF34" s="34">
        <v>0</v>
      </c>
      <c r="AG34" s="34">
        <v>0</v>
      </c>
      <c r="AH34" s="21"/>
      <c r="AI34" s="22"/>
      <c r="AK34" s="87">
        <f t="shared" si="2"/>
        <v>0.75</v>
      </c>
      <c r="AL34" s="87">
        <f t="shared" si="2"/>
        <v>1</v>
      </c>
      <c r="AM34" s="87">
        <f t="shared" si="2"/>
        <v>0.83333333333333337</v>
      </c>
      <c r="AN34" s="87">
        <f t="shared" si="2"/>
        <v>0.14285714285714285</v>
      </c>
      <c r="AO34" s="87">
        <f t="shared" si="2"/>
        <v>0</v>
      </c>
      <c r="AP34" s="87"/>
      <c r="AQ34" s="87"/>
      <c r="AR34" s="87"/>
      <c r="AS34" s="87">
        <f t="shared" si="3"/>
        <v>0.10857142857142857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>
        <v>10</v>
      </c>
      <c r="T35" s="31">
        <v>5</v>
      </c>
      <c r="U35" s="31">
        <v>40</v>
      </c>
      <c r="V35" s="32">
        <v>2</v>
      </c>
      <c r="W35" s="32">
        <v>0</v>
      </c>
      <c r="X35" s="32">
        <v>0</v>
      </c>
      <c r="Y35" s="75">
        <v>0</v>
      </c>
      <c r="Z35" s="33">
        <v>0</v>
      </c>
      <c r="AA35" s="34">
        <v>12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21"/>
      <c r="AI35" s="22"/>
      <c r="AK35" s="87">
        <f t="shared" si="2"/>
        <v>0.25</v>
      </c>
      <c r="AL35" s="87">
        <f t="shared" si="2"/>
        <v>0.25</v>
      </c>
      <c r="AM35" s="87">
        <f t="shared" si="2"/>
        <v>0.33333333333333331</v>
      </c>
      <c r="AN35" s="87">
        <f t="shared" si="2"/>
        <v>0.2857142857142857</v>
      </c>
      <c r="AO35" s="87">
        <f t="shared" si="2"/>
        <v>0</v>
      </c>
      <c r="AP35" s="87"/>
      <c r="AQ35" s="87"/>
      <c r="AR35" s="87"/>
      <c r="AS35" s="87">
        <f t="shared" si="3"/>
        <v>6.8571428571428575E-2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>
        <v>40</v>
      </c>
      <c r="T36" s="31">
        <v>15</v>
      </c>
      <c r="U36" s="31">
        <v>101</v>
      </c>
      <c r="V36" s="32">
        <v>0</v>
      </c>
      <c r="W36" s="32">
        <v>0</v>
      </c>
      <c r="X36" s="32">
        <v>73</v>
      </c>
      <c r="Y36" s="75">
        <v>0</v>
      </c>
      <c r="Z36" s="33">
        <v>0</v>
      </c>
      <c r="AA36" s="34">
        <v>58</v>
      </c>
      <c r="AB36" s="34">
        <v>0</v>
      </c>
      <c r="AC36" s="34">
        <v>0</v>
      </c>
      <c r="AD36" s="35">
        <v>0</v>
      </c>
      <c r="AE36" s="34">
        <v>0</v>
      </c>
      <c r="AF36" s="34">
        <v>0</v>
      </c>
      <c r="AG36" s="34">
        <v>0</v>
      </c>
      <c r="AH36" s="21"/>
      <c r="AI36" s="22"/>
      <c r="AK36" s="87">
        <f t="shared" si="2"/>
        <v>1</v>
      </c>
      <c r="AL36" s="87">
        <f t="shared" si="2"/>
        <v>0.75</v>
      </c>
      <c r="AM36" s="87">
        <f t="shared" si="2"/>
        <v>0.84166666666666667</v>
      </c>
      <c r="AN36" s="87">
        <f t="shared" si="2"/>
        <v>0</v>
      </c>
      <c r="AO36" s="87">
        <f t="shared" si="2"/>
        <v>0</v>
      </c>
      <c r="AP36" s="87"/>
      <c r="AQ36" s="87"/>
      <c r="AR36" s="87"/>
      <c r="AS36" s="87">
        <f t="shared" si="3"/>
        <v>0.33142857142857141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22</v>
      </c>
      <c r="T37" s="31">
        <v>5</v>
      </c>
      <c r="U37" s="31">
        <v>70</v>
      </c>
      <c r="V37" s="32">
        <v>3</v>
      </c>
      <c r="W37" s="32">
        <v>0</v>
      </c>
      <c r="X37" s="32">
        <v>10</v>
      </c>
      <c r="Y37" s="75">
        <v>2</v>
      </c>
      <c r="Z37" s="33">
        <v>0</v>
      </c>
      <c r="AA37" s="34">
        <v>18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0.55000000000000004</v>
      </c>
      <c r="AL37" s="87">
        <f t="shared" si="2"/>
        <v>0.25</v>
      </c>
      <c r="AM37" s="87">
        <f t="shared" si="2"/>
        <v>0.58333333333333337</v>
      </c>
      <c r="AN37" s="87">
        <f t="shared" si="2"/>
        <v>0.42857142857142855</v>
      </c>
      <c r="AO37" s="87">
        <f t="shared" si="2"/>
        <v>0</v>
      </c>
      <c r="AP37" s="87"/>
      <c r="AQ37" s="87"/>
      <c r="AR37" s="87"/>
      <c r="AS37" s="87">
        <f t="shared" si="3"/>
        <v>0.10285714285714286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32</v>
      </c>
      <c r="T38" s="31">
        <v>24</v>
      </c>
      <c r="U38" s="31">
        <v>80</v>
      </c>
      <c r="V38" s="32">
        <v>4</v>
      </c>
      <c r="W38" s="32">
        <v>0</v>
      </c>
      <c r="X38" s="32">
        <v>0</v>
      </c>
      <c r="Y38" s="75">
        <v>34</v>
      </c>
      <c r="Z38" s="33">
        <v>0</v>
      </c>
      <c r="AA38" s="34">
        <v>56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0.8</v>
      </c>
      <c r="AL38" s="87">
        <f t="shared" si="2"/>
        <v>1.2</v>
      </c>
      <c r="AM38" s="87">
        <f t="shared" si="2"/>
        <v>0.66666666666666663</v>
      </c>
      <c r="AN38" s="87">
        <f t="shared" si="2"/>
        <v>0.5714285714285714</v>
      </c>
      <c r="AO38" s="87">
        <f t="shared" si="2"/>
        <v>0</v>
      </c>
      <c r="AP38" s="87"/>
      <c r="AQ38" s="87"/>
      <c r="AR38" s="87"/>
      <c r="AS38" s="87">
        <f t="shared" si="3"/>
        <v>0.32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40</v>
      </c>
      <c r="T39" s="31">
        <v>25</v>
      </c>
      <c r="U39" s="31">
        <v>95</v>
      </c>
      <c r="V39" s="32">
        <v>5</v>
      </c>
      <c r="W39" s="32">
        <v>0</v>
      </c>
      <c r="X39" s="32">
        <v>120</v>
      </c>
      <c r="Y39" s="75">
        <v>8</v>
      </c>
      <c r="Z39" s="33">
        <v>0</v>
      </c>
      <c r="AA39" s="34">
        <v>20</v>
      </c>
      <c r="AB39" s="34">
        <v>0</v>
      </c>
      <c r="AC39" s="34">
        <v>0</v>
      </c>
      <c r="AD39" s="35">
        <v>0</v>
      </c>
      <c r="AE39" s="34">
        <v>0</v>
      </c>
      <c r="AF39" s="34">
        <v>0</v>
      </c>
      <c r="AG39" s="34">
        <v>0</v>
      </c>
      <c r="AH39" s="21"/>
      <c r="AI39" s="22"/>
      <c r="AK39" s="87">
        <f t="shared" si="2"/>
        <v>1</v>
      </c>
      <c r="AL39" s="87">
        <f t="shared" si="2"/>
        <v>1.25</v>
      </c>
      <c r="AM39" s="87">
        <f t="shared" si="2"/>
        <v>0.79166666666666663</v>
      </c>
      <c r="AN39" s="87">
        <f t="shared" si="2"/>
        <v>0.7142857142857143</v>
      </c>
      <c r="AO39" s="87">
        <f t="shared" si="2"/>
        <v>0</v>
      </c>
      <c r="AP39" s="87"/>
      <c r="AQ39" s="87"/>
      <c r="AR39" s="87"/>
      <c r="AS39" s="87">
        <f t="shared" si="3"/>
        <v>0.11428571428571428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>
        <v>30</v>
      </c>
      <c r="T40" s="31">
        <v>20</v>
      </c>
      <c r="U40" s="31">
        <v>35</v>
      </c>
      <c r="V40" s="32">
        <v>2</v>
      </c>
      <c r="W40" s="32">
        <v>0</v>
      </c>
      <c r="X40" s="32">
        <v>20</v>
      </c>
      <c r="Y40" s="75">
        <v>40</v>
      </c>
      <c r="Z40" s="33">
        <v>0</v>
      </c>
      <c r="AA40" s="34">
        <v>20</v>
      </c>
      <c r="AB40" s="34">
        <v>0</v>
      </c>
      <c r="AC40" s="34">
        <v>0</v>
      </c>
      <c r="AD40" s="35">
        <v>0</v>
      </c>
      <c r="AE40" s="34">
        <v>0</v>
      </c>
      <c r="AF40" s="34">
        <v>0</v>
      </c>
      <c r="AG40" s="34">
        <v>0</v>
      </c>
      <c r="AH40" s="21"/>
      <c r="AI40" s="22"/>
      <c r="AK40" s="87">
        <f t="shared" si="2"/>
        <v>0.75</v>
      </c>
      <c r="AL40" s="87">
        <f t="shared" si="2"/>
        <v>1</v>
      </c>
      <c r="AM40" s="87">
        <f t="shared" si="2"/>
        <v>0.29166666666666669</v>
      </c>
      <c r="AN40" s="87">
        <f t="shared" si="2"/>
        <v>0.2857142857142857</v>
      </c>
      <c r="AO40" s="87">
        <f t="shared" si="2"/>
        <v>0</v>
      </c>
      <c r="AP40" s="87"/>
      <c r="AQ40" s="87"/>
      <c r="AR40" s="87"/>
      <c r="AS40" s="87">
        <f t="shared" si="3"/>
        <v>0.11428571428571428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57</v>
      </c>
      <c r="T41" s="31">
        <v>31</v>
      </c>
      <c r="U41" s="31">
        <v>103</v>
      </c>
      <c r="V41" s="32">
        <v>5</v>
      </c>
      <c r="W41" s="32">
        <v>0</v>
      </c>
      <c r="X41" s="32">
        <v>28</v>
      </c>
      <c r="Y41" s="75">
        <v>8</v>
      </c>
      <c r="Z41" s="33">
        <v>0</v>
      </c>
      <c r="AA41" s="34">
        <v>46</v>
      </c>
      <c r="AB41" s="34">
        <v>0</v>
      </c>
      <c r="AC41" s="34">
        <v>0</v>
      </c>
      <c r="AD41" s="35">
        <v>0</v>
      </c>
      <c r="AE41" s="34">
        <v>0</v>
      </c>
      <c r="AF41" s="34">
        <v>0</v>
      </c>
      <c r="AG41" s="34">
        <v>0</v>
      </c>
      <c r="AH41" s="21"/>
      <c r="AI41" s="22"/>
      <c r="AK41" s="87">
        <f t="shared" si="2"/>
        <v>1.425</v>
      </c>
      <c r="AL41" s="87">
        <f t="shared" si="2"/>
        <v>1.55</v>
      </c>
      <c r="AM41" s="87">
        <f t="shared" si="2"/>
        <v>0.85833333333333328</v>
      </c>
      <c r="AN41" s="87">
        <f t="shared" si="2"/>
        <v>0.7142857142857143</v>
      </c>
      <c r="AO41" s="87">
        <f t="shared" si="2"/>
        <v>0</v>
      </c>
      <c r="AP41" s="87"/>
      <c r="AQ41" s="87"/>
      <c r="AR41" s="87"/>
      <c r="AS41" s="87">
        <f t="shared" si="3"/>
        <v>0.26285714285714284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>
        <v>20</v>
      </c>
      <c r="T42" s="31">
        <v>16</v>
      </c>
      <c r="U42" s="31">
        <v>64</v>
      </c>
      <c r="V42" s="32">
        <v>4</v>
      </c>
      <c r="W42" s="32">
        <v>0</v>
      </c>
      <c r="X42" s="32">
        <v>30</v>
      </c>
      <c r="Y42" s="75">
        <v>0</v>
      </c>
      <c r="Z42" s="33">
        <v>0</v>
      </c>
      <c r="AA42" s="34">
        <v>25</v>
      </c>
      <c r="AB42" s="34">
        <v>0</v>
      </c>
      <c r="AC42" s="34">
        <v>0</v>
      </c>
      <c r="AD42" s="35">
        <v>0</v>
      </c>
      <c r="AE42" s="34">
        <v>0</v>
      </c>
      <c r="AF42" s="34">
        <v>0</v>
      </c>
      <c r="AG42" s="34">
        <v>0</v>
      </c>
      <c r="AH42" s="21"/>
      <c r="AI42" s="22"/>
      <c r="AK42" s="87">
        <f t="shared" si="2"/>
        <v>0.5</v>
      </c>
      <c r="AL42" s="87">
        <f t="shared" si="2"/>
        <v>0.8</v>
      </c>
      <c r="AM42" s="87">
        <f t="shared" si="2"/>
        <v>0.53333333333333333</v>
      </c>
      <c r="AN42" s="87">
        <f t="shared" si="2"/>
        <v>0.5714285714285714</v>
      </c>
      <c r="AO42" s="87">
        <f t="shared" si="2"/>
        <v>0</v>
      </c>
      <c r="AP42" s="87"/>
      <c r="AQ42" s="87"/>
      <c r="AR42" s="87"/>
      <c r="AS42" s="87">
        <f t="shared" si="3"/>
        <v>0.14285714285714285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>
        <v>17</v>
      </c>
      <c r="T43" s="31">
        <v>8</v>
      </c>
      <c r="U43" s="31">
        <v>60</v>
      </c>
      <c r="V43" s="32">
        <v>2</v>
      </c>
      <c r="W43" s="32">
        <v>0</v>
      </c>
      <c r="X43" s="32">
        <v>0</v>
      </c>
      <c r="Y43" s="75">
        <v>0</v>
      </c>
      <c r="Z43" s="33">
        <v>0</v>
      </c>
      <c r="AA43" s="34">
        <v>10</v>
      </c>
      <c r="AB43" s="34">
        <v>0</v>
      </c>
      <c r="AC43" s="34">
        <v>0</v>
      </c>
      <c r="AD43" s="35">
        <v>0</v>
      </c>
      <c r="AE43" s="34">
        <v>0</v>
      </c>
      <c r="AF43" s="34">
        <v>0</v>
      </c>
      <c r="AG43" s="34">
        <v>0</v>
      </c>
      <c r="AH43" s="21"/>
      <c r="AI43" s="22"/>
      <c r="AK43" s="87">
        <f t="shared" si="2"/>
        <v>0.42499999999999999</v>
      </c>
      <c r="AL43" s="87">
        <f t="shared" si="2"/>
        <v>0.4</v>
      </c>
      <c r="AM43" s="87">
        <f t="shared" si="2"/>
        <v>0.5</v>
      </c>
      <c r="AN43" s="87">
        <f t="shared" si="2"/>
        <v>0.2857142857142857</v>
      </c>
      <c r="AO43" s="87">
        <f t="shared" si="2"/>
        <v>0</v>
      </c>
      <c r="AP43" s="87"/>
      <c r="AQ43" s="87"/>
      <c r="AR43" s="87"/>
      <c r="AS43" s="87">
        <f t="shared" si="3"/>
        <v>5.7142857142857141E-2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>
        <v>20</v>
      </c>
      <c r="T44" s="31">
        <v>12</v>
      </c>
      <c r="U44" s="31">
        <v>80</v>
      </c>
      <c r="V44" s="32">
        <v>2</v>
      </c>
      <c r="W44" s="32">
        <v>0</v>
      </c>
      <c r="X44" s="32">
        <v>0</v>
      </c>
      <c r="Y44" s="75">
        <v>0</v>
      </c>
      <c r="Z44" s="33">
        <v>0</v>
      </c>
      <c r="AA44" s="34">
        <v>15</v>
      </c>
      <c r="AB44" s="34">
        <v>0</v>
      </c>
      <c r="AC44" s="34">
        <v>0</v>
      </c>
      <c r="AD44" s="35">
        <v>0</v>
      </c>
      <c r="AE44" s="34">
        <v>0</v>
      </c>
      <c r="AF44" s="34">
        <v>0</v>
      </c>
      <c r="AG44" s="34">
        <v>0</v>
      </c>
      <c r="AH44" s="21"/>
      <c r="AI44" s="22"/>
      <c r="AK44" s="87">
        <f t="shared" si="2"/>
        <v>0.5</v>
      </c>
      <c r="AL44" s="87">
        <f t="shared" si="2"/>
        <v>0.6</v>
      </c>
      <c r="AM44" s="87">
        <f t="shared" si="2"/>
        <v>0.66666666666666663</v>
      </c>
      <c r="AN44" s="87">
        <f t="shared" si="2"/>
        <v>0.2857142857142857</v>
      </c>
      <c r="AO44" s="87">
        <f t="shared" si="2"/>
        <v>0</v>
      </c>
      <c r="AP44" s="87"/>
      <c r="AQ44" s="87"/>
      <c r="AR44" s="87"/>
      <c r="AS44" s="87">
        <f t="shared" si="3"/>
        <v>8.5714285714285715E-2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>
        <v>19</v>
      </c>
      <c r="T45" s="31">
        <v>15</v>
      </c>
      <c r="U45" s="31">
        <v>111</v>
      </c>
      <c r="V45" s="32">
        <v>5</v>
      </c>
      <c r="W45" s="32">
        <v>0</v>
      </c>
      <c r="X45" s="32">
        <v>55</v>
      </c>
      <c r="Y45" s="75">
        <v>0</v>
      </c>
      <c r="Z45" s="33">
        <v>0</v>
      </c>
      <c r="AA45" s="34">
        <v>72</v>
      </c>
      <c r="AB45" s="34">
        <v>0</v>
      </c>
      <c r="AC45" s="34">
        <v>0</v>
      </c>
      <c r="AD45" s="35">
        <v>0</v>
      </c>
      <c r="AE45" s="34">
        <v>0</v>
      </c>
      <c r="AF45" s="34">
        <v>0</v>
      </c>
      <c r="AG45" s="34">
        <v>0</v>
      </c>
      <c r="AH45" s="21"/>
      <c r="AI45" s="22"/>
      <c r="AK45" s="87">
        <f t="shared" si="2"/>
        <v>0.47499999999999998</v>
      </c>
      <c r="AL45" s="87">
        <f t="shared" si="2"/>
        <v>0.75</v>
      </c>
      <c r="AM45" s="87">
        <f t="shared" si="2"/>
        <v>0.92500000000000004</v>
      </c>
      <c r="AN45" s="87">
        <f t="shared" si="2"/>
        <v>0.7142857142857143</v>
      </c>
      <c r="AO45" s="87">
        <f t="shared" si="2"/>
        <v>0</v>
      </c>
      <c r="AP45" s="87"/>
      <c r="AQ45" s="87"/>
      <c r="AR45" s="87"/>
      <c r="AS45" s="87">
        <f t="shared" si="3"/>
        <v>0.41142857142857142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>
        <v>40</v>
      </c>
      <c r="T46" s="31">
        <v>29</v>
      </c>
      <c r="U46" s="31">
        <v>240</v>
      </c>
      <c r="V46" s="32">
        <v>3</v>
      </c>
      <c r="W46" s="32">
        <v>0</v>
      </c>
      <c r="X46" s="32">
        <v>70</v>
      </c>
      <c r="Y46" s="75">
        <v>20</v>
      </c>
      <c r="Z46" s="33">
        <v>0</v>
      </c>
      <c r="AA46" s="34">
        <v>50</v>
      </c>
      <c r="AB46" s="34">
        <v>0</v>
      </c>
      <c r="AC46" s="34">
        <v>0</v>
      </c>
      <c r="AD46" s="35">
        <v>0</v>
      </c>
      <c r="AE46" s="34">
        <v>0</v>
      </c>
      <c r="AF46" s="34">
        <v>0</v>
      </c>
      <c r="AG46" s="34">
        <v>0</v>
      </c>
      <c r="AH46" s="21"/>
      <c r="AI46" s="22"/>
      <c r="AK46" s="87">
        <f t="shared" si="2"/>
        <v>1</v>
      </c>
      <c r="AL46" s="87">
        <f t="shared" si="2"/>
        <v>1.45</v>
      </c>
      <c r="AM46" s="87">
        <f t="shared" si="2"/>
        <v>2</v>
      </c>
      <c r="AN46" s="87">
        <f t="shared" si="2"/>
        <v>0.42857142857142855</v>
      </c>
      <c r="AO46" s="87">
        <f t="shared" si="2"/>
        <v>0</v>
      </c>
      <c r="AP46" s="87"/>
      <c r="AQ46" s="87"/>
      <c r="AR46" s="87"/>
      <c r="AS46" s="87">
        <f t="shared" si="3"/>
        <v>0.2857142857142857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>
        <v>33</v>
      </c>
      <c r="T47" s="31">
        <v>11</v>
      </c>
      <c r="U47" s="31">
        <v>54</v>
      </c>
      <c r="V47" s="32">
        <v>0</v>
      </c>
      <c r="W47" s="32">
        <v>0</v>
      </c>
      <c r="X47" s="32">
        <v>55</v>
      </c>
      <c r="Y47" s="75">
        <v>0</v>
      </c>
      <c r="Z47" s="33">
        <v>0</v>
      </c>
      <c r="AA47" s="34">
        <v>99</v>
      </c>
      <c r="AB47" s="34">
        <v>0</v>
      </c>
      <c r="AC47" s="34">
        <v>0</v>
      </c>
      <c r="AD47" s="34">
        <v>0</v>
      </c>
      <c r="AE47" s="34">
        <v>0</v>
      </c>
      <c r="AF47" s="34">
        <v>0</v>
      </c>
      <c r="AG47" s="34">
        <v>0</v>
      </c>
      <c r="AH47" s="21"/>
      <c r="AI47" s="22"/>
      <c r="AK47" s="87">
        <f t="shared" si="2"/>
        <v>0.82499999999999996</v>
      </c>
      <c r="AL47" s="87">
        <f t="shared" si="2"/>
        <v>0.55000000000000004</v>
      </c>
      <c r="AM47" s="87">
        <f t="shared" si="2"/>
        <v>0.45</v>
      </c>
      <c r="AN47" s="87">
        <f t="shared" si="2"/>
        <v>0</v>
      </c>
      <c r="AO47" s="87">
        <f t="shared" si="2"/>
        <v>0</v>
      </c>
      <c r="AP47" s="87"/>
      <c r="AQ47" s="87"/>
      <c r="AR47" s="87"/>
      <c r="AS47" s="87">
        <f t="shared" si="3"/>
        <v>0.56571428571428573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39</v>
      </c>
      <c r="T48" s="31">
        <v>29</v>
      </c>
      <c r="U48" s="31">
        <v>110</v>
      </c>
      <c r="V48" s="32">
        <v>12</v>
      </c>
      <c r="W48" s="32">
        <v>0</v>
      </c>
      <c r="X48" s="32">
        <v>90</v>
      </c>
      <c r="Y48" s="75">
        <v>19</v>
      </c>
      <c r="Z48" s="33">
        <v>0</v>
      </c>
      <c r="AA48" s="34">
        <v>28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/>
      <c r="AI48" s="22"/>
      <c r="AK48" s="87">
        <f t="shared" si="2"/>
        <v>0.97499999999999998</v>
      </c>
      <c r="AL48" s="87">
        <f t="shared" si="2"/>
        <v>1.45</v>
      </c>
      <c r="AM48" s="87">
        <f t="shared" si="2"/>
        <v>0.91666666666666663</v>
      </c>
      <c r="AN48" s="87">
        <f t="shared" si="2"/>
        <v>1.7142857142857142</v>
      </c>
      <c r="AO48" s="87">
        <f t="shared" si="2"/>
        <v>0</v>
      </c>
      <c r="AP48" s="87"/>
      <c r="AQ48" s="87"/>
      <c r="AR48" s="87"/>
      <c r="AS48" s="87">
        <f t="shared" si="3"/>
        <v>0.16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20</v>
      </c>
      <c r="T49" s="31">
        <v>17</v>
      </c>
      <c r="U49" s="31">
        <v>110</v>
      </c>
      <c r="V49" s="32">
        <v>6</v>
      </c>
      <c r="W49" s="32">
        <v>0</v>
      </c>
      <c r="X49" s="32">
        <v>80</v>
      </c>
      <c r="Y49" s="75">
        <v>2</v>
      </c>
      <c r="Z49" s="33">
        <v>0</v>
      </c>
      <c r="AA49" s="34">
        <v>15</v>
      </c>
      <c r="AB49" s="34">
        <v>0</v>
      </c>
      <c r="AC49" s="34">
        <v>0</v>
      </c>
      <c r="AD49" s="35">
        <v>0</v>
      </c>
      <c r="AE49" s="34">
        <v>0</v>
      </c>
      <c r="AF49" s="34">
        <v>0</v>
      </c>
      <c r="AG49" s="34">
        <v>0</v>
      </c>
      <c r="AH49" s="21"/>
      <c r="AI49" s="22"/>
      <c r="AK49" s="87">
        <f t="shared" si="2"/>
        <v>0.5</v>
      </c>
      <c r="AL49" s="87">
        <f t="shared" si="2"/>
        <v>0.85</v>
      </c>
      <c r="AM49" s="87">
        <f t="shared" si="2"/>
        <v>0.91666666666666663</v>
      </c>
      <c r="AN49" s="87">
        <f t="shared" si="2"/>
        <v>0.8571428571428571</v>
      </c>
      <c r="AO49" s="87">
        <f t="shared" si="2"/>
        <v>0</v>
      </c>
      <c r="AP49" s="87"/>
      <c r="AQ49" s="87"/>
      <c r="AR49" s="87"/>
      <c r="AS49" s="87">
        <f t="shared" si="3"/>
        <v>8.5714285714285715E-2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>
        <v>29</v>
      </c>
      <c r="T50" s="31">
        <v>24</v>
      </c>
      <c r="U50" s="31">
        <v>200</v>
      </c>
      <c r="V50" s="32">
        <v>0</v>
      </c>
      <c r="W50" s="32">
        <v>0</v>
      </c>
      <c r="X50" s="32">
        <v>30</v>
      </c>
      <c r="Y50" s="75">
        <v>20</v>
      </c>
      <c r="Z50" s="33">
        <v>0</v>
      </c>
      <c r="AA50" s="34">
        <v>15</v>
      </c>
      <c r="AB50" s="34">
        <v>0</v>
      </c>
      <c r="AC50" s="34">
        <v>0</v>
      </c>
      <c r="AD50" s="35">
        <v>0</v>
      </c>
      <c r="AE50" s="34">
        <v>0</v>
      </c>
      <c r="AF50" s="34">
        <v>0</v>
      </c>
      <c r="AG50" s="34">
        <v>0</v>
      </c>
      <c r="AH50" s="21"/>
      <c r="AI50" s="22"/>
      <c r="AK50" s="87">
        <f t="shared" si="2"/>
        <v>0.72499999999999998</v>
      </c>
      <c r="AL50" s="87">
        <f t="shared" si="2"/>
        <v>1.2</v>
      </c>
      <c r="AM50" s="87">
        <f t="shared" si="2"/>
        <v>1.6666666666666667</v>
      </c>
      <c r="AN50" s="87">
        <f t="shared" si="2"/>
        <v>0</v>
      </c>
      <c r="AO50" s="87">
        <f t="shared" si="2"/>
        <v>0</v>
      </c>
      <c r="AP50" s="87"/>
      <c r="AQ50" s="87"/>
      <c r="AR50" s="87"/>
      <c r="AS50" s="87">
        <f t="shared" si="3"/>
        <v>8.5714285714285715E-2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15</v>
      </c>
      <c r="T51" s="31">
        <v>10</v>
      </c>
      <c r="U51" s="31">
        <v>90</v>
      </c>
      <c r="V51" s="32">
        <v>3</v>
      </c>
      <c r="W51" s="32">
        <v>0</v>
      </c>
      <c r="X51" s="32">
        <v>30</v>
      </c>
      <c r="Y51" s="75">
        <v>0</v>
      </c>
      <c r="Z51" s="33">
        <v>0</v>
      </c>
      <c r="AA51" s="34">
        <v>40</v>
      </c>
      <c r="AB51" s="34">
        <v>0</v>
      </c>
      <c r="AC51" s="34">
        <v>0</v>
      </c>
      <c r="AD51" s="35">
        <v>0</v>
      </c>
      <c r="AE51" s="34">
        <v>0</v>
      </c>
      <c r="AF51" s="34">
        <v>0</v>
      </c>
      <c r="AG51" s="34">
        <v>0</v>
      </c>
      <c r="AH51" s="21"/>
      <c r="AI51" s="22"/>
      <c r="AK51" s="87">
        <f t="shared" si="2"/>
        <v>0.375</v>
      </c>
      <c r="AL51" s="87">
        <f t="shared" si="2"/>
        <v>0.5</v>
      </c>
      <c r="AM51" s="87">
        <f t="shared" si="2"/>
        <v>0.75</v>
      </c>
      <c r="AN51" s="87">
        <f t="shared" si="2"/>
        <v>0.42857142857142855</v>
      </c>
      <c r="AO51" s="87">
        <f t="shared" si="2"/>
        <v>0</v>
      </c>
      <c r="AP51" s="87"/>
      <c r="AQ51" s="87"/>
      <c r="AR51" s="87"/>
      <c r="AS51" s="87">
        <f t="shared" si="3"/>
        <v>0.22857142857142856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45</v>
      </c>
      <c r="T52" s="31">
        <v>30</v>
      </c>
      <c r="U52" s="31">
        <v>90</v>
      </c>
      <c r="V52" s="32">
        <v>4</v>
      </c>
      <c r="W52" s="32">
        <v>0</v>
      </c>
      <c r="X52" s="32">
        <v>50</v>
      </c>
      <c r="Y52" s="75">
        <v>7</v>
      </c>
      <c r="Z52" s="33">
        <v>0</v>
      </c>
      <c r="AA52" s="34">
        <v>32</v>
      </c>
      <c r="AB52" s="34">
        <v>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/>
      <c r="AI52" s="22"/>
      <c r="AK52" s="87">
        <f t="shared" si="2"/>
        <v>1.125</v>
      </c>
      <c r="AL52" s="87">
        <f t="shared" si="2"/>
        <v>1.5</v>
      </c>
      <c r="AM52" s="87">
        <f t="shared" si="2"/>
        <v>0.75</v>
      </c>
      <c r="AN52" s="87">
        <f t="shared" si="2"/>
        <v>0.5714285714285714</v>
      </c>
      <c r="AO52" s="87">
        <f t="shared" si="2"/>
        <v>0</v>
      </c>
      <c r="AP52" s="87"/>
      <c r="AQ52" s="87"/>
      <c r="AR52" s="87"/>
      <c r="AS52" s="87">
        <f t="shared" si="3"/>
        <v>0.18285714285714286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20</v>
      </c>
      <c r="T53" s="31">
        <v>5</v>
      </c>
      <c r="U53" s="31">
        <v>0</v>
      </c>
      <c r="V53" s="32">
        <v>0</v>
      </c>
      <c r="W53" s="32">
        <v>0</v>
      </c>
      <c r="X53" s="32">
        <v>10</v>
      </c>
      <c r="Y53" s="75">
        <v>4</v>
      </c>
      <c r="Z53" s="33">
        <v>0</v>
      </c>
      <c r="AA53" s="34">
        <v>20</v>
      </c>
      <c r="AB53" s="34">
        <v>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0.5</v>
      </c>
      <c r="AL53" s="87">
        <f t="shared" si="2"/>
        <v>0.25</v>
      </c>
      <c r="AM53" s="87">
        <f t="shared" si="2"/>
        <v>0</v>
      </c>
      <c r="AN53" s="87">
        <f t="shared" si="2"/>
        <v>0</v>
      </c>
      <c r="AO53" s="87">
        <f t="shared" si="2"/>
        <v>0</v>
      </c>
      <c r="AP53" s="87"/>
      <c r="AQ53" s="87"/>
      <c r="AR53" s="87"/>
      <c r="AS53" s="87">
        <f t="shared" si="3"/>
        <v>0.11428571428571428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>
        <v>24</v>
      </c>
      <c r="T54" s="31">
        <v>7</v>
      </c>
      <c r="U54" s="31">
        <v>70</v>
      </c>
      <c r="V54" s="32">
        <v>0</v>
      </c>
      <c r="W54" s="32">
        <v>0</v>
      </c>
      <c r="X54" s="32">
        <v>0</v>
      </c>
      <c r="Y54" s="75">
        <v>0</v>
      </c>
      <c r="Z54" s="33">
        <v>0</v>
      </c>
      <c r="AA54" s="34">
        <v>40</v>
      </c>
      <c r="AB54" s="34">
        <v>0</v>
      </c>
      <c r="AC54" s="34">
        <v>0</v>
      </c>
      <c r="AD54" s="35">
        <v>0</v>
      </c>
      <c r="AE54" s="34">
        <v>0</v>
      </c>
      <c r="AF54" s="34">
        <v>0</v>
      </c>
      <c r="AG54" s="34">
        <v>0</v>
      </c>
      <c r="AH54" s="21"/>
      <c r="AI54" s="22"/>
      <c r="AK54" s="87">
        <f t="shared" si="2"/>
        <v>0.6</v>
      </c>
      <c r="AL54" s="87">
        <f t="shared" si="2"/>
        <v>0.35</v>
      </c>
      <c r="AM54" s="87">
        <f t="shared" si="2"/>
        <v>0.58333333333333337</v>
      </c>
      <c r="AN54" s="87">
        <f t="shared" si="2"/>
        <v>0</v>
      </c>
      <c r="AO54" s="87">
        <f t="shared" si="2"/>
        <v>0</v>
      </c>
      <c r="AP54" s="87"/>
      <c r="AQ54" s="87"/>
      <c r="AR54" s="87"/>
      <c r="AS54" s="87">
        <f t="shared" si="3"/>
        <v>0.22857142857142856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1441</v>
      </c>
      <c r="T55" s="61">
        <f t="shared" si="4"/>
        <v>881</v>
      </c>
      <c r="U55" s="61">
        <f t="shared" si="4"/>
        <v>4527</v>
      </c>
      <c r="V55" s="61">
        <f t="shared" si="4"/>
        <v>137</v>
      </c>
      <c r="W55" s="61">
        <f t="shared" si="4"/>
        <v>0</v>
      </c>
      <c r="X55" s="61">
        <f t="shared" si="4"/>
        <v>2004</v>
      </c>
      <c r="Y55" s="61">
        <f t="shared" si="4"/>
        <v>292</v>
      </c>
      <c r="Z55" s="61">
        <f t="shared" si="4"/>
        <v>0</v>
      </c>
      <c r="AA55" s="61">
        <f t="shared" si="4"/>
        <v>1844</v>
      </c>
      <c r="AB55" s="61">
        <f t="shared" si="4"/>
        <v>0</v>
      </c>
      <c r="AC55" s="61">
        <f t="shared" si="4"/>
        <v>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0.72050000000000003</v>
      </c>
      <c r="AL55" s="87">
        <f t="shared" si="2"/>
        <v>0.88100000000000001</v>
      </c>
      <c r="AM55" s="87">
        <f t="shared" si="2"/>
        <v>0.75449999999999995</v>
      </c>
      <c r="AN55" s="87">
        <f t="shared" si="2"/>
        <v>0.3914285714285714</v>
      </c>
      <c r="AO55" s="87">
        <f t="shared" si="2"/>
        <v>0</v>
      </c>
      <c r="AP55" s="87"/>
      <c r="AQ55" s="87"/>
      <c r="AR55" s="87"/>
      <c r="AS55" s="87">
        <f t="shared" si="3"/>
        <v>0.21074285714285715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1" t="s">
        <v>18</v>
      </c>
      <c r="C57" s="112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1441</v>
      </c>
      <c r="T57" s="24">
        <f>T55</f>
        <v>881</v>
      </c>
      <c r="U57" s="24">
        <f>U55/120</f>
        <v>37.725000000000001</v>
      </c>
      <c r="V57" s="25">
        <f>V55/6</f>
        <v>22.833333333333332</v>
      </c>
      <c r="W57" s="25">
        <f>W55/10</f>
        <v>0</v>
      </c>
      <c r="X57" s="25">
        <f>X55/100</f>
        <v>20.04</v>
      </c>
      <c r="Y57" s="76">
        <f>Y55/20</f>
        <v>14.6</v>
      </c>
      <c r="Z57" s="26">
        <f>Z55/60</f>
        <v>0</v>
      </c>
      <c r="AA57" s="27">
        <f>AA55/120</f>
        <v>15.366666666666667</v>
      </c>
      <c r="AB57" s="27">
        <f>AB55/100</f>
        <v>0</v>
      </c>
      <c r="AC57" s="27">
        <f>AC55/60</f>
        <v>0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6.2874999999999997E-3</v>
      </c>
      <c r="AN57" s="25">
        <f>AN55/6</f>
        <v>6.5238095238095234E-2</v>
      </c>
      <c r="AO57" s="25">
        <f>AO55/20</f>
        <v>0</v>
      </c>
      <c r="AP57" s="25">
        <f>AP55/100</f>
        <v>0</v>
      </c>
      <c r="AQ57" s="76"/>
      <c r="AR57" s="26">
        <f>AR55/20</f>
        <v>0</v>
      </c>
      <c r="AS57" s="27">
        <f>AS55/120</f>
        <v>1.7561904761904763E-3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</sheetData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E8A32-38A3-4217-8E13-52E350FAE30C}">
  <dimension ref="A1:AY5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46116</v>
      </c>
      <c r="D2" s="113" t="s">
        <v>107</v>
      </c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5" t="s">
        <v>108</v>
      </c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7"/>
      <c r="AK2" s="118" t="s">
        <v>109</v>
      </c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20"/>
    </row>
    <row r="3" spans="2:51" ht="18" thickBot="1" x14ac:dyDescent="0.3">
      <c r="B3" s="121" t="s">
        <v>1</v>
      </c>
      <c r="C3" s="123" t="s">
        <v>2</v>
      </c>
      <c r="D3" s="5" t="s">
        <v>3</v>
      </c>
      <c r="E3" s="6" t="str">
        <f>T3</f>
        <v>Acheteurs</v>
      </c>
      <c r="F3" s="125" t="s">
        <v>4</v>
      </c>
      <c r="G3" s="125"/>
      <c r="H3" s="125"/>
      <c r="I3" s="125"/>
      <c r="J3" s="126"/>
      <c r="K3" s="56"/>
      <c r="L3" s="127" t="s">
        <v>5</v>
      </c>
      <c r="M3" s="128"/>
      <c r="N3" s="129"/>
      <c r="O3" s="70"/>
      <c r="P3" s="70"/>
      <c r="Q3" s="70"/>
      <c r="R3" s="70"/>
      <c r="S3" s="7" t="s">
        <v>3</v>
      </c>
      <c r="T3" s="7" t="s">
        <v>6</v>
      </c>
      <c r="U3" s="130" t="s">
        <v>7</v>
      </c>
      <c r="V3" s="131"/>
      <c r="W3" s="131"/>
      <c r="X3" s="131"/>
      <c r="Y3" s="131"/>
      <c r="Z3" s="132"/>
      <c r="AA3" s="133" t="str">
        <f>L3</f>
        <v>Gratuités pour achats 
(en unités)</v>
      </c>
      <c r="AB3" s="134"/>
      <c r="AC3" s="135"/>
      <c r="AD3" s="133" t="s">
        <v>19</v>
      </c>
      <c r="AE3" s="134"/>
      <c r="AF3" s="134"/>
      <c r="AG3" s="135"/>
      <c r="AH3" s="136" t="s">
        <v>8</v>
      </c>
      <c r="AI3" s="138" t="s">
        <v>9</v>
      </c>
      <c r="AK3" s="79" t="s">
        <v>3</v>
      </c>
      <c r="AL3" s="79" t="s">
        <v>6</v>
      </c>
      <c r="AM3" s="140" t="s">
        <v>7</v>
      </c>
      <c r="AN3" s="141"/>
      <c r="AO3" s="141"/>
      <c r="AP3" s="141"/>
      <c r="AQ3" s="141"/>
      <c r="AR3" s="142"/>
      <c r="AS3" s="143" t="str">
        <f>AD3</f>
        <v>GOODIES</v>
      </c>
      <c r="AT3" s="144"/>
      <c r="AU3" s="145"/>
      <c r="AV3" s="143" t="s">
        <v>19</v>
      </c>
      <c r="AW3" s="144"/>
      <c r="AX3" s="144"/>
      <c r="AY3" s="145"/>
    </row>
    <row r="4" spans="2:51" ht="202.2" thickBot="1" x14ac:dyDescent="0.3">
      <c r="B4" s="122"/>
      <c r="C4" s="12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7"/>
      <c r="AI4" s="139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/>
      <c r="T5" s="31"/>
      <c r="U5" s="31"/>
      <c r="V5" s="32"/>
      <c r="W5" s="32"/>
      <c r="X5" s="32"/>
      <c r="Y5" s="75"/>
      <c r="Z5" s="33"/>
      <c r="AA5" s="34"/>
      <c r="AB5" s="34"/>
      <c r="AC5" s="34"/>
      <c r="AD5" s="35"/>
      <c r="AE5" s="34"/>
      <c r="AF5" s="34"/>
      <c r="AG5" s="34"/>
      <c r="AH5" s="21"/>
      <c r="AI5" s="22"/>
      <c r="AK5" s="87">
        <f>S5/D5</f>
        <v>0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>
        <v>23</v>
      </c>
      <c r="T6" s="31">
        <v>10</v>
      </c>
      <c r="U6" s="31">
        <v>50</v>
      </c>
      <c r="V6" s="32">
        <v>2</v>
      </c>
      <c r="W6" s="32">
        <v>0</v>
      </c>
      <c r="X6" s="32">
        <v>30</v>
      </c>
      <c r="Y6" s="75">
        <v>0</v>
      </c>
      <c r="Z6" s="33">
        <v>0</v>
      </c>
      <c r="AA6" s="34">
        <v>22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21"/>
      <c r="AI6" s="22"/>
      <c r="AK6" s="87">
        <f t="shared" ref="AK6:AO55" si="2">S6/D6</f>
        <v>0.57499999999999996</v>
      </c>
      <c r="AL6" s="87">
        <f t="shared" si="0"/>
        <v>0.5</v>
      </c>
      <c r="AM6" s="87">
        <f t="shared" si="0"/>
        <v>0.41666666666666669</v>
      </c>
      <c r="AN6" s="87">
        <f t="shared" si="0"/>
        <v>0.2857142857142857</v>
      </c>
      <c r="AO6" s="87">
        <f t="shared" si="0"/>
        <v>0</v>
      </c>
      <c r="AP6" s="87"/>
      <c r="AQ6" s="87"/>
      <c r="AR6" s="87"/>
      <c r="AS6" s="87">
        <f t="shared" si="0"/>
        <v>0.12571428571428572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41</v>
      </c>
      <c r="T7" s="31">
        <v>29</v>
      </c>
      <c r="U7" s="31">
        <v>300</v>
      </c>
      <c r="V7" s="32">
        <v>3</v>
      </c>
      <c r="W7" s="32">
        <v>0</v>
      </c>
      <c r="X7" s="32">
        <v>80</v>
      </c>
      <c r="Y7" s="75">
        <v>20</v>
      </c>
      <c r="Z7" s="33">
        <v>0</v>
      </c>
      <c r="AA7" s="34">
        <v>25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1.0249999999999999</v>
      </c>
      <c r="AL7" s="87">
        <f t="shared" si="0"/>
        <v>1.45</v>
      </c>
      <c r="AM7" s="87">
        <f t="shared" si="0"/>
        <v>2.5</v>
      </c>
      <c r="AN7" s="87">
        <f t="shared" si="0"/>
        <v>0.42857142857142855</v>
      </c>
      <c r="AO7" s="87">
        <f t="shared" si="0"/>
        <v>0</v>
      </c>
      <c r="AP7" s="87"/>
      <c r="AQ7" s="87"/>
      <c r="AR7" s="87"/>
      <c r="AS7" s="87">
        <f t="shared" si="0"/>
        <v>0.14285714285714285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15</v>
      </c>
      <c r="T8" s="31">
        <v>8</v>
      </c>
      <c r="U8" s="31">
        <v>80</v>
      </c>
      <c r="V8" s="32">
        <v>3</v>
      </c>
      <c r="W8" s="32">
        <v>0</v>
      </c>
      <c r="X8" s="32">
        <v>0</v>
      </c>
      <c r="Y8" s="75">
        <v>12</v>
      </c>
      <c r="Z8" s="33">
        <v>0</v>
      </c>
      <c r="AA8" s="34">
        <v>36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7">
        <f t="shared" si="2"/>
        <v>0.375</v>
      </c>
      <c r="AL8" s="87">
        <f t="shared" si="0"/>
        <v>0.4</v>
      </c>
      <c r="AM8" s="87">
        <f t="shared" si="0"/>
        <v>0.66666666666666663</v>
      </c>
      <c r="AN8" s="87">
        <f t="shared" si="0"/>
        <v>0.42857142857142855</v>
      </c>
      <c r="AO8" s="87">
        <f t="shared" si="0"/>
        <v>0</v>
      </c>
      <c r="AP8" s="87"/>
      <c r="AQ8" s="87"/>
      <c r="AR8" s="87"/>
      <c r="AS8" s="87">
        <f t="shared" si="0"/>
        <v>0.20571428571428571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40</v>
      </c>
      <c r="T9" s="31">
        <v>33</v>
      </c>
      <c r="U9" s="31">
        <v>250</v>
      </c>
      <c r="V9" s="32">
        <v>6</v>
      </c>
      <c r="W9" s="32">
        <v>0</v>
      </c>
      <c r="X9" s="32">
        <v>60</v>
      </c>
      <c r="Y9" s="75">
        <v>0</v>
      </c>
      <c r="Z9" s="33">
        <v>0</v>
      </c>
      <c r="AA9" s="34">
        <v>150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7">
        <f t="shared" si="2"/>
        <v>1</v>
      </c>
      <c r="AL9" s="87">
        <f t="shared" si="0"/>
        <v>1.65</v>
      </c>
      <c r="AM9" s="87">
        <f t="shared" si="0"/>
        <v>2.0833333333333335</v>
      </c>
      <c r="AN9" s="87">
        <f t="shared" si="0"/>
        <v>0.8571428571428571</v>
      </c>
      <c r="AO9" s="87">
        <f t="shared" si="0"/>
        <v>0</v>
      </c>
      <c r="AP9" s="87"/>
      <c r="AQ9" s="87"/>
      <c r="AR9" s="87"/>
      <c r="AS9" s="87">
        <f t="shared" si="0"/>
        <v>0.8571428571428571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25</v>
      </c>
      <c r="T10" s="31">
        <v>16</v>
      </c>
      <c r="U10" s="31">
        <v>195</v>
      </c>
      <c r="V10" s="32">
        <v>3</v>
      </c>
      <c r="W10" s="32">
        <v>0</v>
      </c>
      <c r="X10" s="32">
        <v>46</v>
      </c>
      <c r="Y10" s="75">
        <v>2</v>
      </c>
      <c r="Z10" s="33">
        <v>0</v>
      </c>
      <c r="AA10" s="34">
        <v>53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/>
      <c r="AH10" s="21"/>
      <c r="AI10" s="22"/>
      <c r="AK10" s="87">
        <f t="shared" si="2"/>
        <v>0.625</v>
      </c>
      <c r="AL10" s="87">
        <f t="shared" si="0"/>
        <v>0.8</v>
      </c>
      <c r="AM10" s="87">
        <f t="shared" si="0"/>
        <v>1.625</v>
      </c>
      <c r="AN10" s="87">
        <f t="shared" si="0"/>
        <v>0.42857142857142855</v>
      </c>
      <c r="AO10" s="87">
        <f t="shared" si="0"/>
        <v>0</v>
      </c>
      <c r="AP10" s="87"/>
      <c r="AQ10" s="87"/>
      <c r="AR10" s="87"/>
      <c r="AS10" s="87">
        <f t="shared" si="0"/>
        <v>0.30285714285714288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16</v>
      </c>
      <c r="T11" s="31">
        <v>5</v>
      </c>
      <c r="U11" s="31">
        <v>130</v>
      </c>
      <c r="V11" s="32">
        <v>2</v>
      </c>
      <c r="W11" s="32">
        <v>0</v>
      </c>
      <c r="X11" s="32">
        <v>45</v>
      </c>
      <c r="Y11" s="75">
        <v>10</v>
      </c>
      <c r="Z11" s="33">
        <v>0</v>
      </c>
      <c r="AA11" s="34">
        <v>65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7">
        <f t="shared" si="2"/>
        <v>0.4</v>
      </c>
      <c r="AL11" s="87">
        <f t="shared" si="0"/>
        <v>0.25</v>
      </c>
      <c r="AM11" s="87">
        <f t="shared" si="0"/>
        <v>1.0833333333333333</v>
      </c>
      <c r="AN11" s="87">
        <f t="shared" si="0"/>
        <v>0.2857142857142857</v>
      </c>
      <c r="AO11" s="87">
        <f t="shared" si="0"/>
        <v>0</v>
      </c>
      <c r="AP11" s="87"/>
      <c r="AQ11" s="87"/>
      <c r="AR11" s="87"/>
      <c r="AS11" s="87">
        <f t="shared" si="0"/>
        <v>0.37142857142857144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20</v>
      </c>
      <c r="T12" s="31">
        <v>15</v>
      </c>
      <c r="U12" s="31">
        <v>50</v>
      </c>
      <c r="V12" s="32">
        <v>0</v>
      </c>
      <c r="W12" s="32">
        <v>0</v>
      </c>
      <c r="X12" s="32">
        <v>20</v>
      </c>
      <c r="Y12" s="75">
        <v>4</v>
      </c>
      <c r="Z12" s="33">
        <v>0</v>
      </c>
      <c r="AA12" s="34">
        <v>10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/>
      <c r="AK12" s="87">
        <f t="shared" si="2"/>
        <v>0.5</v>
      </c>
      <c r="AL12" s="87">
        <f t="shared" si="0"/>
        <v>0.75</v>
      </c>
      <c r="AM12" s="87">
        <f t="shared" si="0"/>
        <v>0.41666666666666669</v>
      </c>
      <c r="AN12" s="87">
        <f t="shared" si="0"/>
        <v>0</v>
      </c>
      <c r="AO12" s="87">
        <f t="shared" si="0"/>
        <v>0</v>
      </c>
      <c r="AP12" s="87"/>
      <c r="AQ12" s="87"/>
      <c r="AR12" s="87"/>
      <c r="AS12" s="87">
        <f t="shared" si="0"/>
        <v>5.7142857142857141E-2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65</v>
      </c>
      <c r="T13" s="31">
        <v>35</v>
      </c>
      <c r="U13" s="31">
        <v>170</v>
      </c>
      <c r="V13" s="32">
        <v>0</v>
      </c>
      <c r="W13" s="32">
        <v>0</v>
      </c>
      <c r="X13" s="32">
        <v>100</v>
      </c>
      <c r="Y13" s="75">
        <v>20</v>
      </c>
      <c r="Z13" s="33">
        <v>0</v>
      </c>
      <c r="AA13" s="34">
        <v>60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7">
        <f t="shared" si="2"/>
        <v>1.625</v>
      </c>
      <c r="AL13" s="87">
        <f t="shared" si="0"/>
        <v>1.75</v>
      </c>
      <c r="AM13" s="87">
        <f t="shared" si="0"/>
        <v>1.4166666666666667</v>
      </c>
      <c r="AN13" s="87">
        <f t="shared" si="0"/>
        <v>0</v>
      </c>
      <c r="AO13" s="87">
        <f t="shared" si="0"/>
        <v>0</v>
      </c>
      <c r="AP13" s="87"/>
      <c r="AQ13" s="87"/>
      <c r="AR13" s="87"/>
      <c r="AS13" s="87">
        <f t="shared" si="0"/>
        <v>0.34285714285714286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50</v>
      </c>
      <c r="T14" s="31">
        <v>35</v>
      </c>
      <c r="U14" s="31">
        <v>370</v>
      </c>
      <c r="V14" s="32">
        <v>7</v>
      </c>
      <c r="W14" s="32">
        <v>0</v>
      </c>
      <c r="X14" s="32">
        <v>80</v>
      </c>
      <c r="Y14" s="75">
        <v>50</v>
      </c>
      <c r="Z14" s="33">
        <v>0</v>
      </c>
      <c r="AA14" s="34">
        <v>30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7">
        <f t="shared" si="2"/>
        <v>1.25</v>
      </c>
      <c r="AL14" s="87">
        <f t="shared" si="0"/>
        <v>1.75</v>
      </c>
      <c r="AM14" s="87">
        <f t="shared" si="0"/>
        <v>3.0833333333333335</v>
      </c>
      <c r="AN14" s="87">
        <f t="shared" si="0"/>
        <v>1</v>
      </c>
      <c r="AO14" s="87">
        <f t="shared" si="0"/>
        <v>0</v>
      </c>
      <c r="AP14" s="87"/>
      <c r="AQ14" s="87"/>
      <c r="AR14" s="87"/>
      <c r="AS14" s="87">
        <f t="shared" si="0"/>
        <v>0.17142857142857143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25</v>
      </c>
      <c r="T15" s="31">
        <v>15</v>
      </c>
      <c r="U15" s="31">
        <v>20</v>
      </c>
      <c r="V15" s="32">
        <v>9</v>
      </c>
      <c r="W15" s="32">
        <v>0</v>
      </c>
      <c r="X15" s="32">
        <v>14</v>
      </c>
      <c r="Y15" s="75">
        <v>6</v>
      </c>
      <c r="Z15" s="33">
        <v>0</v>
      </c>
      <c r="AA15" s="34">
        <v>27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21"/>
      <c r="AI15" s="22"/>
      <c r="AK15" s="87">
        <f t="shared" si="2"/>
        <v>0.625</v>
      </c>
      <c r="AL15" s="87">
        <f t="shared" si="0"/>
        <v>0.75</v>
      </c>
      <c r="AM15" s="87">
        <f t="shared" si="0"/>
        <v>0.16666666666666666</v>
      </c>
      <c r="AN15" s="87">
        <f t="shared" si="0"/>
        <v>1.2857142857142858</v>
      </c>
      <c r="AO15" s="87">
        <f t="shared" si="0"/>
        <v>0</v>
      </c>
      <c r="AP15" s="87"/>
      <c r="AQ15" s="87"/>
      <c r="AR15" s="87"/>
      <c r="AS15" s="87">
        <f t="shared" si="0"/>
        <v>0.15428571428571428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45</v>
      </c>
      <c r="T16" s="31">
        <v>27</v>
      </c>
      <c r="U16" s="31">
        <v>270</v>
      </c>
      <c r="V16" s="32">
        <v>8</v>
      </c>
      <c r="W16" s="32">
        <v>0</v>
      </c>
      <c r="X16" s="32">
        <v>20</v>
      </c>
      <c r="Y16" s="75">
        <v>0</v>
      </c>
      <c r="Z16" s="33">
        <v>0</v>
      </c>
      <c r="AA16" s="34">
        <v>54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/>
      <c r="AI16" s="22"/>
      <c r="AK16" s="87">
        <f t="shared" si="2"/>
        <v>1.125</v>
      </c>
      <c r="AL16" s="87">
        <f t="shared" si="0"/>
        <v>1.35</v>
      </c>
      <c r="AM16" s="87">
        <f t="shared" si="0"/>
        <v>2.25</v>
      </c>
      <c r="AN16" s="87">
        <f t="shared" si="0"/>
        <v>1.1428571428571428</v>
      </c>
      <c r="AO16" s="87">
        <f t="shared" si="0"/>
        <v>0</v>
      </c>
      <c r="AP16" s="87"/>
      <c r="AQ16" s="87"/>
      <c r="AR16" s="87"/>
      <c r="AS16" s="87">
        <f t="shared" si="0"/>
        <v>0.30857142857142855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31</v>
      </c>
      <c r="T17" s="31">
        <v>6</v>
      </c>
      <c r="U17" s="31">
        <v>20</v>
      </c>
      <c r="V17" s="32">
        <v>1</v>
      </c>
      <c r="W17" s="32">
        <v>0</v>
      </c>
      <c r="X17" s="32">
        <v>3</v>
      </c>
      <c r="Y17" s="75">
        <v>5</v>
      </c>
      <c r="Z17" s="33">
        <v>0</v>
      </c>
      <c r="AA17" s="34">
        <v>16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7">
        <f t="shared" si="2"/>
        <v>0.77500000000000002</v>
      </c>
      <c r="AL17" s="87">
        <f t="shared" si="0"/>
        <v>0.3</v>
      </c>
      <c r="AM17" s="87">
        <f t="shared" si="0"/>
        <v>0.16666666666666666</v>
      </c>
      <c r="AN17" s="87">
        <f t="shared" si="0"/>
        <v>0.14285714285714285</v>
      </c>
      <c r="AO17" s="87">
        <f t="shared" si="0"/>
        <v>0</v>
      </c>
      <c r="AP17" s="87"/>
      <c r="AQ17" s="87"/>
      <c r="AR17" s="87"/>
      <c r="AS17" s="87">
        <f t="shared" si="0"/>
        <v>9.1428571428571428E-2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25</v>
      </c>
      <c r="T18" s="31">
        <v>10</v>
      </c>
      <c r="U18" s="31">
        <v>133</v>
      </c>
      <c r="V18" s="32">
        <v>0</v>
      </c>
      <c r="W18" s="32">
        <v>0</v>
      </c>
      <c r="X18" s="32">
        <v>0</v>
      </c>
      <c r="Y18" s="75">
        <v>0</v>
      </c>
      <c r="Z18" s="33">
        <v>0</v>
      </c>
      <c r="AA18" s="34">
        <v>26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7">
        <f t="shared" si="2"/>
        <v>0.625</v>
      </c>
      <c r="AL18" s="87">
        <f t="shared" si="0"/>
        <v>0.5</v>
      </c>
      <c r="AM18" s="87">
        <f t="shared" si="0"/>
        <v>1.1083333333333334</v>
      </c>
      <c r="AN18" s="87">
        <f t="shared" si="0"/>
        <v>0</v>
      </c>
      <c r="AO18" s="87">
        <f t="shared" si="0"/>
        <v>0</v>
      </c>
      <c r="AP18" s="87"/>
      <c r="AQ18" s="87"/>
      <c r="AR18" s="87"/>
      <c r="AS18" s="87">
        <f t="shared" si="0"/>
        <v>0.14857142857142858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20</v>
      </c>
      <c r="T19" s="31">
        <v>9</v>
      </c>
      <c r="U19" s="31">
        <v>26</v>
      </c>
      <c r="V19" s="32">
        <v>0</v>
      </c>
      <c r="W19" s="32">
        <v>0</v>
      </c>
      <c r="X19" s="32">
        <v>28</v>
      </c>
      <c r="Y19" s="75">
        <v>0</v>
      </c>
      <c r="Z19" s="33">
        <v>0</v>
      </c>
      <c r="AA19" s="34">
        <v>14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7">
        <f t="shared" si="2"/>
        <v>0.5</v>
      </c>
      <c r="AL19" s="87">
        <f t="shared" si="0"/>
        <v>0.45</v>
      </c>
      <c r="AM19" s="87">
        <f t="shared" si="0"/>
        <v>0.21666666666666667</v>
      </c>
      <c r="AN19" s="87">
        <f t="shared" si="0"/>
        <v>0</v>
      </c>
      <c r="AO19" s="87">
        <f t="shared" si="0"/>
        <v>0</v>
      </c>
      <c r="AP19" s="87"/>
      <c r="AQ19" s="87"/>
      <c r="AR19" s="87"/>
      <c r="AS19" s="87">
        <f t="shared" si="0"/>
        <v>0.08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42</v>
      </c>
      <c r="T20" s="31">
        <v>26</v>
      </c>
      <c r="U20" s="31">
        <v>65</v>
      </c>
      <c r="V20" s="32">
        <v>0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7">
        <f t="shared" si="2"/>
        <v>1.05</v>
      </c>
      <c r="AL20" s="87">
        <f t="shared" si="0"/>
        <v>1.3</v>
      </c>
      <c r="AM20" s="87">
        <f t="shared" si="0"/>
        <v>0.54166666666666663</v>
      </c>
      <c r="AN20" s="87">
        <f t="shared" si="0"/>
        <v>0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15</v>
      </c>
      <c r="T21" s="31">
        <v>5</v>
      </c>
      <c r="U21" s="31">
        <v>125</v>
      </c>
      <c r="V21" s="32">
        <v>1</v>
      </c>
      <c r="W21" s="32">
        <v>0</v>
      </c>
      <c r="X21" s="32">
        <v>40</v>
      </c>
      <c r="Y21" s="75">
        <v>10</v>
      </c>
      <c r="Z21" s="33">
        <v>0</v>
      </c>
      <c r="AA21" s="34">
        <v>60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7">
        <f t="shared" si="2"/>
        <v>0.375</v>
      </c>
      <c r="AL21" s="87">
        <f t="shared" si="2"/>
        <v>0.25</v>
      </c>
      <c r="AM21" s="87">
        <f t="shared" si="2"/>
        <v>1.0416666666666667</v>
      </c>
      <c r="AN21" s="87">
        <f t="shared" si="2"/>
        <v>0.14285714285714285</v>
      </c>
      <c r="AO21" s="87">
        <f t="shared" si="2"/>
        <v>0</v>
      </c>
      <c r="AP21" s="87"/>
      <c r="AQ21" s="87"/>
      <c r="AR21" s="87"/>
      <c r="AS21" s="87">
        <f t="shared" ref="AS21:AS55" si="3">AA21/L21</f>
        <v>0.34285714285714286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5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7">
        <f t="shared" si="2"/>
        <v>0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40</v>
      </c>
      <c r="T23" s="31">
        <v>10</v>
      </c>
      <c r="U23" s="31">
        <v>60</v>
      </c>
      <c r="V23" s="32">
        <v>0</v>
      </c>
      <c r="W23" s="32">
        <v>0</v>
      </c>
      <c r="X23" s="32">
        <v>80</v>
      </c>
      <c r="Y23" s="75">
        <v>3</v>
      </c>
      <c r="Z23" s="33">
        <v>0</v>
      </c>
      <c r="AA23" s="34">
        <v>24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/>
      <c r="AI23" s="22"/>
      <c r="AK23" s="87">
        <f t="shared" si="2"/>
        <v>1</v>
      </c>
      <c r="AL23" s="87">
        <f t="shared" si="2"/>
        <v>0.5</v>
      </c>
      <c r="AM23" s="87">
        <f t="shared" si="2"/>
        <v>0.5</v>
      </c>
      <c r="AN23" s="87">
        <f t="shared" si="2"/>
        <v>0</v>
      </c>
      <c r="AO23" s="87">
        <f t="shared" si="2"/>
        <v>0</v>
      </c>
      <c r="AP23" s="87"/>
      <c r="AQ23" s="87"/>
      <c r="AR23" s="87"/>
      <c r="AS23" s="87">
        <f t="shared" si="3"/>
        <v>0.13714285714285715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26</v>
      </c>
      <c r="T24" s="31">
        <v>13</v>
      </c>
      <c r="U24" s="31">
        <v>65</v>
      </c>
      <c r="V24" s="32">
        <v>2</v>
      </c>
      <c r="W24" s="32">
        <v>0</v>
      </c>
      <c r="X24" s="32">
        <v>17</v>
      </c>
      <c r="Y24" s="75">
        <v>9</v>
      </c>
      <c r="Z24" s="33">
        <v>0</v>
      </c>
      <c r="AA24" s="34">
        <v>41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/>
      <c r="AI24" s="22"/>
      <c r="AK24" s="87">
        <f t="shared" si="2"/>
        <v>0.65</v>
      </c>
      <c r="AL24" s="87">
        <f t="shared" si="2"/>
        <v>0.65</v>
      </c>
      <c r="AM24" s="87">
        <f t="shared" si="2"/>
        <v>0.54166666666666663</v>
      </c>
      <c r="AN24" s="87">
        <f t="shared" si="2"/>
        <v>0.2857142857142857</v>
      </c>
      <c r="AO24" s="87">
        <f t="shared" si="2"/>
        <v>0</v>
      </c>
      <c r="AP24" s="87"/>
      <c r="AQ24" s="87"/>
      <c r="AR24" s="87"/>
      <c r="AS24" s="87">
        <f t="shared" si="3"/>
        <v>0.23428571428571429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>
        <v>33</v>
      </c>
      <c r="T25" s="31">
        <v>20</v>
      </c>
      <c r="U25" s="31">
        <v>90</v>
      </c>
      <c r="V25" s="32">
        <v>2</v>
      </c>
      <c r="W25" s="32">
        <v>0</v>
      </c>
      <c r="X25" s="32">
        <v>80</v>
      </c>
      <c r="Y25" s="75">
        <v>3</v>
      </c>
      <c r="Z25" s="33">
        <v>0</v>
      </c>
      <c r="AA25" s="34">
        <v>50</v>
      </c>
      <c r="AB25" s="34">
        <v>0</v>
      </c>
      <c r="AC25" s="34">
        <v>0</v>
      </c>
      <c r="AD25" s="35">
        <v>0</v>
      </c>
      <c r="AE25" s="34">
        <v>0</v>
      </c>
      <c r="AF25" s="34">
        <v>0</v>
      </c>
      <c r="AG25" s="34">
        <v>0</v>
      </c>
      <c r="AH25" s="21"/>
      <c r="AI25" s="22"/>
      <c r="AK25" s="87">
        <f t="shared" si="2"/>
        <v>0.82499999999999996</v>
      </c>
      <c r="AL25" s="87">
        <f t="shared" si="2"/>
        <v>1</v>
      </c>
      <c r="AM25" s="87">
        <f t="shared" si="2"/>
        <v>0.75</v>
      </c>
      <c r="AN25" s="87">
        <f t="shared" si="2"/>
        <v>0.2857142857142857</v>
      </c>
      <c r="AO25" s="87">
        <f t="shared" si="2"/>
        <v>0</v>
      </c>
      <c r="AP25" s="87"/>
      <c r="AQ25" s="87"/>
      <c r="AR25" s="87"/>
      <c r="AS25" s="87">
        <f t="shared" si="3"/>
        <v>0.2857142857142857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>
        <v>20</v>
      </c>
      <c r="T26" s="31">
        <v>15</v>
      </c>
      <c r="U26" s="31">
        <v>37</v>
      </c>
      <c r="V26" s="32">
        <v>2</v>
      </c>
      <c r="W26" s="32">
        <v>0</v>
      </c>
      <c r="X26" s="32">
        <v>20</v>
      </c>
      <c r="Y26" s="75">
        <v>3</v>
      </c>
      <c r="Z26" s="33">
        <v>0</v>
      </c>
      <c r="AA26" s="34">
        <v>29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21"/>
      <c r="AI26" s="22"/>
      <c r="AK26" s="87">
        <f t="shared" si="2"/>
        <v>0.5</v>
      </c>
      <c r="AL26" s="87">
        <f t="shared" si="2"/>
        <v>0.75</v>
      </c>
      <c r="AM26" s="87">
        <f t="shared" si="2"/>
        <v>0.30833333333333335</v>
      </c>
      <c r="AN26" s="87">
        <f t="shared" si="2"/>
        <v>0.2857142857142857</v>
      </c>
      <c r="AO26" s="87">
        <f t="shared" si="2"/>
        <v>0</v>
      </c>
      <c r="AP26" s="87"/>
      <c r="AQ26" s="87"/>
      <c r="AR26" s="87"/>
      <c r="AS26" s="87">
        <f t="shared" si="3"/>
        <v>0.1657142857142857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>
        <v>30</v>
      </c>
      <c r="T27" s="31">
        <v>20</v>
      </c>
      <c r="U27" s="31">
        <v>300</v>
      </c>
      <c r="V27" s="32">
        <v>3</v>
      </c>
      <c r="W27" s="32">
        <v>0</v>
      </c>
      <c r="X27" s="32">
        <v>80</v>
      </c>
      <c r="Y27" s="75">
        <v>30</v>
      </c>
      <c r="Z27" s="33">
        <v>0</v>
      </c>
      <c r="AA27" s="34">
        <v>100</v>
      </c>
      <c r="AB27" s="34">
        <v>0</v>
      </c>
      <c r="AC27" s="34">
        <v>0</v>
      </c>
      <c r="AD27" s="35">
        <v>0</v>
      </c>
      <c r="AE27" s="34">
        <v>0</v>
      </c>
      <c r="AF27" s="34">
        <v>0</v>
      </c>
      <c r="AG27" s="34">
        <v>0</v>
      </c>
      <c r="AH27" s="21"/>
      <c r="AI27" s="22"/>
      <c r="AK27" s="87">
        <f t="shared" si="2"/>
        <v>0.75</v>
      </c>
      <c r="AL27" s="87">
        <f t="shared" si="2"/>
        <v>1</v>
      </c>
      <c r="AM27" s="87">
        <f t="shared" si="2"/>
        <v>2.5</v>
      </c>
      <c r="AN27" s="87">
        <f t="shared" si="2"/>
        <v>0.42857142857142855</v>
      </c>
      <c r="AO27" s="87">
        <f t="shared" si="2"/>
        <v>0</v>
      </c>
      <c r="AP27" s="87"/>
      <c r="AQ27" s="87"/>
      <c r="AR27" s="87"/>
      <c r="AS27" s="87">
        <f t="shared" si="3"/>
        <v>0.5714285714285714</v>
      </c>
      <c r="AT27" s="87"/>
      <c r="AU27" s="87"/>
      <c r="AV27" s="87"/>
      <c r="AW27" s="87"/>
      <c r="AX27" s="87"/>
      <c r="AY27" s="87"/>
    </row>
    <row r="28" spans="2:51" ht="17.399999999999999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40</v>
      </c>
      <c r="T28" s="31">
        <v>10</v>
      </c>
      <c r="U28" s="31">
        <v>120</v>
      </c>
      <c r="V28" s="32">
        <v>0</v>
      </c>
      <c r="W28" s="32">
        <v>0</v>
      </c>
      <c r="X28" s="32">
        <v>100</v>
      </c>
      <c r="Y28" s="75">
        <v>0</v>
      </c>
      <c r="Z28" s="33">
        <v>0</v>
      </c>
      <c r="AA28" s="34">
        <v>0</v>
      </c>
      <c r="AB28" s="34">
        <v>0</v>
      </c>
      <c r="AC28" s="34">
        <v>0</v>
      </c>
      <c r="AD28" s="35">
        <v>0</v>
      </c>
      <c r="AE28" s="34">
        <v>0</v>
      </c>
      <c r="AF28" s="34">
        <v>0</v>
      </c>
      <c r="AG28" s="34">
        <v>0</v>
      </c>
      <c r="AH28" s="21"/>
      <c r="AI28" s="22"/>
      <c r="AK28" s="87">
        <f t="shared" si="2"/>
        <v>1</v>
      </c>
      <c r="AL28" s="87">
        <f t="shared" si="2"/>
        <v>0.5</v>
      </c>
      <c r="AM28" s="87">
        <f t="shared" si="2"/>
        <v>1</v>
      </c>
      <c r="AN28" s="87">
        <f t="shared" si="2"/>
        <v>0</v>
      </c>
      <c r="AO28" s="87">
        <f t="shared" si="2"/>
        <v>0</v>
      </c>
      <c r="AP28" s="87"/>
      <c r="AQ28" s="87"/>
      <c r="AR28" s="87"/>
      <c r="AS28" s="87">
        <f t="shared" si="3"/>
        <v>0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>
        <v>20</v>
      </c>
      <c r="T29" s="31">
        <v>3</v>
      </c>
      <c r="U29" s="31">
        <v>15</v>
      </c>
      <c r="V29" s="32">
        <v>0</v>
      </c>
      <c r="W29" s="32">
        <v>0</v>
      </c>
      <c r="X29" s="32">
        <v>10</v>
      </c>
      <c r="Y29" s="75">
        <v>0</v>
      </c>
      <c r="Z29" s="33">
        <v>0</v>
      </c>
      <c r="AA29" s="34">
        <v>10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21"/>
      <c r="AI29" s="22"/>
      <c r="AK29" s="87">
        <f t="shared" si="2"/>
        <v>0.5</v>
      </c>
      <c r="AL29" s="87">
        <f t="shared" si="2"/>
        <v>0.15</v>
      </c>
      <c r="AM29" s="87">
        <f t="shared" si="2"/>
        <v>0.125</v>
      </c>
      <c r="AN29" s="87">
        <f t="shared" si="2"/>
        <v>0</v>
      </c>
      <c r="AO29" s="87">
        <f t="shared" si="2"/>
        <v>0</v>
      </c>
      <c r="AP29" s="87"/>
      <c r="AQ29" s="87"/>
      <c r="AR29" s="87"/>
      <c r="AS29" s="87">
        <f t="shared" si="3"/>
        <v>5.7142857142857141E-2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/>
      <c r="T30" s="31"/>
      <c r="U30" s="31"/>
      <c r="V30" s="32"/>
      <c r="W30" s="32"/>
      <c r="X30" s="32"/>
      <c r="Y30" s="75"/>
      <c r="Z30" s="33"/>
      <c r="AA30" s="34"/>
      <c r="AB30" s="34"/>
      <c r="AC30" s="34"/>
      <c r="AD30" s="35"/>
      <c r="AE30" s="34"/>
      <c r="AF30" s="34"/>
      <c r="AG30" s="34"/>
      <c r="AH30" s="21"/>
      <c r="AI30" s="22"/>
      <c r="AK30" s="87">
        <f t="shared" si="2"/>
        <v>0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>
        <v>33</v>
      </c>
      <c r="T31" s="31">
        <v>26</v>
      </c>
      <c r="U31" s="31">
        <v>140</v>
      </c>
      <c r="V31" s="32">
        <v>0</v>
      </c>
      <c r="W31" s="32">
        <v>0</v>
      </c>
      <c r="X31" s="32">
        <v>33</v>
      </c>
      <c r="Y31" s="75">
        <v>4</v>
      </c>
      <c r="Z31" s="33">
        <v>0</v>
      </c>
      <c r="AA31" s="34">
        <v>0</v>
      </c>
      <c r="AB31" s="34">
        <v>0</v>
      </c>
      <c r="AC31" s="34">
        <v>0</v>
      </c>
      <c r="AD31" s="35">
        <v>0</v>
      </c>
      <c r="AE31" s="34">
        <v>0</v>
      </c>
      <c r="AF31" s="34">
        <v>0</v>
      </c>
      <c r="AG31" s="34">
        <v>0</v>
      </c>
      <c r="AH31" s="21"/>
      <c r="AI31" s="22"/>
      <c r="AK31" s="87">
        <f t="shared" si="2"/>
        <v>0.82499999999999996</v>
      </c>
      <c r="AL31" s="87">
        <f t="shared" si="2"/>
        <v>1.3</v>
      </c>
      <c r="AM31" s="87">
        <f t="shared" si="2"/>
        <v>1.1666666666666667</v>
      </c>
      <c r="AN31" s="87">
        <f t="shared" si="2"/>
        <v>0</v>
      </c>
      <c r="AO31" s="87">
        <f t="shared" si="2"/>
        <v>0</v>
      </c>
      <c r="AP31" s="87"/>
      <c r="AQ31" s="87"/>
      <c r="AR31" s="87"/>
      <c r="AS31" s="87">
        <f t="shared" si="3"/>
        <v>0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>
        <v>25</v>
      </c>
      <c r="T32" s="31">
        <v>18</v>
      </c>
      <c r="U32" s="31">
        <v>125</v>
      </c>
      <c r="V32" s="32">
        <v>0</v>
      </c>
      <c r="W32" s="32">
        <v>0</v>
      </c>
      <c r="X32" s="32">
        <v>0</v>
      </c>
      <c r="Y32" s="75">
        <v>0</v>
      </c>
      <c r="Z32" s="33">
        <v>0</v>
      </c>
      <c r="AA32" s="34">
        <v>21</v>
      </c>
      <c r="AB32" s="34">
        <v>0</v>
      </c>
      <c r="AC32" s="34">
        <v>0</v>
      </c>
      <c r="AD32" s="35">
        <v>0</v>
      </c>
      <c r="AE32" s="34">
        <v>0</v>
      </c>
      <c r="AF32" s="34">
        <v>0</v>
      </c>
      <c r="AG32" s="34">
        <v>0</v>
      </c>
      <c r="AH32" s="21"/>
      <c r="AI32" s="22"/>
      <c r="AK32" s="87">
        <f t="shared" si="2"/>
        <v>0.625</v>
      </c>
      <c r="AL32" s="87">
        <f t="shared" si="2"/>
        <v>0.9</v>
      </c>
      <c r="AM32" s="87">
        <f t="shared" si="2"/>
        <v>1.0416666666666667</v>
      </c>
      <c r="AN32" s="87">
        <f t="shared" si="2"/>
        <v>0</v>
      </c>
      <c r="AO32" s="87">
        <f t="shared" si="2"/>
        <v>0</v>
      </c>
      <c r="AP32" s="87"/>
      <c r="AQ32" s="87"/>
      <c r="AR32" s="87"/>
      <c r="AS32" s="87">
        <f t="shared" si="3"/>
        <v>0.12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>
        <v>20</v>
      </c>
      <c r="T33" s="31">
        <v>5</v>
      </c>
      <c r="U33" s="31">
        <v>37</v>
      </c>
      <c r="V33" s="32">
        <v>0</v>
      </c>
      <c r="W33" s="32">
        <v>0</v>
      </c>
      <c r="X33" s="32">
        <v>0</v>
      </c>
      <c r="Y33" s="32">
        <v>0</v>
      </c>
      <c r="Z33" s="32">
        <v>0</v>
      </c>
      <c r="AA33" s="32">
        <v>0</v>
      </c>
      <c r="AB33" s="32">
        <v>0</v>
      </c>
      <c r="AC33" s="32">
        <v>0</v>
      </c>
      <c r="AD33" s="32">
        <v>0</v>
      </c>
      <c r="AE33" s="32">
        <v>0</v>
      </c>
      <c r="AF33" s="32">
        <v>0</v>
      </c>
      <c r="AG33" s="32">
        <v>0</v>
      </c>
      <c r="AH33" s="21"/>
      <c r="AI33" s="22"/>
      <c r="AK33" s="87">
        <f t="shared" si="2"/>
        <v>0.5</v>
      </c>
      <c r="AL33" s="87">
        <f t="shared" si="2"/>
        <v>0.25</v>
      </c>
      <c r="AM33" s="87">
        <f t="shared" si="2"/>
        <v>0.30833333333333335</v>
      </c>
      <c r="AN33" s="87">
        <f t="shared" si="2"/>
        <v>0</v>
      </c>
      <c r="AO33" s="87">
        <f t="shared" si="2"/>
        <v>0</v>
      </c>
      <c r="AP33" s="87"/>
      <c r="AQ33" s="87"/>
      <c r="AR33" s="87"/>
      <c r="AS33" s="87">
        <f t="shared" si="3"/>
        <v>0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44</v>
      </c>
      <c r="T34" s="31">
        <v>30</v>
      </c>
      <c r="U34" s="31">
        <v>350</v>
      </c>
      <c r="V34" s="32">
        <v>0</v>
      </c>
      <c r="W34" s="32">
        <v>0</v>
      </c>
      <c r="X34" s="32">
        <v>20</v>
      </c>
      <c r="Y34" s="75">
        <v>15</v>
      </c>
      <c r="Z34" s="33">
        <v>0</v>
      </c>
      <c r="AA34" s="34">
        <v>98</v>
      </c>
      <c r="AB34" s="34">
        <v>0</v>
      </c>
      <c r="AC34" s="34">
        <v>0</v>
      </c>
      <c r="AD34" s="35">
        <v>0</v>
      </c>
      <c r="AE34" s="34">
        <v>0</v>
      </c>
      <c r="AF34" s="34">
        <v>0</v>
      </c>
      <c r="AG34" s="34">
        <v>0</v>
      </c>
      <c r="AH34" s="21"/>
      <c r="AI34" s="22"/>
      <c r="AK34" s="87">
        <f t="shared" si="2"/>
        <v>1.1000000000000001</v>
      </c>
      <c r="AL34" s="87">
        <f t="shared" si="2"/>
        <v>1.5</v>
      </c>
      <c r="AM34" s="87">
        <f t="shared" si="2"/>
        <v>2.9166666666666665</v>
      </c>
      <c r="AN34" s="87">
        <f t="shared" si="2"/>
        <v>0</v>
      </c>
      <c r="AO34" s="87">
        <f t="shared" si="2"/>
        <v>0</v>
      </c>
      <c r="AP34" s="87"/>
      <c r="AQ34" s="87"/>
      <c r="AR34" s="87"/>
      <c r="AS34" s="87">
        <f t="shared" si="3"/>
        <v>0.56000000000000005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>
        <v>12</v>
      </c>
      <c r="T35" s="31">
        <v>6</v>
      </c>
      <c r="U35" s="31">
        <v>60</v>
      </c>
      <c r="V35" s="32">
        <v>2</v>
      </c>
      <c r="W35" s="32">
        <v>0</v>
      </c>
      <c r="X35" s="32">
        <v>0</v>
      </c>
      <c r="Y35" s="75">
        <v>0</v>
      </c>
      <c r="Z35" s="33">
        <v>0</v>
      </c>
      <c r="AA35" s="34">
        <v>19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21"/>
      <c r="AI35" s="22"/>
      <c r="AK35" s="87">
        <f t="shared" si="2"/>
        <v>0.3</v>
      </c>
      <c r="AL35" s="87">
        <f t="shared" si="2"/>
        <v>0.3</v>
      </c>
      <c r="AM35" s="87">
        <f t="shared" si="2"/>
        <v>0.5</v>
      </c>
      <c r="AN35" s="87">
        <f t="shared" si="2"/>
        <v>0.2857142857142857</v>
      </c>
      <c r="AO35" s="87">
        <f t="shared" si="2"/>
        <v>0</v>
      </c>
      <c r="AP35" s="87"/>
      <c r="AQ35" s="87"/>
      <c r="AR35" s="87"/>
      <c r="AS35" s="87">
        <f t="shared" si="3"/>
        <v>0.10857142857142857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>
        <v>10</v>
      </c>
      <c r="T36" s="31">
        <v>4</v>
      </c>
      <c r="U36" s="31">
        <v>20</v>
      </c>
      <c r="V36" s="32">
        <v>0</v>
      </c>
      <c r="W36" s="32">
        <v>0</v>
      </c>
      <c r="X36" s="32">
        <v>30</v>
      </c>
      <c r="Y36" s="75">
        <v>0</v>
      </c>
      <c r="Z36" s="33">
        <v>0</v>
      </c>
      <c r="AA36" s="34">
        <v>12</v>
      </c>
      <c r="AB36" s="34">
        <v>0</v>
      </c>
      <c r="AC36" s="34">
        <v>0</v>
      </c>
      <c r="AD36" s="35">
        <v>0</v>
      </c>
      <c r="AE36" s="34">
        <v>0</v>
      </c>
      <c r="AF36" s="34">
        <v>0</v>
      </c>
      <c r="AG36" s="34">
        <v>0</v>
      </c>
      <c r="AH36" s="21"/>
      <c r="AI36" s="22"/>
      <c r="AK36" s="87">
        <f t="shared" si="2"/>
        <v>0.25</v>
      </c>
      <c r="AL36" s="87">
        <f t="shared" si="2"/>
        <v>0.2</v>
      </c>
      <c r="AM36" s="87">
        <f t="shared" si="2"/>
        <v>0.16666666666666666</v>
      </c>
      <c r="AN36" s="87">
        <f t="shared" si="2"/>
        <v>0</v>
      </c>
      <c r="AO36" s="87">
        <f t="shared" si="2"/>
        <v>0</v>
      </c>
      <c r="AP36" s="87"/>
      <c r="AQ36" s="87"/>
      <c r="AR36" s="87"/>
      <c r="AS36" s="87">
        <f t="shared" si="3"/>
        <v>6.8571428571428575E-2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25</v>
      </c>
      <c r="T37" s="31">
        <v>10</v>
      </c>
      <c r="U37" s="31"/>
      <c r="V37" s="32">
        <v>130</v>
      </c>
      <c r="W37" s="32">
        <v>2</v>
      </c>
      <c r="X37" s="32">
        <v>70</v>
      </c>
      <c r="Y37" s="75">
        <v>20</v>
      </c>
      <c r="Z37" s="33">
        <v>0</v>
      </c>
      <c r="AA37" s="34">
        <v>25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0.625</v>
      </c>
      <c r="AL37" s="87">
        <f t="shared" si="2"/>
        <v>0.5</v>
      </c>
      <c r="AM37" s="87">
        <f t="shared" si="2"/>
        <v>0</v>
      </c>
      <c r="AN37" s="87">
        <f t="shared" si="2"/>
        <v>18.571428571428573</v>
      </c>
      <c r="AO37" s="87">
        <f t="shared" si="2"/>
        <v>0.5</v>
      </c>
      <c r="AP37" s="87"/>
      <c r="AQ37" s="87"/>
      <c r="AR37" s="87"/>
      <c r="AS37" s="87">
        <f t="shared" si="3"/>
        <v>0.14285714285714285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50</v>
      </c>
      <c r="T38" s="31">
        <v>34</v>
      </c>
      <c r="U38" s="31">
        <v>90</v>
      </c>
      <c r="V38" s="32">
        <v>6</v>
      </c>
      <c r="W38" s="32">
        <v>0</v>
      </c>
      <c r="X38" s="32">
        <v>95</v>
      </c>
      <c r="Y38" s="75">
        <v>38</v>
      </c>
      <c r="Z38" s="33">
        <v>0</v>
      </c>
      <c r="AA38" s="34">
        <v>70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1.25</v>
      </c>
      <c r="AL38" s="87">
        <f t="shared" si="2"/>
        <v>1.7</v>
      </c>
      <c r="AM38" s="87">
        <f t="shared" si="2"/>
        <v>0.75</v>
      </c>
      <c r="AN38" s="87">
        <f t="shared" si="2"/>
        <v>0.8571428571428571</v>
      </c>
      <c r="AO38" s="87">
        <f t="shared" si="2"/>
        <v>0</v>
      </c>
      <c r="AP38" s="87"/>
      <c r="AQ38" s="87"/>
      <c r="AR38" s="87"/>
      <c r="AS38" s="87">
        <f t="shared" si="3"/>
        <v>0.4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60</v>
      </c>
      <c r="T39" s="31">
        <v>30</v>
      </c>
      <c r="U39" s="31">
        <v>126</v>
      </c>
      <c r="V39" s="32">
        <v>2</v>
      </c>
      <c r="W39" s="32">
        <v>0</v>
      </c>
      <c r="X39" s="32">
        <v>64</v>
      </c>
      <c r="Y39" s="75">
        <v>8</v>
      </c>
      <c r="Z39" s="33">
        <v>0</v>
      </c>
      <c r="AA39" s="34">
        <v>28</v>
      </c>
      <c r="AB39" s="34">
        <v>0</v>
      </c>
      <c r="AC39" s="34">
        <v>0</v>
      </c>
      <c r="AD39" s="35">
        <v>0</v>
      </c>
      <c r="AE39" s="34">
        <v>0</v>
      </c>
      <c r="AF39" s="34">
        <v>0</v>
      </c>
      <c r="AG39" s="34">
        <v>0</v>
      </c>
      <c r="AH39" s="21"/>
      <c r="AI39" s="22"/>
      <c r="AK39" s="87">
        <f t="shared" si="2"/>
        <v>1.5</v>
      </c>
      <c r="AL39" s="87">
        <f t="shared" si="2"/>
        <v>1.5</v>
      </c>
      <c r="AM39" s="87">
        <f t="shared" si="2"/>
        <v>1.05</v>
      </c>
      <c r="AN39" s="87">
        <f t="shared" si="2"/>
        <v>0.2857142857142857</v>
      </c>
      <c r="AO39" s="87">
        <f t="shared" si="2"/>
        <v>0</v>
      </c>
      <c r="AP39" s="87"/>
      <c r="AQ39" s="87"/>
      <c r="AR39" s="87"/>
      <c r="AS39" s="87">
        <f t="shared" si="3"/>
        <v>0.16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>
        <v>20</v>
      </c>
      <c r="T40" s="31">
        <v>12</v>
      </c>
      <c r="U40" s="31">
        <v>120</v>
      </c>
      <c r="V40" s="32">
        <v>2</v>
      </c>
      <c r="W40" s="32">
        <v>0</v>
      </c>
      <c r="X40" s="32">
        <v>0</v>
      </c>
      <c r="Y40" s="75">
        <v>0</v>
      </c>
      <c r="Z40" s="33">
        <v>0</v>
      </c>
      <c r="AA40" s="34">
        <v>30</v>
      </c>
      <c r="AB40" s="34">
        <v>0</v>
      </c>
      <c r="AC40" s="34">
        <v>0</v>
      </c>
      <c r="AD40" s="35">
        <v>0</v>
      </c>
      <c r="AE40" s="34">
        <v>0</v>
      </c>
      <c r="AF40" s="34">
        <v>0</v>
      </c>
      <c r="AG40" s="34">
        <v>0</v>
      </c>
      <c r="AH40" s="21"/>
      <c r="AI40" s="22"/>
      <c r="AK40" s="87">
        <f t="shared" si="2"/>
        <v>0.5</v>
      </c>
      <c r="AL40" s="87">
        <f t="shared" si="2"/>
        <v>0.6</v>
      </c>
      <c r="AM40" s="87">
        <f t="shared" si="2"/>
        <v>1</v>
      </c>
      <c r="AN40" s="87">
        <f t="shared" si="2"/>
        <v>0.2857142857142857</v>
      </c>
      <c r="AO40" s="87">
        <f t="shared" si="2"/>
        <v>0</v>
      </c>
      <c r="AP40" s="87"/>
      <c r="AQ40" s="87"/>
      <c r="AR40" s="87"/>
      <c r="AS40" s="87">
        <f t="shared" si="3"/>
        <v>0.17142857142857143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58</v>
      </c>
      <c r="T41" s="31">
        <v>35</v>
      </c>
      <c r="U41" s="31">
        <v>195</v>
      </c>
      <c r="V41" s="32">
        <v>5</v>
      </c>
      <c r="W41" s="32">
        <v>0</v>
      </c>
      <c r="X41" s="32">
        <v>55</v>
      </c>
      <c r="Y41" s="75">
        <v>10</v>
      </c>
      <c r="Z41" s="33">
        <v>0</v>
      </c>
      <c r="AA41" s="34">
        <v>60</v>
      </c>
      <c r="AB41" s="34">
        <v>0</v>
      </c>
      <c r="AC41" s="34">
        <v>0</v>
      </c>
      <c r="AD41" s="35">
        <v>0</v>
      </c>
      <c r="AE41" s="34">
        <v>0</v>
      </c>
      <c r="AF41" s="34">
        <v>0</v>
      </c>
      <c r="AG41" s="34">
        <v>0</v>
      </c>
      <c r="AH41" s="21"/>
      <c r="AI41" s="22"/>
      <c r="AK41" s="87">
        <f t="shared" si="2"/>
        <v>1.45</v>
      </c>
      <c r="AL41" s="87">
        <f t="shared" si="2"/>
        <v>1.75</v>
      </c>
      <c r="AM41" s="87">
        <f t="shared" si="2"/>
        <v>1.625</v>
      </c>
      <c r="AN41" s="87">
        <f t="shared" si="2"/>
        <v>0.7142857142857143</v>
      </c>
      <c r="AO41" s="87">
        <f t="shared" si="2"/>
        <v>0</v>
      </c>
      <c r="AP41" s="87"/>
      <c r="AQ41" s="87"/>
      <c r="AR41" s="87"/>
      <c r="AS41" s="87">
        <f t="shared" si="3"/>
        <v>0.34285714285714286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>
        <v>13</v>
      </c>
      <c r="T42" s="31">
        <v>10</v>
      </c>
      <c r="U42" s="31">
        <v>40</v>
      </c>
      <c r="V42" s="32">
        <v>2</v>
      </c>
      <c r="W42" s="32">
        <v>0</v>
      </c>
      <c r="X42" s="32">
        <v>10</v>
      </c>
      <c r="Y42" s="75">
        <v>0</v>
      </c>
      <c r="Z42" s="33">
        <v>0</v>
      </c>
      <c r="AA42" s="34">
        <v>18</v>
      </c>
      <c r="AB42" s="34">
        <v>0</v>
      </c>
      <c r="AC42" s="34">
        <v>0</v>
      </c>
      <c r="AD42" s="35">
        <v>0</v>
      </c>
      <c r="AE42" s="34">
        <v>0</v>
      </c>
      <c r="AF42" s="34">
        <v>0</v>
      </c>
      <c r="AG42" s="34">
        <v>0</v>
      </c>
      <c r="AH42" s="21"/>
      <c r="AI42" s="22"/>
      <c r="AK42" s="87">
        <f t="shared" si="2"/>
        <v>0.32500000000000001</v>
      </c>
      <c r="AL42" s="87">
        <f t="shared" si="2"/>
        <v>0.5</v>
      </c>
      <c r="AM42" s="87">
        <f t="shared" si="2"/>
        <v>0.33333333333333331</v>
      </c>
      <c r="AN42" s="87">
        <f t="shared" si="2"/>
        <v>0.2857142857142857</v>
      </c>
      <c r="AO42" s="87">
        <f t="shared" si="2"/>
        <v>0</v>
      </c>
      <c r="AP42" s="87"/>
      <c r="AQ42" s="87"/>
      <c r="AR42" s="87"/>
      <c r="AS42" s="87">
        <f t="shared" si="3"/>
        <v>0.10285714285714286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>
        <v>25</v>
      </c>
      <c r="T43" s="31">
        <v>10</v>
      </c>
      <c r="U43" s="31">
        <v>70</v>
      </c>
      <c r="V43" s="32">
        <v>1</v>
      </c>
      <c r="W43" s="32">
        <v>0</v>
      </c>
      <c r="X43" s="32">
        <v>0</v>
      </c>
      <c r="Y43" s="75">
        <v>0</v>
      </c>
      <c r="Z43" s="33">
        <v>0</v>
      </c>
      <c r="AA43" s="34">
        <v>10</v>
      </c>
      <c r="AB43" s="34">
        <v>0</v>
      </c>
      <c r="AC43" s="34">
        <v>0</v>
      </c>
      <c r="AD43" s="35">
        <v>0</v>
      </c>
      <c r="AE43" s="34">
        <v>0</v>
      </c>
      <c r="AF43" s="34">
        <v>0</v>
      </c>
      <c r="AG43" s="34">
        <v>0</v>
      </c>
      <c r="AH43" s="21"/>
      <c r="AI43" s="22"/>
      <c r="AK43" s="87">
        <f t="shared" si="2"/>
        <v>0.625</v>
      </c>
      <c r="AL43" s="87">
        <f t="shared" si="2"/>
        <v>0.5</v>
      </c>
      <c r="AM43" s="87">
        <f t="shared" si="2"/>
        <v>0.58333333333333337</v>
      </c>
      <c r="AN43" s="87">
        <f t="shared" si="2"/>
        <v>0.14285714285714285</v>
      </c>
      <c r="AO43" s="87">
        <f t="shared" si="2"/>
        <v>0</v>
      </c>
      <c r="AP43" s="87"/>
      <c r="AQ43" s="87"/>
      <c r="AR43" s="87"/>
      <c r="AS43" s="87">
        <f t="shared" si="3"/>
        <v>5.7142857142857141E-2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>
        <v>37</v>
      </c>
      <c r="T44" s="31">
        <v>12</v>
      </c>
      <c r="U44" s="31">
        <v>5</v>
      </c>
      <c r="V44" s="32">
        <v>7</v>
      </c>
      <c r="W44" s="32">
        <v>0</v>
      </c>
      <c r="X44" s="32">
        <v>140</v>
      </c>
      <c r="Y44" s="75">
        <v>21</v>
      </c>
      <c r="Z44" s="33">
        <v>0</v>
      </c>
      <c r="AA44" s="34">
        <v>38</v>
      </c>
      <c r="AB44" s="34">
        <v>0</v>
      </c>
      <c r="AC44" s="34">
        <v>0</v>
      </c>
      <c r="AD44" s="34">
        <v>0</v>
      </c>
      <c r="AE44" s="34">
        <v>0</v>
      </c>
      <c r="AF44" s="34">
        <v>0</v>
      </c>
      <c r="AG44" s="34">
        <v>0</v>
      </c>
      <c r="AH44" s="21"/>
      <c r="AI44" s="22"/>
      <c r="AK44" s="87">
        <f t="shared" si="2"/>
        <v>0.92500000000000004</v>
      </c>
      <c r="AL44" s="87">
        <f t="shared" si="2"/>
        <v>0.6</v>
      </c>
      <c r="AM44" s="87">
        <f t="shared" si="2"/>
        <v>4.1666666666666664E-2</v>
      </c>
      <c r="AN44" s="87">
        <f t="shared" si="2"/>
        <v>1</v>
      </c>
      <c r="AO44" s="87">
        <f t="shared" si="2"/>
        <v>0</v>
      </c>
      <c r="AP44" s="87"/>
      <c r="AQ44" s="87"/>
      <c r="AR44" s="87"/>
      <c r="AS44" s="87">
        <f t="shared" si="3"/>
        <v>0.21714285714285714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>
        <v>19</v>
      </c>
      <c r="T45" s="31">
        <v>10</v>
      </c>
      <c r="U45" s="31">
        <v>108</v>
      </c>
      <c r="V45" s="32">
        <v>3</v>
      </c>
      <c r="W45" s="32">
        <v>0</v>
      </c>
      <c r="X45" s="32">
        <v>60</v>
      </c>
      <c r="Y45" s="75">
        <v>0</v>
      </c>
      <c r="Z45" s="33">
        <v>0</v>
      </c>
      <c r="AA45" s="34">
        <v>81</v>
      </c>
      <c r="AB45" s="34">
        <v>0</v>
      </c>
      <c r="AC45" s="34">
        <v>0</v>
      </c>
      <c r="AD45" s="35">
        <v>0</v>
      </c>
      <c r="AE45" s="34">
        <v>0</v>
      </c>
      <c r="AF45" s="34">
        <v>0</v>
      </c>
      <c r="AG45" s="34">
        <v>0</v>
      </c>
      <c r="AH45" s="21"/>
      <c r="AI45" s="22"/>
      <c r="AK45" s="87">
        <f t="shared" si="2"/>
        <v>0.47499999999999998</v>
      </c>
      <c r="AL45" s="87">
        <f t="shared" si="2"/>
        <v>0.5</v>
      </c>
      <c r="AM45" s="87">
        <f t="shared" si="2"/>
        <v>0.9</v>
      </c>
      <c r="AN45" s="87">
        <f t="shared" si="2"/>
        <v>0.42857142857142855</v>
      </c>
      <c r="AO45" s="87">
        <f t="shared" si="2"/>
        <v>0</v>
      </c>
      <c r="AP45" s="87"/>
      <c r="AQ45" s="87"/>
      <c r="AR45" s="87"/>
      <c r="AS45" s="87">
        <f t="shared" si="3"/>
        <v>0.46285714285714286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>
        <v>50</v>
      </c>
      <c r="T46" s="31">
        <v>30</v>
      </c>
      <c r="U46" s="31">
        <v>350</v>
      </c>
      <c r="V46" s="32">
        <v>4</v>
      </c>
      <c r="W46" s="32">
        <v>0</v>
      </c>
      <c r="X46" s="32">
        <v>90</v>
      </c>
      <c r="Y46" s="75">
        <v>25</v>
      </c>
      <c r="Z46" s="33">
        <v>0</v>
      </c>
      <c r="AA46" s="34">
        <v>40</v>
      </c>
      <c r="AB46" s="34">
        <v>0</v>
      </c>
      <c r="AC46" s="34">
        <v>0</v>
      </c>
      <c r="AD46" s="35">
        <v>0</v>
      </c>
      <c r="AE46" s="34">
        <v>0</v>
      </c>
      <c r="AF46" s="34">
        <v>0</v>
      </c>
      <c r="AG46" s="34">
        <v>0</v>
      </c>
      <c r="AH46" s="21"/>
      <c r="AI46" s="22"/>
      <c r="AK46" s="87">
        <f t="shared" si="2"/>
        <v>1.25</v>
      </c>
      <c r="AL46" s="87">
        <f t="shared" si="2"/>
        <v>1.5</v>
      </c>
      <c r="AM46" s="87">
        <f t="shared" si="2"/>
        <v>2.9166666666666665</v>
      </c>
      <c r="AN46" s="87">
        <f t="shared" si="2"/>
        <v>0.5714285714285714</v>
      </c>
      <c r="AO46" s="87">
        <f t="shared" si="2"/>
        <v>0</v>
      </c>
      <c r="AP46" s="87"/>
      <c r="AQ46" s="87"/>
      <c r="AR46" s="87"/>
      <c r="AS46" s="87">
        <f t="shared" si="3"/>
        <v>0.22857142857142856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>
        <v>22</v>
      </c>
      <c r="T47" s="31">
        <v>11</v>
      </c>
      <c r="U47" s="31">
        <v>70</v>
      </c>
      <c r="V47" s="32">
        <v>0</v>
      </c>
      <c r="W47" s="32">
        <v>0</v>
      </c>
      <c r="X47" s="32">
        <v>75</v>
      </c>
      <c r="Y47" s="75">
        <v>0</v>
      </c>
      <c r="Z47" s="33">
        <v>0</v>
      </c>
      <c r="AA47" s="34">
        <v>110</v>
      </c>
      <c r="AB47" s="34">
        <v>0</v>
      </c>
      <c r="AC47" s="34">
        <v>0</v>
      </c>
      <c r="AD47" s="35">
        <v>0</v>
      </c>
      <c r="AE47" s="34">
        <v>0</v>
      </c>
      <c r="AF47" s="34">
        <v>0</v>
      </c>
      <c r="AG47" s="34">
        <v>0</v>
      </c>
      <c r="AH47" s="21"/>
      <c r="AI47" s="22"/>
      <c r="AK47" s="87">
        <f t="shared" si="2"/>
        <v>0.55000000000000004</v>
      </c>
      <c r="AL47" s="87">
        <f t="shared" si="2"/>
        <v>0.55000000000000004</v>
      </c>
      <c r="AM47" s="87">
        <f t="shared" si="2"/>
        <v>0.58333333333333337</v>
      </c>
      <c r="AN47" s="87">
        <f t="shared" si="2"/>
        <v>0</v>
      </c>
      <c r="AO47" s="87">
        <f t="shared" si="2"/>
        <v>0</v>
      </c>
      <c r="AP47" s="87"/>
      <c r="AQ47" s="87"/>
      <c r="AR47" s="87"/>
      <c r="AS47" s="87">
        <f t="shared" si="3"/>
        <v>0.62857142857142856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60</v>
      </c>
      <c r="T48" s="31">
        <v>57</v>
      </c>
      <c r="U48" s="31">
        <v>120</v>
      </c>
      <c r="V48" s="32">
        <v>15</v>
      </c>
      <c r="W48" s="32">
        <v>0</v>
      </c>
      <c r="X48" s="32">
        <v>90</v>
      </c>
      <c r="Y48" s="75">
        <v>17</v>
      </c>
      <c r="Z48" s="33">
        <v>0</v>
      </c>
      <c r="AA48" s="34">
        <v>25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/>
      <c r="AI48" s="22"/>
      <c r="AK48" s="87">
        <f t="shared" si="2"/>
        <v>1.5</v>
      </c>
      <c r="AL48" s="87">
        <f t="shared" si="2"/>
        <v>2.85</v>
      </c>
      <c r="AM48" s="87">
        <f t="shared" si="2"/>
        <v>1</v>
      </c>
      <c r="AN48" s="87">
        <f t="shared" si="2"/>
        <v>2.1428571428571428</v>
      </c>
      <c r="AO48" s="87">
        <f t="shared" si="2"/>
        <v>0</v>
      </c>
      <c r="AP48" s="87"/>
      <c r="AQ48" s="87"/>
      <c r="AR48" s="87"/>
      <c r="AS48" s="87">
        <f t="shared" si="3"/>
        <v>0.14285714285714285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25</v>
      </c>
      <c r="T49" s="31">
        <v>19</v>
      </c>
      <c r="U49" s="31">
        <v>260</v>
      </c>
      <c r="V49" s="32">
        <v>14</v>
      </c>
      <c r="W49" s="32">
        <v>0</v>
      </c>
      <c r="X49" s="32">
        <v>78</v>
      </c>
      <c r="Y49" s="75">
        <v>12</v>
      </c>
      <c r="Z49" s="33">
        <v>0</v>
      </c>
      <c r="AA49" s="34">
        <v>67</v>
      </c>
      <c r="AB49" s="34">
        <v>0</v>
      </c>
      <c r="AC49" s="34">
        <v>0</v>
      </c>
      <c r="AD49" s="35">
        <v>0</v>
      </c>
      <c r="AE49" s="34">
        <v>0</v>
      </c>
      <c r="AF49" s="34">
        <v>0</v>
      </c>
      <c r="AG49" s="34">
        <v>0</v>
      </c>
      <c r="AH49" s="21"/>
      <c r="AI49" s="22"/>
      <c r="AK49" s="87">
        <f t="shared" si="2"/>
        <v>0.625</v>
      </c>
      <c r="AL49" s="87">
        <f t="shared" si="2"/>
        <v>0.95</v>
      </c>
      <c r="AM49" s="87">
        <f t="shared" si="2"/>
        <v>2.1666666666666665</v>
      </c>
      <c r="AN49" s="87">
        <f t="shared" si="2"/>
        <v>2</v>
      </c>
      <c r="AO49" s="87">
        <f t="shared" si="2"/>
        <v>0</v>
      </c>
      <c r="AP49" s="87"/>
      <c r="AQ49" s="87"/>
      <c r="AR49" s="87"/>
      <c r="AS49" s="87">
        <f t="shared" si="3"/>
        <v>0.38285714285714284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>
        <v>25</v>
      </c>
      <c r="T50" s="31">
        <v>22</v>
      </c>
      <c r="U50" s="31">
        <v>380</v>
      </c>
      <c r="V50" s="32">
        <v>0</v>
      </c>
      <c r="W50" s="32">
        <v>0</v>
      </c>
      <c r="X50" s="32">
        <v>50</v>
      </c>
      <c r="Y50" s="75">
        <v>30</v>
      </c>
      <c r="Z50" s="33">
        <v>0</v>
      </c>
      <c r="AA50" s="34">
        <v>15</v>
      </c>
      <c r="AB50" s="34">
        <v>0</v>
      </c>
      <c r="AC50" s="34">
        <v>0</v>
      </c>
      <c r="AD50" s="35">
        <v>0</v>
      </c>
      <c r="AE50" s="34">
        <v>0</v>
      </c>
      <c r="AF50" s="34">
        <v>0</v>
      </c>
      <c r="AG50" s="34">
        <v>0</v>
      </c>
      <c r="AH50" s="21"/>
      <c r="AI50" s="22"/>
      <c r="AK50" s="87">
        <f t="shared" si="2"/>
        <v>0.625</v>
      </c>
      <c r="AL50" s="87">
        <f t="shared" si="2"/>
        <v>1.1000000000000001</v>
      </c>
      <c r="AM50" s="87">
        <f t="shared" si="2"/>
        <v>3.1666666666666665</v>
      </c>
      <c r="AN50" s="87">
        <f t="shared" si="2"/>
        <v>0</v>
      </c>
      <c r="AO50" s="87">
        <f t="shared" si="2"/>
        <v>0</v>
      </c>
      <c r="AP50" s="87"/>
      <c r="AQ50" s="87"/>
      <c r="AR50" s="87"/>
      <c r="AS50" s="87">
        <f t="shared" si="3"/>
        <v>8.5714285714285715E-2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20</v>
      </c>
      <c r="T51" s="31">
        <v>15</v>
      </c>
      <c r="U51" s="31">
        <v>48</v>
      </c>
      <c r="V51" s="32">
        <v>1</v>
      </c>
      <c r="W51" s="32">
        <v>0</v>
      </c>
      <c r="X51" s="32">
        <v>26</v>
      </c>
      <c r="Y51" s="75">
        <v>0</v>
      </c>
      <c r="Z51" s="33">
        <v>0</v>
      </c>
      <c r="AA51" s="34">
        <v>28</v>
      </c>
      <c r="AB51" s="34">
        <v>0</v>
      </c>
      <c r="AC51" s="34">
        <v>0</v>
      </c>
      <c r="AD51" s="35">
        <v>0</v>
      </c>
      <c r="AE51" s="34">
        <v>0</v>
      </c>
      <c r="AF51" s="34">
        <v>0</v>
      </c>
      <c r="AG51" s="34">
        <v>0</v>
      </c>
      <c r="AH51" s="21"/>
      <c r="AI51" s="22"/>
      <c r="AK51" s="87">
        <f t="shared" si="2"/>
        <v>0.5</v>
      </c>
      <c r="AL51" s="87">
        <f t="shared" si="2"/>
        <v>0.75</v>
      </c>
      <c r="AM51" s="87">
        <f t="shared" si="2"/>
        <v>0.4</v>
      </c>
      <c r="AN51" s="87">
        <f t="shared" si="2"/>
        <v>0.14285714285714285</v>
      </c>
      <c r="AO51" s="87">
        <f t="shared" si="2"/>
        <v>0</v>
      </c>
      <c r="AP51" s="87"/>
      <c r="AQ51" s="87"/>
      <c r="AR51" s="87"/>
      <c r="AS51" s="87">
        <f t="shared" si="3"/>
        <v>0.16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49</v>
      </c>
      <c r="T52" s="31">
        <v>30</v>
      </c>
      <c r="U52" s="31">
        <v>92</v>
      </c>
      <c r="V52" s="32">
        <v>8</v>
      </c>
      <c r="W52" s="32">
        <v>0</v>
      </c>
      <c r="X52" s="32">
        <v>56</v>
      </c>
      <c r="Y52" s="75">
        <v>13</v>
      </c>
      <c r="Z52" s="33">
        <v>0</v>
      </c>
      <c r="AA52" s="34">
        <v>90</v>
      </c>
      <c r="AB52" s="34">
        <v>20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/>
      <c r="AI52" s="22"/>
      <c r="AK52" s="87">
        <f t="shared" si="2"/>
        <v>1.2250000000000001</v>
      </c>
      <c r="AL52" s="87">
        <f t="shared" si="2"/>
        <v>1.5</v>
      </c>
      <c r="AM52" s="87">
        <f t="shared" si="2"/>
        <v>0.76666666666666672</v>
      </c>
      <c r="AN52" s="87">
        <f t="shared" si="2"/>
        <v>1.1428571428571428</v>
      </c>
      <c r="AO52" s="87">
        <f t="shared" si="2"/>
        <v>0</v>
      </c>
      <c r="AP52" s="87"/>
      <c r="AQ52" s="87"/>
      <c r="AR52" s="87"/>
      <c r="AS52" s="87">
        <f t="shared" si="3"/>
        <v>0.51428571428571423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35</v>
      </c>
      <c r="T53" s="31">
        <v>10</v>
      </c>
      <c r="U53" s="31">
        <v>10</v>
      </c>
      <c r="V53" s="32">
        <v>0</v>
      </c>
      <c r="W53" s="32">
        <v>0</v>
      </c>
      <c r="X53" s="32">
        <v>10</v>
      </c>
      <c r="Y53" s="75">
        <v>10</v>
      </c>
      <c r="Z53" s="33">
        <v>0</v>
      </c>
      <c r="AA53" s="34">
        <v>4</v>
      </c>
      <c r="AB53" s="34">
        <v>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0.875</v>
      </c>
      <c r="AL53" s="87">
        <f t="shared" si="2"/>
        <v>0.5</v>
      </c>
      <c r="AM53" s="87">
        <f t="shared" si="2"/>
        <v>8.3333333333333329E-2</v>
      </c>
      <c r="AN53" s="87">
        <f t="shared" si="2"/>
        <v>0</v>
      </c>
      <c r="AO53" s="87">
        <f t="shared" si="2"/>
        <v>0</v>
      </c>
      <c r="AP53" s="87"/>
      <c r="AQ53" s="87"/>
      <c r="AR53" s="87"/>
      <c r="AS53" s="87">
        <f t="shared" si="3"/>
        <v>2.2857142857142857E-2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>
        <v>30</v>
      </c>
      <c r="T54" s="31">
        <v>20</v>
      </c>
      <c r="U54" s="31">
        <v>200</v>
      </c>
      <c r="V54" s="32">
        <v>1</v>
      </c>
      <c r="W54" s="32">
        <v>0</v>
      </c>
      <c r="X54" s="32">
        <v>121</v>
      </c>
      <c r="Y54" s="75">
        <v>10</v>
      </c>
      <c r="Z54" s="33">
        <v>0</v>
      </c>
      <c r="AA54" s="34">
        <v>40</v>
      </c>
      <c r="AB54" s="34">
        <v>0</v>
      </c>
      <c r="AC54" s="34">
        <v>0</v>
      </c>
      <c r="AD54" s="35">
        <v>0</v>
      </c>
      <c r="AE54" s="34">
        <v>0</v>
      </c>
      <c r="AF54" s="34">
        <v>0</v>
      </c>
      <c r="AG54" s="34">
        <v>0</v>
      </c>
      <c r="AH54" s="21"/>
      <c r="AI54" s="22"/>
      <c r="AK54" s="87">
        <f t="shared" si="2"/>
        <v>0.75</v>
      </c>
      <c r="AL54" s="87">
        <f t="shared" si="2"/>
        <v>1</v>
      </c>
      <c r="AM54" s="87">
        <f t="shared" si="2"/>
        <v>1.6666666666666667</v>
      </c>
      <c r="AN54" s="87">
        <f t="shared" si="2"/>
        <v>0.14285714285714285</v>
      </c>
      <c r="AO54" s="87">
        <f t="shared" si="2"/>
        <v>0</v>
      </c>
      <c r="AP54" s="87"/>
      <c r="AQ54" s="87"/>
      <c r="AR54" s="87"/>
      <c r="AS54" s="87">
        <f t="shared" si="3"/>
        <v>0.22857142857142856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1474</v>
      </c>
      <c r="T55" s="61">
        <f t="shared" si="4"/>
        <v>841</v>
      </c>
      <c r="U55" s="61">
        <f t="shared" si="4"/>
        <v>5957</v>
      </c>
      <c r="V55" s="61">
        <f t="shared" si="4"/>
        <v>257</v>
      </c>
      <c r="W55" s="61">
        <f t="shared" si="4"/>
        <v>2</v>
      </c>
      <c r="X55" s="61">
        <f t="shared" si="4"/>
        <v>2126</v>
      </c>
      <c r="Y55" s="61">
        <f t="shared" si="4"/>
        <v>420</v>
      </c>
      <c r="Z55" s="61">
        <f t="shared" si="4"/>
        <v>0</v>
      </c>
      <c r="AA55" s="61">
        <f t="shared" si="4"/>
        <v>1831</v>
      </c>
      <c r="AB55" s="61">
        <f t="shared" si="4"/>
        <v>20</v>
      </c>
      <c r="AC55" s="61">
        <f t="shared" si="4"/>
        <v>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0.73699999999999999</v>
      </c>
      <c r="AL55" s="87">
        <f t="shared" si="2"/>
        <v>0.84099999999999997</v>
      </c>
      <c r="AM55" s="87">
        <f t="shared" si="2"/>
        <v>0.99283333333333335</v>
      </c>
      <c r="AN55" s="87">
        <f t="shared" si="2"/>
        <v>0.73428571428571432</v>
      </c>
      <c r="AO55" s="87">
        <f t="shared" si="2"/>
        <v>0.01</v>
      </c>
      <c r="AP55" s="87"/>
      <c r="AQ55" s="87"/>
      <c r="AR55" s="87"/>
      <c r="AS55" s="87">
        <f t="shared" si="3"/>
        <v>0.20925714285714286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1" t="s">
        <v>18</v>
      </c>
      <c r="C57" s="112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1474</v>
      </c>
      <c r="T57" s="24">
        <f>T55</f>
        <v>841</v>
      </c>
      <c r="U57" s="24">
        <f>U55/120</f>
        <v>49.641666666666666</v>
      </c>
      <c r="V57" s="25">
        <f>V55/6</f>
        <v>42.833333333333336</v>
      </c>
      <c r="W57" s="25">
        <f>W55/10</f>
        <v>0.2</v>
      </c>
      <c r="X57" s="25">
        <f>X55/100</f>
        <v>21.26</v>
      </c>
      <c r="Y57" s="76">
        <f>Y55/20</f>
        <v>21</v>
      </c>
      <c r="Z57" s="26">
        <f>Z55/60</f>
        <v>0</v>
      </c>
      <c r="AA57" s="27">
        <f>AA55/120</f>
        <v>15.258333333333333</v>
      </c>
      <c r="AB57" s="27">
        <f>AB55/100</f>
        <v>0.2</v>
      </c>
      <c r="AC57" s="27">
        <f>AC55/60</f>
        <v>0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8.2736111111111118E-3</v>
      </c>
      <c r="AN57" s="25">
        <f>AN55/6</f>
        <v>0.12238095238095238</v>
      </c>
      <c r="AO57" s="25">
        <f>AO55/20</f>
        <v>5.0000000000000001E-4</v>
      </c>
      <c r="AP57" s="25">
        <f>AP55/100</f>
        <v>0</v>
      </c>
      <c r="AQ57" s="76"/>
      <c r="AR57" s="26">
        <f>AR55/20</f>
        <v>0</v>
      </c>
      <c r="AS57" s="27">
        <f>AS55/120</f>
        <v>1.7438095238095238E-3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</sheetData>
  <autoFilter ref="A2:AI55" xr:uid="{2A6E8A32-38A3-4217-8E13-52E350FAE30C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</autoFilter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0A4C-AC82-411B-8FF8-5C61EF175E09}">
  <dimension ref="A1:AY5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46119</v>
      </c>
      <c r="D2" s="113" t="s">
        <v>107</v>
      </c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5" t="s">
        <v>108</v>
      </c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7"/>
      <c r="AK2" s="118" t="s">
        <v>109</v>
      </c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20"/>
    </row>
    <row r="3" spans="2:51" ht="18" thickBot="1" x14ac:dyDescent="0.3">
      <c r="B3" s="121" t="s">
        <v>1</v>
      </c>
      <c r="C3" s="123" t="s">
        <v>2</v>
      </c>
      <c r="D3" s="5" t="s">
        <v>3</v>
      </c>
      <c r="E3" s="6" t="str">
        <f>T3</f>
        <v>Acheteurs</v>
      </c>
      <c r="F3" s="125" t="s">
        <v>4</v>
      </c>
      <c r="G3" s="125"/>
      <c r="H3" s="125"/>
      <c r="I3" s="125"/>
      <c r="J3" s="126"/>
      <c r="K3" s="56"/>
      <c r="L3" s="127" t="s">
        <v>5</v>
      </c>
      <c r="M3" s="128"/>
      <c r="N3" s="129"/>
      <c r="O3" s="70"/>
      <c r="P3" s="70"/>
      <c r="Q3" s="70"/>
      <c r="R3" s="70"/>
      <c r="S3" s="7" t="s">
        <v>3</v>
      </c>
      <c r="T3" s="7" t="s">
        <v>6</v>
      </c>
      <c r="U3" s="130" t="s">
        <v>7</v>
      </c>
      <c r="V3" s="131"/>
      <c r="W3" s="131"/>
      <c r="X3" s="131"/>
      <c r="Y3" s="131"/>
      <c r="Z3" s="132"/>
      <c r="AA3" s="133" t="str">
        <f>L3</f>
        <v>Gratuités pour achats 
(en unités)</v>
      </c>
      <c r="AB3" s="134"/>
      <c r="AC3" s="135"/>
      <c r="AD3" s="133" t="s">
        <v>19</v>
      </c>
      <c r="AE3" s="134"/>
      <c r="AF3" s="134"/>
      <c r="AG3" s="135"/>
      <c r="AH3" s="136" t="s">
        <v>8</v>
      </c>
      <c r="AI3" s="138" t="s">
        <v>9</v>
      </c>
      <c r="AK3" s="79" t="s">
        <v>3</v>
      </c>
      <c r="AL3" s="79" t="s">
        <v>6</v>
      </c>
      <c r="AM3" s="140" t="s">
        <v>7</v>
      </c>
      <c r="AN3" s="141"/>
      <c r="AO3" s="141"/>
      <c r="AP3" s="141"/>
      <c r="AQ3" s="141"/>
      <c r="AR3" s="142"/>
      <c r="AS3" s="143" t="str">
        <f>AD3</f>
        <v>GOODIES</v>
      </c>
      <c r="AT3" s="144"/>
      <c r="AU3" s="145"/>
      <c r="AV3" s="143" t="s">
        <v>19</v>
      </c>
      <c r="AW3" s="144"/>
      <c r="AX3" s="144"/>
      <c r="AY3" s="145"/>
    </row>
    <row r="4" spans="2:51" ht="212.4" thickBot="1" x14ac:dyDescent="0.3">
      <c r="B4" s="122"/>
      <c r="C4" s="12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7"/>
      <c r="AI4" s="139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52.2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/>
      <c r="T5" s="31"/>
      <c r="U5" s="31"/>
      <c r="V5" s="32"/>
      <c r="W5" s="32"/>
      <c r="X5" s="32"/>
      <c r="Y5" s="75"/>
      <c r="Z5" s="33"/>
      <c r="AA5" s="34"/>
      <c r="AB5" s="34"/>
      <c r="AC5" s="34"/>
      <c r="AD5" s="35"/>
      <c r="AE5" s="34"/>
      <c r="AF5" s="34"/>
      <c r="AG5" s="34"/>
      <c r="AH5" s="21" t="s">
        <v>128</v>
      </c>
      <c r="AI5" s="22"/>
      <c r="AK5" s="87">
        <f>S5/D5</f>
        <v>0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>
        <v>20</v>
      </c>
      <c r="T6" s="31">
        <v>15</v>
      </c>
      <c r="U6" s="31">
        <v>40</v>
      </c>
      <c r="V6" s="31">
        <v>1</v>
      </c>
      <c r="W6" s="31">
        <v>0</v>
      </c>
      <c r="X6" s="31">
        <v>30</v>
      </c>
      <c r="Y6" s="31">
        <v>0</v>
      </c>
      <c r="Z6" s="31">
        <v>0</v>
      </c>
      <c r="AA6" s="31">
        <v>20</v>
      </c>
      <c r="AB6" s="31">
        <v>0</v>
      </c>
      <c r="AC6" s="31">
        <v>0</v>
      </c>
      <c r="AD6" s="31">
        <v>0</v>
      </c>
      <c r="AE6" s="31">
        <v>0</v>
      </c>
      <c r="AF6" s="31">
        <v>0</v>
      </c>
      <c r="AG6" s="31">
        <v>0</v>
      </c>
      <c r="AH6" s="21"/>
      <c r="AI6" s="22"/>
      <c r="AK6" s="87">
        <f t="shared" ref="AK6:AO55" si="2">S6/D6</f>
        <v>0.5</v>
      </c>
      <c r="AL6" s="87">
        <f t="shared" si="0"/>
        <v>0.75</v>
      </c>
      <c r="AM6" s="87">
        <f t="shared" si="0"/>
        <v>0.33333333333333331</v>
      </c>
      <c r="AN6" s="87">
        <f t="shared" si="0"/>
        <v>0.14285714285714285</v>
      </c>
      <c r="AO6" s="87">
        <f t="shared" si="0"/>
        <v>0</v>
      </c>
      <c r="AP6" s="87"/>
      <c r="AQ6" s="87"/>
      <c r="AR6" s="87"/>
      <c r="AS6" s="87">
        <f t="shared" si="0"/>
        <v>0.11428571428571428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28</v>
      </c>
      <c r="T7" s="31">
        <v>19</v>
      </c>
      <c r="U7" s="31">
        <v>200</v>
      </c>
      <c r="V7" s="32">
        <v>4</v>
      </c>
      <c r="W7" s="32">
        <v>0</v>
      </c>
      <c r="X7" s="32">
        <v>40</v>
      </c>
      <c r="Y7" s="75">
        <v>22</v>
      </c>
      <c r="Z7" s="33">
        <v>0</v>
      </c>
      <c r="AA7" s="34">
        <v>15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0.7</v>
      </c>
      <c r="AL7" s="87">
        <f t="shared" si="0"/>
        <v>0.95</v>
      </c>
      <c r="AM7" s="87">
        <f t="shared" si="0"/>
        <v>1.6666666666666667</v>
      </c>
      <c r="AN7" s="87">
        <f t="shared" si="0"/>
        <v>0.5714285714285714</v>
      </c>
      <c r="AO7" s="87">
        <f t="shared" si="0"/>
        <v>0</v>
      </c>
      <c r="AP7" s="87"/>
      <c r="AQ7" s="87"/>
      <c r="AR7" s="87"/>
      <c r="AS7" s="87">
        <f t="shared" si="0"/>
        <v>8.5714285714285715E-2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32</v>
      </c>
      <c r="T8" s="31">
        <v>11</v>
      </c>
      <c r="U8" s="31">
        <v>80</v>
      </c>
      <c r="V8" s="32">
        <v>0</v>
      </c>
      <c r="W8" s="32">
        <v>0</v>
      </c>
      <c r="X8" s="32">
        <v>0</v>
      </c>
      <c r="Y8" s="75">
        <v>4</v>
      </c>
      <c r="Z8" s="33">
        <v>0</v>
      </c>
      <c r="AA8" s="34">
        <v>8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7">
        <f t="shared" si="2"/>
        <v>0.8</v>
      </c>
      <c r="AL8" s="87">
        <f t="shared" si="0"/>
        <v>0.55000000000000004</v>
      </c>
      <c r="AM8" s="87">
        <f t="shared" si="0"/>
        <v>0.66666666666666663</v>
      </c>
      <c r="AN8" s="87">
        <f t="shared" si="0"/>
        <v>0</v>
      </c>
      <c r="AO8" s="87">
        <f t="shared" si="0"/>
        <v>0</v>
      </c>
      <c r="AP8" s="87"/>
      <c r="AQ8" s="87"/>
      <c r="AR8" s="87"/>
      <c r="AS8" s="87">
        <f t="shared" si="0"/>
        <v>4.5714285714285714E-2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25</v>
      </c>
      <c r="T9" s="31">
        <v>20</v>
      </c>
      <c r="U9" s="31">
        <v>250</v>
      </c>
      <c r="V9" s="32">
        <v>3</v>
      </c>
      <c r="W9" s="32">
        <v>0</v>
      </c>
      <c r="X9" s="32">
        <v>60</v>
      </c>
      <c r="Y9" s="75">
        <v>0</v>
      </c>
      <c r="Z9" s="33">
        <v>0</v>
      </c>
      <c r="AA9" s="34">
        <v>55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7">
        <f t="shared" si="2"/>
        <v>0.625</v>
      </c>
      <c r="AL9" s="87">
        <f t="shared" si="0"/>
        <v>1</v>
      </c>
      <c r="AM9" s="87">
        <f t="shared" si="0"/>
        <v>2.0833333333333335</v>
      </c>
      <c r="AN9" s="87">
        <f t="shared" si="0"/>
        <v>0.42857142857142855</v>
      </c>
      <c r="AO9" s="87">
        <f t="shared" si="0"/>
        <v>0</v>
      </c>
      <c r="AP9" s="87"/>
      <c r="AQ9" s="87"/>
      <c r="AR9" s="87"/>
      <c r="AS9" s="87">
        <f t="shared" si="0"/>
        <v>0.31428571428571428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42</v>
      </c>
      <c r="T10" s="31">
        <v>19</v>
      </c>
      <c r="U10" s="31">
        <v>210</v>
      </c>
      <c r="V10" s="32">
        <v>5</v>
      </c>
      <c r="W10" s="32">
        <v>0</v>
      </c>
      <c r="X10" s="32">
        <v>16</v>
      </c>
      <c r="Y10" s="75">
        <v>9</v>
      </c>
      <c r="Z10" s="33">
        <v>0</v>
      </c>
      <c r="AA10" s="34">
        <v>58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7">
        <f t="shared" si="2"/>
        <v>1.05</v>
      </c>
      <c r="AL10" s="87">
        <f t="shared" si="0"/>
        <v>0.95</v>
      </c>
      <c r="AM10" s="87">
        <f t="shared" si="0"/>
        <v>1.75</v>
      </c>
      <c r="AN10" s="87">
        <f t="shared" si="0"/>
        <v>0.7142857142857143</v>
      </c>
      <c r="AO10" s="87">
        <f t="shared" si="0"/>
        <v>0</v>
      </c>
      <c r="AP10" s="87"/>
      <c r="AQ10" s="87"/>
      <c r="AR10" s="87"/>
      <c r="AS10" s="87">
        <f t="shared" si="0"/>
        <v>0.33142857142857141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30</v>
      </c>
      <c r="T11" s="31">
        <v>20</v>
      </c>
      <c r="U11" s="31">
        <v>200</v>
      </c>
      <c r="V11" s="32">
        <v>2</v>
      </c>
      <c r="W11" s="32">
        <v>0</v>
      </c>
      <c r="X11" s="32">
        <v>20</v>
      </c>
      <c r="Y11" s="75">
        <v>30</v>
      </c>
      <c r="Z11" s="33">
        <v>0</v>
      </c>
      <c r="AA11" s="34">
        <v>40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7">
        <f t="shared" si="2"/>
        <v>0.75</v>
      </c>
      <c r="AL11" s="87">
        <f t="shared" si="0"/>
        <v>1</v>
      </c>
      <c r="AM11" s="87">
        <f t="shared" si="0"/>
        <v>1.6666666666666667</v>
      </c>
      <c r="AN11" s="87">
        <f t="shared" si="0"/>
        <v>0.2857142857142857</v>
      </c>
      <c r="AO11" s="87">
        <f t="shared" si="0"/>
        <v>0</v>
      </c>
      <c r="AP11" s="87"/>
      <c r="AQ11" s="87"/>
      <c r="AR11" s="87"/>
      <c r="AS11" s="87">
        <f t="shared" si="0"/>
        <v>0.22857142857142856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32</v>
      </c>
      <c r="T12" s="31">
        <v>20</v>
      </c>
      <c r="U12" s="31">
        <v>110</v>
      </c>
      <c r="V12" s="32">
        <v>5</v>
      </c>
      <c r="W12" s="32">
        <v>0</v>
      </c>
      <c r="X12" s="32">
        <v>100</v>
      </c>
      <c r="Y12" s="75">
        <v>10</v>
      </c>
      <c r="Z12" s="33">
        <v>0</v>
      </c>
      <c r="AA12" s="34">
        <v>5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/>
      <c r="AK12" s="87">
        <f t="shared" si="2"/>
        <v>0.8</v>
      </c>
      <c r="AL12" s="87">
        <f t="shared" si="0"/>
        <v>1</v>
      </c>
      <c r="AM12" s="87">
        <f t="shared" si="0"/>
        <v>0.91666666666666663</v>
      </c>
      <c r="AN12" s="87">
        <f t="shared" si="0"/>
        <v>0.7142857142857143</v>
      </c>
      <c r="AO12" s="87">
        <f t="shared" si="0"/>
        <v>0</v>
      </c>
      <c r="AP12" s="87"/>
      <c r="AQ12" s="87"/>
      <c r="AR12" s="87"/>
      <c r="AS12" s="87">
        <f t="shared" si="0"/>
        <v>2.8571428571428571E-2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30</v>
      </c>
      <c r="T13" s="31">
        <v>25</v>
      </c>
      <c r="U13" s="31">
        <v>240</v>
      </c>
      <c r="V13" s="32">
        <v>0</v>
      </c>
      <c r="W13" s="32">
        <v>0</v>
      </c>
      <c r="X13" s="32">
        <v>45</v>
      </c>
      <c r="Y13" s="75">
        <v>8</v>
      </c>
      <c r="Z13" s="33">
        <v>0</v>
      </c>
      <c r="AA13" s="34">
        <v>180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7">
        <f t="shared" si="2"/>
        <v>0.75</v>
      </c>
      <c r="AL13" s="87">
        <f t="shared" si="0"/>
        <v>1.25</v>
      </c>
      <c r="AM13" s="87">
        <f t="shared" si="0"/>
        <v>2</v>
      </c>
      <c r="AN13" s="87">
        <f t="shared" si="0"/>
        <v>0</v>
      </c>
      <c r="AO13" s="87">
        <f t="shared" si="0"/>
        <v>0</v>
      </c>
      <c r="AP13" s="87"/>
      <c r="AQ13" s="87"/>
      <c r="AR13" s="87"/>
      <c r="AS13" s="87">
        <f t="shared" si="0"/>
        <v>1.0285714285714285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26</v>
      </c>
      <c r="T14" s="31">
        <v>16</v>
      </c>
      <c r="U14" s="31">
        <v>70</v>
      </c>
      <c r="V14" s="32">
        <v>1</v>
      </c>
      <c r="W14" s="32">
        <v>0</v>
      </c>
      <c r="X14" s="32">
        <v>120</v>
      </c>
      <c r="Y14" s="75">
        <v>0</v>
      </c>
      <c r="Z14" s="33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21"/>
      <c r="AI14" s="22"/>
      <c r="AK14" s="87">
        <f t="shared" si="2"/>
        <v>0.65</v>
      </c>
      <c r="AL14" s="87">
        <f t="shared" si="0"/>
        <v>0.8</v>
      </c>
      <c r="AM14" s="87">
        <f t="shared" si="0"/>
        <v>0.58333333333333337</v>
      </c>
      <c r="AN14" s="87">
        <f t="shared" si="0"/>
        <v>0.14285714285714285</v>
      </c>
      <c r="AO14" s="87">
        <f t="shared" si="0"/>
        <v>0</v>
      </c>
      <c r="AP14" s="87"/>
      <c r="AQ14" s="87"/>
      <c r="AR14" s="87"/>
      <c r="AS14" s="87">
        <f t="shared" si="0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20</v>
      </c>
      <c r="T15" s="31">
        <v>15</v>
      </c>
      <c r="U15" s="31">
        <v>130</v>
      </c>
      <c r="V15" s="32">
        <v>2</v>
      </c>
      <c r="W15" s="32">
        <v>0</v>
      </c>
      <c r="X15" s="32">
        <v>60</v>
      </c>
      <c r="Y15" s="75">
        <v>6</v>
      </c>
      <c r="Z15" s="33">
        <v>0</v>
      </c>
      <c r="AA15" s="34">
        <v>9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7">
        <f t="shared" si="2"/>
        <v>0.5</v>
      </c>
      <c r="AL15" s="87">
        <f t="shared" si="0"/>
        <v>0.75</v>
      </c>
      <c r="AM15" s="87">
        <f t="shared" si="0"/>
        <v>1.0833333333333333</v>
      </c>
      <c r="AN15" s="87">
        <f t="shared" si="0"/>
        <v>0.2857142857142857</v>
      </c>
      <c r="AO15" s="87">
        <f t="shared" si="0"/>
        <v>0</v>
      </c>
      <c r="AP15" s="87"/>
      <c r="AQ15" s="87"/>
      <c r="AR15" s="87"/>
      <c r="AS15" s="87">
        <f t="shared" si="0"/>
        <v>5.1428571428571428E-2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58</v>
      </c>
      <c r="T16" s="31">
        <v>49</v>
      </c>
      <c r="U16" s="31">
        <v>170</v>
      </c>
      <c r="V16" s="32">
        <v>2</v>
      </c>
      <c r="W16" s="32">
        <v>0</v>
      </c>
      <c r="X16" s="32">
        <v>30</v>
      </c>
      <c r="Y16" s="75">
        <v>4</v>
      </c>
      <c r="Z16" s="33">
        <v>0</v>
      </c>
      <c r="AA16" s="34">
        <v>50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/>
      <c r="AI16" s="22"/>
      <c r="AK16" s="87">
        <f t="shared" si="2"/>
        <v>1.45</v>
      </c>
      <c r="AL16" s="87">
        <f t="shared" si="0"/>
        <v>2.4500000000000002</v>
      </c>
      <c r="AM16" s="87">
        <f t="shared" si="0"/>
        <v>1.4166666666666667</v>
      </c>
      <c r="AN16" s="87">
        <f t="shared" si="0"/>
        <v>0.2857142857142857</v>
      </c>
      <c r="AO16" s="87">
        <f t="shared" si="0"/>
        <v>0</v>
      </c>
      <c r="AP16" s="87"/>
      <c r="AQ16" s="87"/>
      <c r="AR16" s="87"/>
      <c r="AS16" s="87">
        <f t="shared" si="0"/>
        <v>0.2857142857142857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30</v>
      </c>
      <c r="T17" s="31">
        <v>22</v>
      </c>
      <c r="U17" s="31">
        <v>150</v>
      </c>
      <c r="V17" s="32">
        <v>3</v>
      </c>
      <c r="W17" s="32">
        <v>0</v>
      </c>
      <c r="X17" s="32">
        <v>20</v>
      </c>
      <c r="Y17" s="75">
        <v>20</v>
      </c>
      <c r="Z17" s="33">
        <v>0</v>
      </c>
      <c r="AA17" s="34">
        <v>0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7">
        <f t="shared" si="2"/>
        <v>0.75</v>
      </c>
      <c r="AL17" s="87">
        <f t="shared" si="0"/>
        <v>1.1000000000000001</v>
      </c>
      <c r="AM17" s="87">
        <f t="shared" si="0"/>
        <v>1.25</v>
      </c>
      <c r="AN17" s="87">
        <f t="shared" si="0"/>
        <v>0.42857142857142855</v>
      </c>
      <c r="AO17" s="87">
        <f t="shared" si="0"/>
        <v>0</v>
      </c>
      <c r="AP17" s="87"/>
      <c r="AQ17" s="87"/>
      <c r="AR17" s="87"/>
      <c r="AS17" s="87">
        <f t="shared" si="0"/>
        <v>0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15</v>
      </c>
      <c r="T18" s="31">
        <v>5</v>
      </c>
      <c r="U18" s="31">
        <v>58</v>
      </c>
      <c r="V18" s="32">
        <v>3</v>
      </c>
      <c r="W18" s="32">
        <v>0</v>
      </c>
      <c r="X18" s="32">
        <v>0</v>
      </c>
      <c r="Y18" s="75">
        <v>0</v>
      </c>
      <c r="Z18" s="33">
        <v>0</v>
      </c>
      <c r="AA18" s="34">
        <v>20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7">
        <f t="shared" si="2"/>
        <v>0.375</v>
      </c>
      <c r="AL18" s="87">
        <f t="shared" si="0"/>
        <v>0.25</v>
      </c>
      <c r="AM18" s="87">
        <f t="shared" si="0"/>
        <v>0.48333333333333334</v>
      </c>
      <c r="AN18" s="87">
        <f t="shared" si="0"/>
        <v>0.42857142857142855</v>
      </c>
      <c r="AO18" s="87">
        <f t="shared" si="0"/>
        <v>0</v>
      </c>
      <c r="AP18" s="87"/>
      <c r="AQ18" s="87"/>
      <c r="AR18" s="87"/>
      <c r="AS18" s="87">
        <f t="shared" si="0"/>
        <v>0.11428571428571428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28</v>
      </c>
      <c r="T19" s="31">
        <v>15</v>
      </c>
      <c r="U19" s="31">
        <v>78</v>
      </c>
      <c r="V19" s="32">
        <v>1</v>
      </c>
      <c r="W19" s="32">
        <v>0</v>
      </c>
      <c r="X19" s="32">
        <v>15</v>
      </c>
      <c r="Y19" s="75">
        <v>0</v>
      </c>
      <c r="Z19" s="33">
        <v>0</v>
      </c>
      <c r="AA19" s="34">
        <v>20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7">
        <f t="shared" si="2"/>
        <v>0.7</v>
      </c>
      <c r="AL19" s="87">
        <f t="shared" si="0"/>
        <v>0.75</v>
      </c>
      <c r="AM19" s="87">
        <f t="shared" si="0"/>
        <v>0.65</v>
      </c>
      <c r="AN19" s="87">
        <f t="shared" si="0"/>
        <v>0.14285714285714285</v>
      </c>
      <c r="AO19" s="87">
        <f t="shared" si="0"/>
        <v>0</v>
      </c>
      <c r="AP19" s="87"/>
      <c r="AQ19" s="87"/>
      <c r="AR19" s="87"/>
      <c r="AS19" s="87">
        <f t="shared" si="0"/>
        <v>0.11428571428571428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48</v>
      </c>
      <c r="T20" s="31">
        <v>35</v>
      </c>
      <c r="U20" s="31">
        <v>84</v>
      </c>
      <c r="V20" s="32">
        <v>0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7">
        <f t="shared" si="2"/>
        <v>1.2</v>
      </c>
      <c r="AL20" s="87">
        <f t="shared" si="0"/>
        <v>1.75</v>
      </c>
      <c r="AM20" s="87">
        <f t="shared" si="0"/>
        <v>0.7</v>
      </c>
      <c r="AN20" s="87">
        <f t="shared" si="0"/>
        <v>0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15</v>
      </c>
      <c r="T21" s="31">
        <v>8</v>
      </c>
      <c r="U21" s="31">
        <v>100</v>
      </c>
      <c r="V21" s="32">
        <v>1</v>
      </c>
      <c r="W21" s="32">
        <v>0</v>
      </c>
      <c r="X21" s="32">
        <v>20</v>
      </c>
      <c r="Y21" s="75">
        <v>10</v>
      </c>
      <c r="Z21" s="33">
        <v>0</v>
      </c>
      <c r="AA21" s="34">
        <v>50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7">
        <f t="shared" si="2"/>
        <v>0.375</v>
      </c>
      <c r="AL21" s="87">
        <f t="shared" si="2"/>
        <v>0.4</v>
      </c>
      <c r="AM21" s="87">
        <f t="shared" si="2"/>
        <v>0.83333333333333337</v>
      </c>
      <c r="AN21" s="87">
        <f t="shared" si="2"/>
        <v>0.14285714285714285</v>
      </c>
      <c r="AO21" s="87">
        <f t="shared" si="2"/>
        <v>0</v>
      </c>
      <c r="AP21" s="87"/>
      <c r="AQ21" s="87"/>
      <c r="AR21" s="87"/>
      <c r="AS21" s="87">
        <f t="shared" ref="AS21:AS55" si="3">AA21/L21</f>
        <v>0.2857142857142857</v>
      </c>
      <c r="AT21" s="87"/>
      <c r="AU21" s="87"/>
      <c r="AV21" s="87"/>
      <c r="AW21" s="87"/>
      <c r="AX21" s="87"/>
      <c r="AY21" s="87"/>
    </row>
    <row r="22" spans="2:51" ht="52.2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5"/>
      <c r="Z22" s="33"/>
      <c r="AA22" s="34"/>
      <c r="AB22" s="34"/>
      <c r="AC22" s="34"/>
      <c r="AD22" s="35"/>
      <c r="AE22" s="34"/>
      <c r="AF22" s="34"/>
      <c r="AG22" s="34"/>
      <c r="AH22" s="21" t="s">
        <v>128</v>
      </c>
      <c r="AI22" s="22"/>
      <c r="AK22" s="87">
        <f t="shared" si="2"/>
        <v>0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30</v>
      </c>
      <c r="T23" s="31">
        <v>10</v>
      </c>
      <c r="U23" s="31">
        <v>25</v>
      </c>
      <c r="V23" s="32">
        <v>0</v>
      </c>
      <c r="W23" s="32">
        <v>0</v>
      </c>
      <c r="X23" s="32">
        <v>15</v>
      </c>
      <c r="Y23" s="75">
        <v>13</v>
      </c>
      <c r="Z23" s="33">
        <v>0</v>
      </c>
      <c r="AA23" s="34">
        <v>20</v>
      </c>
      <c r="AB23" s="34">
        <v>0</v>
      </c>
      <c r="AC23" s="34">
        <v>0</v>
      </c>
      <c r="AD23" s="35">
        <v>0</v>
      </c>
      <c r="AE23" s="34">
        <v>0</v>
      </c>
      <c r="AF23" s="34">
        <v>0</v>
      </c>
      <c r="AG23" s="34">
        <v>0</v>
      </c>
      <c r="AH23" s="21"/>
      <c r="AI23" s="22"/>
      <c r="AK23" s="87">
        <f t="shared" si="2"/>
        <v>0.75</v>
      </c>
      <c r="AL23" s="87">
        <f t="shared" si="2"/>
        <v>0.5</v>
      </c>
      <c r="AM23" s="87">
        <f t="shared" si="2"/>
        <v>0.20833333333333334</v>
      </c>
      <c r="AN23" s="87">
        <f t="shared" si="2"/>
        <v>0</v>
      </c>
      <c r="AO23" s="87">
        <f t="shared" si="2"/>
        <v>0</v>
      </c>
      <c r="AP23" s="87"/>
      <c r="AQ23" s="87"/>
      <c r="AR23" s="87"/>
      <c r="AS23" s="87">
        <f t="shared" si="3"/>
        <v>0.11428571428571428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30</v>
      </c>
      <c r="T24" s="31">
        <v>10</v>
      </c>
      <c r="U24" s="31">
        <v>101</v>
      </c>
      <c r="V24" s="32">
        <v>1</v>
      </c>
      <c r="W24" s="32">
        <v>0</v>
      </c>
      <c r="X24" s="32">
        <v>0</v>
      </c>
      <c r="Y24" s="75">
        <v>7</v>
      </c>
      <c r="Z24" s="33">
        <v>0</v>
      </c>
      <c r="AA24" s="34">
        <v>56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/>
      <c r="AI24" s="22"/>
      <c r="AK24" s="87">
        <f t="shared" si="2"/>
        <v>0.75</v>
      </c>
      <c r="AL24" s="87">
        <f t="shared" si="2"/>
        <v>0.5</v>
      </c>
      <c r="AM24" s="87">
        <f t="shared" si="2"/>
        <v>0.84166666666666667</v>
      </c>
      <c r="AN24" s="87">
        <f t="shared" si="2"/>
        <v>0.14285714285714285</v>
      </c>
      <c r="AO24" s="87">
        <f t="shared" si="2"/>
        <v>0</v>
      </c>
      <c r="AP24" s="87"/>
      <c r="AQ24" s="87"/>
      <c r="AR24" s="87"/>
      <c r="AS24" s="87">
        <f t="shared" si="3"/>
        <v>0.32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>
        <v>49</v>
      </c>
      <c r="T25" s="31">
        <v>32</v>
      </c>
      <c r="U25" s="31">
        <v>100</v>
      </c>
      <c r="V25" s="32">
        <v>4</v>
      </c>
      <c r="W25" s="32">
        <v>0</v>
      </c>
      <c r="X25" s="32">
        <v>60</v>
      </c>
      <c r="Y25" s="75">
        <v>9</v>
      </c>
      <c r="Z25" s="33">
        <v>0</v>
      </c>
      <c r="AA25" s="34">
        <v>40</v>
      </c>
      <c r="AB25" s="34">
        <v>0</v>
      </c>
      <c r="AC25" s="34">
        <v>0</v>
      </c>
      <c r="AD25" s="35">
        <v>0</v>
      </c>
      <c r="AE25" s="34">
        <v>0</v>
      </c>
      <c r="AF25" s="34">
        <v>0</v>
      </c>
      <c r="AG25" s="34">
        <v>0</v>
      </c>
      <c r="AH25" s="21"/>
      <c r="AI25" s="22"/>
      <c r="AK25" s="87">
        <f t="shared" si="2"/>
        <v>1.2250000000000001</v>
      </c>
      <c r="AL25" s="87">
        <f t="shared" si="2"/>
        <v>1.6</v>
      </c>
      <c r="AM25" s="87">
        <f t="shared" si="2"/>
        <v>0.83333333333333337</v>
      </c>
      <c r="AN25" s="87">
        <f t="shared" si="2"/>
        <v>0.5714285714285714</v>
      </c>
      <c r="AO25" s="87">
        <f t="shared" si="2"/>
        <v>0</v>
      </c>
      <c r="AP25" s="87"/>
      <c r="AQ25" s="87"/>
      <c r="AR25" s="87"/>
      <c r="AS25" s="87">
        <f t="shared" si="3"/>
        <v>0.22857142857142856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>
        <v>25</v>
      </c>
      <c r="T26" s="31">
        <v>15</v>
      </c>
      <c r="U26" s="31">
        <v>20</v>
      </c>
      <c r="V26" s="32">
        <v>4</v>
      </c>
      <c r="W26" s="32">
        <v>0</v>
      </c>
      <c r="X26" s="32">
        <v>20</v>
      </c>
      <c r="Y26" s="75">
        <v>3</v>
      </c>
      <c r="Z26" s="33">
        <v>0</v>
      </c>
      <c r="AA26" s="34">
        <v>22</v>
      </c>
      <c r="AB26" s="34">
        <v>0</v>
      </c>
      <c r="AC26" s="34">
        <v>0</v>
      </c>
      <c r="AD26" s="35">
        <v>0</v>
      </c>
      <c r="AE26" s="34">
        <v>0</v>
      </c>
      <c r="AF26" s="34">
        <v>0</v>
      </c>
      <c r="AG26" s="34">
        <v>0</v>
      </c>
      <c r="AH26" s="21"/>
      <c r="AI26" s="22"/>
      <c r="AK26" s="87">
        <f t="shared" si="2"/>
        <v>0.625</v>
      </c>
      <c r="AL26" s="87">
        <f t="shared" si="2"/>
        <v>0.75</v>
      </c>
      <c r="AM26" s="87">
        <f t="shared" si="2"/>
        <v>0.16666666666666666</v>
      </c>
      <c r="AN26" s="87">
        <f t="shared" si="2"/>
        <v>0.5714285714285714</v>
      </c>
      <c r="AO26" s="87">
        <f t="shared" si="2"/>
        <v>0</v>
      </c>
      <c r="AP26" s="87"/>
      <c r="AQ26" s="87"/>
      <c r="AR26" s="87"/>
      <c r="AS26" s="87">
        <f t="shared" si="3"/>
        <v>0.12571428571428572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>
        <v>37</v>
      </c>
      <c r="T27" s="31">
        <v>21</v>
      </c>
      <c r="U27" s="31">
        <v>135</v>
      </c>
      <c r="V27" s="32">
        <v>7</v>
      </c>
      <c r="W27" s="32">
        <v>0</v>
      </c>
      <c r="X27" s="32">
        <v>140</v>
      </c>
      <c r="Y27" s="75">
        <v>21</v>
      </c>
      <c r="Z27" s="33">
        <v>0</v>
      </c>
      <c r="AA27" s="34">
        <v>38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21"/>
      <c r="AI27" s="22"/>
      <c r="AK27" s="87">
        <f t="shared" si="2"/>
        <v>0.92500000000000004</v>
      </c>
      <c r="AL27" s="87">
        <f t="shared" si="2"/>
        <v>1.05</v>
      </c>
      <c r="AM27" s="87">
        <f t="shared" si="2"/>
        <v>1.125</v>
      </c>
      <c r="AN27" s="87">
        <f t="shared" si="2"/>
        <v>1</v>
      </c>
      <c r="AO27" s="87">
        <f t="shared" si="2"/>
        <v>0</v>
      </c>
      <c r="AP27" s="87"/>
      <c r="AQ27" s="87"/>
      <c r="AR27" s="87"/>
      <c r="AS27" s="87">
        <f t="shared" si="3"/>
        <v>0.21714285714285714</v>
      </c>
      <c r="AT27" s="87"/>
      <c r="AU27" s="87"/>
      <c r="AV27" s="87"/>
      <c r="AW27" s="87"/>
      <c r="AX27" s="87"/>
      <c r="AY27" s="87"/>
    </row>
    <row r="28" spans="2:51" ht="69.599999999999994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35</v>
      </c>
      <c r="T28" s="31">
        <v>20</v>
      </c>
      <c r="U28" s="31">
        <v>150</v>
      </c>
      <c r="V28" s="32">
        <v>6</v>
      </c>
      <c r="W28" s="32">
        <v>0</v>
      </c>
      <c r="X28" s="97" t="s">
        <v>125</v>
      </c>
      <c r="Y28" s="75">
        <v>7</v>
      </c>
      <c r="Z28" s="33">
        <v>0</v>
      </c>
      <c r="AA28" s="34">
        <v>25</v>
      </c>
      <c r="AB28" s="34">
        <v>0</v>
      </c>
      <c r="AC28" s="34">
        <v>0</v>
      </c>
      <c r="AD28" s="35">
        <v>0</v>
      </c>
      <c r="AE28" s="34">
        <v>0</v>
      </c>
      <c r="AF28" s="34">
        <v>0</v>
      </c>
      <c r="AG28" s="34">
        <v>0</v>
      </c>
      <c r="AH28" s="21"/>
      <c r="AI28" s="22"/>
      <c r="AK28" s="87">
        <f t="shared" si="2"/>
        <v>0.875</v>
      </c>
      <c r="AL28" s="87">
        <f t="shared" si="2"/>
        <v>1</v>
      </c>
      <c r="AM28" s="87">
        <f t="shared" si="2"/>
        <v>1.25</v>
      </c>
      <c r="AN28" s="87">
        <f t="shared" si="2"/>
        <v>0.8571428571428571</v>
      </c>
      <c r="AO28" s="87">
        <f t="shared" si="2"/>
        <v>0</v>
      </c>
      <c r="AP28" s="87"/>
      <c r="AQ28" s="87"/>
      <c r="AR28" s="87"/>
      <c r="AS28" s="87">
        <f t="shared" si="3"/>
        <v>0.14285714285714285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>
        <v>15</v>
      </c>
      <c r="T29" s="31">
        <v>5</v>
      </c>
      <c r="U29" s="31">
        <v>58</v>
      </c>
      <c r="V29" s="32">
        <v>3</v>
      </c>
      <c r="W29" s="32">
        <v>0</v>
      </c>
      <c r="X29" s="32">
        <v>0</v>
      </c>
      <c r="Y29" s="75">
        <v>0</v>
      </c>
      <c r="Z29" s="33">
        <v>0</v>
      </c>
      <c r="AA29" s="34">
        <v>20</v>
      </c>
      <c r="AB29" s="34">
        <v>0</v>
      </c>
      <c r="AC29" s="34">
        <v>0</v>
      </c>
      <c r="AD29" s="35">
        <v>0</v>
      </c>
      <c r="AE29" s="34">
        <v>0</v>
      </c>
      <c r="AF29" s="34">
        <v>0</v>
      </c>
      <c r="AG29" s="34">
        <v>0</v>
      </c>
      <c r="AH29" s="21"/>
      <c r="AI29" s="22"/>
      <c r="AK29" s="87">
        <f t="shared" si="2"/>
        <v>0.375</v>
      </c>
      <c r="AL29" s="87">
        <f t="shared" si="2"/>
        <v>0.25</v>
      </c>
      <c r="AM29" s="87">
        <f t="shared" si="2"/>
        <v>0.48333333333333334</v>
      </c>
      <c r="AN29" s="87">
        <f t="shared" si="2"/>
        <v>0.42857142857142855</v>
      </c>
      <c r="AO29" s="87">
        <f t="shared" si="2"/>
        <v>0</v>
      </c>
      <c r="AP29" s="87"/>
      <c r="AQ29" s="87"/>
      <c r="AR29" s="87"/>
      <c r="AS29" s="87">
        <f t="shared" si="3"/>
        <v>0.11428571428571428</v>
      </c>
      <c r="AT29" s="87"/>
      <c r="AU29" s="87"/>
      <c r="AV29" s="87"/>
      <c r="AW29" s="87"/>
      <c r="AX29" s="87"/>
      <c r="AY29" s="87"/>
    </row>
    <row r="30" spans="2:51" ht="52.2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/>
      <c r="T30" s="31"/>
      <c r="U30" s="31"/>
      <c r="V30" s="32"/>
      <c r="W30" s="32"/>
      <c r="X30" s="32"/>
      <c r="Y30" s="75"/>
      <c r="Z30" s="33"/>
      <c r="AA30" s="34"/>
      <c r="AB30" s="34"/>
      <c r="AC30" s="34"/>
      <c r="AD30" s="35"/>
      <c r="AE30" s="34"/>
      <c r="AF30" s="34"/>
      <c r="AG30" s="34"/>
      <c r="AH30" s="21" t="s">
        <v>128</v>
      </c>
      <c r="AI30" s="22"/>
      <c r="AK30" s="87">
        <f t="shared" si="2"/>
        <v>0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>
        <v>50</v>
      </c>
      <c r="T31" s="31">
        <v>25</v>
      </c>
      <c r="U31" s="31">
        <v>210</v>
      </c>
      <c r="V31" s="32">
        <v>4</v>
      </c>
      <c r="W31" s="32">
        <v>0</v>
      </c>
      <c r="X31" s="32">
        <v>42</v>
      </c>
      <c r="Y31" s="75">
        <v>3</v>
      </c>
      <c r="Z31" s="33">
        <v>0</v>
      </c>
      <c r="AA31" s="34">
        <v>87</v>
      </c>
      <c r="AB31" s="34">
        <v>0</v>
      </c>
      <c r="AC31" s="34">
        <v>0</v>
      </c>
      <c r="AD31" s="35">
        <v>0</v>
      </c>
      <c r="AE31" s="34">
        <v>0</v>
      </c>
      <c r="AF31" s="34">
        <v>0</v>
      </c>
      <c r="AG31" s="34">
        <v>0</v>
      </c>
      <c r="AH31" s="21"/>
      <c r="AI31" s="22"/>
      <c r="AK31" s="87">
        <f t="shared" si="2"/>
        <v>1.25</v>
      </c>
      <c r="AL31" s="87">
        <f t="shared" si="2"/>
        <v>1.25</v>
      </c>
      <c r="AM31" s="87">
        <f t="shared" si="2"/>
        <v>1.75</v>
      </c>
      <c r="AN31" s="87">
        <f t="shared" si="2"/>
        <v>0.5714285714285714</v>
      </c>
      <c r="AO31" s="87">
        <f t="shared" si="2"/>
        <v>0</v>
      </c>
      <c r="AP31" s="87"/>
      <c r="AQ31" s="87"/>
      <c r="AR31" s="87"/>
      <c r="AS31" s="87">
        <f t="shared" si="3"/>
        <v>0.49714285714285716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>
        <v>30</v>
      </c>
      <c r="T32" s="31">
        <v>15</v>
      </c>
      <c r="U32" s="31">
        <v>100</v>
      </c>
      <c r="V32" s="32">
        <v>2</v>
      </c>
      <c r="W32" s="32">
        <v>0</v>
      </c>
      <c r="X32" s="32">
        <v>5</v>
      </c>
      <c r="Y32" s="75">
        <v>3</v>
      </c>
      <c r="Z32" s="33">
        <v>0</v>
      </c>
      <c r="AA32" s="34">
        <v>10</v>
      </c>
      <c r="AB32" s="34">
        <v>0</v>
      </c>
      <c r="AC32" s="34">
        <v>0</v>
      </c>
      <c r="AD32" s="35">
        <v>0</v>
      </c>
      <c r="AE32" s="34">
        <v>0</v>
      </c>
      <c r="AF32" s="34">
        <v>0</v>
      </c>
      <c r="AG32" s="34">
        <v>0</v>
      </c>
      <c r="AH32" s="21"/>
      <c r="AI32" s="22"/>
      <c r="AK32" s="87">
        <f t="shared" si="2"/>
        <v>0.75</v>
      </c>
      <c r="AL32" s="87">
        <f t="shared" si="2"/>
        <v>0.75</v>
      </c>
      <c r="AM32" s="87">
        <f t="shared" si="2"/>
        <v>0.83333333333333337</v>
      </c>
      <c r="AN32" s="87">
        <f t="shared" si="2"/>
        <v>0.2857142857142857</v>
      </c>
      <c r="AO32" s="87">
        <f t="shared" si="2"/>
        <v>0</v>
      </c>
      <c r="AP32" s="87"/>
      <c r="AQ32" s="87"/>
      <c r="AR32" s="87"/>
      <c r="AS32" s="87">
        <f t="shared" si="3"/>
        <v>5.7142857142857141E-2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>
        <v>20</v>
      </c>
      <c r="T33" s="31">
        <v>13</v>
      </c>
      <c r="U33" s="31">
        <v>10</v>
      </c>
      <c r="V33" s="32">
        <v>1</v>
      </c>
      <c r="W33" s="32">
        <v>0</v>
      </c>
      <c r="X33" s="32">
        <v>2</v>
      </c>
      <c r="Y33" s="75">
        <v>0</v>
      </c>
      <c r="Z33" s="33">
        <v>0</v>
      </c>
      <c r="AA33" s="34">
        <v>10</v>
      </c>
      <c r="AB33" s="34">
        <v>0</v>
      </c>
      <c r="AC33" s="34">
        <v>0</v>
      </c>
      <c r="AD33" s="35">
        <v>0</v>
      </c>
      <c r="AE33" s="34">
        <v>0</v>
      </c>
      <c r="AF33" s="34">
        <v>0</v>
      </c>
      <c r="AG33" s="34">
        <v>0</v>
      </c>
      <c r="AH33" s="21"/>
      <c r="AI33" s="22"/>
      <c r="AK33" s="87">
        <f t="shared" si="2"/>
        <v>0.5</v>
      </c>
      <c r="AL33" s="87">
        <f t="shared" si="2"/>
        <v>0.65</v>
      </c>
      <c r="AM33" s="87">
        <f t="shared" si="2"/>
        <v>8.3333333333333329E-2</v>
      </c>
      <c r="AN33" s="87">
        <f t="shared" si="2"/>
        <v>0.14285714285714285</v>
      </c>
      <c r="AO33" s="87">
        <f t="shared" si="2"/>
        <v>0</v>
      </c>
      <c r="AP33" s="87"/>
      <c r="AQ33" s="87"/>
      <c r="AR33" s="87"/>
      <c r="AS33" s="87">
        <f t="shared" si="3"/>
        <v>5.7142857142857141E-2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52</v>
      </c>
      <c r="T34" s="31">
        <v>28</v>
      </c>
      <c r="U34" s="31">
        <v>145</v>
      </c>
      <c r="V34" s="32">
        <v>0</v>
      </c>
      <c r="W34" s="32">
        <v>0</v>
      </c>
      <c r="X34" s="32">
        <v>80</v>
      </c>
      <c r="Y34" s="75">
        <v>0</v>
      </c>
      <c r="Z34" s="33">
        <v>0</v>
      </c>
      <c r="AA34" s="34">
        <v>64</v>
      </c>
      <c r="AB34" s="34">
        <v>0</v>
      </c>
      <c r="AC34" s="34">
        <v>0</v>
      </c>
      <c r="AD34" s="35">
        <v>0</v>
      </c>
      <c r="AE34" s="34">
        <v>0</v>
      </c>
      <c r="AF34" s="34">
        <v>0</v>
      </c>
      <c r="AG34" s="34">
        <v>0</v>
      </c>
      <c r="AH34" s="21"/>
      <c r="AI34" s="22"/>
      <c r="AK34" s="87">
        <f t="shared" si="2"/>
        <v>1.3</v>
      </c>
      <c r="AL34" s="87">
        <f t="shared" si="2"/>
        <v>1.4</v>
      </c>
      <c r="AM34" s="87">
        <f t="shared" si="2"/>
        <v>1.2083333333333333</v>
      </c>
      <c r="AN34" s="87">
        <f t="shared" si="2"/>
        <v>0</v>
      </c>
      <c r="AO34" s="87">
        <f t="shared" si="2"/>
        <v>0</v>
      </c>
      <c r="AP34" s="87"/>
      <c r="AQ34" s="87"/>
      <c r="AR34" s="87"/>
      <c r="AS34" s="87">
        <f t="shared" si="3"/>
        <v>0.36571428571428571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>
        <v>10</v>
      </c>
      <c r="T35" s="31">
        <v>5</v>
      </c>
      <c r="U35" s="31">
        <v>50</v>
      </c>
      <c r="V35" s="32">
        <v>0</v>
      </c>
      <c r="W35" s="32">
        <v>0</v>
      </c>
      <c r="X35" s="32">
        <v>0</v>
      </c>
      <c r="Y35" s="75">
        <v>0</v>
      </c>
      <c r="Z35" s="33">
        <v>0</v>
      </c>
      <c r="AA35" s="34">
        <v>10</v>
      </c>
      <c r="AB35" s="34">
        <v>0</v>
      </c>
      <c r="AC35" s="34">
        <v>0</v>
      </c>
      <c r="AD35" s="35">
        <v>0</v>
      </c>
      <c r="AE35" s="34">
        <v>0</v>
      </c>
      <c r="AF35" s="34">
        <v>0</v>
      </c>
      <c r="AG35" s="34">
        <v>0</v>
      </c>
      <c r="AH35" s="21"/>
      <c r="AI35" s="22"/>
      <c r="AK35" s="87">
        <f t="shared" si="2"/>
        <v>0.25</v>
      </c>
      <c r="AL35" s="87">
        <f t="shared" si="2"/>
        <v>0.25</v>
      </c>
      <c r="AM35" s="87">
        <f t="shared" si="2"/>
        <v>0.41666666666666669</v>
      </c>
      <c r="AN35" s="87">
        <f t="shared" si="2"/>
        <v>0</v>
      </c>
      <c r="AO35" s="87">
        <f t="shared" si="2"/>
        <v>0</v>
      </c>
      <c r="AP35" s="87"/>
      <c r="AQ35" s="87"/>
      <c r="AR35" s="87"/>
      <c r="AS35" s="87">
        <f t="shared" si="3"/>
        <v>5.7142857142857141E-2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>
        <v>37</v>
      </c>
      <c r="T36" s="31">
        <v>18</v>
      </c>
      <c r="U36" s="31">
        <v>109</v>
      </c>
      <c r="V36" s="32">
        <v>0</v>
      </c>
      <c r="W36" s="32">
        <v>0</v>
      </c>
      <c r="X36" s="32">
        <v>65</v>
      </c>
      <c r="Y36" s="75">
        <v>11</v>
      </c>
      <c r="Z36" s="33">
        <v>0</v>
      </c>
      <c r="AA36" s="34">
        <v>39</v>
      </c>
      <c r="AB36" s="34">
        <v>0</v>
      </c>
      <c r="AC36" s="34">
        <v>0</v>
      </c>
      <c r="AD36" s="35">
        <v>0</v>
      </c>
      <c r="AE36" s="34">
        <v>0</v>
      </c>
      <c r="AF36" s="34">
        <v>0</v>
      </c>
      <c r="AG36" s="34">
        <v>0</v>
      </c>
      <c r="AH36" s="21"/>
      <c r="AI36" s="22"/>
      <c r="AK36" s="87">
        <f t="shared" si="2"/>
        <v>0.92500000000000004</v>
      </c>
      <c r="AL36" s="87">
        <f t="shared" si="2"/>
        <v>0.9</v>
      </c>
      <c r="AM36" s="87">
        <f t="shared" si="2"/>
        <v>0.90833333333333333</v>
      </c>
      <c r="AN36" s="87">
        <f t="shared" si="2"/>
        <v>0</v>
      </c>
      <c r="AO36" s="87">
        <f t="shared" si="2"/>
        <v>0</v>
      </c>
      <c r="AP36" s="87"/>
      <c r="AQ36" s="87"/>
      <c r="AR36" s="87"/>
      <c r="AS36" s="87">
        <f t="shared" si="3"/>
        <v>0.22285714285714286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20</v>
      </c>
      <c r="T37" s="31">
        <v>15</v>
      </c>
      <c r="U37" s="31">
        <v>517</v>
      </c>
      <c r="V37" s="32">
        <v>3</v>
      </c>
      <c r="W37" s="32">
        <v>0</v>
      </c>
      <c r="X37" s="32">
        <v>90</v>
      </c>
      <c r="Y37" s="75">
        <v>4</v>
      </c>
      <c r="Z37" s="33">
        <v>0</v>
      </c>
      <c r="AA37" s="34">
        <v>20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0.5</v>
      </c>
      <c r="AL37" s="87">
        <f t="shared" si="2"/>
        <v>0.75</v>
      </c>
      <c r="AM37" s="87">
        <f t="shared" si="2"/>
        <v>4.3083333333333336</v>
      </c>
      <c r="AN37" s="87">
        <f t="shared" si="2"/>
        <v>0.42857142857142855</v>
      </c>
      <c r="AO37" s="87">
        <f t="shared" si="2"/>
        <v>0</v>
      </c>
      <c r="AP37" s="87"/>
      <c r="AQ37" s="87"/>
      <c r="AR37" s="87"/>
      <c r="AS37" s="87">
        <f t="shared" si="3"/>
        <v>0.11428571428571428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38</v>
      </c>
      <c r="T38" s="31">
        <v>24</v>
      </c>
      <c r="U38" s="31">
        <v>40</v>
      </c>
      <c r="V38" s="32">
        <v>3</v>
      </c>
      <c r="W38" s="32">
        <v>0</v>
      </c>
      <c r="X38" s="32">
        <v>36</v>
      </c>
      <c r="Y38" s="75">
        <v>14</v>
      </c>
      <c r="Z38" s="33">
        <v>0</v>
      </c>
      <c r="AA38" s="34">
        <v>0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0.95</v>
      </c>
      <c r="AL38" s="87">
        <f t="shared" si="2"/>
        <v>1.2</v>
      </c>
      <c r="AM38" s="87">
        <f t="shared" si="2"/>
        <v>0.33333333333333331</v>
      </c>
      <c r="AN38" s="87">
        <f t="shared" si="2"/>
        <v>0.42857142857142855</v>
      </c>
      <c r="AO38" s="87">
        <f t="shared" si="2"/>
        <v>0</v>
      </c>
      <c r="AP38" s="87"/>
      <c r="AQ38" s="87"/>
      <c r="AR38" s="87"/>
      <c r="AS38" s="87">
        <f t="shared" si="3"/>
        <v>0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50</v>
      </c>
      <c r="T39" s="31">
        <v>22</v>
      </c>
      <c r="U39" s="31">
        <v>230</v>
      </c>
      <c r="V39" s="32">
        <v>2</v>
      </c>
      <c r="W39" s="32">
        <v>0</v>
      </c>
      <c r="X39" s="32">
        <v>100</v>
      </c>
      <c r="Y39" s="75">
        <v>9</v>
      </c>
      <c r="Z39" s="33">
        <v>0</v>
      </c>
      <c r="AA39" s="34">
        <v>35</v>
      </c>
      <c r="AB39" s="34">
        <v>0</v>
      </c>
      <c r="AC39" s="34">
        <v>0</v>
      </c>
      <c r="AD39" s="35">
        <v>0</v>
      </c>
      <c r="AE39" s="34">
        <v>0</v>
      </c>
      <c r="AF39" s="34">
        <v>0</v>
      </c>
      <c r="AG39" s="34">
        <v>0</v>
      </c>
      <c r="AH39" s="21"/>
      <c r="AI39" s="22"/>
      <c r="AK39" s="87">
        <f t="shared" si="2"/>
        <v>1.25</v>
      </c>
      <c r="AL39" s="87">
        <f t="shared" si="2"/>
        <v>1.1000000000000001</v>
      </c>
      <c r="AM39" s="87">
        <f t="shared" si="2"/>
        <v>1.9166666666666667</v>
      </c>
      <c r="AN39" s="87">
        <f t="shared" si="2"/>
        <v>0.2857142857142857</v>
      </c>
      <c r="AO39" s="87">
        <f t="shared" si="2"/>
        <v>0</v>
      </c>
      <c r="AP39" s="87"/>
      <c r="AQ39" s="87"/>
      <c r="AR39" s="87"/>
      <c r="AS39" s="87">
        <f t="shared" si="3"/>
        <v>0.2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>
        <v>30</v>
      </c>
      <c r="T40" s="31">
        <v>0</v>
      </c>
      <c r="U40" s="31">
        <v>0</v>
      </c>
      <c r="V40" s="32">
        <v>0</v>
      </c>
      <c r="W40" s="32">
        <v>0</v>
      </c>
      <c r="X40" s="32">
        <v>0</v>
      </c>
      <c r="Y40" s="75">
        <v>0</v>
      </c>
      <c r="Z40" s="33">
        <v>0</v>
      </c>
      <c r="AA40" s="34">
        <v>0</v>
      </c>
      <c r="AB40" s="34">
        <v>0</v>
      </c>
      <c r="AC40" s="34">
        <v>0</v>
      </c>
      <c r="AD40" s="35">
        <v>0</v>
      </c>
      <c r="AE40" s="34">
        <v>0</v>
      </c>
      <c r="AF40" s="34">
        <v>0</v>
      </c>
      <c r="AG40" s="34">
        <v>0</v>
      </c>
      <c r="AH40" s="21"/>
      <c r="AI40" s="22"/>
      <c r="AK40" s="87">
        <f t="shared" si="2"/>
        <v>0.75</v>
      </c>
      <c r="AL40" s="87">
        <f t="shared" si="2"/>
        <v>0</v>
      </c>
      <c r="AM40" s="87">
        <f t="shared" si="2"/>
        <v>0</v>
      </c>
      <c r="AN40" s="87">
        <f t="shared" si="2"/>
        <v>0</v>
      </c>
      <c r="AO40" s="87">
        <f t="shared" si="2"/>
        <v>0</v>
      </c>
      <c r="AP40" s="87"/>
      <c r="AQ40" s="87"/>
      <c r="AR40" s="87"/>
      <c r="AS40" s="87">
        <f t="shared" si="3"/>
        <v>0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58</v>
      </c>
      <c r="T41" s="31">
        <v>50</v>
      </c>
      <c r="U41" s="31">
        <v>205</v>
      </c>
      <c r="V41" s="32">
        <v>8</v>
      </c>
      <c r="W41" s="32">
        <v>0</v>
      </c>
      <c r="X41" s="32">
        <v>10</v>
      </c>
      <c r="Y41" s="75">
        <v>8</v>
      </c>
      <c r="Z41" s="33">
        <v>0</v>
      </c>
      <c r="AA41" s="34">
        <v>56</v>
      </c>
      <c r="AB41" s="34">
        <v>0</v>
      </c>
      <c r="AC41" s="34">
        <v>0</v>
      </c>
      <c r="AD41" s="35">
        <v>0</v>
      </c>
      <c r="AE41" s="34">
        <v>0</v>
      </c>
      <c r="AF41" s="34">
        <v>0</v>
      </c>
      <c r="AG41" s="34">
        <v>0</v>
      </c>
      <c r="AH41" s="21"/>
      <c r="AI41" s="22"/>
      <c r="AK41" s="87">
        <f t="shared" si="2"/>
        <v>1.45</v>
      </c>
      <c r="AL41" s="87">
        <f t="shared" si="2"/>
        <v>2.5</v>
      </c>
      <c r="AM41" s="87">
        <f t="shared" si="2"/>
        <v>1.7083333333333333</v>
      </c>
      <c r="AN41" s="87">
        <f t="shared" si="2"/>
        <v>1.1428571428571428</v>
      </c>
      <c r="AO41" s="87">
        <f t="shared" si="2"/>
        <v>0</v>
      </c>
      <c r="AP41" s="87"/>
      <c r="AQ41" s="87"/>
      <c r="AR41" s="87"/>
      <c r="AS41" s="87">
        <f t="shared" si="3"/>
        <v>0.32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>
        <v>22</v>
      </c>
      <c r="T42" s="31">
        <v>9</v>
      </c>
      <c r="U42" s="31">
        <v>23</v>
      </c>
      <c r="V42" s="32">
        <v>0</v>
      </c>
      <c r="W42" s="32">
        <v>0</v>
      </c>
      <c r="X42" s="32">
        <v>34</v>
      </c>
      <c r="Y42" s="75">
        <v>1</v>
      </c>
      <c r="Z42" s="33">
        <v>0</v>
      </c>
      <c r="AA42" s="34">
        <v>12</v>
      </c>
      <c r="AB42" s="34">
        <v>0</v>
      </c>
      <c r="AC42" s="34">
        <v>0</v>
      </c>
      <c r="AD42" s="35">
        <v>0</v>
      </c>
      <c r="AE42" s="34">
        <v>0</v>
      </c>
      <c r="AF42" s="34">
        <v>0</v>
      </c>
      <c r="AG42" s="34">
        <v>0</v>
      </c>
      <c r="AH42" s="21"/>
      <c r="AI42" s="22"/>
      <c r="AK42" s="87">
        <f t="shared" si="2"/>
        <v>0.55000000000000004</v>
      </c>
      <c r="AL42" s="87">
        <f t="shared" si="2"/>
        <v>0.45</v>
      </c>
      <c r="AM42" s="87">
        <f t="shared" si="2"/>
        <v>0.19166666666666668</v>
      </c>
      <c r="AN42" s="87">
        <f t="shared" si="2"/>
        <v>0</v>
      </c>
      <c r="AO42" s="87">
        <f t="shared" si="2"/>
        <v>0</v>
      </c>
      <c r="AP42" s="87"/>
      <c r="AQ42" s="87"/>
      <c r="AR42" s="87"/>
      <c r="AS42" s="87">
        <f t="shared" si="3"/>
        <v>6.8571428571428575E-2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>
        <v>32</v>
      </c>
      <c r="T43" s="31">
        <v>12</v>
      </c>
      <c r="U43" s="31">
        <v>100</v>
      </c>
      <c r="V43" s="32">
        <v>4</v>
      </c>
      <c r="W43" s="32">
        <v>0</v>
      </c>
      <c r="X43" s="32">
        <v>0</v>
      </c>
      <c r="Y43" s="75">
        <v>0</v>
      </c>
      <c r="Z43" s="33">
        <v>0</v>
      </c>
      <c r="AA43" s="34">
        <v>16</v>
      </c>
      <c r="AB43" s="34">
        <v>0</v>
      </c>
      <c r="AC43" s="34">
        <v>0</v>
      </c>
      <c r="AD43" s="35">
        <v>0</v>
      </c>
      <c r="AE43" s="34">
        <v>0</v>
      </c>
      <c r="AF43" s="34">
        <v>0</v>
      </c>
      <c r="AG43" s="34">
        <v>0</v>
      </c>
      <c r="AH43" s="21"/>
      <c r="AI43" s="22"/>
      <c r="AK43" s="87">
        <f t="shared" si="2"/>
        <v>0.8</v>
      </c>
      <c r="AL43" s="87">
        <f t="shared" si="2"/>
        <v>0.6</v>
      </c>
      <c r="AM43" s="87">
        <f t="shared" si="2"/>
        <v>0.83333333333333337</v>
      </c>
      <c r="AN43" s="87">
        <f t="shared" si="2"/>
        <v>0.5714285714285714</v>
      </c>
      <c r="AO43" s="87">
        <f t="shared" si="2"/>
        <v>0</v>
      </c>
      <c r="AP43" s="87"/>
      <c r="AQ43" s="87"/>
      <c r="AR43" s="87"/>
      <c r="AS43" s="87">
        <f t="shared" si="3"/>
        <v>9.1428571428571428E-2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>
        <v>24</v>
      </c>
      <c r="T44" s="31">
        <v>0</v>
      </c>
      <c r="U44" s="31">
        <v>0</v>
      </c>
      <c r="V44" s="32">
        <v>0</v>
      </c>
      <c r="W44" s="32">
        <v>0</v>
      </c>
      <c r="X44" s="32">
        <v>0</v>
      </c>
      <c r="Y44" s="75">
        <v>0</v>
      </c>
      <c r="Z44" s="33">
        <v>0</v>
      </c>
      <c r="AA44" s="34">
        <v>0</v>
      </c>
      <c r="AB44" s="34">
        <v>0</v>
      </c>
      <c r="AC44" s="34">
        <v>0</v>
      </c>
      <c r="AD44" s="35">
        <v>0</v>
      </c>
      <c r="AE44" s="34">
        <v>0</v>
      </c>
      <c r="AF44" s="34">
        <v>0</v>
      </c>
      <c r="AG44" s="34">
        <v>0</v>
      </c>
      <c r="AH44" s="21"/>
      <c r="AI44" s="22"/>
      <c r="AK44" s="87">
        <f t="shared" si="2"/>
        <v>0.6</v>
      </c>
      <c r="AL44" s="87">
        <f t="shared" si="2"/>
        <v>0</v>
      </c>
      <c r="AM44" s="87">
        <f t="shared" si="2"/>
        <v>0</v>
      </c>
      <c r="AN44" s="87">
        <f t="shared" si="2"/>
        <v>0</v>
      </c>
      <c r="AO44" s="87">
        <f t="shared" si="2"/>
        <v>0</v>
      </c>
      <c r="AP44" s="87"/>
      <c r="AQ44" s="87"/>
      <c r="AR44" s="87"/>
      <c r="AS44" s="87">
        <f t="shared" si="3"/>
        <v>0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>
        <v>40</v>
      </c>
      <c r="T45" s="31">
        <v>20</v>
      </c>
      <c r="U45" s="31">
        <v>200</v>
      </c>
      <c r="V45" s="32">
        <v>9</v>
      </c>
      <c r="W45" s="32">
        <v>0</v>
      </c>
      <c r="X45" s="32">
        <v>0</v>
      </c>
      <c r="Y45" s="75">
        <v>0</v>
      </c>
      <c r="Z45" s="33">
        <v>0</v>
      </c>
      <c r="AA45" s="34">
        <v>60</v>
      </c>
      <c r="AB45" s="34">
        <v>0</v>
      </c>
      <c r="AC45" s="34">
        <v>0</v>
      </c>
      <c r="AD45" s="35">
        <v>0</v>
      </c>
      <c r="AE45" s="34">
        <v>0</v>
      </c>
      <c r="AF45" s="34">
        <v>0</v>
      </c>
      <c r="AG45" s="34">
        <v>0</v>
      </c>
      <c r="AH45" s="21"/>
      <c r="AI45" s="22"/>
      <c r="AK45" s="87">
        <f t="shared" si="2"/>
        <v>1</v>
      </c>
      <c r="AL45" s="87">
        <f t="shared" si="2"/>
        <v>1</v>
      </c>
      <c r="AM45" s="87">
        <f t="shared" si="2"/>
        <v>1.6666666666666667</v>
      </c>
      <c r="AN45" s="87">
        <f t="shared" si="2"/>
        <v>1.2857142857142858</v>
      </c>
      <c r="AO45" s="87">
        <f t="shared" si="2"/>
        <v>0</v>
      </c>
      <c r="AP45" s="87"/>
      <c r="AQ45" s="87"/>
      <c r="AR45" s="87"/>
      <c r="AS45" s="87">
        <f t="shared" si="3"/>
        <v>0.34285714285714286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>
        <v>40</v>
      </c>
      <c r="T46" s="31">
        <v>35</v>
      </c>
      <c r="U46" s="31">
        <v>600</v>
      </c>
      <c r="V46" s="32">
        <v>1</v>
      </c>
      <c r="W46" s="32">
        <v>0</v>
      </c>
      <c r="X46" s="32">
        <v>30</v>
      </c>
      <c r="Y46" s="75">
        <v>6</v>
      </c>
      <c r="Z46" s="33">
        <v>0</v>
      </c>
      <c r="AA46" s="34">
        <v>40</v>
      </c>
      <c r="AB46" s="34">
        <v>0</v>
      </c>
      <c r="AC46" s="34">
        <v>0</v>
      </c>
      <c r="AD46" s="34">
        <v>0</v>
      </c>
      <c r="AE46" s="34">
        <v>0</v>
      </c>
      <c r="AF46" s="34">
        <v>0</v>
      </c>
      <c r="AG46" s="34">
        <v>0</v>
      </c>
      <c r="AH46" s="21"/>
      <c r="AI46" s="22"/>
      <c r="AK46" s="87">
        <f t="shared" si="2"/>
        <v>1</v>
      </c>
      <c r="AL46" s="87">
        <f t="shared" si="2"/>
        <v>1.75</v>
      </c>
      <c r="AM46" s="87">
        <f t="shared" si="2"/>
        <v>5</v>
      </c>
      <c r="AN46" s="87">
        <f t="shared" si="2"/>
        <v>0.14285714285714285</v>
      </c>
      <c r="AO46" s="87">
        <f t="shared" si="2"/>
        <v>0</v>
      </c>
      <c r="AP46" s="87"/>
      <c r="AQ46" s="87"/>
      <c r="AR46" s="87"/>
      <c r="AS46" s="87">
        <f t="shared" si="3"/>
        <v>0.22857142857142856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>
        <v>35</v>
      </c>
      <c r="T47" s="31">
        <v>29</v>
      </c>
      <c r="U47" s="31">
        <v>400</v>
      </c>
      <c r="V47" s="32">
        <v>2</v>
      </c>
      <c r="W47" s="32">
        <v>0</v>
      </c>
      <c r="X47" s="32">
        <v>50</v>
      </c>
      <c r="Y47" s="75">
        <v>20</v>
      </c>
      <c r="Z47" s="33">
        <v>0</v>
      </c>
      <c r="AA47" s="34">
        <v>40</v>
      </c>
      <c r="AB47" s="34">
        <v>0</v>
      </c>
      <c r="AC47" s="34">
        <v>0</v>
      </c>
      <c r="AD47" s="35">
        <v>0</v>
      </c>
      <c r="AE47" s="34">
        <v>0</v>
      </c>
      <c r="AF47" s="34">
        <v>0</v>
      </c>
      <c r="AG47" s="34">
        <v>0</v>
      </c>
      <c r="AH47" s="21"/>
      <c r="AI47" s="22"/>
      <c r="AK47" s="87">
        <f t="shared" si="2"/>
        <v>0.875</v>
      </c>
      <c r="AL47" s="87">
        <f t="shared" si="2"/>
        <v>1.45</v>
      </c>
      <c r="AM47" s="87">
        <f t="shared" si="2"/>
        <v>3.3333333333333335</v>
      </c>
      <c r="AN47" s="87">
        <f t="shared" si="2"/>
        <v>0.2857142857142857</v>
      </c>
      <c r="AO47" s="87">
        <f t="shared" si="2"/>
        <v>0</v>
      </c>
      <c r="AP47" s="87"/>
      <c r="AQ47" s="87"/>
      <c r="AR47" s="87"/>
      <c r="AS47" s="87">
        <f t="shared" si="3"/>
        <v>0.22857142857142856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52</v>
      </c>
      <c r="T48" s="31">
        <v>25</v>
      </c>
      <c r="U48" s="31">
        <v>147</v>
      </c>
      <c r="V48" s="32">
        <v>7</v>
      </c>
      <c r="W48" s="32">
        <v>0</v>
      </c>
      <c r="X48" s="32">
        <v>80</v>
      </c>
      <c r="Y48" s="75">
        <v>13</v>
      </c>
      <c r="Z48" s="33">
        <v>0</v>
      </c>
      <c r="AA48" s="34">
        <v>64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/>
      <c r="AI48" s="22"/>
      <c r="AK48" s="87">
        <f t="shared" si="2"/>
        <v>1.3</v>
      </c>
      <c r="AL48" s="87">
        <f t="shared" si="2"/>
        <v>1.25</v>
      </c>
      <c r="AM48" s="87">
        <f t="shared" si="2"/>
        <v>1.2250000000000001</v>
      </c>
      <c r="AN48" s="87">
        <f t="shared" si="2"/>
        <v>1</v>
      </c>
      <c r="AO48" s="87">
        <f t="shared" si="2"/>
        <v>0</v>
      </c>
      <c r="AP48" s="87"/>
      <c r="AQ48" s="87"/>
      <c r="AR48" s="87"/>
      <c r="AS48" s="87">
        <f t="shared" si="3"/>
        <v>0.36571428571428571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25</v>
      </c>
      <c r="T49" s="31">
        <v>15</v>
      </c>
      <c r="U49" s="31">
        <v>170</v>
      </c>
      <c r="V49" s="32">
        <v>6</v>
      </c>
      <c r="W49" s="32">
        <v>0</v>
      </c>
      <c r="X49" s="32">
        <v>78</v>
      </c>
      <c r="Y49" s="75">
        <v>12</v>
      </c>
      <c r="Z49" s="33">
        <v>0</v>
      </c>
      <c r="AA49" s="34">
        <v>20</v>
      </c>
      <c r="AB49" s="34">
        <v>0</v>
      </c>
      <c r="AC49" s="34">
        <v>0</v>
      </c>
      <c r="AD49" s="35">
        <v>0</v>
      </c>
      <c r="AE49" s="34">
        <v>0</v>
      </c>
      <c r="AF49" s="34">
        <v>0</v>
      </c>
      <c r="AG49" s="34">
        <v>0</v>
      </c>
      <c r="AH49" s="21"/>
      <c r="AI49" s="22"/>
      <c r="AK49" s="87">
        <f t="shared" si="2"/>
        <v>0.625</v>
      </c>
      <c r="AL49" s="87">
        <f t="shared" si="2"/>
        <v>0.75</v>
      </c>
      <c r="AM49" s="87">
        <f t="shared" si="2"/>
        <v>1.4166666666666667</v>
      </c>
      <c r="AN49" s="87">
        <f t="shared" si="2"/>
        <v>0.8571428571428571</v>
      </c>
      <c r="AO49" s="87">
        <f t="shared" si="2"/>
        <v>0</v>
      </c>
      <c r="AP49" s="87"/>
      <c r="AQ49" s="87"/>
      <c r="AR49" s="87"/>
      <c r="AS49" s="87">
        <f t="shared" si="3"/>
        <v>0.11428571428571428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>
        <v>15</v>
      </c>
      <c r="T50" s="31">
        <v>13</v>
      </c>
      <c r="U50" s="31">
        <v>300</v>
      </c>
      <c r="V50" s="32">
        <v>0</v>
      </c>
      <c r="W50" s="32">
        <v>0</v>
      </c>
      <c r="X50" s="32">
        <v>25</v>
      </c>
      <c r="Y50" s="75">
        <v>20</v>
      </c>
      <c r="Z50" s="33">
        <v>0</v>
      </c>
      <c r="AA50" s="34">
        <v>12</v>
      </c>
      <c r="AB50" s="34">
        <v>0</v>
      </c>
      <c r="AC50" s="34">
        <v>0</v>
      </c>
      <c r="AD50" s="35">
        <v>0</v>
      </c>
      <c r="AE50" s="34">
        <v>0</v>
      </c>
      <c r="AF50" s="34">
        <v>0</v>
      </c>
      <c r="AG50" s="34">
        <v>0</v>
      </c>
      <c r="AH50" s="21"/>
      <c r="AI50" s="22"/>
      <c r="AK50" s="87">
        <f t="shared" si="2"/>
        <v>0.375</v>
      </c>
      <c r="AL50" s="87">
        <f t="shared" si="2"/>
        <v>0.65</v>
      </c>
      <c r="AM50" s="87">
        <f t="shared" si="2"/>
        <v>2.5</v>
      </c>
      <c r="AN50" s="87">
        <f t="shared" si="2"/>
        <v>0</v>
      </c>
      <c r="AO50" s="87">
        <f t="shared" si="2"/>
        <v>0</v>
      </c>
      <c r="AP50" s="87"/>
      <c r="AQ50" s="87"/>
      <c r="AR50" s="87"/>
      <c r="AS50" s="87">
        <f t="shared" si="3"/>
        <v>6.8571428571428575E-2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20</v>
      </c>
      <c r="T51" s="31">
        <v>14</v>
      </c>
      <c r="U51" s="31">
        <v>70</v>
      </c>
      <c r="V51" s="32">
        <v>1</v>
      </c>
      <c r="W51" s="32">
        <v>0</v>
      </c>
      <c r="X51" s="32">
        <v>20</v>
      </c>
      <c r="Y51" s="75">
        <v>0</v>
      </c>
      <c r="Z51" s="33">
        <v>0</v>
      </c>
      <c r="AA51" s="34">
        <v>16</v>
      </c>
      <c r="AB51" s="34">
        <v>0</v>
      </c>
      <c r="AC51" s="34">
        <v>0</v>
      </c>
      <c r="AD51" s="35">
        <v>0</v>
      </c>
      <c r="AE51" s="34">
        <v>0</v>
      </c>
      <c r="AF51" s="34">
        <v>0</v>
      </c>
      <c r="AG51" s="34">
        <v>0</v>
      </c>
      <c r="AH51" s="21"/>
      <c r="AI51" s="22"/>
      <c r="AK51" s="87">
        <f t="shared" si="2"/>
        <v>0.5</v>
      </c>
      <c r="AL51" s="87">
        <f t="shared" si="2"/>
        <v>0.7</v>
      </c>
      <c r="AM51" s="87">
        <f t="shared" si="2"/>
        <v>0.58333333333333337</v>
      </c>
      <c r="AN51" s="87">
        <f t="shared" si="2"/>
        <v>0.14285714285714285</v>
      </c>
      <c r="AO51" s="87">
        <f t="shared" si="2"/>
        <v>0</v>
      </c>
      <c r="AP51" s="87"/>
      <c r="AQ51" s="87"/>
      <c r="AR51" s="87"/>
      <c r="AS51" s="87">
        <f t="shared" si="3"/>
        <v>9.1428571428571428E-2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45</v>
      </c>
      <c r="T52" s="31">
        <v>25</v>
      </c>
      <c r="U52" s="31">
        <v>95</v>
      </c>
      <c r="V52" s="32">
        <v>10</v>
      </c>
      <c r="W52" s="32">
        <v>0</v>
      </c>
      <c r="X52" s="32">
        <v>70</v>
      </c>
      <c r="Y52" s="75">
        <v>12</v>
      </c>
      <c r="Z52" s="33">
        <v>0</v>
      </c>
      <c r="AA52" s="34">
        <v>60</v>
      </c>
      <c r="AB52" s="34">
        <v>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/>
      <c r="AI52" s="22"/>
      <c r="AK52" s="87">
        <f t="shared" si="2"/>
        <v>1.125</v>
      </c>
      <c r="AL52" s="87">
        <f t="shared" si="2"/>
        <v>1.25</v>
      </c>
      <c r="AM52" s="87">
        <f t="shared" si="2"/>
        <v>0.79166666666666663</v>
      </c>
      <c r="AN52" s="87">
        <f t="shared" si="2"/>
        <v>1.4285714285714286</v>
      </c>
      <c r="AO52" s="87">
        <f t="shared" si="2"/>
        <v>0</v>
      </c>
      <c r="AP52" s="87"/>
      <c r="AQ52" s="87"/>
      <c r="AR52" s="87"/>
      <c r="AS52" s="87">
        <f t="shared" si="3"/>
        <v>0.34285714285714286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10</v>
      </c>
      <c r="T53" s="31">
        <v>3</v>
      </c>
      <c r="U53" s="31">
        <v>3</v>
      </c>
      <c r="V53" s="32">
        <v>1</v>
      </c>
      <c r="W53" s="32">
        <v>0</v>
      </c>
      <c r="X53" s="32">
        <v>3</v>
      </c>
      <c r="Y53" s="75">
        <v>3</v>
      </c>
      <c r="Z53" s="33">
        <v>0</v>
      </c>
      <c r="AA53" s="34">
        <v>2</v>
      </c>
      <c r="AB53" s="34">
        <v>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0.25</v>
      </c>
      <c r="AL53" s="87">
        <f t="shared" si="2"/>
        <v>0.15</v>
      </c>
      <c r="AM53" s="87">
        <f t="shared" si="2"/>
        <v>2.5000000000000001E-2</v>
      </c>
      <c r="AN53" s="87">
        <f t="shared" si="2"/>
        <v>0.14285714285714285</v>
      </c>
      <c r="AO53" s="87">
        <f t="shared" si="2"/>
        <v>0</v>
      </c>
      <c r="AP53" s="87"/>
      <c r="AQ53" s="87"/>
      <c r="AR53" s="87"/>
      <c r="AS53" s="87">
        <f t="shared" si="3"/>
        <v>1.1428571428571429E-2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>
        <v>40</v>
      </c>
      <c r="T54" s="31">
        <v>20</v>
      </c>
      <c r="U54" s="31">
        <v>100</v>
      </c>
      <c r="V54" s="32">
        <v>2</v>
      </c>
      <c r="W54" s="32">
        <v>0</v>
      </c>
      <c r="X54" s="32">
        <v>10</v>
      </c>
      <c r="Y54" s="75">
        <v>2</v>
      </c>
      <c r="Z54" s="33">
        <v>0</v>
      </c>
      <c r="AA54" s="34">
        <v>20</v>
      </c>
      <c r="AB54" s="34">
        <v>0</v>
      </c>
      <c r="AC54" s="34">
        <v>0</v>
      </c>
      <c r="AD54" s="35">
        <v>0</v>
      </c>
      <c r="AE54" s="34">
        <v>0</v>
      </c>
      <c r="AF54" s="34">
        <v>0</v>
      </c>
      <c r="AG54" s="34">
        <v>0</v>
      </c>
      <c r="AH54" s="21"/>
      <c r="AI54" s="22"/>
      <c r="AK54" s="87">
        <f t="shared" si="2"/>
        <v>1</v>
      </c>
      <c r="AL54" s="87">
        <f t="shared" si="2"/>
        <v>1</v>
      </c>
      <c r="AM54" s="87">
        <f t="shared" si="2"/>
        <v>0.83333333333333337</v>
      </c>
      <c r="AN54" s="87">
        <f t="shared" si="2"/>
        <v>0.2857142857142857</v>
      </c>
      <c r="AO54" s="87">
        <f t="shared" si="2"/>
        <v>0</v>
      </c>
      <c r="AP54" s="87"/>
      <c r="AQ54" s="87"/>
      <c r="AR54" s="87"/>
      <c r="AS54" s="87">
        <f t="shared" si="3"/>
        <v>0.11428571428571428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1495</v>
      </c>
      <c r="T55" s="61">
        <f t="shared" si="4"/>
        <v>862</v>
      </c>
      <c r="U55" s="61">
        <f t="shared" si="4"/>
        <v>6583</v>
      </c>
      <c r="V55" s="61">
        <f t="shared" si="4"/>
        <v>124</v>
      </c>
      <c r="W55" s="61">
        <f t="shared" si="4"/>
        <v>0</v>
      </c>
      <c r="X55" s="61">
        <f t="shared" si="4"/>
        <v>1641</v>
      </c>
      <c r="Y55" s="61">
        <f t="shared" si="4"/>
        <v>324</v>
      </c>
      <c r="Z55" s="61">
        <f t="shared" si="4"/>
        <v>0</v>
      </c>
      <c r="AA55" s="61">
        <f t="shared" si="4"/>
        <v>1444</v>
      </c>
      <c r="AB55" s="61">
        <f t="shared" si="4"/>
        <v>0</v>
      </c>
      <c r="AC55" s="61">
        <f t="shared" si="4"/>
        <v>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0.74750000000000005</v>
      </c>
      <c r="AL55" s="87">
        <f t="shared" si="2"/>
        <v>0.86199999999999999</v>
      </c>
      <c r="AM55" s="87">
        <f t="shared" si="2"/>
        <v>1.0971666666666666</v>
      </c>
      <c r="AN55" s="87">
        <f t="shared" si="2"/>
        <v>0.35428571428571426</v>
      </c>
      <c r="AO55" s="87">
        <f t="shared" si="2"/>
        <v>0</v>
      </c>
      <c r="AP55" s="87"/>
      <c r="AQ55" s="87"/>
      <c r="AR55" s="87"/>
      <c r="AS55" s="87">
        <f t="shared" si="3"/>
        <v>0.16502857142857144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1" t="s">
        <v>18</v>
      </c>
      <c r="C57" s="112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1495</v>
      </c>
      <c r="T57" s="24">
        <f>T55</f>
        <v>862</v>
      </c>
      <c r="U57" s="24">
        <f>U55/120</f>
        <v>54.858333333333334</v>
      </c>
      <c r="V57" s="25">
        <f>V55/6</f>
        <v>20.666666666666668</v>
      </c>
      <c r="W57" s="25">
        <f>W55/10</f>
        <v>0</v>
      </c>
      <c r="X57" s="25">
        <f>X55/100</f>
        <v>16.41</v>
      </c>
      <c r="Y57" s="76">
        <f>Y55/20</f>
        <v>16.2</v>
      </c>
      <c r="Z57" s="26">
        <f>Z55/60</f>
        <v>0</v>
      </c>
      <c r="AA57" s="27">
        <f>AA55/120</f>
        <v>12.033333333333333</v>
      </c>
      <c r="AB57" s="27">
        <f>AB55/100</f>
        <v>0</v>
      </c>
      <c r="AC57" s="27">
        <f>AC55/60</f>
        <v>0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9.1430555555555553E-3</v>
      </c>
      <c r="AN57" s="25">
        <f>AN55/6</f>
        <v>5.9047619047619043E-2</v>
      </c>
      <c r="AO57" s="25">
        <f>AO55/20</f>
        <v>0</v>
      </c>
      <c r="AP57" s="25">
        <f>AP55/100</f>
        <v>0</v>
      </c>
      <c r="AQ57" s="76"/>
      <c r="AR57" s="26">
        <f>AR55/20</f>
        <v>0</v>
      </c>
      <c r="AS57" s="27">
        <f>AS55/120</f>
        <v>1.3752380952380954E-3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</sheetData>
  <autoFilter ref="A2:AI55" xr:uid="{FA4A0A4C-AC82-411B-8FF8-5C61EF175E09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</autoFilter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12B3-6147-4FF1-940F-243ACF8AEC82}">
  <dimension ref="A1:AY5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46120</v>
      </c>
      <c r="D2" s="113" t="s">
        <v>107</v>
      </c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5" t="s">
        <v>108</v>
      </c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7"/>
      <c r="AK2" s="118" t="s">
        <v>109</v>
      </c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20"/>
    </row>
    <row r="3" spans="2:51" ht="18" thickBot="1" x14ac:dyDescent="0.3">
      <c r="B3" s="121" t="s">
        <v>1</v>
      </c>
      <c r="C3" s="123" t="s">
        <v>2</v>
      </c>
      <c r="D3" s="5" t="s">
        <v>3</v>
      </c>
      <c r="E3" s="6" t="str">
        <f>T3</f>
        <v>Acheteurs</v>
      </c>
      <c r="F3" s="125" t="s">
        <v>4</v>
      </c>
      <c r="G3" s="125"/>
      <c r="H3" s="125"/>
      <c r="I3" s="125"/>
      <c r="J3" s="126"/>
      <c r="K3" s="56"/>
      <c r="L3" s="127" t="s">
        <v>5</v>
      </c>
      <c r="M3" s="128"/>
      <c r="N3" s="129"/>
      <c r="O3" s="70"/>
      <c r="P3" s="70"/>
      <c r="Q3" s="70"/>
      <c r="R3" s="70"/>
      <c r="S3" s="7" t="s">
        <v>3</v>
      </c>
      <c r="T3" s="7" t="s">
        <v>6</v>
      </c>
      <c r="U3" s="130" t="s">
        <v>7</v>
      </c>
      <c r="V3" s="131"/>
      <c r="W3" s="131"/>
      <c r="X3" s="131"/>
      <c r="Y3" s="131"/>
      <c r="Z3" s="132"/>
      <c r="AA3" s="133" t="str">
        <f>L3</f>
        <v>Gratuités pour achats 
(en unités)</v>
      </c>
      <c r="AB3" s="134"/>
      <c r="AC3" s="135"/>
      <c r="AD3" s="133" t="s">
        <v>19</v>
      </c>
      <c r="AE3" s="134"/>
      <c r="AF3" s="134"/>
      <c r="AG3" s="135"/>
      <c r="AH3" s="136" t="s">
        <v>8</v>
      </c>
      <c r="AI3" s="138" t="s">
        <v>9</v>
      </c>
      <c r="AK3" s="79" t="s">
        <v>3</v>
      </c>
      <c r="AL3" s="79" t="s">
        <v>6</v>
      </c>
      <c r="AM3" s="140" t="s">
        <v>7</v>
      </c>
      <c r="AN3" s="141"/>
      <c r="AO3" s="141"/>
      <c r="AP3" s="141"/>
      <c r="AQ3" s="141"/>
      <c r="AR3" s="142"/>
      <c r="AS3" s="143" t="str">
        <f>AD3</f>
        <v>GOODIES</v>
      </c>
      <c r="AT3" s="144"/>
      <c r="AU3" s="145"/>
      <c r="AV3" s="143" t="s">
        <v>19</v>
      </c>
      <c r="AW3" s="144"/>
      <c r="AX3" s="144"/>
      <c r="AY3" s="145"/>
    </row>
    <row r="4" spans="2:51" ht="202.2" thickBot="1" x14ac:dyDescent="0.3">
      <c r="B4" s="122"/>
      <c r="C4" s="12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7"/>
      <c r="AI4" s="139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/>
      <c r="T5" s="31"/>
      <c r="U5" s="31"/>
      <c r="V5" s="32"/>
      <c r="W5" s="32"/>
      <c r="X5" s="32"/>
      <c r="Y5" s="75"/>
      <c r="Z5" s="33"/>
      <c r="AA5" s="34"/>
      <c r="AB5" s="34"/>
      <c r="AC5" s="34"/>
      <c r="AD5" s="35"/>
      <c r="AE5" s="34"/>
      <c r="AF5" s="34"/>
      <c r="AG5" s="34"/>
      <c r="AH5" s="21"/>
      <c r="AI5" s="22"/>
      <c r="AK5" s="87">
        <f>S5/D5</f>
        <v>0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>
        <v>23</v>
      </c>
      <c r="T6" s="31">
        <v>10</v>
      </c>
      <c r="U6" s="31">
        <v>50</v>
      </c>
      <c r="V6" s="32">
        <v>2</v>
      </c>
      <c r="W6" s="32">
        <v>0</v>
      </c>
      <c r="X6" s="32">
        <v>30</v>
      </c>
      <c r="Y6" s="75">
        <v>0</v>
      </c>
      <c r="Z6" s="33">
        <v>0</v>
      </c>
      <c r="AA6" s="34">
        <v>22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7">
        <f t="shared" ref="AK6:AO55" si="2">S6/D6</f>
        <v>0.57499999999999996</v>
      </c>
      <c r="AL6" s="87">
        <f t="shared" si="0"/>
        <v>0.5</v>
      </c>
      <c r="AM6" s="87">
        <f t="shared" si="0"/>
        <v>0.41666666666666669</v>
      </c>
      <c r="AN6" s="87">
        <f t="shared" si="0"/>
        <v>0.2857142857142857</v>
      </c>
      <c r="AO6" s="87">
        <f t="shared" si="0"/>
        <v>0</v>
      </c>
      <c r="AP6" s="87"/>
      <c r="AQ6" s="87"/>
      <c r="AR6" s="87"/>
      <c r="AS6" s="87">
        <f t="shared" si="0"/>
        <v>0.12571428571428572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37</v>
      </c>
      <c r="T7" s="31">
        <v>28</v>
      </c>
      <c r="U7" s="31">
        <v>400</v>
      </c>
      <c r="V7" s="32">
        <v>4</v>
      </c>
      <c r="W7" s="32">
        <v>0</v>
      </c>
      <c r="X7" s="32">
        <v>30</v>
      </c>
      <c r="Y7" s="75">
        <v>60</v>
      </c>
      <c r="Z7" s="33">
        <v>0</v>
      </c>
      <c r="AA7" s="34">
        <v>22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0.92500000000000004</v>
      </c>
      <c r="AL7" s="87">
        <f t="shared" si="0"/>
        <v>1.4</v>
      </c>
      <c r="AM7" s="87">
        <f t="shared" si="0"/>
        <v>3.3333333333333335</v>
      </c>
      <c r="AN7" s="87">
        <f t="shared" si="0"/>
        <v>0.5714285714285714</v>
      </c>
      <c r="AO7" s="87">
        <f t="shared" si="0"/>
        <v>0</v>
      </c>
      <c r="AP7" s="87"/>
      <c r="AQ7" s="87"/>
      <c r="AR7" s="87"/>
      <c r="AS7" s="87">
        <f t="shared" si="0"/>
        <v>0.12571428571428572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38</v>
      </c>
      <c r="T8" s="31">
        <v>18</v>
      </c>
      <c r="U8" s="31">
        <v>120</v>
      </c>
      <c r="V8" s="32">
        <v>2</v>
      </c>
      <c r="W8" s="32">
        <v>0</v>
      </c>
      <c r="X8" s="32">
        <v>4</v>
      </c>
      <c r="Y8" s="75">
        <v>8</v>
      </c>
      <c r="Z8" s="33">
        <v>0</v>
      </c>
      <c r="AA8" s="34">
        <v>24</v>
      </c>
      <c r="AB8" s="34">
        <v>28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7">
        <f t="shared" si="2"/>
        <v>0.95</v>
      </c>
      <c r="AL8" s="87">
        <f t="shared" si="0"/>
        <v>0.9</v>
      </c>
      <c r="AM8" s="87">
        <f t="shared" si="0"/>
        <v>1</v>
      </c>
      <c r="AN8" s="87">
        <f t="shared" si="0"/>
        <v>0.2857142857142857</v>
      </c>
      <c r="AO8" s="87">
        <f t="shared" si="0"/>
        <v>0</v>
      </c>
      <c r="AP8" s="87"/>
      <c r="AQ8" s="87"/>
      <c r="AR8" s="87"/>
      <c r="AS8" s="87">
        <f t="shared" si="0"/>
        <v>0.13714285714285715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40</v>
      </c>
      <c r="T9" s="31">
        <v>25</v>
      </c>
      <c r="U9" s="31">
        <v>250</v>
      </c>
      <c r="V9" s="32">
        <v>5</v>
      </c>
      <c r="W9" s="32">
        <v>0</v>
      </c>
      <c r="X9" s="32">
        <v>25</v>
      </c>
      <c r="Y9" s="75">
        <v>0</v>
      </c>
      <c r="Z9" s="33">
        <v>0</v>
      </c>
      <c r="AA9" s="34">
        <v>85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7">
        <f t="shared" si="2"/>
        <v>1</v>
      </c>
      <c r="AL9" s="87">
        <f t="shared" si="0"/>
        <v>1.25</v>
      </c>
      <c r="AM9" s="87">
        <f t="shared" si="0"/>
        <v>2.0833333333333335</v>
      </c>
      <c r="AN9" s="87">
        <f t="shared" si="0"/>
        <v>0.7142857142857143</v>
      </c>
      <c r="AO9" s="87">
        <f t="shared" si="0"/>
        <v>0</v>
      </c>
      <c r="AP9" s="87"/>
      <c r="AQ9" s="87"/>
      <c r="AR9" s="87"/>
      <c r="AS9" s="87">
        <f t="shared" si="0"/>
        <v>0.48571428571428571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35</v>
      </c>
      <c r="T10" s="31">
        <v>21</v>
      </c>
      <c r="U10" s="31">
        <v>296</v>
      </c>
      <c r="V10" s="32">
        <v>7</v>
      </c>
      <c r="W10" s="32">
        <v>0</v>
      </c>
      <c r="X10" s="32">
        <v>20</v>
      </c>
      <c r="Y10" s="75">
        <v>21</v>
      </c>
      <c r="Z10" s="33">
        <v>0</v>
      </c>
      <c r="AA10" s="34">
        <v>97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7">
        <f t="shared" si="2"/>
        <v>0.875</v>
      </c>
      <c r="AL10" s="87">
        <f t="shared" si="0"/>
        <v>1.05</v>
      </c>
      <c r="AM10" s="87">
        <f t="shared" si="0"/>
        <v>2.4666666666666668</v>
      </c>
      <c r="AN10" s="87">
        <f t="shared" si="0"/>
        <v>1</v>
      </c>
      <c r="AO10" s="87">
        <f t="shared" si="0"/>
        <v>0</v>
      </c>
      <c r="AP10" s="87"/>
      <c r="AQ10" s="87"/>
      <c r="AR10" s="87"/>
      <c r="AS10" s="87">
        <f t="shared" si="0"/>
        <v>0.55428571428571427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35</v>
      </c>
      <c r="T11" s="31">
        <v>24</v>
      </c>
      <c r="U11" s="31">
        <v>130</v>
      </c>
      <c r="V11" s="32">
        <v>10</v>
      </c>
      <c r="W11" s="32">
        <v>0</v>
      </c>
      <c r="X11" s="32">
        <v>40</v>
      </c>
      <c r="Y11" s="75">
        <v>0</v>
      </c>
      <c r="Z11" s="33">
        <v>0</v>
      </c>
      <c r="AA11" s="34">
        <v>17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7">
        <f t="shared" si="2"/>
        <v>0.875</v>
      </c>
      <c r="AL11" s="87">
        <f t="shared" si="0"/>
        <v>1.2</v>
      </c>
      <c r="AM11" s="87">
        <f t="shared" si="0"/>
        <v>1.0833333333333333</v>
      </c>
      <c r="AN11" s="87">
        <f t="shared" si="0"/>
        <v>1.4285714285714286</v>
      </c>
      <c r="AO11" s="87">
        <f t="shared" si="0"/>
        <v>0</v>
      </c>
      <c r="AP11" s="87"/>
      <c r="AQ11" s="87"/>
      <c r="AR11" s="87"/>
      <c r="AS11" s="87">
        <f t="shared" si="0"/>
        <v>9.7142857142857142E-2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20</v>
      </c>
      <c r="T12" s="31">
        <v>14</v>
      </c>
      <c r="U12" s="31">
        <v>90</v>
      </c>
      <c r="V12" s="32">
        <v>3</v>
      </c>
      <c r="W12" s="32">
        <v>0</v>
      </c>
      <c r="X12" s="32">
        <v>10</v>
      </c>
      <c r="Y12" s="75">
        <v>8</v>
      </c>
      <c r="Z12" s="33">
        <v>0</v>
      </c>
      <c r="AA12" s="34">
        <v>5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/>
      <c r="AK12" s="87">
        <f t="shared" si="2"/>
        <v>0.5</v>
      </c>
      <c r="AL12" s="87">
        <f t="shared" si="0"/>
        <v>0.7</v>
      </c>
      <c r="AM12" s="87">
        <f t="shared" si="0"/>
        <v>0.75</v>
      </c>
      <c r="AN12" s="87">
        <f t="shared" si="0"/>
        <v>0.42857142857142855</v>
      </c>
      <c r="AO12" s="87">
        <f t="shared" si="0"/>
        <v>0</v>
      </c>
      <c r="AP12" s="87"/>
      <c r="AQ12" s="87"/>
      <c r="AR12" s="87"/>
      <c r="AS12" s="87">
        <f t="shared" si="0"/>
        <v>2.8571428571428571E-2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30</v>
      </c>
      <c r="T13" s="31">
        <v>14</v>
      </c>
      <c r="U13" s="31">
        <v>105</v>
      </c>
      <c r="V13" s="32">
        <v>0</v>
      </c>
      <c r="W13" s="32">
        <v>0</v>
      </c>
      <c r="X13" s="32">
        <v>18</v>
      </c>
      <c r="Y13" s="75">
        <v>3</v>
      </c>
      <c r="Z13" s="33">
        <v>0</v>
      </c>
      <c r="AA13" s="34">
        <v>30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7">
        <f t="shared" si="2"/>
        <v>0.75</v>
      </c>
      <c r="AL13" s="87">
        <f t="shared" si="0"/>
        <v>0.7</v>
      </c>
      <c r="AM13" s="87">
        <f t="shared" si="0"/>
        <v>0.875</v>
      </c>
      <c r="AN13" s="87">
        <f t="shared" si="0"/>
        <v>0</v>
      </c>
      <c r="AO13" s="87">
        <f t="shared" si="0"/>
        <v>0</v>
      </c>
      <c r="AP13" s="87"/>
      <c r="AQ13" s="87"/>
      <c r="AR13" s="87"/>
      <c r="AS13" s="87">
        <f t="shared" si="0"/>
        <v>0.17142857142857143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20</v>
      </c>
      <c r="T14" s="31">
        <v>16</v>
      </c>
      <c r="U14" s="31">
        <v>160</v>
      </c>
      <c r="V14" s="32">
        <v>1</v>
      </c>
      <c r="W14" s="32">
        <v>0</v>
      </c>
      <c r="X14" s="32">
        <v>0</v>
      </c>
      <c r="Y14" s="75">
        <v>0</v>
      </c>
      <c r="Z14" s="33">
        <v>0</v>
      </c>
      <c r="AA14" s="34">
        <v>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7">
        <f t="shared" si="2"/>
        <v>0.5</v>
      </c>
      <c r="AL14" s="87">
        <f t="shared" si="0"/>
        <v>0.8</v>
      </c>
      <c r="AM14" s="87">
        <f t="shared" si="0"/>
        <v>1.3333333333333333</v>
      </c>
      <c r="AN14" s="87">
        <f t="shared" si="0"/>
        <v>0.14285714285714285</v>
      </c>
      <c r="AO14" s="87">
        <f t="shared" si="0"/>
        <v>0</v>
      </c>
      <c r="AP14" s="87"/>
      <c r="AQ14" s="87"/>
      <c r="AR14" s="87"/>
      <c r="AS14" s="87">
        <f t="shared" si="0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15</v>
      </c>
      <c r="T15" s="31">
        <v>10</v>
      </c>
      <c r="U15" s="31">
        <v>15</v>
      </c>
      <c r="V15" s="32">
        <v>2</v>
      </c>
      <c r="W15" s="32">
        <v>0</v>
      </c>
      <c r="X15" s="32">
        <v>6</v>
      </c>
      <c r="Y15" s="75">
        <v>4</v>
      </c>
      <c r="Z15" s="33">
        <v>0</v>
      </c>
      <c r="AA15" s="34">
        <v>20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7">
        <f t="shared" si="2"/>
        <v>0.375</v>
      </c>
      <c r="AL15" s="87">
        <f t="shared" si="0"/>
        <v>0.5</v>
      </c>
      <c r="AM15" s="87">
        <f t="shared" si="0"/>
        <v>0.125</v>
      </c>
      <c r="AN15" s="87">
        <f t="shared" si="0"/>
        <v>0.2857142857142857</v>
      </c>
      <c r="AO15" s="87">
        <f t="shared" si="0"/>
        <v>0</v>
      </c>
      <c r="AP15" s="87"/>
      <c r="AQ15" s="87"/>
      <c r="AR15" s="87"/>
      <c r="AS15" s="87">
        <f t="shared" si="0"/>
        <v>0.11428571428571428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50</v>
      </c>
      <c r="T16" s="31">
        <v>30</v>
      </c>
      <c r="U16" s="31">
        <v>240</v>
      </c>
      <c r="V16" s="32">
        <v>6</v>
      </c>
      <c r="W16" s="32">
        <v>0</v>
      </c>
      <c r="X16" s="32">
        <v>50</v>
      </c>
      <c r="Y16" s="75">
        <v>0</v>
      </c>
      <c r="Z16" s="33">
        <v>0</v>
      </c>
      <c r="AA16" s="34">
        <v>120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/>
      <c r="AI16" s="22"/>
      <c r="AK16" s="87">
        <f t="shared" si="2"/>
        <v>1.25</v>
      </c>
      <c r="AL16" s="87">
        <f t="shared" si="0"/>
        <v>1.5</v>
      </c>
      <c r="AM16" s="87">
        <f t="shared" si="0"/>
        <v>2</v>
      </c>
      <c r="AN16" s="87">
        <f t="shared" si="0"/>
        <v>0.8571428571428571</v>
      </c>
      <c r="AO16" s="87">
        <f t="shared" si="0"/>
        <v>0</v>
      </c>
      <c r="AP16" s="87"/>
      <c r="AQ16" s="87"/>
      <c r="AR16" s="87"/>
      <c r="AS16" s="87">
        <f t="shared" si="0"/>
        <v>0.68571428571428572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15</v>
      </c>
      <c r="T17" s="31">
        <v>5</v>
      </c>
      <c r="U17" s="31">
        <v>30</v>
      </c>
      <c r="V17" s="32">
        <v>0</v>
      </c>
      <c r="W17" s="32">
        <v>0</v>
      </c>
      <c r="X17" s="32">
        <v>2</v>
      </c>
      <c r="Y17" s="75">
        <v>3</v>
      </c>
      <c r="Z17" s="33">
        <v>0</v>
      </c>
      <c r="AA17" s="34">
        <v>15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7">
        <f t="shared" si="2"/>
        <v>0.375</v>
      </c>
      <c r="AL17" s="87">
        <f t="shared" si="0"/>
        <v>0.25</v>
      </c>
      <c r="AM17" s="87">
        <f t="shared" si="0"/>
        <v>0.25</v>
      </c>
      <c r="AN17" s="87">
        <f t="shared" si="0"/>
        <v>0</v>
      </c>
      <c r="AO17" s="87">
        <f t="shared" si="0"/>
        <v>0</v>
      </c>
      <c r="AP17" s="87"/>
      <c r="AQ17" s="87"/>
      <c r="AR17" s="87"/>
      <c r="AS17" s="87">
        <f t="shared" si="0"/>
        <v>8.5714285714285715E-2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15</v>
      </c>
      <c r="T18" s="31">
        <v>4</v>
      </c>
      <c r="U18" s="31">
        <v>50</v>
      </c>
      <c r="V18" s="32">
        <v>2</v>
      </c>
      <c r="W18" s="32">
        <v>0</v>
      </c>
      <c r="X18" s="32">
        <v>0</v>
      </c>
      <c r="Y18" s="75">
        <v>0</v>
      </c>
      <c r="Z18" s="33">
        <v>0</v>
      </c>
      <c r="AA18" s="34">
        <v>14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7">
        <f t="shared" si="2"/>
        <v>0.375</v>
      </c>
      <c r="AL18" s="87">
        <f t="shared" si="0"/>
        <v>0.2</v>
      </c>
      <c r="AM18" s="87">
        <f t="shared" si="0"/>
        <v>0.41666666666666669</v>
      </c>
      <c r="AN18" s="87">
        <f t="shared" si="0"/>
        <v>0.2857142857142857</v>
      </c>
      <c r="AO18" s="87">
        <f t="shared" si="0"/>
        <v>0</v>
      </c>
      <c r="AP18" s="87"/>
      <c r="AQ18" s="87"/>
      <c r="AR18" s="87"/>
      <c r="AS18" s="87">
        <f t="shared" si="0"/>
        <v>0.08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25</v>
      </c>
      <c r="T19" s="31">
        <v>13</v>
      </c>
      <c r="U19" s="31">
        <v>43</v>
      </c>
      <c r="V19" s="32">
        <v>0</v>
      </c>
      <c r="W19" s="32">
        <v>0</v>
      </c>
      <c r="X19" s="32">
        <v>10</v>
      </c>
      <c r="Y19" s="75">
        <v>0</v>
      </c>
      <c r="Z19" s="33">
        <v>0</v>
      </c>
      <c r="AA19" s="34">
        <v>11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7">
        <f t="shared" si="2"/>
        <v>0.625</v>
      </c>
      <c r="AL19" s="87">
        <f t="shared" si="0"/>
        <v>0.65</v>
      </c>
      <c r="AM19" s="87">
        <f t="shared" si="0"/>
        <v>0.35833333333333334</v>
      </c>
      <c r="AN19" s="87">
        <f t="shared" si="0"/>
        <v>0</v>
      </c>
      <c r="AO19" s="87">
        <f t="shared" si="0"/>
        <v>0</v>
      </c>
      <c r="AP19" s="87"/>
      <c r="AQ19" s="87"/>
      <c r="AR19" s="87"/>
      <c r="AS19" s="87">
        <f t="shared" si="0"/>
        <v>6.2857142857142861E-2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30</v>
      </c>
      <c r="T20" s="31">
        <v>28</v>
      </c>
      <c r="U20" s="31">
        <v>86</v>
      </c>
      <c r="V20" s="32">
        <v>0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>
        <v>0</v>
      </c>
      <c r="AI20" s="22"/>
      <c r="AK20" s="87">
        <f t="shared" si="2"/>
        <v>0.75</v>
      </c>
      <c r="AL20" s="87">
        <f t="shared" si="0"/>
        <v>1.4</v>
      </c>
      <c r="AM20" s="87">
        <f t="shared" si="0"/>
        <v>0.71666666666666667</v>
      </c>
      <c r="AN20" s="87">
        <f t="shared" si="0"/>
        <v>0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35</v>
      </c>
      <c r="T21" s="31">
        <v>12</v>
      </c>
      <c r="U21" s="31">
        <v>190</v>
      </c>
      <c r="V21" s="32">
        <v>3</v>
      </c>
      <c r="W21" s="32">
        <v>0</v>
      </c>
      <c r="X21" s="32">
        <v>70</v>
      </c>
      <c r="Y21" s="75">
        <v>8</v>
      </c>
      <c r="Z21" s="33">
        <v>0</v>
      </c>
      <c r="AA21" s="34">
        <v>80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7">
        <f t="shared" si="2"/>
        <v>0.875</v>
      </c>
      <c r="AL21" s="87">
        <f t="shared" si="2"/>
        <v>0.6</v>
      </c>
      <c r="AM21" s="87">
        <f t="shared" si="2"/>
        <v>1.5833333333333333</v>
      </c>
      <c r="AN21" s="87">
        <f t="shared" si="2"/>
        <v>0.42857142857142855</v>
      </c>
      <c r="AO21" s="87">
        <f t="shared" si="2"/>
        <v>0</v>
      </c>
      <c r="AP21" s="87"/>
      <c r="AQ21" s="87"/>
      <c r="AR21" s="87"/>
      <c r="AS21" s="87">
        <f t="shared" ref="AS21:AS55" si="3">AA21/L21</f>
        <v>0.45714285714285713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5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7">
        <f t="shared" si="2"/>
        <v>0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43</v>
      </c>
      <c r="T23" s="31">
        <v>21</v>
      </c>
      <c r="U23" s="31">
        <v>117</v>
      </c>
      <c r="V23" s="32">
        <v>0</v>
      </c>
      <c r="W23" s="32">
        <v>0</v>
      </c>
      <c r="X23" s="32">
        <v>0</v>
      </c>
      <c r="Y23" s="75">
        <v>0</v>
      </c>
      <c r="Z23" s="33">
        <v>0</v>
      </c>
      <c r="AA23" s="34">
        <v>21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21"/>
      <c r="AI23" s="22"/>
      <c r="AK23" s="87">
        <f t="shared" si="2"/>
        <v>1.075</v>
      </c>
      <c r="AL23" s="87">
        <f t="shared" si="2"/>
        <v>1.05</v>
      </c>
      <c r="AM23" s="87">
        <f t="shared" si="2"/>
        <v>0.97499999999999998</v>
      </c>
      <c r="AN23" s="87">
        <f t="shared" si="2"/>
        <v>0</v>
      </c>
      <c r="AO23" s="87">
        <f t="shared" si="2"/>
        <v>0</v>
      </c>
      <c r="AP23" s="87"/>
      <c r="AQ23" s="87"/>
      <c r="AR23" s="87"/>
      <c r="AS23" s="87">
        <f t="shared" si="3"/>
        <v>0.12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24</v>
      </c>
      <c r="T24" s="31">
        <v>11</v>
      </c>
      <c r="U24" s="31">
        <v>66</v>
      </c>
      <c r="V24" s="32">
        <v>0</v>
      </c>
      <c r="W24" s="32">
        <v>0</v>
      </c>
      <c r="X24" s="32">
        <v>1</v>
      </c>
      <c r="Y24" s="75">
        <v>2</v>
      </c>
      <c r="Z24" s="33">
        <v>0</v>
      </c>
      <c r="AA24" s="34">
        <v>22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/>
      <c r="AI24" s="22"/>
      <c r="AK24" s="87">
        <f t="shared" si="2"/>
        <v>0.6</v>
      </c>
      <c r="AL24" s="87">
        <f t="shared" si="2"/>
        <v>0.55000000000000004</v>
      </c>
      <c r="AM24" s="87">
        <f t="shared" si="2"/>
        <v>0.55000000000000004</v>
      </c>
      <c r="AN24" s="87">
        <f t="shared" si="2"/>
        <v>0</v>
      </c>
      <c r="AO24" s="87">
        <f t="shared" si="2"/>
        <v>0</v>
      </c>
      <c r="AP24" s="87"/>
      <c r="AQ24" s="87"/>
      <c r="AR24" s="87"/>
      <c r="AS24" s="87">
        <f t="shared" si="3"/>
        <v>0.12571428571428572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>
        <v>30</v>
      </c>
      <c r="T25" s="31">
        <v>20</v>
      </c>
      <c r="U25" s="31">
        <v>90</v>
      </c>
      <c r="V25" s="32">
        <v>4</v>
      </c>
      <c r="W25" s="32">
        <v>0</v>
      </c>
      <c r="X25" s="32">
        <v>80</v>
      </c>
      <c r="Y25" s="75">
        <v>10</v>
      </c>
      <c r="Z25" s="33">
        <v>0</v>
      </c>
      <c r="AA25" s="34">
        <v>30</v>
      </c>
      <c r="AB25" s="34">
        <v>0</v>
      </c>
      <c r="AC25" s="34">
        <v>0</v>
      </c>
      <c r="AD25" s="35">
        <v>0</v>
      </c>
      <c r="AE25" s="34">
        <v>0</v>
      </c>
      <c r="AF25" s="34">
        <v>0</v>
      </c>
      <c r="AG25" s="34">
        <v>0</v>
      </c>
      <c r="AH25" s="21"/>
      <c r="AI25" s="22"/>
      <c r="AK25" s="87">
        <f t="shared" si="2"/>
        <v>0.75</v>
      </c>
      <c r="AL25" s="87">
        <f t="shared" si="2"/>
        <v>1</v>
      </c>
      <c r="AM25" s="87">
        <f t="shared" si="2"/>
        <v>0.75</v>
      </c>
      <c r="AN25" s="87">
        <f t="shared" si="2"/>
        <v>0.5714285714285714</v>
      </c>
      <c r="AO25" s="87">
        <f t="shared" si="2"/>
        <v>0</v>
      </c>
      <c r="AP25" s="87"/>
      <c r="AQ25" s="87"/>
      <c r="AR25" s="87"/>
      <c r="AS25" s="87">
        <f t="shared" si="3"/>
        <v>0.17142857142857143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>
        <v>40</v>
      </c>
      <c r="T26" s="31">
        <v>30</v>
      </c>
      <c r="U26" s="31">
        <v>30</v>
      </c>
      <c r="V26" s="32">
        <v>3</v>
      </c>
      <c r="W26" s="32">
        <v>0</v>
      </c>
      <c r="X26" s="32">
        <v>45</v>
      </c>
      <c r="Y26" s="75">
        <v>6</v>
      </c>
      <c r="Z26" s="33">
        <v>0</v>
      </c>
      <c r="AA26" s="34">
        <v>65</v>
      </c>
      <c r="AB26" s="34">
        <v>0</v>
      </c>
      <c r="AC26" s="34">
        <v>0</v>
      </c>
      <c r="AD26" s="35">
        <v>0</v>
      </c>
      <c r="AE26" s="34">
        <v>0</v>
      </c>
      <c r="AF26" s="34">
        <v>0</v>
      </c>
      <c r="AG26" s="34">
        <v>0</v>
      </c>
      <c r="AH26" s="21"/>
      <c r="AI26" s="22"/>
      <c r="AK26" s="87">
        <f t="shared" si="2"/>
        <v>1</v>
      </c>
      <c r="AL26" s="87">
        <f t="shared" si="2"/>
        <v>1.5</v>
      </c>
      <c r="AM26" s="87">
        <f t="shared" si="2"/>
        <v>0.25</v>
      </c>
      <c r="AN26" s="87">
        <f t="shared" si="2"/>
        <v>0.42857142857142855</v>
      </c>
      <c r="AO26" s="87">
        <f t="shared" si="2"/>
        <v>0</v>
      </c>
      <c r="AP26" s="87"/>
      <c r="AQ26" s="87"/>
      <c r="AR26" s="87"/>
      <c r="AS26" s="87">
        <f t="shared" si="3"/>
        <v>0.37142857142857144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>
        <v>40</v>
      </c>
      <c r="T27" s="31">
        <v>23</v>
      </c>
      <c r="U27" s="31">
        <v>270</v>
      </c>
      <c r="V27" s="32">
        <v>8</v>
      </c>
      <c r="W27" s="32">
        <v>0</v>
      </c>
      <c r="X27" s="32">
        <v>240</v>
      </c>
      <c r="Y27" s="75">
        <v>17</v>
      </c>
      <c r="Z27" s="33">
        <v>0</v>
      </c>
      <c r="AA27" s="34">
        <v>50</v>
      </c>
      <c r="AB27" s="34">
        <v>0</v>
      </c>
      <c r="AC27" s="34">
        <v>0</v>
      </c>
      <c r="AD27" s="35">
        <v>0</v>
      </c>
      <c r="AE27" s="34">
        <v>0</v>
      </c>
      <c r="AF27" s="34">
        <v>0</v>
      </c>
      <c r="AG27" s="34">
        <v>0</v>
      </c>
      <c r="AH27" s="21"/>
      <c r="AI27" s="22"/>
      <c r="AK27" s="87">
        <f t="shared" si="2"/>
        <v>1</v>
      </c>
      <c r="AL27" s="87">
        <f t="shared" si="2"/>
        <v>1.1499999999999999</v>
      </c>
      <c r="AM27" s="87">
        <f t="shared" si="2"/>
        <v>2.25</v>
      </c>
      <c r="AN27" s="87">
        <f t="shared" si="2"/>
        <v>1.1428571428571428</v>
      </c>
      <c r="AO27" s="87">
        <f t="shared" si="2"/>
        <v>0</v>
      </c>
      <c r="AP27" s="87"/>
      <c r="AQ27" s="87"/>
      <c r="AR27" s="87"/>
      <c r="AS27" s="87">
        <f t="shared" si="3"/>
        <v>0.2857142857142857</v>
      </c>
      <c r="AT27" s="87"/>
      <c r="AU27" s="87"/>
      <c r="AV27" s="87"/>
      <c r="AW27" s="87"/>
      <c r="AX27" s="87"/>
      <c r="AY27" s="87"/>
    </row>
    <row r="28" spans="2:51" ht="17.399999999999999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30</v>
      </c>
      <c r="T28" s="31">
        <v>10</v>
      </c>
      <c r="U28" s="31">
        <v>120</v>
      </c>
      <c r="V28" s="32">
        <v>4</v>
      </c>
      <c r="W28" s="32">
        <v>0</v>
      </c>
      <c r="X28" s="32">
        <v>0</v>
      </c>
      <c r="Y28" s="75">
        <v>2</v>
      </c>
      <c r="Z28" s="33">
        <v>0</v>
      </c>
      <c r="AA28" s="34">
        <v>50</v>
      </c>
      <c r="AB28" s="34">
        <v>0</v>
      </c>
      <c r="AC28" s="34">
        <v>0</v>
      </c>
      <c r="AD28" s="35">
        <v>0</v>
      </c>
      <c r="AE28" s="34">
        <v>0</v>
      </c>
      <c r="AF28" s="34">
        <v>0</v>
      </c>
      <c r="AG28" s="34">
        <v>0</v>
      </c>
      <c r="AH28" s="21"/>
      <c r="AI28" s="22"/>
      <c r="AK28" s="87">
        <f t="shared" si="2"/>
        <v>0.75</v>
      </c>
      <c r="AL28" s="87">
        <f t="shared" si="2"/>
        <v>0.5</v>
      </c>
      <c r="AM28" s="87">
        <f t="shared" si="2"/>
        <v>1</v>
      </c>
      <c r="AN28" s="87">
        <f t="shared" si="2"/>
        <v>0.5714285714285714</v>
      </c>
      <c r="AO28" s="87">
        <f t="shared" si="2"/>
        <v>0</v>
      </c>
      <c r="AP28" s="87"/>
      <c r="AQ28" s="87"/>
      <c r="AR28" s="87"/>
      <c r="AS28" s="87">
        <f t="shared" si="3"/>
        <v>0.2857142857142857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>
        <v>30</v>
      </c>
      <c r="T29" s="31">
        <v>20</v>
      </c>
      <c r="U29" s="31">
        <v>25</v>
      </c>
      <c r="V29" s="32">
        <v>0</v>
      </c>
      <c r="W29" s="32">
        <v>0</v>
      </c>
      <c r="X29" s="32">
        <v>10</v>
      </c>
      <c r="Y29" s="75">
        <v>4</v>
      </c>
      <c r="Z29" s="33">
        <v>0</v>
      </c>
      <c r="AA29" s="34">
        <v>30</v>
      </c>
      <c r="AB29" s="34">
        <v>0</v>
      </c>
      <c r="AC29" s="34">
        <v>0</v>
      </c>
      <c r="AD29" s="35">
        <v>0</v>
      </c>
      <c r="AE29" s="34">
        <v>0</v>
      </c>
      <c r="AF29" s="34">
        <v>0</v>
      </c>
      <c r="AG29" s="34">
        <v>0</v>
      </c>
      <c r="AH29" s="21"/>
      <c r="AI29" s="22"/>
      <c r="AK29" s="87">
        <f t="shared" si="2"/>
        <v>0.75</v>
      </c>
      <c r="AL29" s="87">
        <f t="shared" si="2"/>
        <v>1</v>
      </c>
      <c r="AM29" s="87">
        <f t="shared" si="2"/>
        <v>0.20833333333333334</v>
      </c>
      <c r="AN29" s="87">
        <f t="shared" si="2"/>
        <v>0</v>
      </c>
      <c r="AO29" s="87">
        <f t="shared" si="2"/>
        <v>0</v>
      </c>
      <c r="AP29" s="87"/>
      <c r="AQ29" s="87"/>
      <c r="AR29" s="87"/>
      <c r="AS29" s="87">
        <f t="shared" si="3"/>
        <v>0.17142857142857143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/>
      <c r="T30" s="31"/>
      <c r="U30" s="31"/>
      <c r="V30" s="32"/>
      <c r="W30" s="32"/>
      <c r="X30" s="32"/>
      <c r="Y30" s="75"/>
      <c r="Z30" s="33"/>
      <c r="AA30" s="34"/>
      <c r="AB30" s="34"/>
      <c r="AC30" s="34"/>
      <c r="AD30" s="35"/>
      <c r="AE30" s="34"/>
      <c r="AF30" s="34"/>
      <c r="AG30" s="34"/>
      <c r="AH30" s="21"/>
      <c r="AI30" s="22"/>
      <c r="AK30" s="87">
        <f t="shared" si="2"/>
        <v>0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>
        <v>39</v>
      </c>
      <c r="T31" s="31">
        <v>22</v>
      </c>
      <c r="U31" s="31">
        <v>150</v>
      </c>
      <c r="V31" s="32">
        <v>2</v>
      </c>
      <c r="W31" s="32">
        <v>0</v>
      </c>
      <c r="X31" s="32">
        <v>40</v>
      </c>
      <c r="Y31" s="75">
        <v>5</v>
      </c>
      <c r="Z31" s="33">
        <v>0</v>
      </c>
      <c r="AA31" s="34">
        <v>76</v>
      </c>
      <c r="AB31" s="34">
        <v>0</v>
      </c>
      <c r="AC31" s="34">
        <v>0</v>
      </c>
      <c r="AD31" s="35">
        <v>0</v>
      </c>
      <c r="AE31" s="34">
        <v>0</v>
      </c>
      <c r="AF31" s="34">
        <v>0</v>
      </c>
      <c r="AG31" s="34">
        <v>0</v>
      </c>
      <c r="AH31" s="21"/>
      <c r="AI31" s="22"/>
      <c r="AK31" s="87">
        <f t="shared" si="2"/>
        <v>0.97499999999999998</v>
      </c>
      <c r="AL31" s="87">
        <f t="shared" si="2"/>
        <v>1.1000000000000001</v>
      </c>
      <c r="AM31" s="87">
        <f t="shared" si="2"/>
        <v>1.25</v>
      </c>
      <c r="AN31" s="87">
        <f t="shared" si="2"/>
        <v>0.2857142857142857</v>
      </c>
      <c r="AO31" s="87">
        <f t="shared" si="2"/>
        <v>0</v>
      </c>
      <c r="AP31" s="87"/>
      <c r="AQ31" s="87"/>
      <c r="AR31" s="87"/>
      <c r="AS31" s="87">
        <f t="shared" si="3"/>
        <v>0.43428571428571427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>
        <v>30</v>
      </c>
      <c r="T32" s="31">
        <v>10</v>
      </c>
      <c r="U32" s="31">
        <v>120</v>
      </c>
      <c r="V32" s="32">
        <v>1</v>
      </c>
      <c r="W32" s="32">
        <v>0</v>
      </c>
      <c r="X32" s="32">
        <v>30</v>
      </c>
      <c r="Y32" s="75">
        <v>3</v>
      </c>
      <c r="Z32" s="33">
        <v>0</v>
      </c>
      <c r="AA32" s="34">
        <v>30</v>
      </c>
      <c r="AB32" s="34">
        <v>0</v>
      </c>
      <c r="AC32" s="34">
        <v>0</v>
      </c>
      <c r="AD32" s="35">
        <v>0</v>
      </c>
      <c r="AE32" s="34">
        <v>0</v>
      </c>
      <c r="AF32" s="34">
        <v>0</v>
      </c>
      <c r="AG32" s="34">
        <v>0</v>
      </c>
      <c r="AH32" s="21"/>
      <c r="AI32" s="22"/>
      <c r="AK32" s="87">
        <f t="shared" si="2"/>
        <v>0.75</v>
      </c>
      <c r="AL32" s="87">
        <f t="shared" si="2"/>
        <v>0.5</v>
      </c>
      <c r="AM32" s="87">
        <f t="shared" si="2"/>
        <v>1</v>
      </c>
      <c r="AN32" s="87">
        <f t="shared" si="2"/>
        <v>0.14285714285714285</v>
      </c>
      <c r="AO32" s="87">
        <f t="shared" si="2"/>
        <v>0</v>
      </c>
      <c r="AP32" s="87"/>
      <c r="AQ32" s="87"/>
      <c r="AR32" s="87"/>
      <c r="AS32" s="87">
        <f t="shared" si="3"/>
        <v>0.17142857142857143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>
        <v>25</v>
      </c>
      <c r="T33" s="31">
        <v>10</v>
      </c>
      <c r="U33" s="31">
        <v>8</v>
      </c>
      <c r="V33" s="32">
        <v>1</v>
      </c>
      <c r="W33" s="32">
        <v>0</v>
      </c>
      <c r="X33" s="32">
        <v>1</v>
      </c>
      <c r="Y33" s="75">
        <v>0</v>
      </c>
      <c r="Z33" s="33">
        <v>0</v>
      </c>
      <c r="AA33" s="34">
        <v>20</v>
      </c>
      <c r="AB33" s="34">
        <v>0</v>
      </c>
      <c r="AC33" s="34">
        <v>0</v>
      </c>
      <c r="AD33" s="35">
        <v>0</v>
      </c>
      <c r="AE33" s="34">
        <v>0</v>
      </c>
      <c r="AF33" s="34">
        <v>0</v>
      </c>
      <c r="AG33" s="34">
        <v>0</v>
      </c>
      <c r="AH33" s="21"/>
      <c r="AI33" s="22"/>
      <c r="AK33" s="87">
        <f t="shared" si="2"/>
        <v>0.625</v>
      </c>
      <c r="AL33" s="87">
        <f t="shared" si="2"/>
        <v>0.5</v>
      </c>
      <c r="AM33" s="87">
        <f t="shared" si="2"/>
        <v>6.6666666666666666E-2</v>
      </c>
      <c r="AN33" s="87">
        <f t="shared" si="2"/>
        <v>0.14285714285714285</v>
      </c>
      <c r="AO33" s="87">
        <f t="shared" si="2"/>
        <v>0</v>
      </c>
      <c r="AP33" s="87"/>
      <c r="AQ33" s="87"/>
      <c r="AR33" s="87"/>
      <c r="AS33" s="87">
        <f t="shared" si="3"/>
        <v>0.11428571428571428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30</v>
      </c>
      <c r="T34" s="31">
        <v>12</v>
      </c>
      <c r="U34" s="31">
        <v>80</v>
      </c>
      <c r="V34" s="32">
        <v>0</v>
      </c>
      <c r="W34" s="32">
        <v>0</v>
      </c>
      <c r="X34" s="32">
        <v>80</v>
      </c>
      <c r="Y34" s="75">
        <v>0</v>
      </c>
      <c r="Z34" s="33">
        <v>0</v>
      </c>
      <c r="AA34" s="34">
        <v>32</v>
      </c>
      <c r="AB34" s="34">
        <v>0</v>
      </c>
      <c r="AC34" s="34">
        <v>0</v>
      </c>
      <c r="AD34" s="35">
        <v>0</v>
      </c>
      <c r="AE34" s="34">
        <v>0</v>
      </c>
      <c r="AF34" s="34">
        <v>0</v>
      </c>
      <c r="AG34" s="34">
        <v>0</v>
      </c>
      <c r="AH34" s="21"/>
      <c r="AI34" s="22"/>
      <c r="AK34" s="87">
        <f t="shared" si="2"/>
        <v>0.75</v>
      </c>
      <c r="AL34" s="87">
        <f t="shared" si="2"/>
        <v>0.6</v>
      </c>
      <c r="AM34" s="87">
        <f t="shared" si="2"/>
        <v>0.66666666666666663</v>
      </c>
      <c r="AN34" s="87">
        <f t="shared" si="2"/>
        <v>0</v>
      </c>
      <c r="AO34" s="87">
        <f t="shared" si="2"/>
        <v>0</v>
      </c>
      <c r="AP34" s="87"/>
      <c r="AQ34" s="87"/>
      <c r="AR34" s="87"/>
      <c r="AS34" s="87">
        <f t="shared" si="3"/>
        <v>0.18285714285714286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>
        <v>15</v>
      </c>
      <c r="T35" s="31">
        <v>10</v>
      </c>
      <c r="U35" s="31">
        <v>50</v>
      </c>
      <c r="V35" s="32">
        <v>2</v>
      </c>
      <c r="W35" s="32">
        <v>0</v>
      </c>
      <c r="X35" s="32">
        <v>0</v>
      </c>
      <c r="Y35" s="75">
        <v>0</v>
      </c>
      <c r="Z35" s="33">
        <v>0</v>
      </c>
      <c r="AA35" s="34">
        <v>19</v>
      </c>
      <c r="AB35" s="34">
        <v>0</v>
      </c>
      <c r="AC35" s="34">
        <v>0</v>
      </c>
      <c r="AD35" s="35">
        <v>0</v>
      </c>
      <c r="AE35" s="34">
        <v>0</v>
      </c>
      <c r="AF35" s="34">
        <v>0</v>
      </c>
      <c r="AG35" s="34">
        <v>0</v>
      </c>
      <c r="AH35" s="21"/>
      <c r="AI35" s="22"/>
      <c r="AK35" s="87">
        <f t="shared" si="2"/>
        <v>0.375</v>
      </c>
      <c r="AL35" s="87">
        <f t="shared" si="2"/>
        <v>0.5</v>
      </c>
      <c r="AM35" s="87">
        <f t="shared" si="2"/>
        <v>0.41666666666666669</v>
      </c>
      <c r="AN35" s="87">
        <f t="shared" si="2"/>
        <v>0.2857142857142857</v>
      </c>
      <c r="AO35" s="87">
        <f t="shared" si="2"/>
        <v>0</v>
      </c>
      <c r="AP35" s="87"/>
      <c r="AQ35" s="87"/>
      <c r="AR35" s="87"/>
      <c r="AS35" s="87">
        <f t="shared" si="3"/>
        <v>0.10857142857142857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>
        <v>30</v>
      </c>
      <c r="T36" s="31">
        <v>14</v>
      </c>
      <c r="U36" s="31">
        <v>80</v>
      </c>
      <c r="V36" s="32">
        <v>0</v>
      </c>
      <c r="W36" s="32">
        <v>0</v>
      </c>
      <c r="X36" s="32">
        <v>65</v>
      </c>
      <c r="Y36" s="75">
        <v>1</v>
      </c>
      <c r="Z36" s="33">
        <v>0</v>
      </c>
      <c r="AA36" s="34">
        <v>56</v>
      </c>
      <c r="AB36" s="34">
        <v>0</v>
      </c>
      <c r="AC36" s="34">
        <v>0</v>
      </c>
      <c r="AD36" s="35">
        <v>0</v>
      </c>
      <c r="AE36" s="34">
        <v>0</v>
      </c>
      <c r="AF36" s="34">
        <v>0</v>
      </c>
      <c r="AG36" s="34">
        <v>0</v>
      </c>
      <c r="AH36" s="21"/>
      <c r="AI36" s="22"/>
      <c r="AK36" s="87">
        <f t="shared" si="2"/>
        <v>0.75</v>
      </c>
      <c r="AL36" s="87">
        <f t="shared" si="2"/>
        <v>0.7</v>
      </c>
      <c r="AM36" s="87">
        <f t="shared" si="2"/>
        <v>0.66666666666666663</v>
      </c>
      <c r="AN36" s="87">
        <f t="shared" si="2"/>
        <v>0</v>
      </c>
      <c r="AO36" s="87">
        <f t="shared" si="2"/>
        <v>0</v>
      </c>
      <c r="AP36" s="87"/>
      <c r="AQ36" s="87"/>
      <c r="AR36" s="87"/>
      <c r="AS36" s="87">
        <f t="shared" si="3"/>
        <v>0.32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42</v>
      </c>
      <c r="T37" s="31">
        <v>30</v>
      </c>
      <c r="U37" s="31">
        <v>110</v>
      </c>
      <c r="V37" s="32">
        <v>2</v>
      </c>
      <c r="W37" s="32">
        <v>0</v>
      </c>
      <c r="X37" s="32">
        <v>70</v>
      </c>
      <c r="Y37" s="75">
        <v>5</v>
      </c>
      <c r="Z37" s="33">
        <v>0</v>
      </c>
      <c r="AA37" s="34">
        <v>85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1.05</v>
      </c>
      <c r="AL37" s="87">
        <f t="shared" si="2"/>
        <v>1.5</v>
      </c>
      <c r="AM37" s="87">
        <f t="shared" si="2"/>
        <v>0.91666666666666663</v>
      </c>
      <c r="AN37" s="87">
        <f t="shared" si="2"/>
        <v>0.2857142857142857</v>
      </c>
      <c r="AO37" s="87">
        <f t="shared" si="2"/>
        <v>0</v>
      </c>
      <c r="AP37" s="87"/>
      <c r="AQ37" s="87"/>
      <c r="AR37" s="87"/>
      <c r="AS37" s="87">
        <f t="shared" si="3"/>
        <v>0.48571428571428571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48</v>
      </c>
      <c r="T38" s="31">
        <v>37</v>
      </c>
      <c r="U38" s="31">
        <v>90</v>
      </c>
      <c r="V38" s="32">
        <v>2</v>
      </c>
      <c r="W38" s="32">
        <v>0</v>
      </c>
      <c r="X38" s="32">
        <v>60</v>
      </c>
      <c r="Y38" s="75">
        <v>15</v>
      </c>
      <c r="Z38" s="33">
        <v>0</v>
      </c>
      <c r="AA38" s="34">
        <v>67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1.2</v>
      </c>
      <c r="AL38" s="87">
        <f t="shared" si="2"/>
        <v>1.85</v>
      </c>
      <c r="AM38" s="87">
        <f t="shared" si="2"/>
        <v>0.75</v>
      </c>
      <c r="AN38" s="87">
        <f t="shared" si="2"/>
        <v>0.2857142857142857</v>
      </c>
      <c r="AO38" s="87">
        <f t="shared" si="2"/>
        <v>0</v>
      </c>
      <c r="AP38" s="87"/>
      <c r="AQ38" s="87"/>
      <c r="AR38" s="87"/>
      <c r="AS38" s="87">
        <f t="shared" si="3"/>
        <v>0.38285714285714284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14</v>
      </c>
      <c r="T39" s="31">
        <v>8</v>
      </c>
      <c r="U39" s="31">
        <v>100</v>
      </c>
      <c r="V39" s="32">
        <v>1</v>
      </c>
      <c r="W39" s="32">
        <v>0</v>
      </c>
      <c r="X39" s="32">
        <v>75</v>
      </c>
      <c r="Y39" s="75">
        <v>6</v>
      </c>
      <c r="Z39" s="33">
        <v>0</v>
      </c>
      <c r="AA39" s="34">
        <v>20</v>
      </c>
      <c r="AB39" s="34">
        <v>0</v>
      </c>
      <c r="AC39" s="34">
        <v>0</v>
      </c>
      <c r="AD39" s="35">
        <v>0</v>
      </c>
      <c r="AE39" s="34">
        <v>0</v>
      </c>
      <c r="AF39" s="34">
        <v>0</v>
      </c>
      <c r="AG39" s="34">
        <v>0</v>
      </c>
      <c r="AH39" s="21"/>
      <c r="AI39" s="22"/>
      <c r="AK39" s="87">
        <f t="shared" si="2"/>
        <v>0.35</v>
      </c>
      <c r="AL39" s="87">
        <f t="shared" si="2"/>
        <v>0.4</v>
      </c>
      <c r="AM39" s="87">
        <f t="shared" si="2"/>
        <v>0.83333333333333337</v>
      </c>
      <c r="AN39" s="87">
        <f t="shared" si="2"/>
        <v>0.14285714285714285</v>
      </c>
      <c r="AO39" s="87">
        <f t="shared" si="2"/>
        <v>0</v>
      </c>
      <c r="AP39" s="87"/>
      <c r="AQ39" s="87"/>
      <c r="AR39" s="87"/>
      <c r="AS39" s="87">
        <f t="shared" si="3"/>
        <v>0.11428571428571428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>
        <v>30</v>
      </c>
      <c r="T40" s="31">
        <v>8</v>
      </c>
      <c r="U40" s="31">
        <v>80</v>
      </c>
      <c r="V40" s="32">
        <v>0</v>
      </c>
      <c r="W40" s="32">
        <v>0</v>
      </c>
      <c r="X40" s="32">
        <v>0</v>
      </c>
      <c r="Y40" s="75">
        <v>0</v>
      </c>
      <c r="Z40" s="33">
        <v>0</v>
      </c>
      <c r="AA40" s="34">
        <v>16</v>
      </c>
      <c r="AB40" s="34">
        <v>0</v>
      </c>
      <c r="AC40" s="34">
        <v>0</v>
      </c>
      <c r="AD40" s="35">
        <v>0</v>
      </c>
      <c r="AE40" s="34">
        <v>0</v>
      </c>
      <c r="AF40" s="34">
        <v>0</v>
      </c>
      <c r="AG40" s="34">
        <v>0</v>
      </c>
      <c r="AH40" s="21"/>
      <c r="AI40" s="22"/>
      <c r="AK40" s="87">
        <f t="shared" si="2"/>
        <v>0.75</v>
      </c>
      <c r="AL40" s="87">
        <f t="shared" si="2"/>
        <v>0.4</v>
      </c>
      <c r="AM40" s="87">
        <f t="shared" si="2"/>
        <v>0.66666666666666663</v>
      </c>
      <c r="AN40" s="87">
        <f t="shared" si="2"/>
        <v>0</v>
      </c>
      <c r="AO40" s="87">
        <f t="shared" si="2"/>
        <v>0</v>
      </c>
      <c r="AP40" s="87"/>
      <c r="AQ40" s="87"/>
      <c r="AR40" s="87"/>
      <c r="AS40" s="87">
        <f t="shared" si="3"/>
        <v>9.1428571428571428E-2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48</v>
      </c>
      <c r="T41" s="31">
        <v>35</v>
      </c>
      <c r="U41" s="31">
        <v>215</v>
      </c>
      <c r="V41" s="32">
        <v>8</v>
      </c>
      <c r="W41" s="32">
        <v>0</v>
      </c>
      <c r="X41" s="32">
        <v>15</v>
      </c>
      <c r="Y41" s="75">
        <v>10</v>
      </c>
      <c r="Z41" s="33">
        <v>0</v>
      </c>
      <c r="AA41" s="34">
        <v>85</v>
      </c>
      <c r="AB41" s="34">
        <v>0</v>
      </c>
      <c r="AC41" s="34">
        <v>0</v>
      </c>
      <c r="AD41" s="35">
        <v>0</v>
      </c>
      <c r="AE41" s="34">
        <v>0</v>
      </c>
      <c r="AF41" s="34">
        <v>0</v>
      </c>
      <c r="AG41" s="34">
        <v>0</v>
      </c>
      <c r="AH41" s="21"/>
      <c r="AI41" s="22"/>
      <c r="AK41" s="87">
        <f t="shared" si="2"/>
        <v>1.2</v>
      </c>
      <c r="AL41" s="87">
        <f t="shared" si="2"/>
        <v>1.75</v>
      </c>
      <c r="AM41" s="87">
        <f t="shared" si="2"/>
        <v>1.7916666666666667</v>
      </c>
      <c r="AN41" s="87">
        <f t="shared" si="2"/>
        <v>1.1428571428571428</v>
      </c>
      <c r="AO41" s="87">
        <f t="shared" si="2"/>
        <v>0</v>
      </c>
      <c r="AP41" s="87"/>
      <c r="AQ41" s="87"/>
      <c r="AR41" s="87"/>
      <c r="AS41" s="87">
        <f t="shared" si="3"/>
        <v>0.48571428571428571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>
        <v>20</v>
      </c>
      <c r="T42" s="31">
        <v>12</v>
      </c>
      <c r="U42" s="31">
        <v>51</v>
      </c>
      <c r="V42" s="32">
        <v>1</v>
      </c>
      <c r="W42" s="32">
        <v>0</v>
      </c>
      <c r="X42" s="32">
        <v>10</v>
      </c>
      <c r="Y42" s="75">
        <v>1</v>
      </c>
      <c r="Z42" s="33">
        <v>0</v>
      </c>
      <c r="AA42" s="34">
        <v>18</v>
      </c>
      <c r="AB42" s="34">
        <v>0</v>
      </c>
      <c r="AC42" s="34">
        <v>0</v>
      </c>
      <c r="AD42" s="35">
        <v>0</v>
      </c>
      <c r="AE42" s="34">
        <v>0</v>
      </c>
      <c r="AF42" s="34">
        <v>0</v>
      </c>
      <c r="AG42" s="34">
        <v>0</v>
      </c>
      <c r="AH42" s="21"/>
      <c r="AI42" s="22"/>
      <c r="AK42" s="87">
        <f t="shared" si="2"/>
        <v>0.5</v>
      </c>
      <c r="AL42" s="87">
        <f t="shared" si="2"/>
        <v>0.6</v>
      </c>
      <c r="AM42" s="87">
        <f t="shared" si="2"/>
        <v>0.42499999999999999</v>
      </c>
      <c r="AN42" s="87">
        <f t="shared" si="2"/>
        <v>0.14285714285714285</v>
      </c>
      <c r="AO42" s="87">
        <f t="shared" si="2"/>
        <v>0</v>
      </c>
      <c r="AP42" s="87"/>
      <c r="AQ42" s="87"/>
      <c r="AR42" s="87"/>
      <c r="AS42" s="87">
        <f t="shared" si="3"/>
        <v>0.10285714285714286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>
        <v>30</v>
      </c>
      <c r="T43" s="31">
        <v>10</v>
      </c>
      <c r="U43" s="31">
        <v>80</v>
      </c>
      <c r="V43" s="32">
        <v>2</v>
      </c>
      <c r="W43" s="32">
        <v>0</v>
      </c>
      <c r="X43" s="32">
        <v>0</v>
      </c>
      <c r="Y43" s="75">
        <v>0</v>
      </c>
      <c r="Z43" s="33">
        <v>0</v>
      </c>
      <c r="AA43" s="34">
        <v>12</v>
      </c>
      <c r="AB43" s="34">
        <v>0</v>
      </c>
      <c r="AC43" s="34">
        <v>0</v>
      </c>
      <c r="AD43" s="35">
        <v>0</v>
      </c>
      <c r="AE43" s="34">
        <v>0</v>
      </c>
      <c r="AF43" s="34">
        <v>0</v>
      </c>
      <c r="AG43" s="34">
        <v>0</v>
      </c>
      <c r="AH43" s="21"/>
      <c r="AI43" s="22"/>
      <c r="AK43" s="87">
        <f t="shared" si="2"/>
        <v>0.75</v>
      </c>
      <c r="AL43" s="87">
        <f t="shared" si="2"/>
        <v>0.5</v>
      </c>
      <c r="AM43" s="87">
        <f t="shared" si="2"/>
        <v>0.66666666666666663</v>
      </c>
      <c r="AN43" s="87">
        <f t="shared" si="2"/>
        <v>0.2857142857142857</v>
      </c>
      <c r="AO43" s="87">
        <f t="shared" si="2"/>
        <v>0</v>
      </c>
      <c r="AP43" s="87"/>
      <c r="AQ43" s="87"/>
      <c r="AR43" s="87"/>
      <c r="AS43" s="87">
        <f t="shared" si="3"/>
        <v>6.8571428571428575E-2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>
        <v>47</v>
      </c>
      <c r="T44" s="31">
        <v>20</v>
      </c>
      <c r="U44" s="31">
        <v>20</v>
      </c>
      <c r="V44" s="32">
        <v>7</v>
      </c>
      <c r="W44" s="32">
        <v>0</v>
      </c>
      <c r="X44" s="32">
        <v>80</v>
      </c>
      <c r="Y44" s="75">
        <v>8</v>
      </c>
      <c r="Z44" s="33">
        <v>0</v>
      </c>
      <c r="AA44" s="34">
        <v>90</v>
      </c>
      <c r="AB44" s="34">
        <v>0</v>
      </c>
      <c r="AC44" s="34">
        <v>0</v>
      </c>
      <c r="AD44" s="35">
        <v>0</v>
      </c>
      <c r="AE44" s="34">
        <v>0</v>
      </c>
      <c r="AF44" s="34">
        <v>0</v>
      </c>
      <c r="AG44" s="34">
        <v>0</v>
      </c>
      <c r="AH44" s="21"/>
      <c r="AI44" s="22"/>
      <c r="AK44" s="87">
        <f t="shared" si="2"/>
        <v>1.175</v>
      </c>
      <c r="AL44" s="87">
        <f t="shared" si="2"/>
        <v>1</v>
      </c>
      <c r="AM44" s="87">
        <f t="shared" si="2"/>
        <v>0.16666666666666666</v>
      </c>
      <c r="AN44" s="87">
        <f t="shared" si="2"/>
        <v>1</v>
      </c>
      <c r="AO44" s="87">
        <f t="shared" si="2"/>
        <v>0</v>
      </c>
      <c r="AP44" s="87"/>
      <c r="AQ44" s="87"/>
      <c r="AR44" s="87"/>
      <c r="AS44" s="87">
        <f t="shared" si="3"/>
        <v>0.51428571428571423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>
        <v>24</v>
      </c>
      <c r="T45" s="31">
        <v>19</v>
      </c>
      <c r="U45" s="31">
        <v>89</v>
      </c>
      <c r="V45" s="32">
        <v>7</v>
      </c>
      <c r="W45" s="32">
        <v>0</v>
      </c>
      <c r="X45" s="32">
        <v>57</v>
      </c>
      <c r="Y45" s="75">
        <v>0</v>
      </c>
      <c r="Z45" s="33">
        <v>0</v>
      </c>
      <c r="AA45" s="34">
        <v>31</v>
      </c>
      <c r="AB45" s="34">
        <v>0</v>
      </c>
      <c r="AC45" s="34">
        <v>0</v>
      </c>
      <c r="AD45" s="35">
        <v>0</v>
      </c>
      <c r="AE45" s="34">
        <v>0</v>
      </c>
      <c r="AF45" s="34">
        <v>0</v>
      </c>
      <c r="AG45" s="34">
        <v>0</v>
      </c>
      <c r="AH45" s="21"/>
      <c r="AI45" s="22"/>
      <c r="AK45" s="87">
        <f t="shared" si="2"/>
        <v>0.6</v>
      </c>
      <c r="AL45" s="87">
        <f t="shared" si="2"/>
        <v>0.95</v>
      </c>
      <c r="AM45" s="87">
        <f t="shared" si="2"/>
        <v>0.7416666666666667</v>
      </c>
      <c r="AN45" s="87">
        <f t="shared" si="2"/>
        <v>1</v>
      </c>
      <c r="AO45" s="87">
        <f t="shared" si="2"/>
        <v>0</v>
      </c>
      <c r="AP45" s="87"/>
      <c r="AQ45" s="87"/>
      <c r="AR45" s="87"/>
      <c r="AS45" s="87">
        <f t="shared" si="3"/>
        <v>0.17714285714285713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>
        <v>30</v>
      </c>
      <c r="T46" s="31">
        <v>20</v>
      </c>
      <c r="U46" s="31">
        <v>200</v>
      </c>
      <c r="V46" s="32">
        <v>1</v>
      </c>
      <c r="W46" s="32">
        <v>0</v>
      </c>
      <c r="X46" s="32">
        <v>50</v>
      </c>
      <c r="Y46" s="75">
        <v>0</v>
      </c>
      <c r="Z46" s="33">
        <v>0</v>
      </c>
      <c r="AA46" s="34">
        <v>30</v>
      </c>
      <c r="AB46" s="34">
        <v>0</v>
      </c>
      <c r="AC46" s="34">
        <v>0</v>
      </c>
      <c r="AD46" s="35">
        <v>0</v>
      </c>
      <c r="AE46" s="34">
        <v>0</v>
      </c>
      <c r="AF46" s="34">
        <v>0</v>
      </c>
      <c r="AG46" s="34">
        <v>0</v>
      </c>
      <c r="AH46" s="21"/>
      <c r="AI46" s="22"/>
      <c r="AK46" s="87">
        <f t="shared" si="2"/>
        <v>0.75</v>
      </c>
      <c r="AL46" s="87">
        <f t="shared" si="2"/>
        <v>1</v>
      </c>
      <c r="AM46" s="87">
        <f t="shared" si="2"/>
        <v>1.6666666666666667</v>
      </c>
      <c r="AN46" s="87">
        <f t="shared" si="2"/>
        <v>0.14285714285714285</v>
      </c>
      <c r="AO46" s="87">
        <f t="shared" si="2"/>
        <v>0</v>
      </c>
      <c r="AP46" s="87"/>
      <c r="AQ46" s="87"/>
      <c r="AR46" s="87"/>
      <c r="AS46" s="87">
        <f t="shared" si="3"/>
        <v>0.17142857142857143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>
        <v>16</v>
      </c>
      <c r="T47" s="31">
        <v>13</v>
      </c>
      <c r="U47" s="31">
        <v>48</v>
      </c>
      <c r="V47" s="32">
        <v>0</v>
      </c>
      <c r="W47" s="32">
        <v>0</v>
      </c>
      <c r="X47" s="32">
        <v>27</v>
      </c>
      <c r="Y47" s="75">
        <v>0</v>
      </c>
      <c r="Z47" s="33">
        <v>0</v>
      </c>
      <c r="AA47" s="34">
        <v>41</v>
      </c>
      <c r="AB47" s="34">
        <v>0</v>
      </c>
      <c r="AC47" s="34">
        <v>0</v>
      </c>
      <c r="AD47" s="35">
        <v>0</v>
      </c>
      <c r="AE47" s="34">
        <v>0</v>
      </c>
      <c r="AF47" s="34">
        <v>0</v>
      </c>
      <c r="AG47" s="34">
        <v>0</v>
      </c>
      <c r="AH47" s="21"/>
      <c r="AI47" s="22"/>
      <c r="AK47" s="87">
        <f t="shared" si="2"/>
        <v>0.4</v>
      </c>
      <c r="AL47" s="87">
        <f t="shared" si="2"/>
        <v>0.65</v>
      </c>
      <c r="AM47" s="87">
        <f t="shared" si="2"/>
        <v>0.4</v>
      </c>
      <c r="AN47" s="87">
        <f t="shared" si="2"/>
        <v>0</v>
      </c>
      <c r="AO47" s="87">
        <f t="shared" si="2"/>
        <v>0</v>
      </c>
      <c r="AP47" s="87"/>
      <c r="AQ47" s="87"/>
      <c r="AR47" s="87"/>
      <c r="AS47" s="87">
        <f t="shared" si="3"/>
        <v>0.23428571428571429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37</v>
      </c>
      <c r="T48" s="31">
        <v>20</v>
      </c>
      <c r="U48" s="31">
        <v>120</v>
      </c>
      <c r="V48" s="32">
        <v>7</v>
      </c>
      <c r="W48" s="32">
        <v>0</v>
      </c>
      <c r="X48" s="32">
        <v>80</v>
      </c>
      <c r="Y48" s="75">
        <v>18</v>
      </c>
      <c r="Z48" s="33">
        <v>0</v>
      </c>
      <c r="AA48" s="34">
        <v>70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/>
      <c r="AI48" s="22"/>
      <c r="AK48" s="87">
        <f t="shared" si="2"/>
        <v>0.92500000000000004</v>
      </c>
      <c r="AL48" s="87">
        <f t="shared" si="2"/>
        <v>1</v>
      </c>
      <c r="AM48" s="87">
        <f t="shared" si="2"/>
        <v>1</v>
      </c>
      <c r="AN48" s="87">
        <f t="shared" si="2"/>
        <v>1</v>
      </c>
      <c r="AO48" s="87">
        <f t="shared" si="2"/>
        <v>0</v>
      </c>
      <c r="AP48" s="87"/>
      <c r="AQ48" s="87"/>
      <c r="AR48" s="87"/>
      <c r="AS48" s="87">
        <f t="shared" si="3"/>
        <v>0.4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25</v>
      </c>
      <c r="T49" s="31">
        <v>15</v>
      </c>
      <c r="U49" s="31">
        <v>100</v>
      </c>
      <c r="V49" s="32">
        <v>7</v>
      </c>
      <c r="W49" s="32">
        <v>0</v>
      </c>
      <c r="X49" s="32">
        <v>67</v>
      </c>
      <c r="Y49" s="75">
        <v>6</v>
      </c>
      <c r="Z49" s="33">
        <v>0</v>
      </c>
      <c r="AA49" s="34">
        <v>20</v>
      </c>
      <c r="AB49" s="34">
        <v>0</v>
      </c>
      <c r="AC49" s="34">
        <v>0</v>
      </c>
      <c r="AD49" s="35">
        <v>0</v>
      </c>
      <c r="AE49" s="34">
        <v>0</v>
      </c>
      <c r="AF49" s="34">
        <v>0</v>
      </c>
      <c r="AG49" s="34">
        <v>0</v>
      </c>
      <c r="AH49" s="21"/>
      <c r="AI49" s="22"/>
      <c r="AK49" s="87">
        <f t="shared" si="2"/>
        <v>0.625</v>
      </c>
      <c r="AL49" s="87">
        <f t="shared" si="2"/>
        <v>0.75</v>
      </c>
      <c r="AM49" s="87">
        <f t="shared" si="2"/>
        <v>0.83333333333333337</v>
      </c>
      <c r="AN49" s="87">
        <f t="shared" si="2"/>
        <v>1</v>
      </c>
      <c r="AO49" s="87">
        <f t="shared" si="2"/>
        <v>0</v>
      </c>
      <c r="AP49" s="87"/>
      <c r="AQ49" s="87"/>
      <c r="AR49" s="87"/>
      <c r="AS49" s="87">
        <f t="shared" si="3"/>
        <v>0.11428571428571428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>
        <v>30</v>
      </c>
      <c r="T50" s="31">
        <v>20</v>
      </c>
      <c r="U50" s="31">
        <v>130</v>
      </c>
      <c r="V50" s="32">
        <v>4</v>
      </c>
      <c r="W50" s="32">
        <v>0</v>
      </c>
      <c r="X50" s="32">
        <v>80</v>
      </c>
      <c r="Y50" s="75">
        <v>40</v>
      </c>
      <c r="Z50" s="33">
        <v>0</v>
      </c>
      <c r="AA50" s="34">
        <v>30</v>
      </c>
      <c r="AB50" s="34">
        <v>0</v>
      </c>
      <c r="AC50" s="34">
        <v>0</v>
      </c>
      <c r="AD50" s="35">
        <v>0</v>
      </c>
      <c r="AE50" s="34">
        <v>0</v>
      </c>
      <c r="AF50" s="34">
        <v>0</v>
      </c>
      <c r="AG50" s="34">
        <v>0</v>
      </c>
      <c r="AH50" s="21"/>
      <c r="AI50" s="22"/>
      <c r="AK50" s="87">
        <f t="shared" si="2"/>
        <v>0.75</v>
      </c>
      <c r="AL50" s="87">
        <f t="shared" si="2"/>
        <v>1</v>
      </c>
      <c r="AM50" s="87">
        <f t="shared" si="2"/>
        <v>1.0833333333333333</v>
      </c>
      <c r="AN50" s="87">
        <f t="shared" si="2"/>
        <v>0.5714285714285714</v>
      </c>
      <c r="AO50" s="87">
        <f t="shared" si="2"/>
        <v>0</v>
      </c>
      <c r="AP50" s="87"/>
      <c r="AQ50" s="87"/>
      <c r="AR50" s="87"/>
      <c r="AS50" s="87">
        <f t="shared" si="3"/>
        <v>0.17142857142857143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10</v>
      </c>
      <c r="T51" s="31">
        <v>6</v>
      </c>
      <c r="U51" s="31">
        <v>23</v>
      </c>
      <c r="V51" s="32">
        <v>4</v>
      </c>
      <c r="W51" s="32">
        <v>0</v>
      </c>
      <c r="X51" s="32">
        <v>20</v>
      </c>
      <c r="Y51" s="75">
        <v>0</v>
      </c>
      <c r="Z51" s="33">
        <v>0</v>
      </c>
      <c r="AA51" s="34">
        <v>15</v>
      </c>
      <c r="AB51" s="34">
        <v>0</v>
      </c>
      <c r="AC51" s="34">
        <v>0</v>
      </c>
      <c r="AD51" s="35">
        <v>0</v>
      </c>
      <c r="AE51" s="34">
        <v>0</v>
      </c>
      <c r="AF51" s="34">
        <v>0</v>
      </c>
      <c r="AG51" s="34">
        <v>0</v>
      </c>
      <c r="AH51" s="21"/>
      <c r="AI51" s="22"/>
      <c r="AK51" s="87">
        <f t="shared" si="2"/>
        <v>0.25</v>
      </c>
      <c r="AL51" s="87">
        <f t="shared" si="2"/>
        <v>0.3</v>
      </c>
      <c r="AM51" s="87">
        <f t="shared" si="2"/>
        <v>0.19166666666666668</v>
      </c>
      <c r="AN51" s="87">
        <f t="shared" si="2"/>
        <v>0.5714285714285714</v>
      </c>
      <c r="AO51" s="87">
        <f t="shared" si="2"/>
        <v>0</v>
      </c>
      <c r="AP51" s="87"/>
      <c r="AQ51" s="87"/>
      <c r="AR51" s="87"/>
      <c r="AS51" s="87">
        <f t="shared" si="3"/>
        <v>8.5714285714285715E-2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40</v>
      </c>
      <c r="T52" s="31">
        <v>30</v>
      </c>
      <c r="U52" s="31">
        <v>100</v>
      </c>
      <c r="V52" s="32">
        <v>13</v>
      </c>
      <c r="W52" s="32">
        <v>0</v>
      </c>
      <c r="X52" s="32">
        <v>90</v>
      </c>
      <c r="Y52" s="75">
        <v>15</v>
      </c>
      <c r="Z52" s="33">
        <v>0</v>
      </c>
      <c r="AA52" s="34">
        <v>90</v>
      </c>
      <c r="AB52" s="34">
        <v>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/>
      <c r="AI52" s="22"/>
      <c r="AK52" s="87">
        <f t="shared" si="2"/>
        <v>1</v>
      </c>
      <c r="AL52" s="87">
        <f t="shared" si="2"/>
        <v>1.5</v>
      </c>
      <c r="AM52" s="87">
        <f t="shared" si="2"/>
        <v>0.83333333333333337</v>
      </c>
      <c r="AN52" s="87">
        <f t="shared" si="2"/>
        <v>1.8571428571428572</v>
      </c>
      <c r="AO52" s="87">
        <f t="shared" si="2"/>
        <v>0</v>
      </c>
      <c r="AP52" s="87"/>
      <c r="AQ52" s="87"/>
      <c r="AR52" s="87"/>
      <c r="AS52" s="87">
        <f t="shared" si="3"/>
        <v>0.51428571428571423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25</v>
      </c>
      <c r="T53" s="31">
        <v>10</v>
      </c>
      <c r="U53" s="31">
        <v>20</v>
      </c>
      <c r="V53" s="32">
        <v>0</v>
      </c>
      <c r="W53" s="32">
        <v>0</v>
      </c>
      <c r="X53" s="32">
        <v>15</v>
      </c>
      <c r="Y53" s="75">
        <v>4</v>
      </c>
      <c r="Z53" s="33">
        <v>0</v>
      </c>
      <c r="AA53" s="34">
        <v>30</v>
      </c>
      <c r="AB53" s="34">
        <v>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0.625</v>
      </c>
      <c r="AL53" s="87">
        <f t="shared" si="2"/>
        <v>0.5</v>
      </c>
      <c r="AM53" s="87">
        <f t="shared" si="2"/>
        <v>0.16666666666666666</v>
      </c>
      <c r="AN53" s="87">
        <f t="shared" si="2"/>
        <v>0</v>
      </c>
      <c r="AO53" s="87">
        <f t="shared" si="2"/>
        <v>0</v>
      </c>
      <c r="AP53" s="87"/>
      <c r="AQ53" s="87"/>
      <c r="AR53" s="87"/>
      <c r="AS53" s="87">
        <f t="shared" si="3"/>
        <v>0.17142857142857143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>
        <v>25</v>
      </c>
      <c r="T54" s="31">
        <v>8</v>
      </c>
      <c r="U54" s="31">
        <v>50</v>
      </c>
      <c r="V54" s="32">
        <v>0</v>
      </c>
      <c r="W54" s="32">
        <v>0</v>
      </c>
      <c r="X54" s="32">
        <v>10</v>
      </c>
      <c r="Y54" s="75">
        <v>10</v>
      </c>
      <c r="Z54" s="33">
        <v>0</v>
      </c>
      <c r="AA54" s="34">
        <v>20</v>
      </c>
      <c r="AB54" s="34">
        <v>5</v>
      </c>
      <c r="AC54" s="34">
        <v>0</v>
      </c>
      <c r="AD54" s="35">
        <v>0</v>
      </c>
      <c r="AE54" s="34">
        <v>0</v>
      </c>
      <c r="AF54" s="34">
        <v>0</v>
      </c>
      <c r="AG54" s="34">
        <v>0</v>
      </c>
      <c r="AH54" s="21"/>
      <c r="AI54" s="22"/>
      <c r="AK54" s="87">
        <f t="shared" si="2"/>
        <v>0.625</v>
      </c>
      <c r="AL54" s="87">
        <f t="shared" si="2"/>
        <v>0.4</v>
      </c>
      <c r="AM54" s="87">
        <f t="shared" si="2"/>
        <v>0.41666666666666669</v>
      </c>
      <c r="AN54" s="87">
        <f t="shared" si="2"/>
        <v>0</v>
      </c>
      <c r="AO54" s="87">
        <f t="shared" si="2"/>
        <v>0</v>
      </c>
      <c r="AP54" s="87"/>
      <c r="AQ54" s="87"/>
      <c r="AR54" s="87"/>
      <c r="AS54" s="87">
        <f t="shared" si="3"/>
        <v>0.11428571428571428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1410</v>
      </c>
      <c r="T55" s="61">
        <f t="shared" si="4"/>
        <v>806</v>
      </c>
      <c r="U55" s="61">
        <f t="shared" si="4"/>
        <v>5087</v>
      </c>
      <c r="V55" s="61">
        <f t="shared" si="4"/>
        <v>138</v>
      </c>
      <c r="W55" s="61">
        <f t="shared" si="4"/>
        <v>0</v>
      </c>
      <c r="X55" s="61">
        <f t="shared" si="4"/>
        <v>1713</v>
      </c>
      <c r="Y55" s="61">
        <f t="shared" si="4"/>
        <v>303</v>
      </c>
      <c r="Z55" s="61">
        <f t="shared" si="4"/>
        <v>0</v>
      </c>
      <c r="AA55" s="61">
        <f t="shared" si="4"/>
        <v>1833</v>
      </c>
      <c r="AB55" s="61">
        <f t="shared" si="4"/>
        <v>33</v>
      </c>
      <c r="AC55" s="61">
        <f t="shared" si="4"/>
        <v>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0.70499999999999996</v>
      </c>
      <c r="AL55" s="87">
        <f t="shared" si="2"/>
        <v>0.80600000000000005</v>
      </c>
      <c r="AM55" s="87">
        <f t="shared" si="2"/>
        <v>0.84783333333333333</v>
      </c>
      <c r="AN55" s="87">
        <f t="shared" si="2"/>
        <v>0.39428571428571429</v>
      </c>
      <c r="AO55" s="87">
        <f t="shared" si="2"/>
        <v>0</v>
      </c>
      <c r="AP55" s="87"/>
      <c r="AQ55" s="87"/>
      <c r="AR55" s="87"/>
      <c r="AS55" s="87">
        <f t="shared" si="3"/>
        <v>0.20948571428571428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1" t="s">
        <v>18</v>
      </c>
      <c r="C57" s="112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1410</v>
      </c>
      <c r="T57" s="24">
        <f>T55</f>
        <v>806</v>
      </c>
      <c r="U57" s="24">
        <f>U55/120</f>
        <v>42.391666666666666</v>
      </c>
      <c r="V57" s="25">
        <f>V55/6</f>
        <v>23</v>
      </c>
      <c r="W57" s="25">
        <f>W55/10</f>
        <v>0</v>
      </c>
      <c r="X57" s="25">
        <f>X55/100</f>
        <v>17.13</v>
      </c>
      <c r="Y57" s="76">
        <f>Y55/20</f>
        <v>15.15</v>
      </c>
      <c r="Z57" s="26">
        <f>Z55/60</f>
        <v>0</v>
      </c>
      <c r="AA57" s="27">
        <f>AA55/120</f>
        <v>15.275</v>
      </c>
      <c r="AB57" s="27">
        <f>AB55/100</f>
        <v>0.33</v>
      </c>
      <c r="AC57" s="27">
        <f>AC55/60</f>
        <v>0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7.065277777777778E-3</v>
      </c>
      <c r="AN57" s="25">
        <f>AN55/6</f>
        <v>6.5714285714285711E-2</v>
      </c>
      <c r="AO57" s="25">
        <f>AO55/20</f>
        <v>0</v>
      </c>
      <c r="AP57" s="25">
        <f>AP55/100</f>
        <v>0</v>
      </c>
      <c r="AQ57" s="76"/>
      <c r="AR57" s="26">
        <f>AR55/20</f>
        <v>0</v>
      </c>
      <c r="AS57" s="27">
        <f>AS55/120</f>
        <v>1.7457142857142856E-3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</sheetData>
  <autoFilter ref="A2:AI55" xr:uid="{52BF12B3-6147-4FF1-940F-243ACF8AEC82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</autoFilter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83A0-B23B-4533-B41F-D1F0C3DDC362}">
  <dimension ref="A1:AY5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46121</v>
      </c>
      <c r="D2" s="113" t="s">
        <v>107</v>
      </c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5" t="s">
        <v>108</v>
      </c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7"/>
      <c r="AK2" s="118" t="s">
        <v>109</v>
      </c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20"/>
    </row>
    <row r="3" spans="2:51" ht="18" thickBot="1" x14ac:dyDescent="0.3">
      <c r="B3" s="121" t="s">
        <v>1</v>
      </c>
      <c r="C3" s="123" t="s">
        <v>2</v>
      </c>
      <c r="D3" s="5" t="s">
        <v>3</v>
      </c>
      <c r="E3" s="6" t="str">
        <f>T3</f>
        <v>Acheteurs</v>
      </c>
      <c r="F3" s="125" t="s">
        <v>4</v>
      </c>
      <c r="G3" s="125"/>
      <c r="H3" s="125"/>
      <c r="I3" s="125"/>
      <c r="J3" s="126"/>
      <c r="K3" s="56"/>
      <c r="L3" s="127" t="s">
        <v>5</v>
      </c>
      <c r="M3" s="128"/>
      <c r="N3" s="129"/>
      <c r="O3" s="70"/>
      <c r="P3" s="70"/>
      <c r="Q3" s="70"/>
      <c r="R3" s="70"/>
      <c r="S3" s="7" t="s">
        <v>3</v>
      </c>
      <c r="T3" s="7" t="s">
        <v>6</v>
      </c>
      <c r="U3" s="130" t="s">
        <v>7</v>
      </c>
      <c r="V3" s="131"/>
      <c r="W3" s="131"/>
      <c r="X3" s="131"/>
      <c r="Y3" s="131"/>
      <c r="Z3" s="132"/>
      <c r="AA3" s="133" t="str">
        <f>L3</f>
        <v>Gratuités pour achats 
(en unités)</v>
      </c>
      <c r="AB3" s="134"/>
      <c r="AC3" s="135"/>
      <c r="AD3" s="133" t="s">
        <v>19</v>
      </c>
      <c r="AE3" s="134"/>
      <c r="AF3" s="134"/>
      <c r="AG3" s="135"/>
      <c r="AH3" s="136" t="s">
        <v>8</v>
      </c>
      <c r="AI3" s="138" t="s">
        <v>9</v>
      </c>
      <c r="AK3" s="79" t="s">
        <v>3</v>
      </c>
      <c r="AL3" s="79" t="s">
        <v>6</v>
      </c>
      <c r="AM3" s="140" t="s">
        <v>7</v>
      </c>
      <c r="AN3" s="141"/>
      <c r="AO3" s="141"/>
      <c r="AP3" s="141"/>
      <c r="AQ3" s="141"/>
      <c r="AR3" s="142"/>
      <c r="AS3" s="143" t="str">
        <f>AD3</f>
        <v>GOODIES</v>
      </c>
      <c r="AT3" s="144"/>
      <c r="AU3" s="145"/>
      <c r="AV3" s="143" t="s">
        <v>19</v>
      </c>
      <c r="AW3" s="144"/>
      <c r="AX3" s="144"/>
      <c r="AY3" s="145"/>
    </row>
    <row r="4" spans="2:51" ht="202.2" thickBot="1" x14ac:dyDescent="0.3">
      <c r="B4" s="122"/>
      <c r="C4" s="12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7"/>
      <c r="AI4" s="139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/>
      <c r="T5" s="31"/>
      <c r="U5" s="31"/>
      <c r="V5" s="32"/>
      <c r="W5" s="32"/>
      <c r="X5" s="32"/>
      <c r="Y5" s="75"/>
      <c r="Z5" s="33"/>
      <c r="AA5" s="34"/>
      <c r="AB5" s="34"/>
      <c r="AC5" s="34"/>
      <c r="AD5" s="35"/>
      <c r="AE5" s="34"/>
      <c r="AF5" s="34"/>
      <c r="AG5" s="34"/>
      <c r="AH5" s="21"/>
      <c r="AI5" s="22"/>
      <c r="AK5" s="87">
        <f>S5/D5</f>
        <v>0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>
        <v>30</v>
      </c>
      <c r="T6" s="31">
        <v>20</v>
      </c>
      <c r="U6" s="31">
        <v>200</v>
      </c>
      <c r="V6" s="32">
        <v>4</v>
      </c>
      <c r="W6" s="32">
        <v>0</v>
      </c>
      <c r="X6" s="32">
        <v>50</v>
      </c>
      <c r="Y6" s="75">
        <v>30</v>
      </c>
      <c r="Z6" s="33">
        <v>0</v>
      </c>
      <c r="AA6" s="34">
        <v>40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7">
        <f t="shared" ref="AK6:AO55" si="2">S6/D6</f>
        <v>0.75</v>
      </c>
      <c r="AL6" s="87">
        <f t="shared" si="0"/>
        <v>1</v>
      </c>
      <c r="AM6" s="87">
        <f t="shared" si="0"/>
        <v>1.6666666666666667</v>
      </c>
      <c r="AN6" s="87">
        <f t="shared" si="0"/>
        <v>0.5714285714285714</v>
      </c>
      <c r="AO6" s="87">
        <f t="shared" si="0"/>
        <v>0</v>
      </c>
      <c r="AP6" s="87"/>
      <c r="AQ6" s="87"/>
      <c r="AR6" s="87"/>
      <c r="AS6" s="87">
        <f t="shared" si="0"/>
        <v>0.22857142857142856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33</v>
      </c>
      <c r="T7" s="31">
        <v>26</v>
      </c>
      <c r="U7" s="31">
        <v>300</v>
      </c>
      <c r="V7" s="32">
        <v>7</v>
      </c>
      <c r="W7" s="32">
        <v>0</v>
      </c>
      <c r="X7" s="32">
        <v>40</v>
      </c>
      <c r="Y7" s="75">
        <v>60</v>
      </c>
      <c r="Z7" s="33">
        <v>0</v>
      </c>
      <c r="AA7" s="34">
        <v>25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0.82499999999999996</v>
      </c>
      <c r="AL7" s="87">
        <f t="shared" si="0"/>
        <v>1.3</v>
      </c>
      <c r="AM7" s="87">
        <f t="shared" si="0"/>
        <v>2.5</v>
      </c>
      <c r="AN7" s="87">
        <f t="shared" si="0"/>
        <v>1</v>
      </c>
      <c r="AO7" s="87">
        <f t="shared" si="0"/>
        <v>0</v>
      </c>
      <c r="AP7" s="87"/>
      <c r="AQ7" s="87"/>
      <c r="AR7" s="87"/>
      <c r="AS7" s="87">
        <f t="shared" si="0"/>
        <v>0.14285714285714285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13</v>
      </c>
      <c r="T8" s="31">
        <v>9</v>
      </c>
      <c r="U8" s="31">
        <v>80</v>
      </c>
      <c r="V8" s="32">
        <v>0</v>
      </c>
      <c r="W8" s="32">
        <v>0</v>
      </c>
      <c r="X8" s="32">
        <v>0</v>
      </c>
      <c r="Y8" s="75">
        <v>3</v>
      </c>
      <c r="Z8" s="33">
        <v>0</v>
      </c>
      <c r="AA8" s="34">
        <v>19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7">
        <f t="shared" si="2"/>
        <v>0.32500000000000001</v>
      </c>
      <c r="AL8" s="87">
        <f t="shared" si="0"/>
        <v>0.45</v>
      </c>
      <c r="AM8" s="87">
        <f t="shared" si="0"/>
        <v>0.66666666666666663</v>
      </c>
      <c r="AN8" s="87">
        <f t="shared" si="0"/>
        <v>0</v>
      </c>
      <c r="AO8" s="87">
        <f t="shared" si="0"/>
        <v>0</v>
      </c>
      <c r="AP8" s="87"/>
      <c r="AQ8" s="87"/>
      <c r="AR8" s="87"/>
      <c r="AS8" s="87">
        <f t="shared" si="0"/>
        <v>0.10857142857142857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25</v>
      </c>
      <c r="T9" s="31">
        <v>19</v>
      </c>
      <c r="U9" s="31">
        <v>160</v>
      </c>
      <c r="V9" s="32">
        <v>3</v>
      </c>
      <c r="W9" s="32">
        <v>0</v>
      </c>
      <c r="X9" s="32">
        <v>10</v>
      </c>
      <c r="Y9" s="75">
        <v>0</v>
      </c>
      <c r="Z9" s="33">
        <v>0</v>
      </c>
      <c r="AA9" s="34">
        <v>35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7">
        <f t="shared" si="2"/>
        <v>0.625</v>
      </c>
      <c r="AL9" s="87">
        <f t="shared" si="0"/>
        <v>0.95</v>
      </c>
      <c r="AM9" s="87">
        <f t="shared" si="0"/>
        <v>1.3333333333333333</v>
      </c>
      <c r="AN9" s="87">
        <f t="shared" si="0"/>
        <v>0.42857142857142855</v>
      </c>
      <c r="AO9" s="87">
        <f t="shared" si="0"/>
        <v>0</v>
      </c>
      <c r="AP9" s="87"/>
      <c r="AQ9" s="87"/>
      <c r="AR9" s="87"/>
      <c r="AS9" s="87">
        <f t="shared" si="0"/>
        <v>0.2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35</v>
      </c>
      <c r="T10" s="31">
        <v>22</v>
      </c>
      <c r="U10" s="31">
        <v>164</v>
      </c>
      <c r="V10" s="32">
        <v>6</v>
      </c>
      <c r="W10" s="32">
        <v>0</v>
      </c>
      <c r="X10" s="32">
        <v>21</v>
      </c>
      <c r="Y10" s="75">
        <v>17</v>
      </c>
      <c r="Z10" s="33">
        <v>0</v>
      </c>
      <c r="AA10" s="34">
        <v>67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7">
        <f t="shared" si="2"/>
        <v>0.875</v>
      </c>
      <c r="AL10" s="87">
        <f t="shared" si="0"/>
        <v>1.1000000000000001</v>
      </c>
      <c r="AM10" s="87">
        <f t="shared" si="0"/>
        <v>1.3666666666666667</v>
      </c>
      <c r="AN10" s="87">
        <f t="shared" si="0"/>
        <v>0.8571428571428571</v>
      </c>
      <c r="AO10" s="87">
        <f t="shared" si="0"/>
        <v>0</v>
      </c>
      <c r="AP10" s="87"/>
      <c r="AQ10" s="87"/>
      <c r="AR10" s="87"/>
      <c r="AS10" s="87">
        <f t="shared" si="0"/>
        <v>0.38285714285714284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30</v>
      </c>
      <c r="T11" s="31">
        <v>24</v>
      </c>
      <c r="U11" s="31">
        <v>140</v>
      </c>
      <c r="V11" s="32">
        <v>20</v>
      </c>
      <c r="W11" s="32">
        <v>0</v>
      </c>
      <c r="X11" s="32">
        <v>60</v>
      </c>
      <c r="Y11" s="75">
        <v>0</v>
      </c>
      <c r="Z11" s="33">
        <v>0</v>
      </c>
      <c r="AA11" s="34">
        <v>20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7">
        <f t="shared" si="2"/>
        <v>0.75</v>
      </c>
      <c r="AL11" s="87">
        <f t="shared" si="0"/>
        <v>1.2</v>
      </c>
      <c r="AM11" s="87">
        <f t="shared" si="0"/>
        <v>1.1666666666666667</v>
      </c>
      <c r="AN11" s="87">
        <f t="shared" si="0"/>
        <v>2.8571428571428572</v>
      </c>
      <c r="AO11" s="87">
        <f t="shared" si="0"/>
        <v>0</v>
      </c>
      <c r="AP11" s="87"/>
      <c r="AQ11" s="87"/>
      <c r="AR11" s="87"/>
      <c r="AS11" s="87">
        <f t="shared" si="0"/>
        <v>0.11428571428571428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20</v>
      </c>
      <c r="T12" s="31">
        <v>16</v>
      </c>
      <c r="U12" s="31">
        <v>60</v>
      </c>
      <c r="V12" s="32">
        <v>2</v>
      </c>
      <c r="W12" s="32">
        <v>0</v>
      </c>
      <c r="X12" s="32">
        <v>50</v>
      </c>
      <c r="Y12" s="75">
        <v>5</v>
      </c>
      <c r="Z12" s="33">
        <v>0</v>
      </c>
      <c r="AA12" s="34">
        <v>5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/>
      <c r="AK12" s="87">
        <f t="shared" si="2"/>
        <v>0.5</v>
      </c>
      <c r="AL12" s="87">
        <f t="shared" si="0"/>
        <v>0.8</v>
      </c>
      <c r="AM12" s="87">
        <f t="shared" si="0"/>
        <v>0.5</v>
      </c>
      <c r="AN12" s="87">
        <f t="shared" si="0"/>
        <v>0.2857142857142857</v>
      </c>
      <c r="AO12" s="87">
        <f t="shared" si="0"/>
        <v>0</v>
      </c>
      <c r="AP12" s="87"/>
      <c r="AQ12" s="87"/>
      <c r="AR12" s="87"/>
      <c r="AS12" s="87">
        <f t="shared" si="0"/>
        <v>2.8571428571428571E-2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30</v>
      </c>
      <c r="T13" s="31">
        <v>17</v>
      </c>
      <c r="U13" s="31">
        <v>100</v>
      </c>
      <c r="V13" s="32">
        <v>1</v>
      </c>
      <c r="W13" s="32">
        <v>0</v>
      </c>
      <c r="X13" s="32">
        <v>35</v>
      </c>
      <c r="Y13" s="75">
        <v>7</v>
      </c>
      <c r="Z13" s="33">
        <v>0</v>
      </c>
      <c r="AA13" s="34">
        <v>47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7">
        <f t="shared" si="2"/>
        <v>0.75</v>
      </c>
      <c r="AL13" s="87">
        <f t="shared" si="0"/>
        <v>0.85</v>
      </c>
      <c r="AM13" s="87">
        <f t="shared" si="0"/>
        <v>0.83333333333333337</v>
      </c>
      <c r="AN13" s="87">
        <f t="shared" si="0"/>
        <v>0.14285714285714285</v>
      </c>
      <c r="AO13" s="87">
        <f t="shared" si="0"/>
        <v>0</v>
      </c>
      <c r="AP13" s="87"/>
      <c r="AQ13" s="87"/>
      <c r="AR13" s="87"/>
      <c r="AS13" s="87">
        <f t="shared" si="0"/>
        <v>0.26857142857142857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26</v>
      </c>
      <c r="T14" s="31">
        <v>10</v>
      </c>
      <c r="U14" s="31">
        <v>50</v>
      </c>
      <c r="V14" s="32">
        <v>0</v>
      </c>
      <c r="W14" s="32">
        <v>0</v>
      </c>
      <c r="X14" s="32">
        <v>0</v>
      </c>
      <c r="Y14" s="75">
        <v>0</v>
      </c>
      <c r="Z14" s="33">
        <v>0</v>
      </c>
      <c r="AA14" s="34">
        <v>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7">
        <f t="shared" si="2"/>
        <v>0.65</v>
      </c>
      <c r="AL14" s="87">
        <f t="shared" si="0"/>
        <v>0.5</v>
      </c>
      <c r="AM14" s="87">
        <f t="shared" si="0"/>
        <v>0.41666666666666669</v>
      </c>
      <c r="AN14" s="87">
        <f t="shared" si="0"/>
        <v>0</v>
      </c>
      <c r="AO14" s="87">
        <f t="shared" si="0"/>
        <v>0</v>
      </c>
      <c r="AP14" s="87"/>
      <c r="AQ14" s="87"/>
      <c r="AR14" s="87"/>
      <c r="AS14" s="87">
        <f t="shared" si="0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25</v>
      </c>
      <c r="T15" s="31">
        <v>20</v>
      </c>
      <c r="U15" s="31">
        <v>45</v>
      </c>
      <c r="V15" s="32">
        <v>2</v>
      </c>
      <c r="W15" s="32">
        <v>0</v>
      </c>
      <c r="X15" s="32">
        <v>14</v>
      </c>
      <c r="Y15" s="75">
        <v>5</v>
      </c>
      <c r="Z15" s="33">
        <v>0</v>
      </c>
      <c r="AA15" s="34">
        <v>52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7">
        <f t="shared" si="2"/>
        <v>0.625</v>
      </c>
      <c r="AL15" s="87">
        <f t="shared" si="0"/>
        <v>1</v>
      </c>
      <c r="AM15" s="87">
        <f t="shared" si="0"/>
        <v>0.375</v>
      </c>
      <c r="AN15" s="87">
        <f t="shared" si="0"/>
        <v>0.2857142857142857</v>
      </c>
      <c r="AO15" s="87">
        <f t="shared" si="0"/>
        <v>0</v>
      </c>
      <c r="AP15" s="87"/>
      <c r="AQ15" s="87"/>
      <c r="AR15" s="87"/>
      <c r="AS15" s="87">
        <f t="shared" si="0"/>
        <v>0.29714285714285715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25</v>
      </c>
      <c r="T16" s="31">
        <v>20</v>
      </c>
      <c r="U16" s="31">
        <v>80</v>
      </c>
      <c r="V16" s="32">
        <v>5</v>
      </c>
      <c r="W16" s="32">
        <v>0</v>
      </c>
      <c r="X16" s="32">
        <v>40</v>
      </c>
      <c r="Y16" s="75">
        <v>0</v>
      </c>
      <c r="Z16" s="33">
        <v>0</v>
      </c>
      <c r="AA16" s="34">
        <v>50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/>
      <c r="AI16" s="22"/>
      <c r="AK16" s="87">
        <f t="shared" si="2"/>
        <v>0.625</v>
      </c>
      <c r="AL16" s="87">
        <f t="shared" si="0"/>
        <v>1</v>
      </c>
      <c r="AM16" s="87">
        <f t="shared" si="0"/>
        <v>0.66666666666666663</v>
      </c>
      <c r="AN16" s="87">
        <f t="shared" si="0"/>
        <v>0.7142857142857143</v>
      </c>
      <c r="AO16" s="87">
        <f t="shared" si="0"/>
        <v>0</v>
      </c>
      <c r="AP16" s="87"/>
      <c r="AQ16" s="87"/>
      <c r="AR16" s="87"/>
      <c r="AS16" s="87">
        <f t="shared" si="0"/>
        <v>0.2857142857142857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17</v>
      </c>
      <c r="T17" s="31">
        <v>5</v>
      </c>
      <c r="U17" s="31">
        <v>30</v>
      </c>
      <c r="V17" s="32">
        <v>0</v>
      </c>
      <c r="W17" s="32">
        <v>0</v>
      </c>
      <c r="X17" s="32">
        <v>6</v>
      </c>
      <c r="Y17" s="75">
        <v>6</v>
      </c>
      <c r="Z17" s="33">
        <v>0</v>
      </c>
      <c r="AA17" s="34">
        <v>30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21"/>
      <c r="AI17" s="22"/>
      <c r="AK17" s="87">
        <f t="shared" si="2"/>
        <v>0.42499999999999999</v>
      </c>
      <c r="AL17" s="87">
        <f t="shared" si="0"/>
        <v>0.25</v>
      </c>
      <c r="AM17" s="87">
        <f t="shared" si="0"/>
        <v>0.25</v>
      </c>
      <c r="AN17" s="87">
        <f t="shared" si="0"/>
        <v>0</v>
      </c>
      <c r="AO17" s="87">
        <f t="shared" si="0"/>
        <v>0</v>
      </c>
      <c r="AP17" s="87"/>
      <c r="AQ17" s="87"/>
      <c r="AR17" s="87"/>
      <c r="AS17" s="87">
        <f t="shared" si="0"/>
        <v>0.17142857142857143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35</v>
      </c>
      <c r="T18" s="31">
        <v>10</v>
      </c>
      <c r="U18" s="31">
        <v>105</v>
      </c>
      <c r="V18" s="32">
        <v>0</v>
      </c>
      <c r="W18" s="32">
        <v>0</v>
      </c>
      <c r="X18" s="32">
        <v>0</v>
      </c>
      <c r="Y18" s="75">
        <v>0</v>
      </c>
      <c r="Z18" s="33">
        <v>0</v>
      </c>
      <c r="AA18" s="34">
        <v>10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7">
        <f t="shared" si="2"/>
        <v>0.875</v>
      </c>
      <c r="AL18" s="87">
        <f t="shared" si="0"/>
        <v>0.5</v>
      </c>
      <c r="AM18" s="87">
        <f t="shared" si="0"/>
        <v>0.875</v>
      </c>
      <c r="AN18" s="87">
        <f t="shared" si="0"/>
        <v>0</v>
      </c>
      <c r="AO18" s="87">
        <f t="shared" si="0"/>
        <v>0</v>
      </c>
      <c r="AP18" s="87"/>
      <c r="AQ18" s="87"/>
      <c r="AR18" s="87"/>
      <c r="AS18" s="87">
        <f t="shared" si="0"/>
        <v>5.7142857142857141E-2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30</v>
      </c>
      <c r="T19" s="31">
        <v>15</v>
      </c>
      <c r="U19" s="31">
        <v>62</v>
      </c>
      <c r="V19" s="32">
        <v>1</v>
      </c>
      <c r="W19" s="32">
        <v>0</v>
      </c>
      <c r="X19" s="32">
        <v>21</v>
      </c>
      <c r="Y19" s="75">
        <v>0</v>
      </c>
      <c r="Z19" s="33">
        <v>0</v>
      </c>
      <c r="AA19" s="34">
        <v>22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7">
        <f t="shared" si="2"/>
        <v>0.75</v>
      </c>
      <c r="AL19" s="87">
        <f t="shared" si="0"/>
        <v>0.75</v>
      </c>
      <c r="AM19" s="87">
        <f t="shared" si="0"/>
        <v>0.51666666666666672</v>
      </c>
      <c r="AN19" s="87">
        <f t="shared" si="0"/>
        <v>0.14285714285714285</v>
      </c>
      <c r="AO19" s="87">
        <f t="shared" si="0"/>
        <v>0</v>
      </c>
      <c r="AP19" s="87"/>
      <c r="AQ19" s="87"/>
      <c r="AR19" s="87"/>
      <c r="AS19" s="87">
        <f t="shared" si="0"/>
        <v>0.12571428571428572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34</v>
      </c>
      <c r="T20" s="31">
        <v>25</v>
      </c>
      <c r="U20" s="31">
        <v>89</v>
      </c>
      <c r="V20" s="32">
        <v>0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7">
        <f t="shared" si="2"/>
        <v>0.85</v>
      </c>
      <c r="AL20" s="87">
        <f t="shared" si="0"/>
        <v>1.25</v>
      </c>
      <c r="AM20" s="87">
        <f t="shared" si="0"/>
        <v>0.7416666666666667</v>
      </c>
      <c r="AN20" s="87">
        <f t="shared" si="0"/>
        <v>0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20</v>
      </c>
      <c r="T21" s="31">
        <v>8</v>
      </c>
      <c r="U21" s="31">
        <v>130</v>
      </c>
      <c r="V21" s="32">
        <v>2</v>
      </c>
      <c r="W21" s="32">
        <v>0</v>
      </c>
      <c r="X21" s="32">
        <v>50</v>
      </c>
      <c r="Y21" s="75">
        <v>8</v>
      </c>
      <c r="Z21" s="33">
        <v>0</v>
      </c>
      <c r="AA21" s="34">
        <v>79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7">
        <f t="shared" si="2"/>
        <v>0.5</v>
      </c>
      <c r="AL21" s="87">
        <f t="shared" si="2"/>
        <v>0.4</v>
      </c>
      <c r="AM21" s="87">
        <f t="shared" si="2"/>
        <v>1.0833333333333333</v>
      </c>
      <c r="AN21" s="87">
        <f t="shared" si="2"/>
        <v>0.2857142857142857</v>
      </c>
      <c r="AO21" s="87">
        <f t="shared" si="2"/>
        <v>0</v>
      </c>
      <c r="AP21" s="87"/>
      <c r="AQ21" s="87"/>
      <c r="AR21" s="87"/>
      <c r="AS21" s="87">
        <f t="shared" ref="AS21:AS55" si="3">AA21/L21</f>
        <v>0.4514285714285714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5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7">
        <f t="shared" si="2"/>
        <v>0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20</v>
      </c>
      <c r="T23" s="31">
        <v>12</v>
      </c>
      <c r="U23" s="31">
        <v>105</v>
      </c>
      <c r="V23" s="32">
        <v>0</v>
      </c>
      <c r="W23" s="32">
        <v>0</v>
      </c>
      <c r="X23" s="32">
        <v>15</v>
      </c>
      <c r="Y23" s="75">
        <v>4</v>
      </c>
      <c r="Z23" s="33">
        <v>0</v>
      </c>
      <c r="AA23" s="34">
        <v>27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21"/>
      <c r="AI23" s="22"/>
      <c r="AK23" s="87">
        <f t="shared" si="2"/>
        <v>0.5</v>
      </c>
      <c r="AL23" s="87">
        <f t="shared" si="2"/>
        <v>0.6</v>
      </c>
      <c r="AM23" s="87">
        <f t="shared" si="2"/>
        <v>0.875</v>
      </c>
      <c r="AN23" s="87">
        <f t="shared" si="2"/>
        <v>0</v>
      </c>
      <c r="AO23" s="87">
        <f t="shared" si="2"/>
        <v>0</v>
      </c>
      <c r="AP23" s="87"/>
      <c r="AQ23" s="87"/>
      <c r="AR23" s="87"/>
      <c r="AS23" s="87">
        <f t="shared" si="3"/>
        <v>0.15428571428571428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28</v>
      </c>
      <c r="T24" s="31">
        <v>8</v>
      </c>
      <c r="U24" s="31">
        <v>30</v>
      </c>
      <c r="V24" s="32">
        <v>0</v>
      </c>
      <c r="W24" s="32">
        <v>0</v>
      </c>
      <c r="X24" s="32">
        <v>24</v>
      </c>
      <c r="Y24" s="75">
        <v>0</v>
      </c>
      <c r="Z24" s="33">
        <v>0</v>
      </c>
      <c r="AA24" s="34">
        <v>14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/>
      <c r="AI24" s="22"/>
      <c r="AK24" s="87">
        <f t="shared" si="2"/>
        <v>0.7</v>
      </c>
      <c r="AL24" s="87">
        <f t="shared" si="2"/>
        <v>0.4</v>
      </c>
      <c r="AM24" s="87">
        <f t="shared" si="2"/>
        <v>0.25</v>
      </c>
      <c r="AN24" s="87">
        <f t="shared" si="2"/>
        <v>0</v>
      </c>
      <c r="AO24" s="87">
        <f t="shared" si="2"/>
        <v>0</v>
      </c>
      <c r="AP24" s="87"/>
      <c r="AQ24" s="87"/>
      <c r="AR24" s="87"/>
      <c r="AS24" s="87">
        <f t="shared" si="3"/>
        <v>0.08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>
        <v>33</v>
      </c>
      <c r="T25" s="31">
        <v>30</v>
      </c>
      <c r="U25" s="31">
        <v>90</v>
      </c>
      <c r="V25" s="32">
        <v>3</v>
      </c>
      <c r="W25" s="32">
        <v>0</v>
      </c>
      <c r="X25" s="32">
        <v>40</v>
      </c>
      <c r="Y25" s="75">
        <v>8</v>
      </c>
      <c r="Z25" s="33">
        <v>0</v>
      </c>
      <c r="AA25" s="34">
        <v>40</v>
      </c>
      <c r="AB25" s="34">
        <v>0</v>
      </c>
      <c r="AC25" s="34">
        <v>0</v>
      </c>
      <c r="AD25" s="35">
        <v>0</v>
      </c>
      <c r="AE25" s="34">
        <v>0</v>
      </c>
      <c r="AF25" s="34">
        <v>0</v>
      </c>
      <c r="AG25" s="34">
        <v>0</v>
      </c>
      <c r="AH25" s="21"/>
      <c r="AI25" s="22"/>
      <c r="AK25" s="87">
        <f t="shared" si="2"/>
        <v>0.82499999999999996</v>
      </c>
      <c r="AL25" s="87">
        <f t="shared" si="2"/>
        <v>1.5</v>
      </c>
      <c r="AM25" s="87">
        <f t="shared" si="2"/>
        <v>0.75</v>
      </c>
      <c r="AN25" s="87">
        <f t="shared" si="2"/>
        <v>0.42857142857142855</v>
      </c>
      <c r="AO25" s="87">
        <f t="shared" si="2"/>
        <v>0</v>
      </c>
      <c r="AP25" s="87"/>
      <c r="AQ25" s="87"/>
      <c r="AR25" s="87"/>
      <c r="AS25" s="87">
        <f t="shared" si="3"/>
        <v>0.22857142857142856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>
        <v>50</v>
      </c>
      <c r="T26" s="31">
        <v>39</v>
      </c>
      <c r="U26" s="31">
        <v>45</v>
      </c>
      <c r="V26" s="32">
        <v>4</v>
      </c>
      <c r="W26" s="32">
        <v>0</v>
      </c>
      <c r="X26" s="32">
        <v>15</v>
      </c>
      <c r="Y26" s="75">
        <v>5</v>
      </c>
      <c r="Z26" s="33">
        <v>0</v>
      </c>
      <c r="AA26" s="34">
        <v>50</v>
      </c>
      <c r="AB26" s="34">
        <v>0</v>
      </c>
      <c r="AC26" s="34">
        <v>0</v>
      </c>
      <c r="AD26" s="35">
        <v>0</v>
      </c>
      <c r="AE26" s="34">
        <v>0</v>
      </c>
      <c r="AF26" s="34">
        <v>0</v>
      </c>
      <c r="AG26" s="34">
        <v>0</v>
      </c>
      <c r="AH26" s="21"/>
      <c r="AI26" s="22"/>
      <c r="AK26" s="87">
        <f t="shared" si="2"/>
        <v>1.25</v>
      </c>
      <c r="AL26" s="87">
        <f t="shared" si="2"/>
        <v>1.95</v>
      </c>
      <c r="AM26" s="87">
        <f t="shared" si="2"/>
        <v>0.375</v>
      </c>
      <c r="AN26" s="87">
        <f t="shared" si="2"/>
        <v>0.5714285714285714</v>
      </c>
      <c r="AO26" s="87">
        <f t="shared" si="2"/>
        <v>0</v>
      </c>
      <c r="AP26" s="87"/>
      <c r="AQ26" s="87"/>
      <c r="AR26" s="87"/>
      <c r="AS26" s="87">
        <f t="shared" si="3"/>
        <v>0.2857142857142857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>
        <v>38</v>
      </c>
      <c r="T27" s="31">
        <v>26</v>
      </c>
      <c r="U27" s="31">
        <v>205</v>
      </c>
      <c r="V27" s="32">
        <v>8</v>
      </c>
      <c r="W27" s="32">
        <v>0</v>
      </c>
      <c r="X27" s="32">
        <v>140</v>
      </c>
      <c r="Y27" s="75">
        <v>25</v>
      </c>
      <c r="Z27" s="33">
        <v>0</v>
      </c>
      <c r="AA27" s="34">
        <v>45</v>
      </c>
      <c r="AB27" s="34">
        <v>0</v>
      </c>
      <c r="AC27" s="34">
        <v>0</v>
      </c>
      <c r="AD27" s="35">
        <v>0</v>
      </c>
      <c r="AE27" s="34">
        <v>0</v>
      </c>
      <c r="AF27" s="34">
        <v>0</v>
      </c>
      <c r="AG27" s="34">
        <v>0</v>
      </c>
      <c r="AH27" s="21"/>
      <c r="AI27" s="22"/>
      <c r="AK27" s="87">
        <f t="shared" si="2"/>
        <v>0.95</v>
      </c>
      <c r="AL27" s="87">
        <f t="shared" si="2"/>
        <v>1.3</v>
      </c>
      <c r="AM27" s="87">
        <f t="shared" si="2"/>
        <v>1.7083333333333333</v>
      </c>
      <c r="AN27" s="87">
        <f t="shared" si="2"/>
        <v>1.1428571428571428</v>
      </c>
      <c r="AO27" s="87">
        <f t="shared" si="2"/>
        <v>0</v>
      </c>
      <c r="AP27" s="87"/>
      <c r="AQ27" s="87"/>
      <c r="AR27" s="87"/>
      <c r="AS27" s="87">
        <f t="shared" si="3"/>
        <v>0.25714285714285712</v>
      </c>
      <c r="AT27" s="87"/>
      <c r="AU27" s="87"/>
      <c r="AV27" s="87"/>
      <c r="AW27" s="87"/>
      <c r="AX27" s="87"/>
      <c r="AY27" s="87"/>
    </row>
    <row r="28" spans="2:51" ht="17.399999999999999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15</v>
      </c>
      <c r="T28" s="31">
        <v>6</v>
      </c>
      <c r="U28" s="31">
        <v>60</v>
      </c>
      <c r="V28" s="32">
        <v>1</v>
      </c>
      <c r="W28" s="32">
        <v>0</v>
      </c>
      <c r="X28" s="32">
        <v>0</v>
      </c>
      <c r="Y28" s="75">
        <v>3</v>
      </c>
      <c r="Z28" s="33">
        <v>0</v>
      </c>
      <c r="AA28" s="34">
        <v>20</v>
      </c>
      <c r="AB28" s="34">
        <v>0</v>
      </c>
      <c r="AC28" s="34">
        <v>0</v>
      </c>
      <c r="AD28" s="35">
        <v>0</v>
      </c>
      <c r="AE28" s="34">
        <v>0</v>
      </c>
      <c r="AF28" s="34">
        <v>0</v>
      </c>
      <c r="AG28" s="34">
        <v>0</v>
      </c>
      <c r="AH28" s="21"/>
      <c r="AI28" s="22"/>
      <c r="AK28" s="87">
        <f t="shared" si="2"/>
        <v>0.375</v>
      </c>
      <c r="AL28" s="87">
        <f t="shared" si="2"/>
        <v>0.3</v>
      </c>
      <c r="AM28" s="87">
        <f t="shared" si="2"/>
        <v>0.5</v>
      </c>
      <c r="AN28" s="87">
        <f t="shared" si="2"/>
        <v>0.14285714285714285</v>
      </c>
      <c r="AO28" s="87">
        <f t="shared" si="2"/>
        <v>0</v>
      </c>
      <c r="AP28" s="87"/>
      <c r="AQ28" s="87"/>
      <c r="AR28" s="87"/>
      <c r="AS28" s="87">
        <f t="shared" si="3"/>
        <v>0.11428571428571428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>
        <v>12</v>
      </c>
      <c r="T29" s="31">
        <v>6</v>
      </c>
      <c r="U29" s="31">
        <v>4</v>
      </c>
      <c r="V29" s="32">
        <v>2</v>
      </c>
      <c r="W29" s="32">
        <v>0</v>
      </c>
      <c r="X29" s="32">
        <v>20</v>
      </c>
      <c r="Y29" s="75">
        <v>0</v>
      </c>
      <c r="Z29" s="33">
        <v>0</v>
      </c>
      <c r="AA29" s="34">
        <v>6</v>
      </c>
      <c r="AB29" s="34">
        <v>0</v>
      </c>
      <c r="AC29" s="34">
        <v>0</v>
      </c>
      <c r="AD29" s="35">
        <v>0</v>
      </c>
      <c r="AE29" s="34">
        <v>0</v>
      </c>
      <c r="AF29" s="34">
        <v>0</v>
      </c>
      <c r="AG29" s="34">
        <v>0</v>
      </c>
      <c r="AH29" s="21"/>
      <c r="AI29" s="22"/>
      <c r="AK29" s="87">
        <f t="shared" si="2"/>
        <v>0.3</v>
      </c>
      <c r="AL29" s="87">
        <f t="shared" si="2"/>
        <v>0.3</v>
      </c>
      <c r="AM29" s="87">
        <f t="shared" si="2"/>
        <v>3.3333333333333333E-2</v>
      </c>
      <c r="AN29" s="87">
        <f t="shared" si="2"/>
        <v>0.2857142857142857</v>
      </c>
      <c r="AO29" s="87">
        <f t="shared" si="2"/>
        <v>0</v>
      </c>
      <c r="AP29" s="87"/>
      <c r="AQ29" s="87"/>
      <c r="AR29" s="87"/>
      <c r="AS29" s="87">
        <f t="shared" si="3"/>
        <v>3.4285714285714287E-2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/>
      <c r="T30" s="31"/>
      <c r="U30" s="31"/>
      <c r="V30" s="32"/>
      <c r="W30" s="32"/>
      <c r="X30" s="32"/>
      <c r="Y30" s="75"/>
      <c r="Z30" s="33"/>
      <c r="AA30" s="34"/>
      <c r="AB30" s="34"/>
      <c r="AC30" s="34"/>
      <c r="AD30" s="35"/>
      <c r="AE30" s="34"/>
      <c r="AF30" s="34"/>
      <c r="AG30" s="34"/>
      <c r="AH30" s="21"/>
      <c r="AI30" s="22"/>
      <c r="AK30" s="87">
        <f t="shared" si="2"/>
        <v>0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>
        <v>39</v>
      </c>
      <c r="T31" s="31">
        <v>22</v>
      </c>
      <c r="U31" s="31">
        <v>270</v>
      </c>
      <c r="V31" s="32">
        <v>4</v>
      </c>
      <c r="W31" s="32">
        <v>0</v>
      </c>
      <c r="X31" s="32">
        <v>25</v>
      </c>
      <c r="Y31" s="75">
        <v>2</v>
      </c>
      <c r="Z31" s="33">
        <v>0</v>
      </c>
      <c r="AA31" s="34">
        <v>140</v>
      </c>
      <c r="AB31" s="34">
        <v>0</v>
      </c>
      <c r="AC31" s="34">
        <v>0</v>
      </c>
      <c r="AD31" s="35">
        <v>0</v>
      </c>
      <c r="AE31" s="34">
        <v>0</v>
      </c>
      <c r="AF31" s="34">
        <v>0</v>
      </c>
      <c r="AG31" s="34">
        <v>0</v>
      </c>
      <c r="AH31" s="21"/>
      <c r="AI31" s="22"/>
      <c r="AK31" s="87">
        <f t="shared" si="2"/>
        <v>0.97499999999999998</v>
      </c>
      <c r="AL31" s="87">
        <f t="shared" si="2"/>
        <v>1.1000000000000001</v>
      </c>
      <c r="AM31" s="87">
        <f t="shared" si="2"/>
        <v>2.25</v>
      </c>
      <c r="AN31" s="87">
        <f t="shared" si="2"/>
        <v>0.5714285714285714</v>
      </c>
      <c r="AO31" s="87">
        <f t="shared" si="2"/>
        <v>0</v>
      </c>
      <c r="AP31" s="87"/>
      <c r="AQ31" s="87"/>
      <c r="AR31" s="87"/>
      <c r="AS31" s="87">
        <f t="shared" si="3"/>
        <v>0.8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>
        <v>30</v>
      </c>
      <c r="T32" s="31">
        <v>14</v>
      </c>
      <c r="U32" s="31">
        <v>120</v>
      </c>
      <c r="V32" s="32">
        <v>0</v>
      </c>
      <c r="W32" s="32">
        <v>0</v>
      </c>
      <c r="X32" s="32">
        <v>0</v>
      </c>
      <c r="Y32" s="75">
        <v>0</v>
      </c>
      <c r="Z32" s="33">
        <v>0</v>
      </c>
      <c r="AA32" s="34">
        <v>28</v>
      </c>
      <c r="AB32" s="34">
        <v>0</v>
      </c>
      <c r="AC32" s="34">
        <v>0</v>
      </c>
      <c r="AD32" s="35">
        <v>0</v>
      </c>
      <c r="AE32" s="34">
        <v>0</v>
      </c>
      <c r="AF32" s="34">
        <v>0</v>
      </c>
      <c r="AG32" s="34">
        <v>0</v>
      </c>
      <c r="AH32" s="21" t="s">
        <v>126</v>
      </c>
      <c r="AI32" s="22"/>
      <c r="AK32" s="87">
        <f t="shared" si="2"/>
        <v>0.75</v>
      </c>
      <c r="AL32" s="87">
        <f t="shared" si="2"/>
        <v>0.7</v>
      </c>
      <c r="AM32" s="87">
        <f t="shared" si="2"/>
        <v>1</v>
      </c>
      <c r="AN32" s="87">
        <f t="shared" si="2"/>
        <v>0</v>
      </c>
      <c r="AO32" s="87">
        <f t="shared" si="2"/>
        <v>0</v>
      </c>
      <c r="AP32" s="87"/>
      <c r="AQ32" s="87"/>
      <c r="AR32" s="87"/>
      <c r="AS32" s="87">
        <f t="shared" si="3"/>
        <v>0.16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>
        <v>30</v>
      </c>
      <c r="T33" s="31">
        <v>15</v>
      </c>
      <c r="U33" s="31">
        <v>49</v>
      </c>
      <c r="V33" s="32">
        <v>0</v>
      </c>
      <c r="W33" s="32">
        <v>1</v>
      </c>
      <c r="X33" s="32">
        <v>0</v>
      </c>
      <c r="Y33" s="75">
        <v>0</v>
      </c>
      <c r="Z33" s="33">
        <v>0</v>
      </c>
      <c r="AA33" s="34">
        <v>150</v>
      </c>
      <c r="AB33" s="34">
        <v>0</v>
      </c>
      <c r="AC33" s="34">
        <v>0</v>
      </c>
      <c r="AD33" s="35">
        <v>0</v>
      </c>
      <c r="AE33" s="34">
        <v>0</v>
      </c>
      <c r="AF33" s="34">
        <v>0</v>
      </c>
      <c r="AG33" s="34">
        <v>0</v>
      </c>
      <c r="AH33" s="21"/>
      <c r="AI33" s="22"/>
      <c r="AK33" s="87">
        <f t="shared" si="2"/>
        <v>0.75</v>
      </c>
      <c r="AL33" s="87">
        <f t="shared" si="2"/>
        <v>0.75</v>
      </c>
      <c r="AM33" s="87">
        <f t="shared" si="2"/>
        <v>0.40833333333333333</v>
      </c>
      <c r="AN33" s="87">
        <f t="shared" si="2"/>
        <v>0</v>
      </c>
      <c r="AO33" s="87">
        <f t="shared" si="2"/>
        <v>0.25</v>
      </c>
      <c r="AP33" s="87"/>
      <c r="AQ33" s="87"/>
      <c r="AR33" s="87"/>
      <c r="AS33" s="87">
        <f t="shared" si="3"/>
        <v>0.8571428571428571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30</v>
      </c>
      <c r="T34" s="31">
        <v>27</v>
      </c>
      <c r="U34" s="31">
        <v>320</v>
      </c>
      <c r="V34" s="32">
        <v>0</v>
      </c>
      <c r="W34" s="32">
        <v>0</v>
      </c>
      <c r="X34" s="32">
        <v>29</v>
      </c>
      <c r="Y34" s="75">
        <v>0</v>
      </c>
      <c r="Z34" s="33">
        <v>0</v>
      </c>
      <c r="AA34" s="34">
        <v>74</v>
      </c>
      <c r="AB34" s="34">
        <v>0</v>
      </c>
      <c r="AC34" s="34">
        <v>0</v>
      </c>
      <c r="AD34" s="35">
        <v>0</v>
      </c>
      <c r="AE34" s="34">
        <v>0</v>
      </c>
      <c r="AF34" s="34">
        <v>0</v>
      </c>
      <c r="AG34" s="34">
        <v>0</v>
      </c>
      <c r="AH34" s="21"/>
      <c r="AI34" s="22"/>
      <c r="AK34" s="87">
        <f t="shared" si="2"/>
        <v>0.75</v>
      </c>
      <c r="AL34" s="87">
        <f t="shared" si="2"/>
        <v>1.35</v>
      </c>
      <c r="AM34" s="87">
        <f t="shared" si="2"/>
        <v>2.6666666666666665</v>
      </c>
      <c r="AN34" s="87">
        <f t="shared" si="2"/>
        <v>0</v>
      </c>
      <c r="AO34" s="87">
        <f t="shared" si="2"/>
        <v>0</v>
      </c>
      <c r="AP34" s="87"/>
      <c r="AQ34" s="87"/>
      <c r="AR34" s="87"/>
      <c r="AS34" s="87">
        <f t="shared" si="3"/>
        <v>0.42285714285714288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>
        <v>20</v>
      </c>
      <c r="T35" s="31">
        <v>6</v>
      </c>
      <c r="U35" s="31">
        <v>60</v>
      </c>
      <c r="V35" s="32">
        <v>4</v>
      </c>
      <c r="W35" s="32">
        <v>0</v>
      </c>
      <c r="X35" s="32">
        <v>0</v>
      </c>
      <c r="Y35" s="75">
        <v>0</v>
      </c>
      <c r="Z35" s="33">
        <v>0</v>
      </c>
      <c r="AA35" s="34">
        <v>25</v>
      </c>
      <c r="AB35" s="34">
        <v>0</v>
      </c>
      <c r="AC35" s="34">
        <v>0</v>
      </c>
      <c r="AD35" s="35">
        <v>0</v>
      </c>
      <c r="AE35" s="34">
        <v>0</v>
      </c>
      <c r="AF35" s="34">
        <v>0</v>
      </c>
      <c r="AG35" s="34">
        <v>0</v>
      </c>
      <c r="AH35" s="21"/>
      <c r="AI35" s="22"/>
      <c r="AK35" s="87">
        <f t="shared" si="2"/>
        <v>0.5</v>
      </c>
      <c r="AL35" s="87">
        <f t="shared" si="2"/>
        <v>0.3</v>
      </c>
      <c r="AM35" s="87">
        <f t="shared" si="2"/>
        <v>0.5</v>
      </c>
      <c r="AN35" s="87">
        <f t="shared" si="2"/>
        <v>0.5714285714285714</v>
      </c>
      <c r="AO35" s="87">
        <f t="shared" si="2"/>
        <v>0</v>
      </c>
      <c r="AP35" s="87"/>
      <c r="AQ35" s="87"/>
      <c r="AR35" s="87"/>
      <c r="AS35" s="87">
        <f t="shared" si="3"/>
        <v>0.14285714285714285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>
        <v>30</v>
      </c>
      <c r="T36" s="31">
        <v>20</v>
      </c>
      <c r="U36" s="31">
        <v>120</v>
      </c>
      <c r="V36" s="32">
        <v>3</v>
      </c>
      <c r="W36" s="32">
        <v>0</v>
      </c>
      <c r="X36" s="32">
        <v>40</v>
      </c>
      <c r="Y36" s="75">
        <v>36</v>
      </c>
      <c r="Z36" s="33">
        <v>0</v>
      </c>
      <c r="AA36" s="34">
        <v>20</v>
      </c>
      <c r="AB36" s="34">
        <v>0</v>
      </c>
      <c r="AC36" s="34">
        <v>0</v>
      </c>
      <c r="AD36" s="35">
        <v>0</v>
      </c>
      <c r="AE36" s="34">
        <v>0</v>
      </c>
      <c r="AF36" s="34">
        <v>0</v>
      </c>
      <c r="AG36" s="34">
        <v>0</v>
      </c>
      <c r="AH36" s="21"/>
      <c r="AI36" s="22"/>
      <c r="AK36" s="87">
        <f t="shared" si="2"/>
        <v>0.75</v>
      </c>
      <c r="AL36" s="87">
        <f t="shared" si="2"/>
        <v>1</v>
      </c>
      <c r="AM36" s="87">
        <f t="shared" si="2"/>
        <v>1</v>
      </c>
      <c r="AN36" s="87">
        <f t="shared" si="2"/>
        <v>0.42857142857142855</v>
      </c>
      <c r="AO36" s="87">
        <f t="shared" si="2"/>
        <v>0</v>
      </c>
      <c r="AP36" s="87"/>
      <c r="AQ36" s="87"/>
      <c r="AR36" s="87"/>
      <c r="AS36" s="87">
        <f t="shared" si="3"/>
        <v>0.11428571428571428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35</v>
      </c>
      <c r="T37" s="31">
        <v>21</v>
      </c>
      <c r="U37" s="31">
        <v>164</v>
      </c>
      <c r="V37" s="32">
        <v>2</v>
      </c>
      <c r="W37" s="32">
        <v>0</v>
      </c>
      <c r="X37" s="32">
        <v>80</v>
      </c>
      <c r="Y37" s="75">
        <v>12</v>
      </c>
      <c r="Z37" s="33">
        <v>0</v>
      </c>
      <c r="AA37" s="34">
        <v>90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0.875</v>
      </c>
      <c r="AL37" s="87">
        <f t="shared" si="2"/>
        <v>1.05</v>
      </c>
      <c r="AM37" s="87">
        <f t="shared" si="2"/>
        <v>1.3666666666666667</v>
      </c>
      <c r="AN37" s="87">
        <f t="shared" si="2"/>
        <v>0.2857142857142857</v>
      </c>
      <c r="AO37" s="87">
        <f t="shared" si="2"/>
        <v>0</v>
      </c>
      <c r="AP37" s="87"/>
      <c r="AQ37" s="87"/>
      <c r="AR37" s="87"/>
      <c r="AS37" s="87">
        <f t="shared" si="3"/>
        <v>0.51428571428571423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40</v>
      </c>
      <c r="T38" s="31">
        <v>30</v>
      </c>
      <c r="U38" s="31">
        <v>70</v>
      </c>
      <c r="V38" s="32">
        <v>1</v>
      </c>
      <c r="W38" s="32">
        <v>0</v>
      </c>
      <c r="X38" s="32">
        <v>40</v>
      </c>
      <c r="Y38" s="75">
        <v>8</v>
      </c>
      <c r="Z38" s="33">
        <v>0</v>
      </c>
      <c r="AA38" s="34">
        <v>54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1</v>
      </c>
      <c r="AL38" s="87">
        <f t="shared" si="2"/>
        <v>1.5</v>
      </c>
      <c r="AM38" s="87">
        <f t="shared" si="2"/>
        <v>0.58333333333333337</v>
      </c>
      <c r="AN38" s="87">
        <f t="shared" si="2"/>
        <v>0.14285714285714285</v>
      </c>
      <c r="AO38" s="87">
        <f t="shared" si="2"/>
        <v>0</v>
      </c>
      <c r="AP38" s="87"/>
      <c r="AQ38" s="87"/>
      <c r="AR38" s="87"/>
      <c r="AS38" s="87">
        <f t="shared" si="3"/>
        <v>0.30857142857142855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30</v>
      </c>
      <c r="T39" s="31">
        <v>11</v>
      </c>
      <c r="U39" s="31">
        <v>102</v>
      </c>
      <c r="V39" s="32">
        <v>1</v>
      </c>
      <c r="W39" s="32">
        <v>0</v>
      </c>
      <c r="X39" s="32">
        <v>50</v>
      </c>
      <c r="Y39" s="75">
        <v>3</v>
      </c>
      <c r="Z39" s="33">
        <v>0</v>
      </c>
      <c r="AA39" s="34">
        <v>30</v>
      </c>
      <c r="AB39" s="34">
        <v>0</v>
      </c>
      <c r="AC39" s="34">
        <v>0</v>
      </c>
      <c r="AD39" s="35">
        <v>0</v>
      </c>
      <c r="AE39" s="34">
        <v>0</v>
      </c>
      <c r="AF39" s="34">
        <v>0</v>
      </c>
      <c r="AG39" s="34">
        <v>0</v>
      </c>
      <c r="AH39" s="21"/>
      <c r="AI39" s="22"/>
      <c r="AK39" s="87">
        <f t="shared" si="2"/>
        <v>0.75</v>
      </c>
      <c r="AL39" s="87">
        <f t="shared" si="2"/>
        <v>0.55000000000000004</v>
      </c>
      <c r="AM39" s="87">
        <f t="shared" si="2"/>
        <v>0.85</v>
      </c>
      <c r="AN39" s="87">
        <f t="shared" si="2"/>
        <v>0.14285714285714285</v>
      </c>
      <c r="AO39" s="87">
        <f t="shared" si="2"/>
        <v>0</v>
      </c>
      <c r="AP39" s="87"/>
      <c r="AQ39" s="87"/>
      <c r="AR39" s="87"/>
      <c r="AS39" s="87">
        <f t="shared" si="3"/>
        <v>0.17142857142857143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>
        <v>25</v>
      </c>
      <c r="T40" s="31">
        <v>15</v>
      </c>
      <c r="U40" s="31">
        <v>100</v>
      </c>
      <c r="V40" s="32">
        <v>2</v>
      </c>
      <c r="W40" s="32">
        <v>0</v>
      </c>
      <c r="X40" s="32">
        <v>20</v>
      </c>
      <c r="Y40" s="75">
        <v>2</v>
      </c>
      <c r="Z40" s="33">
        <v>0</v>
      </c>
      <c r="AA40" s="34">
        <v>30</v>
      </c>
      <c r="AB40" s="34">
        <v>0</v>
      </c>
      <c r="AC40" s="34">
        <v>0</v>
      </c>
      <c r="AD40" s="35">
        <v>0</v>
      </c>
      <c r="AE40" s="34">
        <v>0</v>
      </c>
      <c r="AF40" s="34">
        <v>0</v>
      </c>
      <c r="AG40" s="34">
        <v>0</v>
      </c>
      <c r="AH40" s="21"/>
      <c r="AI40" s="22"/>
      <c r="AK40" s="87">
        <f t="shared" si="2"/>
        <v>0.625</v>
      </c>
      <c r="AL40" s="87">
        <f t="shared" si="2"/>
        <v>0.75</v>
      </c>
      <c r="AM40" s="87">
        <f t="shared" si="2"/>
        <v>0.83333333333333337</v>
      </c>
      <c r="AN40" s="87">
        <f t="shared" si="2"/>
        <v>0.2857142857142857</v>
      </c>
      <c r="AO40" s="87">
        <f t="shared" si="2"/>
        <v>0</v>
      </c>
      <c r="AP40" s="87"/>
      <c r="AQ40" s="87"/>
      <c r="AR40" s="87"/>
      <c r="AS40" s="87">
        <f t="shared" si="3"/>
        <v>0.17142857142857143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30</v>
      </c>
      <c r="T41" s="31">
        <v>21</v>
      </c>
      <c r="U41" s="31">
        <v>195</v>
      </c>
      <c r="V41" s="32">
        <v>6</v>
      </c>
      <c r="W41" s="32">
        <v>0</v>
      </c>
      <c r="X41" s="32">
        <v>40</v>
      </c>
      <c r="Y41" s="75">
        <v>10</v>
      </c>
      <c r="Z41" s="33">
        <v>0</v>
      </c>
      <c r="AA41" s="34">
        <v>58</v>
      </c>
      <c r="AB41" s="34">
        <v>0</v>
      </c>
      <c r="AC41" s="34">
        <v>0</v>
      </c>
      <c r="AD41" s="35">
        <v>0</v>
      </c>
      <c r="AE41" s="34">
        <v>0</v>
      </c>
      <c r="AF41" s="34">
        <v>0</v>
      </c>
      <c r="AG41" s="34">
        <v>0</v>
      </c>
      <c r="AH41" s="21"/>
      <c r="AI41" s="22"/>
      <c r="AK41" s="87">
        <f t="shared" si="2"/>
        <v>0.75</v>
      </c>
      <c r="AL41" s="87">
        <f t="shared" si="2"/>
        <v>1.05</v>
      </c>
      <c r="AM41" s="87">
        <f t="shared" si="2"/>
        <v>1.625</v>
      </c>
      <c r="AN41" s="87">
        <f t="shared" si="2"/>
        <v>0.8571428571428571</v>
      </c>
      <c r="AO41" s="87">
        <f t="shared" si="2"/>
        <v>0</v>
      </c>
      <c r="AP41" s="87"/>
      <c r="AQ41" s="87"/>
      <c r="AR41" s="87"/>
      <c r="AS41" s="87">
        <f t="shared" si="3"/>
        <v>0.33142857142857141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>
        <v>20</v>
      </c>
      <c r="T42" s="31">
        <v>10</v>
      </c>
      <c r="U42" s="31">
        <v>30</v>
      </c>
      <c r="V42" s="32">
        <v>2</v>
      </c>
      <c r="W42" s="32">
        <v>0</v>
      </c>
      <c r="X42" s="32">
        <v>20</v>
      </c>
      <c r="Y42" s="75">
        <v>2</v>
      </c>
      <c r="Z42" s="33">
        <v>0</v>
      </c>
      <c r="AA42" s="34">
        <v>18</v>
      </c>
      <c r="AB42" s="34">
        <v>0</v>
      </c>
      <c r="AC42" s="34">
        <v>0</v>
      </c>
      <c r="AD42" s="35">
        <v>0</v>
      </c>
      <c r="AE42" s="34">
        <v>0</v>
      </c>
      <c r="AF42" s="34">
        <v>0</v>
      </c>
      <c r="AG42" s="34">
        <v>0</v>
      </c>
      <c r="AH42" s="21"/>
      <c r="AI42" s="22"/>
      <c r="AK42" s="87">
        <f t="shared" si="2"/>
        <v>0.5</v>
      </c>
      <c r="AL42" s="87">
        <f t="shared" si="2"/>
        <v>0.5</v>
      </c>
      <c r="AM42" s="87">
        <f t="shared" si="2"/>
        <v>0.25</v>
      </c>
      <c r="AN42" s="87">
        <f t="shared" si="2"/>
        <v>0.2857142857142857</v>
      </c>
      <c r="AO42" s="87">
        <f t="shared" si="2"/>
        <v>0</v>
      </c>
      <c r="AP42" s="87"/>
      <c r="AQ42" s="87"/>
      <c r="AR42" s="87"/>
      <c r="AS42" s="87">
        <f t="shared" si="3"/>
        <v>0.10285714285714286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>
        <v>23</v>
      </c>
      <c r="T43" s="31">
        <v>10</v>
      </c>
      <c r="U43" s="31">
        <v>100</v>
      </c>
      <c r="V43" s="32">
        <v>2</v>
      </c>
      <c r="W43" s="32">
        <v>0</v>
      </c>
      <c r="X43" s="32">
        <v>0</v>
      </c>
      <c r="Y43" s="75">
        <v>0</v>
      </c>
      <c r="Z43" s="33">
        <v>0</v>
      </c>
      <c r="AA43" s="34">
        <v>15</v>
      </c>
      <c r="AB43" s="34">
        <v>0</v>
      </c>
      <c r="AC43" s="34">
        <v>0</v>
      </c>
      <c r="AD43" s="35">
        <v>0</v>
      </c>
      <c r="AE43" s="34">
        <v>0</v>
      </c>
      <c r="AF43" s="34">
        <v>0</v>
      </c>
      <c r="AG43" s="34">
        <v>0</v>
      </c>
      <c r="AH43" s="21"/>
      <c r="AI43" s="22"/>
      <c r="AK43" s="87">
        <f t="shared" si="2"/>
        <v>0.57499999999999996</v>
      </c>
      <c r="AL43" s="87">
        <f t="shared" si="2"/>
        <v>0.5</v>
      </c>
      <c r="AM43" s="87">
        <f t="shared" si="2"/>
        <v>0.83333333333333337</v>
      </c>
      <c r="AN43" s="87">
        <f t="shared" si="2"/>
        <v>0.2857142857142857</v>
      </c>
      <c r="AO43" s="87">
        <f t="shared" si="2"/>
        <v>0</v>
      </c>
      <c r="AP43" s="87"/>
      <c r="AQ43" s="87"/>
      <c r="AR43" s="87"/>
      <c r="AS43" s="87">
        <f t="shared" si="3"/>
        <v>8.5714285714285715E-2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>
        <v>30</v>
      </c>
      <c r="T44" s="31">
        <v>17</v>
      </c>
      <c r="U44" s="31">
        <v>5</v>
      </c>
      <c r="V44" s="32">
        <v>0</v>
      </c>
      <c r="W44" s="32">
        <v>0</v>
      </c>
      <c r="X44" s="32">
        <v>0</v>
      </c>
      <c r="Y44" s="75">
        <v>13</v>
      </c>
      <c r="Z44" s="33">
        <v>0</v>
      </c>
      <c r="AA44" s="34">
        <v>55</v>
      </c>
      <c r="AB44" s="34">
        <v>0</v>
      </c>
      <c r="AC44" s="34">
        <v>0</v>
      </c>
      <c r="AD44" s="35">
        <v>0</v>
      </c>
      <c r="AE44" s="34">
        <v>0</v>
      </c>
      <c r="AF44" s="34">
        <v>0</v>
      </c>
      <c r="AG44" s="34">
        <v>0</v>
      </c>
      <c r="AH44" s="21"/>
      <c r="AI44" s="22"/>
      <c r="AK44" s="87">
        <f t="shared" si="2"/>
        <v>0.75</v>
      </c>
      <c r="AL44" s="87">
        <f t="shared" si="2"/>
        <v>0.85</v>
      </c>
      <c r="AM44" s="87">
        <f t="shared" si="2"/>
        <v>4.1666666666666664E-2</v>
      </c>
      <c r="AN44" s="87">
        <f t="shared" si="2"/>
        <v>0</v>
      </c>
      <c r="AO44" s="87">
        <f t="shared" si="2"/>
        <v>0</v>
      </c>
      <c r="AP44" s="87"/>
      <c r="AQ44" s="87"/>
      <c r="AR44" s="87"/>
      <c r="AS44" s="87">
        <f t="shared" si="3"/>
        <v>0.31428571428571428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>
        <v>37</v>
      </c>
      <c r="T45" s="31">
        <v>19</v>
      </c>
      <c r="U45" s="31">
        <v>100</v>
      </c>
      <c r="V45" s="32">
        <v>5</v>
      </c>
      <c r="W45" s="32">
        <v>0</v>
      </c>
      <c r="X45" s="32">
        <v>67</v>
      </c>
      <c r="Y45" s="75">
        <v>0</v>
      </c>
      <c r="Z45" s="33">
        <v>0</v>
      </c>
      <c r="AA45" s="34">
        <v>56</v>
      </c>
      <c r="AB45" s="34">
        <v>0</v>
      </c>
      <c r="AC45" s="34">
        <v>0</v>
      </c>
      <c r="AD45" s="35">
        <v>0</v>
      </c>
      <c r="AE45" s="34">
        <v>0</v>
      </c>
      <c r="AF45" s="34">
        <v>0</v>
      </c>
      <c r="AG45" s="34">
        <v>0</v>
      </c>
      <c r="AH45" s="21"/>
      <c r="AI45" s="22"/>
      <c r="AK45" s="87">
        <f t="shared" si="2"/>
        <v>0.92500000000000004</v>
      </c>
      <c r="AL45" s="87">
        <f t="shared" si="2"/>
        <v>0.95</v>
      </c>
      <c r="AM45" s="87">
        <f t="shared" si="2"/>
        <v>0.83333333333333337</v>
      </c>
      <c r="AN45" s="87">
        <f t="shared" si="2"/>
        <v>0.7142857142857143</v>
      </c>
      <c r="AO45" s="87">
        <f t="shared" si="2"/>
        <v>0</v>
      </c>
      <c r="AP45" s="87"/>
      <c r="AQ45" s="87"/>
      <c r="AR45" s="87"/>
      <c r="AS45" s="87">
        <f t="shared" si="3"/>
        <v>0.32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>
        <v>30</v>
      </c>
      <c r="T46" s="31">
        <v>20</v>
      </c>
      <c r="U46" s="31">
        <v>70</v>
      </c>
      <c r="V46" s="32">
        <v>0</v>
      </c>
      <c r="W46" s="32">
        <v>0</v>
      </c>
      <c r="X46" s="32">
        <v>0</v>
      </c>
      <c r="Y46" s="75">
        <v>0</v>
      </c>
      <c r="Z46" s="33">
        <v>0</v>
      </c>
      <c r="AA46" s="34">
        <v>0</v>
      </c>
      <c r="AB46" s="34">
        <v>0</v>
      </c>
      <c r="AC46" s="34">
        <v>0</v>
      </c>
      <c r="AD46" s="35">
        <v>0</v>
      </c>
      <c r="AE46" s="34">
        <v>0</v>
      </c>
      <c r="AF46" s="34">
        <v>0</v>
      </c>
      <c r="AG46" s="34">
        <v>0</v>
      </c>
      <c r="AH46" s="21"/>
      <c r="AI46" s="22"/>
      <c r="AK46" s="87">
        <f t="shared" si="2"/>
        <v>0.75</v>
      </c>
      <c r="AL46" s="87">
        <f t="shared" si="2"/>
        <v>1</v>
      </c>
      <c r="AM46" s="87">
        <f t="shared" si="2"/>
        <v>0.58333333333333337</v>
      </c>
      <c r="AN46" s="87">
        <f t="shared" si="2"/>
        <v>0</v>
      </c>
      <c r="AO46" s="87">
        <f t="shared" si="2"/>
        <v>0</v>
      </c>
      <c r="AP46" s="87"/>
      <c r="AQ46" s="87"/>
      <c r="AR46" s="87"/>
      <c r="AS46" s="87">
        <f t="shared" si="3"/>
        <v>0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>
        <v>21</v>
      </c>
      <c r="T47" s="31">
        <v>14</v>
      </c>
      <c r="U47" s="31">
        <v>25</v>
      </c>
      <c r="V47" s="32">
        <v>0</v>
      </c>
      <c r="W47" s="32">
        <v>0</v>
      </c>
      <c r="X47" s="32">
        <v>15</v>
      </c>
      <c r="Y47" s="75">
        <v>0</v>
      </c>
      <c r="Z47" s="33">
        <v>0</v>
      </c>
      <c r="AA47" s="34">
        <v>45</v>
      </c>
      <c r="AB47" s="34">
        <v>0</v>
      </c>
      <c r="AC47" s="34">
        <v>0</v>
      </c>
      <c r="AD47" s="35">
        <v>0</v>
      </c>
      <c r="AE47" s="34">
        <v>0</v>
      </c>
      <c r="AF47" s="34">
        <v>0</v>
      </c>
      <c r="AG47" s="34">
        <v>0</v>
      </c>
      <c r="AH47" s="21"/>
      <c r="AI47" s="22"/>
      <c r="AK47" s="87">
        <f t="shared" si="2"/>
        <v>0.52500000000000002</v>
      </c>
      <c r="AL47" s="87">
        <f t="shared" si="2"/>
        <v>0.7</v>
      </c>
      <c r="AM47" s="87">
        <f t="shared" si="2"/>
        <v>0.20833333333333334</v>
      </c>
      <c r="AN47" s="87">
        <f t="shared" si="2"/>
        <v>0</v>
      </c>
      <c r="AO47" s="87">
        <f t="shared" si="2"/>
        <v>0</v>
      </c>
      <c r="AP47" s="87"/>
      <c r="AQ47" s="87"/>
      <c r="AR47" s="87"/>
      <c r="AS47" s="87">
        <f t="shared" si="3"/>
        <v>0.25714285714285712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32</v>
      </c>
      <c r="T48" s="31">
        <v>28</v>
      </c>
      <c r="U48" s="31">
        <v>102</v>
      </c>
      <c r="V48" s="32">
        <v>5</v>
      </c>
      <c r="W48" s="32">
        <v>0</v>
      </c>
      <c r="X48" s="32">
        <v>87</v>
      </c>
      <c r="Y48" s="75">
        <v>16</v>
      </c>
      <c r="Z48" s="33">
        <v>0</v>
      </c>
      <c r="AA48" s="34">
        <v>48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/>
      <c r="AI48" s="22"/>
      <c r="AK48" s="87">
        <f t="shared" si="2"/>
        <v>0.8</v>
      </c>
      <c r="AL48" s="87">
        <f t="shared" si="2"/>
        <v>1.4</v>
      </c>
      <c r="AM48" s="87">
        <f t="shared" si="2"/>
        <v>0.85</v>
      </c>
      <c r="AN48" s="87">
        <f t="shared" si="2"/>
        <v>0.7142857142857143</v>
      </c>
      <c r="AO48" s="87">
        <f t="shared" si="2"/>
        <v>0</v>
      </c>
      <c r="AP48" s="87"/>
      <c r="AQ48" s="87"/>
      <c r="AR48" s="87"/>
      <c r="AS48" s="87">
        <f t="shared" si="3"/>
        <v>0.2742857142857143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35</v>
      </c>
      <c r="T49" s="31">
        <v>20</v>
      </c>
      <c r="U49" s="31">
        <v>230</v>
      </c>
      <c r="V49" s="32">
        <v>6</v>
      </c>
      <c r="W49" s="32">
        <v>0</v>
      </c>
      <c r="X49" s="32">
        <v>180</v>
      </c>
      <c r="Y49" s="75">
        <v>18</v>
      </c>
      <c r="Z49" s="33">
        <v>0</v>
      </c>
      <c r="AA49" s="34">
        <v>40</v>
      </c>
      <c r="AB49" s="34">
        <v>0</v>
      </c>
      <c r="AC49" s="34">
        <v>0</v>
      </c>
      <c r="AD49" s="35">
        <v>0</v>
      </c>
      <c r="AE49" s="34">
        <v>0</v>
      </c>
      <c r="AF49" s="34">
        <v>0</v>
      </c>
      <c r="AG49" s="34">
        <v>0</v>
      </c>
      <c r="AH49" s="21"/>
      <c r="AI49" s="22"/>
      <c r="AK49" s="87">
        <f t="shared" si="2"/>
        <v>0.875</v>
      </c>
      <c r="AL49" s="87">
        <f t="shared" si="2"/>
        <v>1</v>
      </c>
      <c r="AM49" s="87">
        <f t="shared" si="2"/>
        <v>1.9166666666666667</v>
      </c>
      <c r="AN49" s="87">
        <f t="shared" si="2"/>
        <v>0.8571428571428571</v>
      </c>
      <c r="AO49" s="87">
        <f t="shared" si="2"/>
        <v>0</v>
      </c>
      <c r="AP49" s="87"/>
      <c r="AQ49" s="87"/>
      <c r="AR49" s="87"/>
      <c r="AS49" s="87">
        <f t="shared" si="3"/>
        <v>0.22857142857142856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>
        <v>30</v>
      </c>
      <c r="T50" s="31">
        <v>24</v>
      </c>
      <c r="U50" s="31">
        <v>600</v>
      </c>
      <c r="V50" s="32">
        <v>1</v>
      </c>
      <c r="W50" s="32">
        <v>0</v>
      </c>
      <c r="X50" s="32">
        <v>20</v>
      </c>
      <c r="Y50" s="75">
        <v>10</v>
      </c>
      <c r="Z50" s="33">
        <v>0</v>
      </c>
      <c r="AA50" s="34">
        <v>22</v>
      </c>
      <c r="AB50" s="34">
        <v>40</v>
      </c>
      <c r="AC50" s="34">
        <v>0</v>
      </c>
      <c r="AD50" s="35">
        <v>0</v>
      </c>
      <c r="AE50" s="34">
        <v>0</v>
      </c>
      <c r="AF50" s="34">
        <v>0</v>
      </c>
      <c r="AG50" s="34">
        <v>0</v>
      </c>
      <c r="AH50" s="21"/>
      <c r="AI50" s="22"/>
      <c r="AK50" s="87">
        <f t="shared" si="2"/>
        <v>0.75</v>
      </c>
      <c r="AL50" s="87">
        <f t="shared" si="2"/>
        <v>1.2</v>
      </c>
      <c r="AM50" s="87">
        <f t="shared" si="2"/>
        <v>5</v>
      </c>
      <c r="AN50" s="87">
        <f t="shared" si="2"/>
        <v>0.14285714285714285</v>
      </c>
      <c r="AO50" s="87">
        <f t="shared" si="2"/>
        <v>0</v>
      </c>
      <c r="AP50" s="87"/>
      <c r="AQ50" s="87"/>
      <c r="AR50" s="87"/>
      <c r="AS50" s="87">
        <f t="shared" si="3"/>
        <v>0.12571428571428572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10</v>
      </c>
      <c r="T51" s="31">
        <v>4</v>
      </c>
      <c r="U51" s="31">
        <v>3</v>
      </c>
      <c r="V51" s="32">
        <v>0</v>
      </c>
      <c r="W51" s="32">
        <v>0</v>
      </c>
      <c r="X51" s="32">
        <v>27</v>
      </c>
      <c r="Y51" s="75">
        <v>0</v>
      </c>
      <c r="Z51" s="33">
        <v>0</v>
      </c>
      <c r="AA51" s="34">
        <v>15</v>
      </c>
      <c r="AB51" s="34">
        <v>0</v>
      </c>
      <c r="AC51" s="34">
        <v>0</v>
      </c>
      <c r="AD51" s="35">
        <v>0</v>
      </c>
      <c r="AE51" s="34">
        <v>0</v>
      </c>
      <c r="AF51" s="34">
        <v>0</v>
      </c>
      <c r="AG51" s="34">
        <v>0</v>
      </c>
      <c r="AH51" s="21"/>
      <c r="AI51" s="22"/>
      <c r="AK51" s="87">
        <f t="shared" si="2"/>
        <v>0.25</v>
      </c>
      <c r="AL51" s="87">
        <f t="shared" si="2"/>
        <v>0.2</v>
      </c>
      <c r="AM51" s="87">
        <f t="shared" si="2"/>
        <v>2.5000000000000001E-2</v>
      </c>
      <c r="AN51" s="87">
        <f t="shared" si="2"/>
        <v>0</v>
      </c>
      <c r="AO51" s="87">
        <f t="shared" si="2"/>
        <v>0</v>
      </c>
      <c r="AP51" s="87"/>
      <c r="AQ51" s="87"/>
      <c r="AR51" s="87"/>
      <c r="AS51" s="87">
        <f t="shared" si="3"/>
        <v>8.5714285714285715E-2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50</v>
      </c>
      <c r="T52" s="31">
        <v>35</v>
      </c>
      <c r="U52" s="31">
        <v>89</v>
      </c>
      <c r="V52" s="32">
        <v>8</v>
      </c>
      <c r="W52" s="32">
        <v>0</v>
      </c>
      <c r="X52" s="32">
        <v>60</v>
      </c>
      <c r="Y52" s="75">
        <v>10</v>
      </c>
      <c r="Z52" s="33">
        <v>0</v>
      </c>
      <c r="AA52" s="34">
        <v>67</v>
      </c>
      <c r="AB52" s="34">
        <v>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/>
      <c r="AI52" s="22"/>
      <c r="AK52" s="87">
        <f t="shared" si="2"/>
        <v>1.25</v>
      </c>
      <c r="AL52" s="87">
        <f t="shared" si="2"/>
        <v>1.75</v>
      </c>
      <c r="AM52" s="87">
        <f t="shared" si="2"/>
        <v>0.7416666666666667</v>
      </c>
      <c r="AN52" s="87">
        <f t="shared" si="2"/>
        <v>1.1428571428571428</v>
      </c>
      <c r="AO52" s="87">
        <f t="shared" si="2"/>
        <v>0</v>
      </c>
      <c r="AP52" s="87"/>
      <c r="AQ52" s="87"/>
      <c r="AR52" s="87"/>
      <c r="AS52" s="87">
        <f t="shared" si="3"/>
        <v>0.38285714285714284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10</v>
      </c>
      <c r="T53" s="31">
        <v>5</v>
      </c>
      <c r="U53" s="31">
        <v>0</v>
      </c>
      <c r="V53" s="32">
        <v>0</v>
      </c>
      <c r="W53" s="32">
        <v>0</v>
      </c>
      <c r="X53" s="32">
        <v>0</v>
      </c>
      <c r="Y53" s="75">
        <v>6</v>
      </c>
      <c r="Z53" s="33">
        <v>0</v>
      </c>
      <c r="AA53" s="34">
        <v>30</v>
      </c>
      <c r="AB53" s="34">
        <v>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0.25</v>
      </c>
      <c r="AL53" s="87">
        <f t="shared" si="2"/>
        <v>0.25</v>
      </c>
      <c r="AM53" s="87">
        <f t="shared" si="2"/>
        <v>0</v>
      </c>
      <c r="AN53" s="87">
        <f t="shared" si="2"/>
        <v>0</v>
      </c>
      <c r="AO53" s="87">
        <f t="shared" si="2"/>
        <v>0</v>
      </c>
      <c r="AP53" s="87"/>
      <c r="AQ53" s="87"/>
      <c r="AR53" s="87"/>
      <c r="AS53" s="87">
        <f t="shared" si="3"/>
        <v>0.17142857142857143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>
        <v>37</v>
      </c>
      <c r="T54" s="31">
        <v>25</v>
      </c>
      <c r="U54" s="31">
        <v>120</v>
      </c>
      <c r="V54" s="32">
        <v>1</v>
      </c>
      <c r="W54" s="32">
        <v>0</v>
      </c>
      <c r="X54" s="32">
        <v>3</v>
      </c>
      <c r="Y54" s="75">
        <v>15</v>
      </c>
      <c r="Z54" s="33">
        <v>0</v>
      </c>
      <c r="AA54" s="34">
        <v>80</v>
      </c>
      <c r="AB54" s="34">
        <v>0</v>
      </c>
      <c r="AC54" s="34">
        <v>0</v>
      </c>
      <c r="AD54" s="35">
        <v>0</v>
      </c>
      <c r="AE54" s="34">
        <v>0</v>
      </c>
      <c r="AF54" s="34">
        <v>0</v>
      </c>
      <c r="AG54" s="34">
        <v>0</v>
      </c>
      <c r="AH54" s="21"/>
      <c r="AI54" s="22"/>
      <c r="AK54" s="87">
        <f t="shared" si="2"/>
        <v>0.92500000000000004</v>
      </c>
      <c r="AL54" s="87">
        <f t="shared" si="2"/>
        <v>1.25</v>
      </c>
      <c r="AM54" s="87">
        <f t="shared" si="2"/>
        <v>1</v>
      </c>
      <c r="AN54" s="87">
        <f t="shared" si="2"/>
        <v>0.14285714285714285</v>
      </c>
      <c r="AO54" s="87">
        <f t="shared" si="2"/>
        <v>0</v>
      </c>
      <c r="AP54" s="87"/>
      <c r="AQ54" s="87"/>
      <c r="AR54" s="87"/>
      <c r="AS54" s="87">
        <f t="shared" si="3"/>
        <v>0.45714285714285713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1328</v>
      </c>
      <c r="T55" s="61">
        <f t="shared" si="4"/>
        <v>826</v>
      </c>
      <c r="U55" s="61">
        <f t="shared" si="4"/>
        <v>5378</v>
      </c>
      <c r="V55" s="61">
        <f t="shared" si="4"/>
        <v>124</v>
      </c>
      <c r="W55" s="61">
        <f t="shared" si="4"/>
        <v>1</v>
      </c>
      <c r="X55" s="61">
        <f t="shared" si="4"/>
        <v>1454</v>
      </c>
      <c r="Y55" s="61">
        <f t="shared" si="4"/>
        <v>349</v>
      </c>
      <c r="Z55" s="61">
        <f t="shared" si="4"/>
        <v>0</v>
      </c>
      <c r="AA55" s="61">
        <f t="shared" si="4"/>
        <v>1893</v>
      </c>
      <c r="AB55" s="61">
        <f t="shared" si="4"/>
        <v>40</v>
      </c>
      <c r="AC55" s="61">
        <f t="shared" si="4"/>
        <v>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0.66400000000000003</v>
      </c>
      <c r="AL55" s="87">
        <f t="shared" si="2"/>
        <v>0.82599999999999996</v>
      </c>
      <c r="AM55" s="87">
        <f t="shared" si="2"/>
        <v>0.89633333333333332</v>
      </c>
      <c r="AN55" s="87">
        <f t="shared" si="2"/>
        <v>0.35428571428571426</v>
      </c>
      <c r="AO55" s="87">
        <f t="shared" si="2"/>
        <v>5.0000000000000001E-3</v>
      </c>
      <c r="AP55" s="87"/>
      <c r="AQ55" s="87"/>
      <c r="AR55" s="87"/>
      <c r="AS55" s="87">
        <f t="shared" si="3"/>
        <v>0.21634285714285714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1" t="s">
        <v>18</v>
      </c>
      <c r="C57" s="112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1328</v>
      </c>
      <c r="T57" s="24">
        <f>T55</f>
        <v>826</v>
      </c>
      <c r="U57" s="24">
        <f>U55/120</f>
        <v>44.81666666666667</v>
      </c>
      <c r="V57" s="25">
        <f>V55/6</f>
        <v>20.666666666666668</v>
      </c>
      <c r="W57" s="25">
        <f>W55/10</f>
        <v>0.1</v>
      </c>
      <c r="X57" s="25">
        <f>X55/100</f>
        <v>14.54</v>
      </c>
      <c r="Y57" s="76">
        <f>Y55/20</f>
        <v>17.45</v>
      </c>
      <c r="Z57" s="26">
        <f>Z55/60</f>
        <v>0</v>
      </c>
      <c r="AA57" s="27">
        <f>AA55/120</f>
        <v>15.775</v>
      </c>
      <c r="AB57" s="27">
        <f>AB55/100</f>
        <v>0.4</v>
      </c>
      <c r="AC57" s="27">
        <f>AC55/60</f>
        <v>0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7.4694444444444444E-3</v>
      </c>
      <c r="AN57" s="25">
        <f>AN55/6</f>
        <v>5.9047619047619043E-2</v>
      </c>
      <c r="AO57" s="25">
        <f>AO55/20</f>
        <v>2.5000000000000001E-4</v>
      </c>
      <c r="AP57" s="25">
        <f>AP55/100</f>
        <v>0</v>
      </c>
      <c r="AQ57" s="76"/>
      <c r="AR57" s="26">
        <f>AR55/20</f>
        <v>0</v>
      </c>
      <c r="AS57" s="27">
        <f>AS55/120</f>
        <v>1.8028571428571429E-3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</sheetData>
  <autoFilter ref="A2:AI55" xr:uid="{BE5483A0-B23B-4533-B41F-D1F0C3DDC362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</autoFilter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93B1-E87A-403C-AB30-19E952CED419}">
  <dimension ref="A1:AY5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46122</v>
      </c>
      <c r="D2" s="113" t="s">
        <v>107</v>
      </c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5" t="s">
        <v>108</v>
      </c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7"/>
      <c r="AK2" s="118" t="s">
        <v>109</v>
      </c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20"/>
    </row>
    <row r="3" spans="2:51" ht="18" thickBot="1" x14ac:dyDescent="0.3">
      <c r="B3" s="121" t="s">
        <v>1</v>
      </c>
      <c r="C3" s="123" t="s">
        <v>2</v>
      </c>
      <c r="D3" s="5" t="s">
        <v>3</v>
      </c>
      <c r="E3" s="6" t="str">
        <f>T3</f>
        <v>Acheteurs</v>
      </c>
      <c r="F3" s="125" t="s">
        <v>4</v>
      </c>
      <c r="G3" s="125"/>
      <c r="H3" s="125"/>
      <c r="I3" s="125"/>
      <c r="J3" s="126"/>
      <c r="K3" s="56"/>
      <c r="L3" s="127" t="s">
        <v>5</v>
      </c>
      <c r="M3" s="128"/>
      <c r="N3" s="129"/>
      <c r="O3" s="70"/>
      <c r="P3" s="70"/>
      <c r="Q3" s="70"/>
      <c r="R3" s="70"/>
      <c r="S3" s="7" t="s">
        <v>3</v>
      </c>
      <c r="T3" s="7" t="s">
        <v>6</v>
      </c>
      <c r="U3" s="130" t="s">
        <v>7</v>
      </c>
      <c r="V3" s="131"/>
      <c r="W3" s="131"/>
      <c r="X3" s="131"/>
      <c r="Y3" s="131"/>
      <c r="Z3" s="132"/>
      <c r="AA3" s="133" t="str">
        <f>L3</f>
        <v>Gratuités pour achats 
(en unités)</v>
      </c>
      <c r="AB3" s="134"/>
      <c r="AC3" s="135"/>
      <c r="AD3" s="133" t="s">
        <v>19</v>
      </c>
      <c r="AE3" s="134"/>
      <c r="AF3" s="134"/>
      <c r="AG3" s="135"/>
      <c r="AH3" s="136" t="s">
        <v>8</v>
      </c>
      <c r="AI3" s="138" t="s">
        <v>9</v>
      </c>
      <c r="AK3" s="79" t="s">
        <v>3</v>
      </c>
      <c r="AL3" s="79" t="s">
        <v>6</v>
      </c>
      <c r="AM3" s="140" t="s">
        <v>7</v>
      </c>
      <c r="AN3" s="141"/>
      <c r="AO3" s="141"/>
      <c r="AP3" s="141"/>
      <c r="AQ3" s="141"/>
      <c r="AR3" s="142"/>
      <c r="AS3" s="143" t="str">
        <f>AD3</f>
        <v>GOODIES</v>
      </c>
      <c r="AT3" s="144"/>
      <c r="AU3" s="145"/>
      <c r="AV3" s="143" t="s">
        <v>19</v>
      </c>
      <c r="AW3" s="144"/>
      <c r="AX3" s="144"/>
      <c r="AY3" s="145"/>
    </row>
    <row r="4" spans="2:51" ht="202.2" thickBot="1" x14ac:dyDescent="0.3">
      <c r="B4" s="122"/>
      <c r="C4" s="12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7"/>
      <c r="AI4" s="139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/>
      <c r="T5" s="31"/>
      <c r="U5" s="31"/>
      <c r="V5" s="32"/>
      <c r="W5" s="32"/>
      <c r="X5" s="32"/>
      <c r="Y5" s="75"/>
      <c r="Z5" s="33"/>
      <c r="AA5" s="34"/>
      <c r="AB5" s="34"/>
      <c r="AC5" s="34"/>
      <c r="AD5" s="35"/>
      <c r="AE5" s="34"/>
      <c r="AF5" s="34"/>
      <c r="AG5" s="34"/>
      <c r="AH5" s="21"/>
      <c r="AI5" s="22"/>
      <c r="AK5" s="87">
        <f>S5/D5</f>
        <v>0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>
        <v>33</v>
      </c>
      <c r="T6" s="31">
        <v>21</v>
      </c>
      <c r="U6" s="31">
        <v>250</v>
      </c>
      <c r="V6" s="32">
        <v>2</v>
      </c>
      <c r="W6" s="32">
        <v>0</v>
      </c>
      <c r="X6" s="32">
        <v>36</v>
      </c>
      <c r="Y6" s="75">
        <v>20</v>
      </c>
      <c r="Z6" s="33">
        <v>0</v>
      </c>
      <c r="AA6" s="34">
        <v>20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7">
        <f t="shared" ref="AK6:AO55" si="2">S6/D6</f>
        <v>0.82499999999999996</v>
      </c>
      <c r="AL6" s="87">
        <f t="shared" si="0"/>
        <v>1.05</v>
      </c>
      <c r="AM6" s="87">
        <f t="shared" si="0"/>
        <v>2.0833333333333335</v>
      </c>
      <c r="AN6" s="87">
        <f t="shared" si="0"/>
        <v>0.2857142857142857</v>
      </c>
      <c r="AO6" s="87">
        <f t="shared" si="0"/>
        <v>0</v>
      </c>
      <c r="AP6" s="87"/>
      <c r="AQ6" s="87"/>
      <c r="AR6" s="87"/>
      <c r="AS6" s="87">
        <f t="shared" si="0"/>
        <v>0.11428571428571428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37</v>
      </c>
      <c r="T7" s="31">
        <v>23</v>
      </c>
      <c r="U7" s="31">
        <v>300</v>
      </c>
      <c r="V7" s="32">
        <v>3</v>
      </c>
      <c r="W7" s="32">
        <v>0</v>
      </c>
      <c r="X7" s="32">
        <v>50</v>
      </c>
      <c r="Y7" s="75">
        <v>40</v>
      </c>
      <c r="Z7" s="33">
        <v>0</v>
      </c>
      <c r="AA7" s="34">
        <v>12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0.92500000000000004</v>
      </c>
      <c r="AL7" s="87">
        <f t="shared" si="0"/>
        <v>1.1499999999999999</v>
      </c>
      <c r="AM7" s="87">
        <f t="shared" si="0"/>
        <v>2.5</v>
      </c>
      <c r="AN7" s="87">
        <f t="shared" si="0"/>
        <v>0.42857142857142855</v>
      </c>
      <c r="AO7" s="87">
        <f t="shared" si="0"/>
        <v>0</v>
      </c>
      <c r="AP7" s="87"/>
      <c r="AQ7" s="87"/>
      <c r="AR7" s="87"/>
      <c r="AS7" s="87">
        <f t="shared" si="0"/>
        <v>6.8571428571428575E-2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21</v>
      </c>
      <c r="T8" s="31">
        <v>12</v>
      </c>
      <c r="U8" s="31">
        <v>130</v>
      </c>
      <c r="V8" s="32">
        <v>8</v>
      </c>
      <c r="W8" s="32">
        <v>0</v>
      </c>
      <c r="X8" s="32">
        <v>3</v>
      </c>
      <c r="Y8" s="75">
        <v>7</v>
      </c>
      <c r="Z8" s="33">
        <v>0</v>
      </c>
      <c r="AA8" s="34">
        <v>52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7">
        <f t="shared" si="2"/>
        <v>0.52500000000000002</v>
      </c>
      <c r="AL8" s="87">
        <f t="shared" si="0"/>
        <v>0.6</v>
      </c>
      <c r="AM8" s="87">
        <f t="shared" si="0"/>
        <v>1.0833333333333333</v>
      </c>
      <c r="AN8" s="87">
        <f t="shared" si="0"/>
        <v>1.1428571428571428</v>
      </c>
      <c r="AO8" s="87">
        <f t="shared" si="0"/>
        <v>0</v>
      </c>
      <c r="AP8" s="87"/>
      <c r="AQ8" s="87"/>
      <c r="AR8" s="87"/>
      <c r="AS8" s="87">
        <f t="shared" si="0"/>
        <v>0.29714285714285715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25</v>
      </c>
      <c r="T9" s="31">
        <v>15</v>
      </c>
      <c r="U9" s="31">
        <v>120</v>
      </c>
      <c r="V9" s="32">
        <v>5</v>
      </c>
      <c r="W9" s="32">
        <v>0</v>
      </c>
      <c r="X9" s="32">
        <v>15</v>
      </c>
      <c r="Y9" s="75">
        <v>0</v>
      </c>
      <c r="Z9" s="33">
        <v>0</v>
      </c>
      <c r="AA9" s="34">
        <v>40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7">
        <f t="shared" si="2"/>
        <v>0.625</v>
      </c>
      <c r="AL9" s="87">
        <f t="shared" si="0"/>
        <v>0.75</v>
      </c>
      <c r="AM9" s="87">
        <f t="shared" si="0"/>
        <v>1</v>
      </c>
      <c r="AN9" s="87">
        <f t="shared" si="0"/>
        <v>0.7142857142857143</v>
      </c>
      <c r="AO9" s="87">
        <f t="shared" si="0"/>
        <v>0</v>
      </c>
      <c r="AP9" s="87"/>
      <c r="AQ9" s="87"/>
      <c r="AR9" s="87"/>
      <c r="AS9" s="87">
        <f t="shared" si="0"/>
        <v>0.22857142857142856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25</v>
      </c>
      <c r="T10" s="31">
        <v>16</v>
      </c>
      <c r="U10" s="31">
        <v>129</v>
      </c>
      <c r="V10" s="32">
        <v>8</v>
      </c>
      <c r="W10" s="32">
        <v>0</v>
      </c>
      <c r="X10" s="32">
        <v>18</v>
      </c>
      <c r="Y10" s="75">
        <v>8</v>
      </c>
      <c r="Z10" s="33">
        <v>0</v>
      </c>
      <c r="AA10" s="34">
        <v>52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7">
        <f t="shared" si="2"/>
        <v>0.625</v>
      </c>
      <c r="AL10" s="87">
        <f t="shared" si="0"/>
        <v>0.8</v>
      </c>
      <c r="AM10" s="87">
        <f t="shared" si="0"/>
        <v>1.075</v>
      </c>
      <c r="AN10" s="87">
        <f t="shared" si="0"/>
        <v>1.1428571428571428</v>
      </c>
      <c r="AO10" s="87">
        <f t="shared" si="0"/>
        <v>0</v>
      </c>
      <c r="AP10" s="87"/>
      <c r="AQ10" s="87"/>
      <c r="AR10" s="87"/>
      <c r="AS10" s="87">
        <f t="shared" si="0"/>
        <v>0.29714285714285715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33</v>
      </c>
      <c r="T11" s="31">
        <v>18</v>
      </c>
      <c r="U11" s="31">
        <v>120</v>
      </c>
      <c r="V11" s="32">
        <v>2</v>
      </c>
      <c r="W11" s="32">
        <v>0</v>
      </c>
      <c r="X11" s="32">
        <v>25</v>
      </c>
      <c r="Y11" s="75">
        <v>30</v>
      </c>
      <c r="Z11" s="33">
        <v>0</v>
      </c>
      <c r="AA11" s="34">
        <v>30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7">
        <f t="shared" si="2"/>
        <v>0.82499999999999996</v>
      </c>
      <c r="AL11" s="87">
        <f t="shared" si="0"/>
        <v>0.9</v>
      </c>
      <c r="AM11" s="87">
        <f t="shared" si="0"/>
        <v>1</v>
      </c>
      <c r="AN11" s="87">
        <f t="shared" si="0"/>
        <v>0.2857142857142857</v>
      </c>
      <c r="AO11" s="87">
        <f t="shared" si="0"/>
        <v>0</v>
      </c>
      <c r="AP11" s="87"/>
      <c r="AQ11" s="87"/>
      <c r="AR11" s="87"/>
      <c r="AS11" s="87">
        <f t="shared" si="0"/>
        <v>0.17142857142857143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30</v>
      </c>
      <c r="T12" s="31">
        <v>16</v>
      </c>
      <c r="U12" s="31">
        <v>54</v>
      </c>
      <c r="V12" s="32">
        <v>1</v>
      </c>
      <c r="W12" s="32">
        <v>0</v>
      </c>
      <c r="X12" s="32">
        <v>50</v>
      </c>
      <c r="Y12" s="75">
        <v>3</v>
      </c>
      <c r="Z12" s="33">
        <v>0</v>
      </c>
      <c r="AA12" s="34">
        <v>5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/>
      <c r="AK12" s="87">
        <f t="shared" si="2"/>
        <v>0.75</v>
      </c>
      <c r="AL12" s="87">
        <f t="shared" si="0"/>
        <v>0.8</v>
      </c>
      <c r="AM12" s="87">
        <f t="shared" si="0"/>
        <v>0.45</v>
      </c>
      <c r="AN12" s="87">
        <f t="shared" si="0"/>
        <v>0.14285714285714285</v>
      </c>
      <c r="AO12" s="87">
        <f t="shared" si="0"/>
        <v>0</v>
      </c>
      <c r="AP12" s="87"/>
      <c r="AQ12" s="87"/>
      <c r="AR12" s="87"/>
      <c r="AS12" s="87">
        <f t="shared" si="0"/>
        <v>2.8571428571428571E-2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50</v>
      </c>
      <c r="T13" s="31">
        <v>35</v>
      </c>
      <c r="U13" s="31">
        <v>230</v>
      </c>
      <c r="V13" s="32">
        <v>9</v>
      </c>
      <c r="W13" s="32">
        <v>0</v>
      </c>
      <c r="X13" s="32">
        <v>150</v>
      </c>
      <c r="Y13" s="75">
        <v>40</v>
      </c>
      <c r="Z13" s="33">
        <v>0</v>
      </c>
      <c r="AA13" s="34">
        <v>188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7">
        <f t="shared" si="2"/>
        <v>1.25</v>
      </c>
      <c r="AL13" s="87">
        <f t="shared" si="0"/>
        <v>1.75</v>
      </c>
      <c r="AM13" s="87">
        <f t="shared" si="0"/>
        <v>1.9166666666666667</v>
      </c>
      <c r="AN13" s="87">
        <f t="shared" si="0"/>
        <v>1.2857142857142858</v>
      </c>
      <c r="AO13" s="87">
        <f t="shared" si="0"/>
        <v>0</v>
      </c>
      <c r="AP13" s="87"/>
      <c r="AQ13" s="87"/>
      <c r="AR13" s="87"/>
      <c r="AS13" s="87">
        <f t="shared" si="0"/>
        <v>1.0742857142857143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40</v>
      </c>
      <c r="T14" s="31">
        <v>26</v>
      </c>
      <c r="U14" s="31">
        <v>200</v>
      </c>
      <c r="V14" s="32">
        <v>5</v>
      </c>
      <c r="W14" s="32">
        <v>0</v>
      </c>
      <c r="X14" s="32">
        <v>37</v>
      </c>
      <c r="Y14" s="75">
        <v>25</v>
      </c>
      <c r="Z14" s="33">
        <v>0</v>
      </c>
      <c r="AA14" s="34">
        <v>120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7">
        <f t="shared" si="2"/>
        <v>1</v>
      </c>
      <c r="AL14" s="87">
        <f t="shared" si="0"/>
        <v>1.3</v>
      </c>
      <c r="AM14" s="87">
        <f t="shared" si="0"/>
        <v>1.6666666666666667</v>
      </c>
      <c r="AN14" s="87">
        <f t="shared" si="0"/>
        <v>0.7142857142857143</v>
      </c>
      <c r="AO14" s="87">
        <f t="shared" si="0"/>
        <v>0</v>
      </c>
      <c r="AP14" s="87"/>
      <c r="AQ14" s="87"/>
      <c r="AR14" s="87"/>
      <c r="AS14" s="87">
        <f t="shared" si="0"/>
        <v>0.68571428571428572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35</v>
      </c>
      <c r="T15" s="31">
        <v>22</v>
      </c>
      <c r="U15" s="31">
        <v>20</v>
      </c>
      <c r="V15" s="32">
        <v>1</v>
      </c>
      <c r="W15" s="32">
        <v>0</v>
      </c>
      <c r="X15" s="32">
        <v>25</v>
      </c>
      <c r="Y15" s="75">
        <v>12</v>
      </c>
      <c r="Z15" s="33">
        <v>0</v>
      </c>
      <c r="AA15" s="34">
        <v>60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7">
        <f t="shared" si="2"/>
        <v>0.875</v>
      </c>
      <c r="AL15" s="87">
        <f t="shared" si="0"/>
        <v>1.1000000000000001</v>
      </c>
      <c r="AM15" s="87">
        <f t="shared" si="0"/>
        <v>0.16666666666666666</v>
      </c>
      <c r="AN15" s="87">
        <f t="shared" si="0"/>
        <v>0.14285714285714285</v>
      </c>
      <c r="AO15" s="87">
        <f t="shared" si="0"/>
        <v>0</v>
      </c>
      <c r="AP15" s="87"/>
      <c r="AQ15" s="87"/>
      <c r="AR15" s="87"/>
      <c r="AS15" s="87">
        <f t="shared" si="0"/>
        <v>0.34285714285714286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35</v>
      </c>
      <c r="T16" s="31">
        <v>29</v>
      </c>
      <c r="U16" s="31">
        <v>190</v>
      </c>
      <c r="V16" s="32">
        <v>6</v>
      </c>
      <c r="W16" s="32">
        <v>0</v>
      </c>
      <c r="X16" s="32">
        <v>30</v>
      </c>
      <c r="Y16" s="75">
        <v>0</v>
      </c>
      <c r="Z16" s="33">
        <v>0</v>
      </c>
      <c r="AA16" s="34">
        <v>38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/>
      <c r="AI16" s="22"/>
      <c r="AK16" s="87">
        <f t="shared" si="2"/>
        <v>0.875</v>
      </c>
      <c r="AL16" s="87">
        <f t="shared" si="0"/>
        <v>1.45</v>
      </c>
      <c r="AM16" s="87">
        <f t="shared" si="0"/>
        <v>1.5833333333333333</v>
      </c>
      <c r="AN16" s="87">
        <f t="shared" si="0"/>
        <v>0.8571428571428571</v>
      </c>
      <c r="AO16" s="87">
        <f t="shared" si="0"/>
        <v>0</v>
      </c>
      <c r="AP16" s="87"/>
      <c r="AQ16" s="87"/>
      <c r="AR16" s="87"/>
      <c r="AS16" s="87">
        <f t="shared" si="0"/>
        <v>0.21714285714285714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27</v>
      </c>
      <c r="T17" s="31">
        <v>8</v>
      </c>
      <c r="U17" s="31">
        <v>20</v>
      </c>
      <c r="V17" s="32">
        <v>1</v>
      </c>
      <c r="W17" s="32">
        <v>0</v>
      </c>
      <c r="X17" s="32">
        <v>10</v>
      </c>
      <c r="Y17" s="75">
        <v>4</v>
      </c>
      <c r="Z17" s="33">
        <v>0</v>
      </c>
      <c r="AA17" s="34">
        <v>25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7">
        <f t="shared" si="2"/>
        <v>0.67500000000000004</v>
      </c>
      <c r="AL17" s="87">
        <f t="shared" si="0"/>
        <v>0.4</v>
      </c>
      <c r="AM17" s="87">
        <f t="shared" si="0"/>
        <v>0.16666666666666666</v>
      </c>
      <c r="AN17" s="87">
        <f t="shared" si="0"/>
        <v>0.14285714285714285</v>
      </c>
      <c r="AO17" s="87">
        <f t="shared" si="0"/>
        <v>0</v>
      </c>
      <c r="AP17" s="87"/>
      <c r="AQ17" s="87"/>
      <c r="AR17" s="87"/>
      <c r="AS17" s="87">
        <f t="shared" si="0"/>
        <v>0.14285714285714285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28</v>
      </c>
      <c r="T18" s="31">
        <v>15</v>
      </c>
      <c r="U18" s="31">
        <v>133</v>
      </c>
      <c r="V18" s="32">
        <v>2</v>
      </c>
      <c r="W18" s="32">
        <v>0</v>
      </c>
      <c r="X18" s="32">
        <v>0</v>
      </c>
      <c r="Y18" s="75">
        <v>0</v>
      </c>
      <c r="Z18" s="33">
        <v>0</v>
      </c>
      <c r="AA18" s="34">
        <v>30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/>
      <c r="AH18" s="21"/>
      <c r="AI18" s="22"/>
      <c r="AK18" s="87">
        <f t="shared" si="2"/>
        <v>0.7</v>
      </c>
      <c r="AL18" s="87">
        <f t="shared" si="0"/>
        <v>0.75</v>
      </c>
      <c r="AM18" s="87">
        <f t="shared" si="0"/>
        <v>1.1083333333333334</v>
      </c>
      <c r="AN18" s="87">
        <f t="shared" si="0"/>
        <v>0.2857142857142857</v>
      </c>
      <c r="AO18" s="87">
        <f t="shared" si="0"/>
        <v>0</v>
      </c>
      <c r="AP18" s="87"/>
      <c r="AQ18" s="87"/>
      <c r="AR18" s="87"/>
      <c r="AS18" s="87">
        <f t="shared" si="0"/>
        <v>0.17142857142857143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25</v>
      </c>
      <c r="T19" s="31">
        <v>11</v>
      </c>
      <c r="U19" s="31">
        <v>44</v>
      </c>
      <c r="V19" s="32">
        <v>0</v>
      </c>
      <c r="W19" s="32">
        <v>0</v>
      </c>
      <c r="X19" s="32">
        <v>16</v>
      </c>
      <c r="Y19" s="75">
        <v>0</v>
      </c>
      <c r="Z19" s="33">
        <v>0</v>
      </c>
      <c r="AA19" s="34">
        <v>16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7">
        <f t="shared" si="2"/>
        <v>0.625</v>
      </c>
      <c r="AL19" s="87">
        <f t="shared" si="0"/>
        <v>0.55000000000000004</v>
      </c>
      <c r="AM19" s="87">
        <f t="shared" si="0"/>
        <v>0.36666666666666664</v>
      </c>
      <c r="AN19" s="87">
        <f t="shared" si="0"/>
        <v>0</v>
      </c>
      <c r="AO19" s="87">
        <f t="shared" si="0"/>
        <v>0</v>
      </c>
      <c r="AP19" s="87"/>
      <c r="AQ19" s="87"/>
      <c r="AR19" s="87"/>
      <c r="AS19" s="87">
        <f t="shared" si="0"/>
        <v>9.1428571428571428E-2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45</v>
      </c>
      <c r="T20" s="31">
        <v>32</v>
      </c>
      <c r="U20" s="31">
        <v>69</v>
      </c>
      <c r="V20" s="32">
        <v>0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 t="s">
        <v>126</v>
      </c>
      <c r="AI20" s="22"/>
      <c r="AK20" s="87">
        <f t="shared" si="2"/>
        <v>1.125</v>
      </c>
      <c r="AL20" s="87">
        <f t="shared" si="0"/>
        <v>1.6</v>
      </c>
      <c r="AM20" s="87">
        <f t="shared" si="0"/>
        <v>0.57499999999999996</v>
      </c>
      <c r="AN20" s="87">
        <f t="shared" si="0"/>
        <v>0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20</v>
      </c>
      <c r="T21" s="31">
        <v>5</v>
      </c>
      <c r="U21" s="31">
        <v>110</v>
      </c>
      <c r="V21" s="32">
        <v>2</v>
      </c>
      <c r="W21" s="32">
        <v>0</v>
      </c>
      <c r="X21" s="32">
        <v>120</v>
      </c>
      <c r="Y21" s="75">
        <v>1</v>
      </c>
      <c r="Z21" s="33">
        <v>0</v>
      </c>
      <c r="AA21" s="34">
        <v>30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7">
        <f t="shared" si="2"/>
        <v>0.5</v>
      </c>
      <c r="AL21" s="87">
        <f t="shared" si="2"/>
        <v>0.25</v>
      </c>
      <c r="AM21" s="87">
        <f t="shared" si="2"/>
        <v>0.91666666666666663</v>
      </c>
      <c r="AN21" s="87">
        <f t="shared" si="2"/>
        <v>0.2857142857142857</v>
      </c>
      <c r="AO21" s="87">
        <f t="shared" si="2"/>
        <v>0</v>
      </c>
      <c r="AP21" s="87"/>
      <c r="AQ21" s="87"/>
      <c r="AR21" s="87"/>
      <c r="AS21" s="87">
        <f t="shared" ref="AS21:AS55" si="3">AA21/L21</f>
        <v>0.17142857142857143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5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7">
        <f t="shared" si="2"/>
        <v>0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52</v>
      </c>
      <c r="T23" s="31">
        <v>20</v>
      </c>
      <c r="U23" s="31">
        <v>120</v>
      </c>
      <c r="V23" s="32">
        <v>0</v>
      </c>
      <c r="W23" s="32">
        <v>0</v>
      </c>
      <c r="X23" s="32">
        <v>15</v>
      </c>
      <c r="Y23" s="75">
        <v>6</v>
      </c>
      <c r="Z23" s="33">
        <v>0</v>
      </c>
      <c r="AA23" s="34">
        <v>30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21"/>
      <c r="AI23" s="22"/>
      <c r="AK23" s="87">
        <f t="shared" si="2"/>
        <v>1.3</v>
      </c>
      <c r="AL23" s="87">
        <f t="shared" si="2"/>
        <v>1</v>
      </c>
      <c r="AM23" s="87">
        <f t="shared" si="2"/>
        <v>1</v>
      </c>
      <c r="AN23" s="87">
        <f t="shared" si="2"/>
        <v>0</v>
      </c>
      <c r="AO23" s="87">
        <f t="shared" si="2"/>
        <v>0</v>
      </c>
      <c r="AP23" s="87"/>
      <c r="AQ23" s="87"/>
      <c r="AR23" s="87"/>
      <c r="AS23" s="87">
        <f t="shared" si="3"/>
        <v>0.17142857142857143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37</v>
      </c>
      <c r="T24" s="31">
        <v>15</v>
      </c>
      <c r="U24" s="31">
        <v>42</v>
      </c>
      <c r="V24" s="32">
        <v>2</v>
      </c>
      <c r="W24" s="32">
        <v>0</v>
      </c>
      <c r="X24" s="32">
        <v>3</v>
      </c>
      <c r="Y24" s="75">
        <v>6</v>
      </c>
      <c r="Z24" s="33">
        <v>0</v>
      </c>
      <c r="AA24" s="34">
        <v>15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/>
      <c r="AI24" s="22"/>
      <c r="AK24" s="87">
        <f t="shared" si="2"/>
        <v>0.92500000000000004</v>
      </c>
      <c r="AL24" s="87">
        <f t="shared" si="2"/>
        <v>0.75</v>
      </c>
      <c r="AM24" s="87">
        <f t="shared" si="2"/>
        <v>0.35</v>
      </c>
      <c r="AN24" s="87">
        <f t="shared" si="2"/>
        <v>0.2857142857142857</v>
      </c>
      <c r="AO24" s="87">
        <f t="shared" si="2"/>
        <v>0</v>
      </c>
      <c r="AP24" s="87"/>
      <c r="AQ24" s="87"/>
      <c r="AR24" s="87"/>
      <c r="AS24" s="87">
        <f t="shared" si="3"/>
        <v>8.5714285714285715E-2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>
        <v>35</v>
      </c>
      <c r="T25" s="31">
        <v>27</v>
      </c>
      <c r="U25" s="31">
        <v>62</v>
      </c>
      <c r="V25" s="32">
        <v>3</v>
      </c>
      <c r="W25" s="32">
        <v>0</v>
      </c>
      <c r="X25" s="32">
        <v>56</v>
      </c>
      <c r="Y25" s="75">
        <v>6</v>
      </c>
      <c r="Z25" s="33">
        <v>0</v>
      </c>
      <c r="AA25" s="34">
        <v>30</v>
      </c>
      <c r="AB25" s="34">
        <v>0</v>
      </c>
      <c r="AC25" s="34">
        <v>0</v>
      </c>
      <c r="AD25" s="35">
        <v>0</v>
      </c>
      <c r="AE25" s="34">
        <v>0</v>
      </c>
      <c r="AF25" s="34">
        <v>0</v>
      </c>
      <c r="AG25" s="34">
        <v>0</v>
      </c>
      <c r="AH25" s="21"/>
      <c r="AI25" s="22"/>
      <c r="AK25" s="87">
        <f t="shared" si="2"/>
        <v>0.875</v>
      </c>
      <c r="AL25" s="87">
        <f t="shared" si="2"/>
        <v>1.35</v>
      </c>
      <c r="AM25" s="87">
        <f t="shared" si="2"/>
        <v>0.51666666666666672</v>
      </c>
      <c r="AN25" s="87">
        <f t="shared" si="2"/>
        <v>0.42857142857142855</v>
      </c>
      <c r="AO25" s="87">
        <f t="shared" si="2"/>
        <v>0</v>
      </c>
      <c r="AP25" s="87"/>
      <c r="AQ25" s="87"/>
      <c r="AR25" s="87"/>
      <c r="AS25" s="87">
        <f t="shared" si="3"/>
        <v>0.17142857142857143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>
        <v>33</v>
      </c>
      <c r="T26" s="31">
        <v>28</v>
      </c>
      <c r="U26" s="31">
        <v>80</v>
      </c>
      <c r="V26" s="32">
        <v>6</v>
      </c>
      <c r="W26" s="32">
        <v>0</v>
      </c>
      <c r="X26" s="32">
        <v>80</v>
      </c>
      <c r="Y26" s="75">
        <v>6</v>
      </c>
      <c r="Z26" s="33">
        <v>0</v>
      </c>
      <c r="AA26" s="34">
        <v>90</v>
      </c>
      <c r="AB26" s="34">
        <v>0</v>
      </c>
      <c r="AC26" s="34">
        <v>0</v>
      </c>
      <c r="AD26" s="35">
        <v>0</v>
      </c>
      <c r="AE26" s="34">
        <v>0</v>
      </c>
      <c r="AF26" s="34">
        <v>0</v>
      </c>
      <c r="AG26" s="34">
        <v>0</v>
      </c>
      <c r="AH26" s="21"/>
      <c r="AI26" s="22"/>
      <c r="AK26" s="87">
        <f t="shared" si="2"/>
        <v>0.82499999999999996</v>
      </c>
      <c r="AL26" s="87">
        <f t="shared" si="2"/>
        <v>1.4</v>
      </c>
      <c r="AM26" s="87">
        <f t="shared" si="2"/>
        <v>0.66666666666666663</v>
      </c>
      <c r="AN26" s="87">
        <f t="shared" si="2"/>
        <v>0.8571428571428571</v>
      </c>
      <c r="AO26" s="87">
        <f t="shared" si="2"/>
        <v>0</v>
      </c>
      <c r="AP26" s="87"/>
      <c r="AQ26" s="87"/>
      <c r="AR26" s="87"/>
      <c r="AS26" s="87">
        <f t="shared" si="3"/>
        <v>0.51428571428571423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>
        <v>30</v>
      </c>
      <c r="T27" s="31">
        <v>20</v>
      </c>
      <c r="U27" s="31">
        <v>120</v>
      </c>
      <c r="V27" s="32">
        <v>2</v>
      </c>
      <c r="W27" s="32">
        <v>0</v>
      </c>
      <c r="X27" s="32">
        <v>40</v>
      </c>
      <c r="Y27" s="75">
        <v>40</v>
      </c>
      <c r="Z27" s="33">
        <v>0</v>
      </c>
      <c r="AA27" s="34">
        <v>20</v>
      </c>
      <c r="AB27" s="34">
        <v>0</v>
      </c>
      <c r="AC27" s="34">
        <v>0</v>
      </c>
      <c r="AD27" s="35">
        <v>0</v>
      </c>
      <c r="AE27" s="34">
        <v>0</v>
      </c>
      <c r="AF27" s="34">
        <v>0</v>
      </c>
      <c r="AG27" s="34">
        <v>0</v>
      </c>
      <c r="AH27" s="21"/>
      <c r="AI27" s="22"/>
      <c r="AK27" s="87">
        <f t="shared" si="2"/>
        <v>0.75</v>
      </c>
      <c r="AL27" s="87">
        <f t="shared" si="2"/>
        <v>1</v>
      </c>
      <c r="AM27" s="87">
        <f t="shared" si="2"/>
        <v>1</v>
      </c>
      <c r="AN27" s="87">
        <f t="shared" si="2"/>
        <v>0.2857142857142857</v>
      </c>
      <c r="AO27" s="87">
        <f t="shared" si="2"/>
        <v>0</v>
      </c>
      <c r="AP27" s="87"/>
      <c r="AQ27" s="87"/>
      <c r="AR27" s="87"/>
      <c r="AS27" s="87">
        <f t="shared" si="3"/>
        <v>0.11428571428571428</v>
      </c>
      <c r="AT27" s="87"/>
      <c r="AU27" s="87"/>
      <c r="AV27" s="87"/>
      <c r="AW27" s="87"/>
      <c r="AX27" s="87"/>
      <c r="AY27" s="87"/>
    </row>
    <row r="28" spans="2:51" ht="17.399999999999999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20</v>
      </c>
      <c r="T28" s="31">
        <v>14</v>
      </c>
      <c r="U28" s="31">
        <v>80</v>
      </c>
      <c r="V28" s="32">
        <v>4</v>
      </c>
      <c r="W28" s="32">
        <v>0</v>
      </c>
      <c r="X28" s="32">
        <v>0</v>
      </c>
      <c r="Y28" s="75">
        <v>6</v>
      </c>
      <c r="Z28" s="33">
        <v>0</v>
      </c>
      <c r="AA28" s="34">
        <v>60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21"/>
      <c r="AI28" s="22"/>
      <c r="AK28" s="87">
        <f t="shared" si="2"/>
        <v>0.5</v>
      </c>
      <c r="AL28" s="87">
        <f t="shared" si="2"/>
        <v>0.7</v>
      </c>
      <c r="AM28" s="87">
        <f t="shared" si="2"/>
        <v>0.66666666666666663</v>
      </c>
      <c r="AN28" s="87">
        <f t="shared" si="2"/>
        <v>0.5714285714285714</v>
      </c>
      <c r="AO28" s="87">
        <f t="shared" si="2"/>
        <v>0</v>
      </c>
      <c r="AP28" s="87"/>
      <c r="AQ28" s="87"/>
      <c r="AR28" s="87"/>
      <c r="AS28" s="87">
        <f t="shared" si="3"/>
        <v>0.34285714285714286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>
        <v>21</v>
      </c>
      <c r="T29" s="31">
        <v>4</v>
      </c>
      <c r="U29" s="31">
        <v>16</v>
      </c>
      <c r="V29" s="32">
        <v>0</v>
      </c>
      <c r="W29" s="32">
        <v>0</v>
      </c>
      <c r="X29" s="32">
        <v>23</v>
      </c>
      <c r="Y29" s="75">
        <v>0</v>
      </c>
      <c r="Z29" s="33">
        <v>0</v>
      </c>
      <c r="AA29" s="34">
        <v>20</v>
      </c>
      <c r="AB29" s="34">
        <v>0</v>
      </c>
      <c r="AC29" s="34">
        <v>0</v>
      </c>
      <c r="AD29" s="35">
        <v>0</v>
      </c>
      <c r="AE29" s="34">
        <v>0</v>
      </c>
      <c r="AF29" s="34">
        <v>0</v>
      </c>
      <c r="AG29" s="34">
        <v>0</v>
      </c>
      <c r="AH29" s="21"/>
      <c r="AI29" s="22"/>
      <c r="AK29" s="87">
        <f t="shared" si="2"/>
        <v>0.52500000000000002</v>
      </c>
      <c r="AL29" s="87">
        <f t="shared" si="2"/>
        <v>0.2</v>
      </c>
      <c r="AM29" s="87">
        <f t="shared" si="2"/>
        <v>0.13333333333333333</v>
      </c>
      <c r="AN29" s="87">
        <f t="shared" si="2"/>
        <v>0</v>
      </c>
      <c r="AO29" s="87">
        <f t="shared" si="2"/>
        <v>0</v>
      </c>
      <c r="AP29" s="87"/>
      <c r="AQ29" s="87"/>
      <c r="AR29" s="87"/>
      <c r="AS29" s="87">
        <f t="shared" si="3"/>
        <v>0.11428571428571428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/>
      <c r="T30" s="31"/>
      <c r="U30" s="31"/>
      <c r="V30" s="32"/>
      <c r="W30" s="32"/>
      <c r="X30" s="32"/>
      <c r="Y30" s="75"/>
      <c r="Z30" s="33"/>
      <c r="AA30" s="34"/>
      <c r="AB30" s="34"/>
      <c r="AC30" s="34"/>
      <c r="AD30" s="35"/>
      <c r="AE30" s="34"/>
      <c r="AF30" s="34"/>
      <c r="AG30" s="34"/>
      <c r="AH30" s="21"/>
      <c r="AI30" s="22"/>
      <c r="AK30" s="87">
        <f t="shared" si="2"/>
        <v>0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>
        <v>31</v>
      </c>
      <c r="T31" s="31">
        <v>16</v>
      </c>
      <c r="U31" s="31">
        <v>150</v>
      </c>
      <c r="V31" s="32">
        <v>1</v>
      </c>
      <c r="W31" s="32">
        <v>0</v>
      </c>
      <c r="X31" s="32">
        <v>33</v>
      </c>
      <c r="Y31" s="75">
        <v>3</v>
      </c>
      <c r="Z31" s="33">
        <v>0</v>
      </c>
      <c r="AA31" s="34">
        <v>122</v>
      </c>
      <c r="AB31" s="34">
        <v>0</v>
      </c>
      <c r="AC31" s="34">
        <v>0</v>
      </c>
      <c r="AD31" s="35">
        <v>0</v>
      </c>
      <c r="AE31" s="34">
        <v>0</v>
      </c>
      <c r="AF31" s="34">
        <v>0</v>
      </c>
      <c r="AG31" s="34">
        <v>0</v>
      </c>
      <c r="AH31" s="21"/>
      <c r="AI31" s="22"/>
      <c r="AK31" s="87">
        <f t="shared" si="2"/>
        <v>0.77500000000000002</v>
      </c>
      <c r="AL31" s="87">
        <f t="shared" si="2"/>
        <v>0.8</v>
      </c>
      <c r="AM31" s="87">
        <f t="shared" si="2"/>
        <v>1.25</v>
      </c>
      <c r="AN31" s="87">
        <f t="shared" si="2"/>
        <v>0.14285714285714285</v>
      </c>
      <c r="AO31" s="87">
        <f t="shared" si="2"/>
        <v>0</v>
      </c>
      <c r="AP31" s="87"/>
      <c r="AQ31" s="87"/>
      <c r="AR31" s="87"/>
      <c r="AS31" s="87">
        <f t="shared" si="3"/>
        <v>0.69714285714285718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>
        <v>40</v>
      </c>
      <c r="T32" s="31">
        <v>20</v>
      </c>
      <c r="U32" s="31">
        <v>160</v>
      </c>
      <c r="V32" s="32">
        <v>2</v>
      </c>
      <c r="W32" s="32">
        <v>0</v>
      </c>
      <c r="X32" s="32">
        <v>40</v>
      </c>
      <c r="Y32" s="75">
        <v>10</v>
      </c>
      <c r="Z32" s="33">
        <v>0</v>
      </c>
      <c r="AA32" s="34">
        <v>40</v>
      </c>
      <c r="AB32" s="34">
        <v>0</v>
      </c>
      <c r="AC32" s="34">
        <v>0</v>
      </c>
      <c r="AD32" s="35">
        <v>0</v>
      </c>
      <c r="AE32" s="34">
        <v>0</v>
      </c>
      <c r="AF32" s="34">
        <v>0</v>
      </c>
      <c r="AG32" s="34">
        <v>0</v>
      </c>
      <c r="AH32" s="21"/>
      <c r="AI32" s="22"/>
      <c r="AK32" s="87">
        <f t="shared" si="2"/>
        <v>1</v>
      </c>
      <c r="AL32" s="87">
        <f t="shared" si="2"/>
        <v>1</v>
      </c>
      <c r="AM32" s="87">
        <f t="shared" si="2"/>
        <v>1.3333333333333333</v>
      </c>
      <c r="AN32" s="87">
        <f t="shared" si="2"/>
        <v>0.2857142857142857</v>
      </c>
      <c r="AO32" s="87">
        <f t="shared" si="2"/>
        <v>0</v>
      </c>
      <c r="AP32" s="87"/>
      <c r="AQ32" s="87"/>
      <c r="AR32" s="87"/>
      <c r="AS32" s="87">
        <f t="shared" si="3"/>
        <v>0.22857142857142856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>
        <v>30</v>
      </c>
      <c r="T33" s="31">
        <v>20</v>
      </c>
      <c r="U33" s="31">
        <v>91</v>
      </c>
      <c r="V33" s="32">
        <v>0</v>
      </c>
      <c r="W33" s="32">
        <v>0</v>
      </c>
      <c r="X33" s="32">
        <v>3</v>
      </c>
      <c r="Y33" s="75">
        <v>0</v>
      </c>
      <c r="Z33" s="33">
        <v>0</v>
      </c>
      <c r="AA33" s="34">
        <v>206</v>
      </c>
      <c r="AB33" s="34">
        <v>0</v>
      </c>
      <c r="AC33" s="34">
        <v>0</v>
      </c>
      <c r="AD33" s="35">
        <v>0</v>
      </c>
      <c r="AE33" s="34">
        <v>0</v>
      </c>
      <c r="AF33" s="34">
        <v>0</v>
      </c>
      <c r="AG33" s="34">
        <v>0</v>
      </c>
      <c r="AH33" s="21"/>
      <c r="AI33" s="22"/>
      <c r="AK33" s="87">
        <f t="shared" si="2"/>
        <v>0.75</v>
      </c>
      <c r="AL33" s="87">
        <f t="shared" si="2"/>
        <v>1</v>
      </c>
      <c r="AM33" s="87">
        <f t="shared" si="2"/>
        <v>0.7583333333333333</v>
      </c>
      <c r="AN33" s="87">
        <f t="shared" si="2"/>
        <v>0</v>
      </c>
      <c r="AO33" s="87">
        <f t="shared" si="2"/>
        <v>0</v>
      </c>
      <c r="AP33" s="87"/>
      <c r="AQ33" s="87"/>
      <c r="AR33" s="87"/>
      <c r="AS33" s="87">
        <f t="shared" si="3"/>
        <v>1.177142857142857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34</v>
      </c>
      <c r="T34" s="31">
        <v>22</v>
      </c>
      <c r="U34" s="31">
        <v>200</v>
      </c>
      <c r="V34" s="32">
        <v>0</v>
      </c>
      <c r="W34" s="32">
        <v>0</v>
      </c>
      <c r="X34" s="32">
        <v>50</v>
      </c>
      <c r="Y34" s="75">
        <v>0</v>
      </c>
      <c r="Z34" s="33">
        <v>0</v>
      </c>
      <c r="AA34" s="34">
        <v>140</v>
      </c>
      <c r="AB34" s="34">
        <v>0</v>
      </c>
      <c r="AC34" s="34">
        <v>0</v>
      </c>
      <c r="AD34" s="35">
        <v>0</v>
      </c>
      <c r="AE34" s="34">
        <v>0</v>
      </c>
      <c r="AF34" s="34">
        <v>0</v>
      </c>
      <c r="AG34" s="34">
        <v>0</v>
      </c>
      <c r="AH34" s="21"/>
      <c r="AI34" s="22"/>
      <c r="AK34" s="87">
        <f t="shared" si="2"/>
        <v>0.85</v>
      </c>
      <c r="AL34" s="87">
        <f t="shared" si="2"/>
        <v>1.1000000000000001</v>
      </c>
      <c r="AM34" s="87">
        <f t="shared" si="2"/>
        <v>1.6666666666666667</v>
      </c>
      <c r="AN34" s="87">
        <f t="shared" si="2"/>
        <v>0</v>
      </c>
      <c r="AO34" s="87">
        <f t="shared" si="2"/>
        <v>0</v>
      </c>
      <c r="AP34" s="87"/>
      <c r="AQ34" s="87"/>
      <c r="AR34" s="87"/>
      <c r="AS34" s="87">
        <f t="shared" si="3"/>
        <v>0.8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>
        <v>10</v>
      </c>
      <c r="T35" s="31">
        <v>5</v>
      </c>
      <c r="U35" s="31">
        <v>50</v>
      </c>
      <c r="V35" s="32">
        <v>0</v>
      </c>
      <c r="W35" s="32">
        <v>0</v>
      </c>
      <c r="X35" s="32">
        <v>0</v>
      </c>
      <c r="Y35" s="75">
        <v>0</v>
      </c>
      <c r="Z35" s="33">
        <v>0</v>
      </c>
      <c r="AA35" s="34">
        <v>9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21"/>
      <c r="AI35" s="22"/>
      <c r="AK35" s="87">
        <f t="shared" si="2"/>
        <v>0.25</v>
      </c>
      <c r="AL35" s="87">
        <f t="shared" si="2"/>
        <v>0.25</v>
      </c>
      <c r="AM35" s="87">
        <f t="shared" si="2"/>
        <v>0.41666666666666669</v>
      </c>
      <c r="AN35" s="87">
        <f t="shared" si="2"/>
        <v>0</v>
      </c>
      <c r="AO35" s="87">
        <f t="shared" si="2"/>
        <v>0</v>
      </c>
      <c r="AP35" s="87"/>
      <c r="AQ35" s="87"/>
      <c r="AR35" s="87"/>
      <c r="AS35" s="87">
        <f t="shared" si="3"/>
        <v>5.1428571428571428E-2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>
        <v>29</v>
      </c>
      <c r="T36" s="31">
        <v>20</v>
      </c>
      <c r="U36" s="31">
        <v>80</v>
      </c>
      <c r="V36" s="32">
        <v>2</v>
      </c>
      <c r="W36" s="32">
        <v>0</v>
      </c>
      <c r="X36" s="32">
        <v>40</v>
      </c>
      <c r="Y36" s="75">
        <v>18</v>
      </c>
      <c r="Z36" s="33">
        <v>0</v>
      </c>
      <c r="AA36" s="34">
        <v>20</v>
      </c>
      <c r="AB36" s="34">
        <v>0</v>
      </c>
      <c r="AC36" s="34">
        <v>0</v>
      </c>
      <c r="AD36" s="35">
        <v>0</v>
      </c>
      <c r="AE36" s="34">
        <v>0</v>
      </c>
      <c r="AF36" s="34">
        <v>0</v>
      </c>
      <c r="AG36" s="34">
        <v>0</v>
      </c>
      <c r="AH36" s="21"/>
      <c r="AI36" s="22"/>
      <c r="AK36" s="87">
        <f t="shared" si="2"/>
        <v>0.72499999999999998</v>
      </c>
      <c r="AL36" s="87">
        <f t="shared" si="2"/>
        <v>1</v>
      </c>
      <c r="AM36" s="87">
        <f t="shared" si="2"/>
        <v>0.66666666666666663</v>
      </c>
      <c r="AN36" s="87">
        <f t="shared" si="2"/>
        <v>0.2857142857142857</v>
      </c>
      <c r="AO36" s="87">
        <f t="shared" si="2"/>
        <v>0</v>
      </c>
      <c r="AP36" s="87"/>
      <c r="AQ36" s="87"/>
      <c r="AR36" s="87"/>
      <c r="AS36" s="87">
        <f t="shared" si="3"/>
        <v>0.11428571428571428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25</v>
      </c>
      <c r="T37" s="31">
        <v>19</v>
      </c>
      <c r="U37" s="31">
        <v>110</v>
      </c>
      <c r="V37" s="32">
        <v>4</v>
      </c>
      <c r="W37" s="32">
        <v>0</v>
      </c>
      <c r="X37" s="32">
        <v>15</v>
      </c>
      <c r="Y37" s="75">
        <v>6</v>
      </c>
      <c r="Z37" s="33">
        <v>0</v>
      </c>
      <c r="AA37" s="34">
        <v>48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0.625</v>
      </c>
      <c r="AL37" s="87">
        <f t="shared" si="2"/>
        <v>0.95</v>
      </c>
      <c r="AM37" s="87">
        <f t="shared" si="2"/>
        <v>0.91666666666666663</v>
      </c>
      <c r="AN37" s="87">
        <f t="shared" si="2"/>
        <v>0.5714285714285714</v>
      </c>
      <c r="AO37" s="87">
        <f t="shared" si="2"/>
        <v>0</v>
      </c>
      <c r="AP37" s="87"/>
      <c r="AQ37" s="87"/>
      <c r="AR37" s="87"/>
      <c r="AS37" s="87">
        <f t="shared" si="3"/>
        <v>0.2742857142857143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50</v>
      </c>
      <c r="T38" s="31">
        <v>40</v>
      </c>
      <c r="U38" s="31">
        <v>100</v>
      </c>
      <c r="V38" s="32">
        <v>2</v>
      </c>
      <c r="W38" s="32">
        <v>0</v>
      </c>
      <c r="X38" s="32">
        <v>80</v>
      </c>
      <c r="Y38" s="75">
        <v>0</v>
      </c>
      <c r="Z38" s="33">
        <v>0</v>
      </c>
      <c r="AA38" s="34">
        <v>70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1.25</v>
      </c>
      <c r="AL38" s="87">
        <f t="shared" si="2"/>
        <v>2</v>
      </c>
      <c r="AM38" s="87">
        <f t="shared" si="2"/>
        <v>0.83333333333333337</v>
      </c>
      <c r="AN38" s="87">
        <f t="shared" si="2"/>
        <v>0.2857142857142857</v>
      </c>
      <c r="AO38" s="87">
        <f t="shared" si="2"/>
        <v>0</v>
      </c>
      <c r="AP38" s="87"/>
      <c r="AQ38" s="87"/>
      <c r="AR38" s="87"/>
      <c r="AS38" s="87">
        <f t="shared" si="3"/>
        <v>0.4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25</v>
      </c>
      <c r="T39" s="31">
        <v>10</v>
      </c>
      <c r="U39" s="31">
        <v>110</v>
      </c>
      <c r="V39" s="32">
        <v>1</v>
      </c>
      <c r="W39" s="32">
        <v>0</v>
      </c>
      <c r="X39" s="32">
        <v>70</v>
      </c>
      <c r="Y39" s="75">
        <v>4</v>
      </c>
      <c r="Z39" s="33">
        <v>0</v>
      </c>
      <c r="AA39" s="34">
        <v>22</v>
      </c>
      <c r="AB39" s="34">
        <v>0</v>
      </c>
      <c r="AC39" s="34">
        <v>0</v>
      </c>
      <c r="AD39" s="35">
        <v>0</v>
      </c>
      <c r="AE39" s="34">
        <v>0</v>
      </c>
      <c r="AF39" s="34">
        <v>0</v>
      </c>
      <c r="AG39" s="34">
        <v>0</v>
      </c>
      <c r="AH39" s="21"/>
      <c r="AI39" s="22"/>
      <c r="AK39" s="87">
        <f t="shared" si="2"/>
        <v>0.625</v>
      </c>
      <c r="AL39" s="87">
        <f t="shared" si="2"/>
        <v>0.5</v>
      </c>
      <c r="AM39" s="87">
        <f t="shared" si="2"/>
        <v>0.91666666666666663</v>
      </c>
      <c r="AN39" s="87">
        <f t="shared" si="2"/>
        <v>0.14285714285714285</v>
      </c>
      <c r="AO39" s="87">
        <f t="shared" si="2"/>
        <v>0</v>
      </c>
      <c r="AP39" s="87"/>
      <c r="AQ39" s="87"/>
      <c r="AR39" s="87"/>
      <c r="AS39" s="87">
        <f t="shared" si="3"/>
        <v>0.12571428571428572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>
        <v>39</v>
      </c>
      <c r="T40" s="31">
        <v>27</v>
      </c>
      <c r="U40" s="31">
        <v>200</v>
      </c>
      <c r="V40" s="32">
        <v>1</v>
      </c>
      <c r="W40" s="32">
        <v>0</v>
      </c>
      <c r="X40" s="32">
        <v>40</v>
      </c>
      <c r="Y40" s="75">
        <v>35</v>
      </c>
      <c r="Z40" s="33">
        <v>0</v>
      </c>
      <c r="AA40" s="34">
        <v>20</v>
      </c>
      <c r="AB40" s="34">
        <v>0</v>
      </c>
      <c r="AC40" s="34">
        <v>0</v>
      </c>
      <c r="AD40" s="35">
        <v>0</v>
      </c>
      <c r="AE40" s="34">
        <v>0</v>
      </c>
      <c r="AF40" s="34">
        <v>0</v>
      </c>
      <c r="AG40" s="34">
        <v>0</v>
      </c>
      <c r="AH40" s="21"/>
      <c r="AI40" s="22"/>
      <c r="AK40" s="87">
        <f t="shared" si="2"/>
        <v>0.97499999999999998</v>
      </c>
      <c r="AL40" s="87">
        <f t="shared" si="2"/>
        <v>1.35</v>
      </c>
      <c r="AM40" s="87">
        <f t="shared" si="2"/>
        <v>1.6666666666666667</v>
      </c>
      <c r="AN40" s="87">
        <f t="shared" si="2"/>
        <v>0.14285714285714285</v>
      </c>
      <c r="AO40" s="87">
        <f t="shared" si="2"/>
        <v>0</v>
      </c>
      <c r="AP40" s="87"/>
      <c r="AQ40" s="87"/>
      <c r="AR40" s="87"/>
      <c r="AS40" s="87">
        <f t="shared" si="3"/>
        <v>0.11428571428571428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36</v>
      </c>
      <c r="T41" s="31">
        <v>22</v>
      </c>
      <c r="U41" s="31">
        <v>92</v>
      </c>
      <c r="V41" s="32">
        <v>3</v>
      </c>
      <c r="W41" s="32">
        <v>0</v>
      </c>
      <c r="X41" s="32">
        <v>30</v>
      </c>
      <c r="Y41" s="75">
        <v>6</v>
      </c>
      <c r="Z41" s="33">
        <v>0</v>
      </c>
      <c r="AA41" s="34">
        <v>40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  <c r="AH41" s="21"/>
      <c r="AI41" s="22"/>
      <c r="AK41" s="87">
        <f t="shared" si="2"/>
        <v>0.9</v>
      </c>
      <c r="AL41" s="87">
        <f t="shared" si="2"/>
        <v>1.1000000000000001</v>
      </c>
      <c r="AM41" s="87">
        <f t="shared" si="2"/>
        <v>0.76666666666666672</v>
      </c>
      <c r="AN41" s="87">
        <f t="shared" si="2"/>
        <v>0.42857142857142855</v>
      </c>
      <c r="AO41" s="87">
        <f t="shared" si="2"/>
        <v>0</v>
      </c>
      <c r="AP41" s="87"/>
      <c r="AQ41" s="87"/>
      <c r="AR41" s="87"/>
      <c r="AS41" s="87">
        <f t="shared" si="3"/>
        <v>0.22857142857142856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>
        <v>30</v>
      </c>
      <c r="T42" s="31">
        <v>19</v>
      </c>
      <c r="U42" s="31">
        <v>45</v>
      </c>
      <c r="V42" s="32">
        <v>2</v>
      </c>
      <c r="W42" s="32">
        <v>0</v>
      </c>
      <c r="X42" s="32">
        <v>20</v>
      </c>
      <c r="Y42" s="75">
        <v>9</v>
      </c>
      <c r="Z42" s="33">
        <v>0</v>
      </c>
      <c r="AA42" s="34">
        <v>24</v>
      </c>
      <c r="AB42" s="34">
        <v>0</v>
      </c>
      <c r="AC42" s="34">
        <v>0</v>
      </c>
      <c r="AD42" s="35">
        <v>0</v>
      </c>
      <c r="AE42" s="34">
        <v>0</v>
      </c>
      <c r="AF42" s="34">
        <v>0</v>
      </c>
      <c r="AG42" s="34">
        <v>0</v>
      </c>
      <c r="AH42" s="21"/>
      <c r="AI42" s="22"/>
      <c r="AK42" s="87">
        <f t="shared" si="2"/>
        <v>0.75</v>
      </c>
      <c r="AL42" s="87">
        <f t="shared" si="2"/>
        <v>0.95</v>
      </c>
      <c r="AM42" s="87">
        <f t="shared" si="2"/>
        <v>0.375</v>
      </c>
      <c r="AN42" s="87">
        <f t="shared" si="2"/>
        <v>0.2857142857142857</v>
      </c>
      <c r="AO42" s="87">
        <f t="shared" si="2"/>
        <v>0</v>
      </c>
      <c r="AP42" s="87"/>
      <c r="AQ42" s="87"/>
      <c r="AR42" s="87"/>
      <c r="AS42" s="87">
        <f t="shared" si="3"/>
        <v>0.13714285714285715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>
        <v>23</v>
      </c>
      <c r="T43" s="31">
        <v>12</v>
      </c>
      <c r="U43" s="31">
        <v>120</v>
      </c>
      <c r="V43" s="32">
        <v>2</v>
      </c>
      <c r="W43" s="32">
        <v>0</v>
      </c>
      <c r="X43" s="32">
        <v>0</v>
      </c>
      <c r="Y43" s="75">
        <v>0</v>
      </c>
      <c r="Z43" s="33">
        <v>0</v>
      </c>
      <c r="AA43" s="34">
        <v>17</v>
      </c>
      <c r="AB43" s="34">
        <v>0</v>
      </c>
      <c r="AC43" s="34">
        <v>0</v>
      </c>
      <c r="AD43" s="35">
        <v>0</v>
      </c>
      <c r="AE43" s="34">
        <v>0</v>
      </c>
      <c r="AF43" s="34">
        <v>0</v>
      </c>
      <c r="AG43" s="34">
        <v>0</v>
      </c>
      <c r="AH43" s="21"/>
      <c r="AI43" s="22"/>
      <c r="AK43" s="87">
        <f t="shared" si="2"/>
        <v>0.57499999999999996</v>
      </c>
      <c r="AL43" s="87">
        <f t="shared" si="2"/>
        <v>0.6</v>
      </c>
      <c r="AM43" s="87">
        <f t="shared" si="2"/>
        <v>1</v>
      </c>
      <c r="AN43" s="87">
        <f t="shared" si="2"/>
        <v>0.2857142857142857</v>
      </c>
      <c r="AO43" s="87">
        <f t="shared" si="2"/>
        <v>0</v>
      </c>
      <c r="AP43" s="87"/>
      <c r="AQ43" s="87"/>
      <c r="AR43" s="87"/>
      <c r="AS43" s="87">
        <f t="shared" si="3"/>
        <v>9.7142857142857142E-2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>
        <v>20</v>
      </c>
      <c r="T44" s="31">
        <v>8</v>
      </c>
      <c r="U44" s="31">
        <v>40</v>
      </c>
      <c r="V44" s="32">
        <v>2</v>
      </c>
      <c r="W44" s="32">
        <v>0</v>
      </c>
      <c r="X44" s="32">
        <v>0</v>
      </c>
      <c r="Y44" s="75">
        <v>0</v>
      </c>
      <c r="Z44" s="33">
        <v>0</v>
      </c>
      <c r="AA44" s="34">
        <v>15</v>
      </c>
      <c r="AB44" s="34">
        <v>0</v>
      </c>
      <c r="AC44" s="34">
        <v>0</v>
      </c>
      <c r="AD44" s="35">
        <v>0</v>
      </c>
      <c r="AE44" s="34">
        <v>0</v>
      </c>
      <c r="AF44" s="34">
        <v>0</v>
      </c>
      <c r="AG44" s="34">
        <v>0</v>
      </c>
      <c r="AH44" s="21"/>
      <c r="AI44" s="22"/>
      <c r="AK44" s="87">
        <f t="shared" si="2"/>
        <v>0.5</v>
      </c>
      <c r="AL44" s="87">
        <f t="shared" si="2"/>
        <v>0.4</v>
      </c>
      <c r="AM44" s="87">
        <f t="shared" si="2"/>
        <v>0.33333333333333331</v>
      </c>
      <c r="AN44" s="87">
        <f t="shared" si="2"/>
        <v>0.2857142857142857</v>
      </c>
      <c r="AO44" s="87">
        <f t="shared" si="2"/>
        <v>0</v>
      </c>
      <c r="AP44" s="87"/>
      <c r="AQ44" s="87"/>
      <c r="AR44" s="87"/>
      <c r="AS44" s="87">
        <f t="shared" si="3"/>
        <v>8.5714285714285715E-2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>
        <v>19</v>
      </c>
      <c r="T45" s="31">
        <v>10</v>
      </c>
      <c r="U45" s="31">
        <v>120</v>
      </c>
      <c r="V45" s="32">
        <v>2</v>
      </c>
      <c r="W45" s="32">
        <v>0</v>
      </c>
      <c r="X45" s="32">
        <v>10</v>
      </c>
      <c r="Y45" s="75">
        <v>0</v>
      </c>
      <c r="Z45" s="33">
        <v>0</v>
      </c>
      <c r="AA45" s="34">
        <v>83</v>
      </c>
      <c r="AB45" s="34">
        <v>0</v>
      </c>
      <c r="AC45" s="34">
        <v>0</v>
      </c>
      <c r="AD45" s="35">
        <v>0</v>
      </c>
      <c r="AE45" s="34">
        <v>0</v>
      </c>
      <c r="AF45" s="34">
        <v>0</v>
      </c>
      <c r="AG45" s="34">
        <v>0</v>
      </c>
      <c r="AH45" s="21"/>
      <c r="AI45" s="22"/>
      <c r="AK45" s="87">
        <f t="shared" si="2"/>
        <v>0.47499999999999998</v>
      </c>
      <c r="AL45" s="87">
        <f t="shared" si="2"/>
        <v>0.5</v>
      </c>
      <c r="AM45" s="87">
        <f t="shared" si="2"/>
        <v>1</v>
      </c>
      <c r="AN45" s="87">
        <f t="shared" si="2"/>
        <v>0.2857142857142857</v>
      </c>
      <c r="AO45" s="87">
        <f t="shared" si="2"/>
        <v>0</v>
      </c>
      <c r="AP45" s="87"/>
      <c r="AQ45" s="87"/>
      <c r="AR45" s="87"/>
      <c r="AS45" s="87">
        <f t="shared" si="3"/>
        <v>0.47428571428571431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>
        <v>44</v>
      </c>
      <c r="T46" s="31">
        <v>35</v>
      </c>
      <c r="U46" s="31">
        <v>240</v>
      </c>
      <c r="V46" s="32">
        <v>7</v>
      </c>
      <c r="W46" s="32">
        <v>0</v>
      </c>
      <c r="X46" s="32">
        <v>40</v>
      </c>
      <c r="Y46" s="75">
        <v>30</v>
      </c>
      <c r="Z46" s="33">
        <v>0</v>
      </c>
      <c r="AA46" s="34">
        <v>30</v>
      </c>
      <c r="AB46" s="34">
        <v>0</v>
      </c>
      <c r="AC46" s="34">
        <v>0</v>
      </c>
      <c r="AD46" s="35">
        <v>0</v>
      </c>
      <c r="AE46" s="34">
        <v>0</v>
      </c>
      <c r="AF46" s="34">
        <v>0</v>
      </c>
      <c r="AG46" s="34">
        <v>0</v>
      </c>
      <c r="AH46" s="21"/>
      <c r="AI46" s="22"/>
      <c r="AK46" s="87">
        <f t="shared" si="2"/>
        <v>1.1000000000000001</v>
      </c>
      <c r="AL46" s="87">
        <f t="shared" si="2"/>
        <v>1.75</v>
      </c>
      <c r="AM46" s="87">
        <f t="shared" si="2"/>
        <v>2</v>
      </c>
      <c r="AN46" s="87">
        <f t="shared" si="2"/>
        <v>1</v>
      </c>
      <c r="AO46" s="87">
        <f t="shared" si="2"/>
        <v>0</v>
      </c>
      <c r="AP46" s="87"/>
      <c r="AQ46" s="87"/>
      <c r="AR46" s="87"/>
      <c r="AS46" s="87">
        <f t="shared" si="3"/>
        <v>0.17142857142857143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>
        <v>56</v>
      </c>
      <c r="T47" s="31">
        <v>16</v>
      </c>
      <c r="U47" s="31">
        <v>27</v>
      </c>
      <c r="V47" s="32">
        <v>0</v>
      </c>
      <c r="W47" s="32">
        <v>0</v>
      </c>
      <c r="X47" s="32">
        <v>5</v>
      </c>
      <c r="Y47" s="75">
        <v>0</v>
      </c>
      <c r="Z47" s="33">
        <v>0</v>
      </c>
      <c r="AA47" s="34">
        <v>56</v>
      </c>
      <c r="AB47" s="34">
        <v>0</v>
      </c>
      <c r="AC47" s="34">
        <v>0</v>
      </c>
      <c r="AD47" s="35">
        <v>0</v>
      </c>
      <c r="AE47" s="34">
        <v>0</v>
      </c>
      <c r="AF47" s="34">
        <v>0</v>
      </c>
      <c r="AG47" s="34">
        <v>0</v>
      </c>
      <c r="AH47" s="21"/>
      <c r="AI47" s="22"/>
      <c r="AK47" s="87">
        <f t="shared" si="2"/>
        <v>1.4</v>
      </c>
      <c r="AL47" s="87">
        <f t="shared" si="2"/>
        <v>0.8</v>
      </c>
      <c r="AM47" s="87">
        <f t="shared" si="2"/>
        <v>0.22500000000000001</v>
      </c>
      <c r="AN47" s="87">
        <f t="shared" si="2"/>
        <v>0</v>
      </c>
      <c r="AO47" s="87">
        <f t="shared" si="2"/>
        <v>0</v>
      </c>
      <c r="AP47" s="87"/>
      <c r="AQ47" s="87"/>
      <c r="AR47" s="87"/>
      <c r="AS47" s="87">
        <f t="shared" si="3"/>
        <v>0.32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45</v>
      </c>
      <c r="T48" s="31">
        <v>27</v>
      </c>
      <c r="U48" s="31">
        <v>129</v>
      </c>
      <c r="V48" s="32">
        <v>9</v>
      </c>
      <c r="W48" s="32">
        <v>0</v>
      </c>
      <c r="X48" s="32">
        <v>70</v>
      </c>
      <c r="Y48" s="75">
        <v>21</v>
      </c>
      <c r="Z48" s="33">
        <v>0</v>
      </c>
      <c r="AA48" s="34">
        <v>52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/>
      <c r="AI48" s="22"/>
      <c r="AK48" s="87">
        <f t="shared" si="2"/>
        <v>1.125</v>
      </c>
      <c r="AL48" s="87">
        <f t="shared" si="2"/>
        <v>1.35</v>
      </c>
      <c r="AM48" s="87">
        <f t="shared" si="2"/>
        <v>1.075</v>
      </c>
      <c r="AN48" s="87">
        <f t="shared" si="2"/>
        <v>1.2857142857142858</v>
      </c>
      <c r="AO48" s="87">
        <f t="shared" si="2"/>
        <v>0</v>
      </c>
      <c r="AP48" s="87"/>
      <c r="AQ48" s="87"/>
      <c r="AR48" s="87"/>
      <c r="AS48" s="87">
        <f t="shared" si="3"/>
        <v>0.29714285714285715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30</v>
      </c>
      <c r="T49" s="31">
        <v>25</v>
      </c>
      <c r="U49" s="31">
        <v>200</v>
      </c>
      <c r="V49" s="32">
        <v>14</v>
      </c>
      <c r="W49" s="32">
        <v>0</v>
      </c>
      <c r="X49" s="32">
        <v>150</v>
      </c>
      <c r="Y49" s="75">
        <v>18</v>
      </c>
      <c r="Z49" s="33">
        <v>0</v>
      </c>
      <c r="AA49" s="34">
        <v>36</v>
      </c>
      <c r="AB49" s="34">
        <v>0</v>
      </c>
      <c r="AC49" s="34">
        <v>0</v>
      </c>
      <c r="AD49" s="35">
        <v>0</v>
      </c>
      <c r="AE49" s="34">
        <v>0</v>
      </c>
      <c r="AF49" s="34">
        <v>0</v>
      </c>
      <c r="AG49" s="34">
        <v>0</v>
      </c>
      <c r="AH49" s="21"/>
      <c r="AI49" s="22"/>
      <c r="AK49" s="87">
        <f t="shared" si="2"/>
        <v>0.75</v>
      </c>
      <c r="AL49" s="87">
        <f t="shared" si="2"/>
        <v>1.25</v>
      </c>
      <c r="AM49" s="87">
        <f t="shared" si="2"/>
        <v>1.6666666666666667</v>
      </c>
      <c r="AN49" s="87">
        <f t="shared" si="2"/>
        <v>2</v>
      </c>
      <c r="AO49" s="87">
        <f t="shared" si="2"/>
        <v>0</v>
      </c>
      <c r="AP49" s="87"/>
      <c r="AQ49" s="87"/>
      <c r="AR49" s="87"/>
      <c r="AS49" s="87">
        <f t="shared" si="3"/>
        <v>0.20571428571428571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>
        <v>37</v>
      </c>
      <c r="T50" s="31">
        <v>30</v>
      </c>
      <c r="U50" s="31">
        <v>800</v>
      </c>
      <c r="V50" s="32">
        <v>1</v>
      </c>
      <c r="W50" s="32">
        <v>0</v>
      </c>
      <c r="X50" s="32">
        <v>50</v>
      </c>
      <c r="Y50" s="75">
        <v>40</v>
      </c>
      <c r="Z50" s="33">
        <v>0</v>
      </c>
      <c r="AA50" s="34">
        <v>26</v>
      </c>
      <c r="AB50" s="34">
        <v>30</v>
      </c>
      <c r="AC50" s="34">
        <v>0</v>
      </c>
      <c r="AD50" s="35">
        <v>0</v>
      </c>
      <c r="AE50" s="34">
        <v>0</v>
      </c>
      <c r="AF50" s="34">
        <v>0</v>
      </c>
      <c r="AG50" s="34">
        <v>0</v>
      </c>
      <c r="AH50" s="21"/>
      <c r="AI50" s="22"/>
      <c r="AK50" s="87">
        <f t="shared" si="2"/>
        <v>0.92500000000000004</v>
      </c>
      <c r="AL50" s="87">
        <f t="shared" si="2"/>
        <v>1.5</v>
      </c>
      <c r="AM50" s="87">
        <f t="shared" si="2"/>
        <v>6.666666666666667</v>
      </c>
      <c r="AN50" s="87">
        <f t="shared" si="2"/>
        <v>0.14285714285714285</v>
      </c>
      <c r="AO50" s="87">
        <f t="shared" si="2"/>
        <v>0</v>
      </c>
      <c r="AP50" s="87"/>
      <c r="AQ50" s="87"/>
      <c r="AR50" s="87"/>
      <c r="AS50" s="87">
        <f t="shared" si="3"/>
        <v>0.14857142857142858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10</v>
      </c>
      <c r="T51" s="31">
        <v>4</v>
      </c>
      <c r="U51" s="31">
        <v>0</v>
      </c>
      <c r="V51" s="32">
        <v>0</v>
      </c>
      <c r="W51" s="32">
        <v>0</v>
      </c>
      <c r="X51" s="32">
        <v>20</v>
      </c>
      <c r="Y51" s="75">
        <v>0</v>
      </c>
      <c r="Z51" s="33">
        <v>0</v>
      </c>
      <c r="AA51" s="34">
        <v>15</v>
      </c>
      <c r="AB51" s="34">
        <v>0</v>
      </c>
      <c r="AC51" s="34">
        <v>0</v>
      </c>
      <c r="AD51" s="35">
        <v>0</v>
      </c>
      <c r="AE51" s="34">
        <v>0</v>
      </c>
      <c r="AF51" s="34">
        <v>0</v>
      </c>
      <c r="AG51" s="34">
        <v>0</v>
      </c>
      <c r="AH51" s="21" t="s">
        <v>127</v>
      </c>
      <c r="AI51" s="22"/>
      <c r="AK51" s="87">
        <f t="shared" si="2"/>
        <v>0.25</v>
      </c>
      <c r="AL51" s="87">
        <f t="shared" si="2"/>
        <v>0.2</v>
      </c>
      <c r="AM51" s="87">
        <f t="shared" si="2"/>
        <v>0</v>
      </c>
      <c r="AN51" s="87">
        <f t="shared" si="2"/>
        <v>0</v>
      </c>
      <c r="AO51" s="87">
        <f t="shared" si="2"/>
        <v>0</v>
      </c>
      <c r="AP51" s="87"/>
      <c r="AQ51" s="87"/>
      <c r="AR51" s="87"/>
      <c r="AS51" s="87">
        <f t="shared" si="3"/>
        <v>8.5714285714285715E-2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47</v>
      </c>
      <c r="T52" s="31">
        <v>30</v>
      </c>
      <c r="U52" s="31">
        <v>132</v>
      </c>
      <c r="V52" s="32">
        <v>15</v>
      </c>
      <c r="W52" s="32">
        <v>0</v>
      </c>
      <c r="X52" s="32">
        <v>90</v>
      </c>
      <c r="Y52" s="75">
        <v>20</v>
      </c>
      <c r="Z52" s="33">
        <v>0</v>
      </c>
      <c r="AA52" s="34">
        <v>70</v>
      </c>
      <c r="AB52" s="34">
        <v>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/>
      <c r="AI52" s="22"/>
      <c r="AK52" s="87">
        <f t="shared" si="2"/>
        <v>1.175</v>
      </c>
      <c r="AL52" s="87">
        <f t="shared" si="2"/>
        <v>1.5</v>
      </c>
      <c r="AM52" s="87">
        <f t="shared" si="2"/>
        <v>1.1000000000000001</v>
      </c>
      <c r="AN52" s="87">
        <f t="shared" si="2"/>
        <v>2.1428571428571428</v>
      </c>
      <c r="AO52" s="87">
        <f t="shared" si="2"/>
        <v>0</v>
      </c>
      <c r="AP52" s="87"/>
      <c r="AQ52" s="87"/>
      <c r="AR52" s="87"/>
      <c r="AS52" s="87">
        <f t="shared" si="3"/>
        <v>0.4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30</v>
      </c>
      <c r="T53" s="31">
        <v>6</v>
      </c>
      <c r="U53" s="31">
        <v>20</v>
      </c>
      <c r="V53" s="32">
        <v>1</v>
      </c>
      <c r="W53" s="32">
        <v>0</v>
      </c>
      <c r="X53" s="32">
        <v>0</v>
      </c>
      <c r="Y53" s="75">
        <v>3</v>
      </c>
      <c r="Z53" s="33">
        <v>0</v>
      </c>
      <c r="AA53" s="34">
        <v>20</v>
      </c>
      <c r="AB53" s="34">
        <v>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0.75</v>
      </c>
      <c r="AL53" s="87">
        <f t="shared" si="2"/>
        <v>0.3</v>
      </c>
      <c r="AM53" s="87">
        <f t="shared" si="2"/>
        <v>0.16666666666666666</v>
      </c>
      <c r="AN53" s="87">
        <f t="shared" si="2"/>
        <v>0.14285714285714285</v>
      </c>
      <c r="AO53" s="87">
        <f t="shared" si="2"/>
        <v>0</v>
      </c>
      <c r="AP53" s="87"/>
      <c r="AQ53" s="87"/>
      <c r="AR53" s="87"/>
      <c r="AS53" s="87">
        <f t="shared" si="3"/>
        <v>0.11428571428571428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>
        <v>30</v>
      </c>
      <c r="T54" s="31">
        <v>10</v>
      </c>
      <c r="U54" s="31">
        <v>110</v>
      </c>
      <c r="V54" s="32">
        <v>0</v>
      </c>
      <c r="W54" s="32">
        <v>0</v>
      </c>
      <c r="X54" s="32">
        <v>0</v>
      </c>
      <c r="Y54" s="75">
        <v>4</v>
      </c>
      <c r="Z54" s="33">
        <v>0</v>
      </c>
      <c r="AA54" s="34">
        <v>50</v>
      </c>
      <c r="AB54" s="34">
        <v>0</v>
      </c>
      <c r="AC54" s="34">
        <v>0</v>
      </c>
      <c r="AD54" s="35">
        <v>0</v>
      </c>
      <c r="AE54" s="34">
        <v>0</v>
      </c>
      <c r="AF54" s="34">
        <v>0</v>
      </c>
      <c r="AG54" s="34">
        <v>0</v>
      </c>
      <c r="AH54" s="21" t="s">
        <v>126</v>
      </c>
      <c r="AI54" s="22"/>
      <c r="AK54" s="87">
        <f t="shared" si="2"/>
        <v>0.75</v>
      </c>
      <c r="AL54" s="87">
        <f t="shared" si="2"/>
        <v>0.5</v>
      </c>
      <c r="AM54" s="87">
        <f t="shared" si="2"/>
        <v>0.91666666666666663</v>
      </c>
      <c r="AN54" s="87">
        <f t="shared" si="2"/>
        <v>0</v>
      </c>
      <c r="AO54" s="87">
        <f t="shared" si="2"/>
        <v>0</v>
      </c>
      <c r="AP54" s="87"/>
      <c r="AQ54" s="87"/>
      <c r="AR54" s="87"/>
      <c r="AS54" s="87">
        <f t="shared" si="3"/>
        <v>0.2857142857142857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1507</v>
      </c>
      <c r="T55" s="61">
        <f t="shared" si="4"/>
        <v>885</v>
      </c>
      <c r="U55" s="61">
        <f t="shared" si="4"/>
        <v>5965</v>
      </c>
      <c r="V55" s="61">
        <f t="shared" si="4"/>
        <v>143</v>
      </c>
      <c r="W55" s="61">
        <f t="shared" si="4"/>
        <v>0</v>
      </c>
      <c r="X55" s="61">
        <f t="shared" si="4"/>
        <v>1658</v>
      </c>
      <c r="Y55" s="61">
        <f t="shared" si="4"/>
        <v>487</v>
      </c>
      <c r="Z55" s="61">
        <f t="shared" si="4"/>
        <v>0</v>
      </c>
      <c r="AA55" s="61">
        <f t="shared" si="4"/>
        <v>2214</v>
      </c>
      <c r="AB55" s="61">
        <f t="shared" si="4"/>
        <v>30</v>
      </c>
      <c r="AC55" s="61">
        <f t="shared" si="4"/>
        <v>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0.75349999999999995</v>
      </c>
      <c r="AL55" s="87">
        <f t="shared" si="2"/>
        <v>0.88500000000000001</v>
      </c>
      <c r="AM55" s="87">
        <f t="shared" si="2"/>
        <v>0.99416666666666664</v>
      </c>
      <c r="AN55" s="87">
        <f t="shared" si="2"/>
        <v>0.40857142857142859</v>
      </c>
      <c r="AO55" s="87">
        <f t="shared" si="2"/>
        <v>0</v>
      </c>
      <c r="AP55" s="87"/>
      <c r="AQ55" s="87"/>
      <c r="AR55" s="87"/>
      <c r="AS55" s="87">
        <f t="shared" si="3"/>
        <v>0.25302857142857144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1" t="s">
        <v>18</v>
      </c>
      <c r="C57" s="112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1507</v>
      </c>
      <c r="T57" s="24">
        <f>T55</f>
        <v>885</v>
      </c>
      <c r="U57" s="24">
        <f>U55/120</f>
        <v>49.708333333333336</v>
      </c>
      <c r="V57" s="25">
        <f>V55/6</f>
        <v>23.833333333333332</v>
      </c>
      <c r="W57" s="25">
        <f>W55/10</f>
        <v>0</v>
      </c>
      <c r="X57" s="25">
        <f>X55/100</f>
        <v>16.579999999999998</v>
      </c>
      <c r="Y57" s="76">
        <f>Y55/20</f>
        <v>24.35</v>
      </c>
      <c r="Z57" s="26">
        <f>Z55/60</f>
        <v>0</v>
      </c>
      <c r="AA57" s="27">
        <f>AA55/120</f>
        <v>18.45</v>
      </c>
      <c r="AB57" s="27">
        <f>AB55/100</f>
        <v>0.3</v>
      </c>
      <c r="AC57" s="27">
        <f>AC55/60</f>
        <v>0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8.2847222222222228E-3</v>
      </c>
      <c r="AN57" s="25">
        <f>AN55/6</f>
        <v>6.8095238095238098E-2</v>
      </c>
      <c r="AO57" s="25">
        <f>AO55/20</f>
        <v>0</v>
      </c>
      <c r="AP57" s="25">
        <f>AP55/100</f>
        <v>0</v>
      </c>
      <c r="AQ57" s="76"/>
      <c r="AR57" s="26">
        <f>AR55/20</f>
        <v>0</v>
      </c>
      <c r="AS57" s="27">
        <f>AS55/120</f>
        <v>2.1085714285714288E-3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</sheetData>
  <autoFilter ref="A2:AI55" xr:uid="{FC9893B1-E87A-403C-AB30-19E952CED419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</autoFilter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858A-318E-4BCF-B92D-0645C2D1DF27}">
  <dimension ref="A1:AY5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46123</v>
      </c>
      <c r="D2" s="113" t="s">
        <v>107</v>
      </c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5" t="s">
        <v>108</v>
      </c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7"/>
      <c r="AK2" s="118" t="s">
        <v>109</v>
      </c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20"/>
    </row>
    <row r="3" spans="2:51" ht="18" thickBot="1" x14ac:dyDescent="0.3">
      <c r="B3" s="121" t="s">
        <v>1</v>
      </c>
      <c r="C3" s="123" t="s">
        <v>2</v>
      </c>
      <c r="D3" s="5" t="s">
        <v>3</v>
      </c>
      <c r="E3" s="6" t="str">
        <f>T3</f>
        <v>Acheteurs</v>
      </c>
      <c r="F3" s="125" t="s">
        <v>4</v>
      </c>
      <c r="G3" s="125"/>
      <c r="H3" s="125"/>
      <c r="I3" s="125"/>
      <c r="J3" s="126"/>
      <c r="K3" s="56"/>
      <c r="L3" s="127" t="s">
        <v>5</v>
      </c>
      <c r="M3" s="128"/>
      <c r="N3" s="129"/>
      <c r="O3" s="70"/>
      <c r="P3" s="70"/>
      <c r="Q3" s="70"/>
      <c r="R3" s="70"/>
      <c r="S3" s="7" t="s">
        <v>3</v>
      </c>
      <c r="T3" s="7" t="s">
        <v>6</v>
      </c>
      <c r="U3" s="130" t="s">
        <v>7</v>
      </c>
      <c r="V3" s="131"/>
      <c r="W3" s="131"/>
      <c r="X3" s="131"/>
      <c r="Y3" s="131"/>
      <c r="Z3" s="132"/>
      <c r="AA3" s="133" t="str">
        <f>L3</f>
        <v>Gratuités pour achats 
(en unités)</v>
      </c>
      <c r="AB3" s="134"/>
      <c r="AC3" s="135"/>
      <c r="AD3" s="133" t="s">
        <v>19</v>
      </c>
      <c r="AE3" s="134"/>
      <c r="AF3" s="134"/>
      <c r="AG3" s="135"/>
      <c r="AH3" s="136" t="s">
        <v>8</v>
      </c>
      <c r="AI3" s="138" t="s">
        <v>9</v>
      </c>
      <c r="AK3" s="79" t="s">
        <v>3</v>
      </c>
      <c r="AL3" s="79" t="s">
        <v>6</v>
      </c>
      <c r="AM3" s="140" t="s">
        <v>7</v>
      </c>
      <c r="AN3" s="141"/>
      <c r="AO3" s="141"/>
      <c r="AP3" s="141"/>
      <c r="AQ3" s="141"/>
      <c r="AR3" s="142"/>
      <c r="AS3" s="143" t="str">
        <f>AD3</f>
        <v>GOODIES</v>
      </c>
      <c r="AT3" s="144"/>
      <c r="AU3" s="145"/>
      <c r="AV3" s="143" t="s">
        <v>19</v>
      </c>
      <c r="AW3" s="144"/>
      <c r="AX3" s="144"/>
      <c r="AY3" s="145"/>
    </row>
    <row r="4" spans="2:51" ht="202.2" thickBot="1" x14ac:dyDescent="0.3">
      <c r="B4" s="122"/>
      <c r="C4" s="12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7"/>
      <c r="AI4" s="139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/>
      <c r="T5" s="31"/>
      <c r="U5" s="31"/>
      <c r="V5" s="32"/>
      <c r="W5" s="32"/>
      <c r="X5" s="32"/>
      <c r="Y5" s="75"/>
      <c r="Z5" s="33"/>
      <c r="AA5" s="34"/>
      <c r="AB5" s="34"/>
      <c r="AC5" s="34"/>
      <c r="AD5" s="35"/>
      <c r="AE5" s="34"/>
      <c r="AF5" s="34"/>
      <c r="AG5" s="34"/>
      <c r="AH5" s="21"/>
      <c r="AI5" s="22"/>
      <c r="AK5" s="87">
        <f>S5/D5</f>
        <v>0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>
        <v>34</v>
      </c>
      <c r="T6" s="31">
        <v>25</v>
      </c>
      <c r="U6" s="31">
        <v>240</v>
      </c>
      <c r="V6" s="32">
        <v>2</v>
      </c>
      <c r="W6" s="32">
        <v>0</v>
      </c>
      <c r="X6" s="32">
        <v>55</v>
      </c>
      <c r="Y6" s="75">
        <v>20</v>
      </c>
      <c r="Z6" s="33">
        <v>0</v>
      </c>
      <c r="AA6" s="34">
        <v>35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7">
        <f t="shared" ref="AK6:AO55" si="2">S6/D6</f>
        <v>0.85</v>
      </c>
      <c r="AL6" s="87">
        <f t="shared" si="0"/>
        <v>1.25</v>
      </c>
      <c r="AM6" s="87">
        <f t="shared" si="0"/>
        <v>2</v>
      </c>
      <c r="AN6" s="87">
        <f t="shared" si="0"/>
        <v>0.2857142857142857</v>
      </c>
      <c r="AO6" s="87">
        <f t="shared" si="0"/>
        <v>0</v>
      </c>
      <c r="AP6" s="87"/>
      <c r="AQ6" s="87"/>
      <c r="AR6" s="87"/>
      <c r="AS6" s="87">
        <f t="shared" si="0"/>
        <v>0.2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38</v>
      </c>
      <c r="T7" s="31">
        <v>29</v>
      </c>
      <c r="U7" s="31">
        <v>108</v>
      </c>
      <c r="V7" s="32">
        <v>5</v>
      </c>
      <c r="W7" s="32">
        <v>0</v>
      </c>
      <c r="X7" s="32">
        <v>40</v>
      </c>
      <c r="Y7" s="75">
        <v>21</v>
      </c>
      <c r="Z7" s="33">
        <v>0</v>
      </c>
      <c r="AA7" s="34">
        <v>14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0.95</v>
      </c>
      <c r="AL7" s="87">
        <f t="shared" si="0"/>
        <v>1.45</v>
      </c>
      <c r="AM7" s="87">
        <f t="shared" si="0"/>
        <v>0.9</v>
      </c>
      <c r="AN7" s="87">
        <f t="shared" si="0"/>
        <v>0.7142857142857143</v>
      </c>
      <c r="AO7" s="87">
        <f t="shared" si="0"/>
        <v>0</v>
      </c>
      <c r="AP7" s="87"/>
      <c r="AQ7" s="87"/>
      <c r="AR7" s="87"/>
      <c r="AS7" s="87">
        <f t="shared" si="0"/>
        <v>0.08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15</v>
      </c>
      <c r="T8" s="31">
        <v>11</v>
      </c>
      <c r="U8" s="31">
        <v>50</v>
      </c>
      <c r="V8" s="32">
        <v>2</v>
      </c>
      <c r="W8" s="32">
        <v>0</v>
      </c>
      <c r="X8" s="32">
        <v>2</v>
      </c>
      <c r="Y8" s="75">
        <v>5</v>
      </c>
      <c r="Z8" s="33">
        <v>0</v>
      </c>
      <c r="AA8" s="34">
        <v>28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7">
        <f t="shared" si="2"/>
        <v>0.375</v>
      </c>
      <c r="AL8" s="87">
        <f t="shared" si="0"/>
        <v>0.55000000000000004</v>
      </c>
      <c r="AM8" s="87">
        <f t="shared" si="0"/>
        <v>0.41666666666666669</v>
      </c>
      <c r="AN8" s="87">
        <f t="shared" si="0"/>
        <v>0.2857142857142857</v>
      </c>
      <c r="AO8" s="87">
        <f t="shared" si="0"/>
        <v>0</v>
      </c>
      <c r="AP8" s="87"/>
      <c r="AQ8" s="87"/>
      <c r="AR8" s="87"/>
      <c r="AS8" s="87">
        <f t="shared" si="0"/>
        <v>0.16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20</v>
      </c>
      <c r="T9" s="31">
        <v>16</v>
      </c>
      <c r="U9" s="31">
        <v>150</v>
      </c>
      <c r="V9" s="32">
        <v>2</v>
      </c>
      <c r="W9" s="32">
        <v>0</v>
      </c>
      <c r="X9" s="32">
        <v>25</v>
      </c>
      <c r="Y9" s="75">
        <v>0</v>
      </c>
      <c r="Z9" s="33">
        <v>0</v>
      </c>
      <c r="AA9" s="34">
        <v>40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7">
        <f t="shared" si="2"/>
        <v>0.5</v>
      </c>
      <c r="AL9" s="87">
        <f t="shared" si="0"/>
        <v>0.8</v>
      </c>
      <c r="AM9" s="87">
        <f t="shared" si="0"/>
        <v>1.25</v>
      </c>
      <c r="AN9" s="87">
        <f t="shared" si="0"/>
        <v>0.2857142857142857</v>
      </c>
      <c r="AO9" s="87">
        <f t="shared" si="0"/>
        <v>0</v>
      </c>
      <c r="AP9" s="87"/>
      <c r="AQ9" s="87"/>
      <c r="AR9" s="87"/>
      <c r="AS9" s="87">
        <f t="shared" si="0"/>
        <v>0.22857142857142856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20</v>
      </c>
      <c r="T10" s="31">
        <v>15</v>
      </c>
      <c r="U10" s="31">
        <v>170</v>
      </c>
      <c r="V10" s="32">
        <v>1</v>
      </c>
      <c r="W10" s="32">
        <v>0</v>
      </c>
      <c r="X10" s="32">
        <v>32</v>
      </c>
      <c r="Y10" s="75">
        <v>6</v>
      </c>
      <c r="Z10" s="33">
        <v>0</v>
      </c>
      <c r="AA10" s="34">
        <v>46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7">
        <f t="shared" si="2"/>
        <v>0.5</v>
      </c>
      <c r="AL10" s="87">
        <f t="shared" si="0"/>
        <v>0.75</v>
      </c>
      <c r="AM10" s="87">
        <f t="shared" si="0"/>
        <v>1.4166666666666667</v>
      </c>
      <c r="AN10" s="87">
        <f t="shared" si="0"/>
        <v>0.14285714285714285</v>
      </c>
      <c r="AO10" s="87">
        <f t="shared" si="0"/>
        <v>0</v>
      </c>
      <c r="AP10" s="87"/>
      <c r="AQ10" s="87"/>
      <c r="AR10" s="87"/>
      <c r="AS10" s="87">
        <f t="shared" si="0"/>
        <v>0.26285714285714284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32</v>
      </c>
      <c r="T11" s="31">
        <v>10</v>
      </c>
      <c r="U11" s="31">
        <v>42</v>
      </c>
      <c r="V11" s="32">
        <v>2</v>
      </c>
      <c r="W11" s="32">
        <v>8</v>
      </c>
      <c r="X11" s="32">
        <v>34</v>
      </c>
      <c r="Y11" s="75">
        <v>0</v>
      </c>
      <c r="Z11" s="33">
        <v>0</v>
      </c>
      <c r="AA11" s="34">
        <v>10</v>
      </c>
      <c r="AB11" s="34">
        <v>32</v>
      </c>
      <c r="AC11" s="34">
        <v>10</v>
      </c>
      <c r="AD11" s="35">
        <v>0</v>
      </c>
      <c r="AE11" s="35">
        <v>0</v>
      </c>
      <c r="AF11" s="35">
        <v>0</v>
      </c>
      <c r="AG11" s="35">
        <v>0</v>
      </c>
      <c r="AH11" s="21"/>
      <c r="AI11" s="22"/>
      <c r="AK11" s="87">
        <f t="shared" si="2"/>
        <v>0.8</v>
      </c>
      <c r="AL11" s="87">
        <f t="shared" si="0"/>
        <v>0.5</v>
      </c>
      <c r="AM11" s="87">
        <f t="shared" si="0"/>
        <v>0.35</v>
      </c>
      <c r="AN11" s="87">
        <f t="shared" si="0"/>
        <v>0.2857142857142857</v>
      </c>
      <c r="AO11" s="87">
        <f t="shared" si="0"/>
        <v>2</v>
      </c>
      <c r="AP11" s="87"/>
      <c r="AQ11" s="87"/>
      <c r="AR11" s="87"/>
      <c r="AS11" s="87">
        <f t="shared" si="0"/>
        <v>5.7142857142857141E-2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20</v>
      </c>
      <c r="T12" s="31">
        <v>10</v>
      </c>
      <c r="U12" s="31">
        <v>50</v>
      </c>
      <c r="V12" s="32">
        <v>2</v>
      </c>
      <c r="W12" s="32">
        <v>0</v>
      </c>
      <c r="X12" s="32">
        <v>25</v>
      </c>
      <c r="Y12" s="75">
        <v>1</v>
      </c>
      <c r="Z12" s="33">
        <v>0</v>
      </c>
      <c r="AA12" s="34">
        <v>7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/>
      <c r="AK12" s="87">
        <f t="shared" si="2"/>
        <v>0.5</v>
      </c>
      <c r="AL12" s="87">
        <f t="shared" si="0"/>
        <v>0.5</v>
      </c>
      <c r="AM12" s="87">
        <f t="shared" si="0"/>
        <v>0.41666666666666669</v>
      </c>
      <c r="AN12" s="87">
        <f t="shared" si="0"/>
        <v>0.2857142857142857</v>
      </c>
      <c r="AO12" s="87">
        <f t="shared" si="0"/>
        <v>0</v>
      </c>
      <c r="AP12" s="87"/>
      <c r="AQ12" s="87"/>
      <c r="AR12" s="87"/>
      <c r="AS12" s="87">
        <f t="shared" si="0"/>
        <v>0.04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35</v>
      </c>
      <c r="T13" s="31">
        <v>24</v>
      </c>
      <c r="U13" s="31">
        <v>190</v>
      </c>
      <c r="V13" s="32">
        <v>7</v>
      </c>
      <c r="W13" s="32">
        <v>0</v>
      </c>
      <c r="X13" s="32">
        <v>169</v>
      </c>
      <c r="Y13" s="75">
        <v>25</v>
      </c>
      <c r="Z13" s="33">
        <v>0</v>
      </c>
      <c r="AA13" s="34">
        <v>150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7">
        <f t="shared" si="2"/>
        <v>0.875</v>
      </c>
      <c r="AL13" s="87">
        <f t="shared" si="0"/>
        <v>1.2</v>
      </c>
      <c r="AM13" s="87">
        <f t="shared" si="0"/>
        <v>1.5833333333333333</v>
      </c>
      <c r="AN13" s="87">
        <f t="shared" si="0"/>
        <v>1</v>
      </c>
      <c r="AO13" s="87">
        <f t="shared" si="0"/>
        <v>0</v>
      </c>
      <c r="AP13" s="87"/>
      <c r="AQ13" s="87"/>
      <c r="AR13" s="87"/>
      <c r="AS13" s="87">
        <f t="shared" si="0"/>
        <v>0.8571428571428571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55</v>
      </c>
      <c r="T14" s="31">
        <v>28</v>
      </c>
      <c r="U14" s="31">
        <v>100</v>
      </c>
      <c r="V14" s="32">
        <v>6</v>
      </c>
      <c r="W14" s="32">
        <v>0</v>
      </c>
      <c r="X14" s="32">
        <v>60</v>
      </c>
      <c r="Y14" s="75">
        <v>0</v>
      </c>
      <c r="Z14" s="33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21"/>
      <c r="AI14" s="22"/>
      <c r="AK14" s="87">
        <f t="shared" si="2"/>
        <v>1.375</v>
      </c>
      <c r="AL14" s="87">
        <f t="shared" si="0"/>
        <v>1.4</v>
      </c>
      <c r="AM14" s="87">
        <f t="shared" si="0"/>
        <v>0.83333333333333337</v>
      </c>
      <c r="AN14" s="87">
        <f t="shared" si="0"/>
        <v>0.8571428571428571</v>
      </c>
      <c r="AO14" s="87">
        <f t="shared" si="0"/>
        <v>0</v>
      </c>
      <c r="AP14" s="87"/>
      <c r="AQ14" s="87"/>
      <c r="AR14" s="87"/>
      <c r="AS14" s="87">
        <f t="shared" si="0"/>
        <v>0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35</v>
      </c>
      <c r="T15" s="31">
        <v>29</v>
      </c>
      <c r="U15" s="31">
        <v>42</v>
      </c>
      <c r="V15" s="32">
        <v>3</v>
      </c>
      <c r="W15" s="32">
        <v>0</v>
      </c>
      <c r="X15" s="32">
        <v>35</v>
      </c>
      <c r="Y15" s="75">
        <v>13</v>
      </c>
      <c r="Z15" s="33">
        <v>0</v>
      </c>
      <c r="AA15" s="34">
        <v>77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7">
        <f t="shared" si="2"/>
        <v>0.875</v>
      </c>
      <c r="AL15" s="87">
        <f t="shared" si="0"/>
        <v>1.45</v>
      </c>
      <c r="AM15" s="87">
        <f t="shared" si="0"/>
        <v>0.35</v>
      </c>
      <c r="AN15" s="87">
        <f t="shared" si="0"/>
        <v>0.42857142857142855</v>
      </c>
      <c r="AO15" s="87">
        <f t="shared" si="0"/>
        <v>0</v>
      </c>
      <c r="AP15" s="87"/>
      <c r="AQ15" s="87"/>
      <c r="AR15" s="87"/>
      <c r="AS15" s="87">
        <f t="shared" si="0"/>
        <v>0.44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40</v>
      </c>
      <c r="T16" s="31">
        <v>29</v>
      </c>
      <c r="U16" s="31">
        <v>290</v>
      </c>
      <c r="V16" s="32">
        <v>6</v>
      </c>
      <c r="W16" s="32">
        <v>0</v>
      </c>
      <c r="X16" s="32">
        <v>29</v>
      </c>
      <c r="Y16" s="75">
        <v>24</v>
      </c>
      <c r="Z16" s="33">
        <v>0</v>
      </c>
      <c r="AA16" s="34">
        <v>58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/>
      <c r="AI16" s="22"/>
      <c r="AK16" s="87">
        <f t="shared" si="2"/>
        <v>1</v>
      </c>
      <c r="AL16" s="87">
        <f t="shared" si="0"/>
        <v>1.45</v>
      </c>
      <c r="AM16" s="87">
        <f t="shared" si="0"/>
        <v>2.4166666666666665</v>
      </c>
      <c r="AN16" s="87">
        <f t="shared" si="0"/>
        <v>0.8571428571428571</v>
      </c>
      <c r="AO16" s="87">
        <f t="shared" si="0"/>
        <v>0</v>
      </c>
      <c r="AP16" s="87"/>
      <c r="AQ16" s="87"/>
      <c r="AR16" s="87"/>
      <c r="AS16" s="87">
        <f t="shared" si="0"/>
        <v>0.33142857142857141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33</v>
      </c>
      <c r="T17" s="31">
        <v>20</v>
      </c>
      <c r="U17" s="31">
        <v>200</v>
      </c>
      <c r="V17" s="32">
        <v>2</v>
      </c>
      <c r="W17" s="32">
        <v>0</v>
      </c>
      <c r="X17" s="32">
        <v>46</v>
      </c>
      <c r="Y17" s="75">
        <v>33</v>
      </c>
      <c r="Z17" s="33">
        <v>0</v>
      </c>
      <c r="AA17" s="34">
        <v>40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7">
        <f t="shared" si="2"/>
        <v>0.82499999999999996</v>
      </c>
      <c r="AL17" s="87">
        <f t="shared" si="0"/>
        <v>1</v>
      </c>
      <c r="AM17" s="87">
        <f t="shared" si="0"/>
        <v>1.6666666666666667</v>
      </c>
      <c r="AN17" s="87">
        <f t="shared" si="0"/>
        <v>0.2857142857142857</v>
      </c>
      <c r="AO17" s="87">
        <f t="shared" si="0"/>
        <v>0</v>
      </c>
      <c r="AP17" s="87"/>
      <c r="AQ17" s="87"/>
      <c r="AR17" s="87"/>
      <c r="AS17" s="87">
        <f t="shared" si="0"/>
        <v>0.22857142857142856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47</v>
      </c>
      <c r="T18" s="31">
        <v>30</v>
      </c>
      <c r="U18" s="31">
        <v>195</v>
      </c>
      <c r="V18" s="32">
        <v>4</v>
      </c>
      <c r="W18" s="32">
        <v>0</v>
      </c>
      <c r="X18" s="32">
        <v>0</v>
      </c>
      <c r="Y18" s="75">
        <v>0</v>
      </c>
      <c r="Z18" s="33">
        <v>0</v>
      </c>
      <c r="AA18" s="34">
        <v>46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21"/>
      <c r="AI18" s="22"/>
      <c r="AK18" s="87">
        <f t="shared" si="2"/>
        <v>1.175</v>
      </c>
      <c r="AL18" s="87">
        <f t="shared" si="0"/>
        <v>1.5</v>
      </c>
      <c r="AM18" s="87">
        <f t="shared" si="0"/>
        <v>1.625</v>
      </c>
      <c r="AN18" s="87">
        <f t="shared" si="0"/>
        <v>0.5714285714285714</v>
      </c>
      <c r="AO18" s="87">
        <f t="shared" si="0"/>
        <v>0</v>
      </c>
      <c r="AP18" s="87"/>
      <c r="AQ18" s="87"/>
      <c r="AR18" s="87"/>
      <c r="AS18" s="87">
        <f t="shared" si="0"/>
        <v>0.26285714285714284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20</v>
      </c>
      <c r="T19" s="31">
        <v>10</v>
      </c>
      <c r="U19" s="31">
        <v>33</v>
      </c>
      <c r="V19" s="32">
        <v>0</v>
      </c>
      <c r="W19" s="32">
        <v>0</v>
      </c>
      <c r="X19" s="32">
        <v>18</v>
      </c>
      <c r="Y19" s="75">
        <v>0</v>
      </c>
      <c r="Z19" s="33">
        <v>0</v>
      </c>
      <c r="AA19" s="34">
        <v>11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7">
        <f t="shared" si="2"/>
        <v>0.5</v>
      </c>
      <c r="AL19" s="87">
        <f t="shared" si="0"/>
        <v>0.5</v>
      </c>
      <c r="AM19" s="87">
        <f t="shared" si="0"/>
        <v>0.27500000000000002</v>
      </c>
      <c r="AN19" s="87">
        <f t="shared" si="0"/>
        <v>0</v>
      </c>
      <c r="AO19" s="87">
        <f t="shared" si="0"/>
        <v>0</v>
      </c>
      <c r="AP19" s="87"/>
      <c r="AQ19" s="87"/>
      <c r="AR19" s="87"/>
      <c r="AS19" s="87">
        <f t="shared" si="0"/>
        <v>6.2857142857142861E-2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19</v>
      </c>
      <c r="T20" s="31">
        <v>10</v>
      </c>
      <c r="U20" s="31">
        <v>85</v>
      </c>
      <c r="V20" s="32">
        <v>0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7">
        <f t="shared" si="2"/>
        <v>0.47499999999999998</v>
      </c>
      <c r="AL20" s="87">
        <f t="shared" si="0"/>
        <v>0.5</v>
      </c>
      <c r="AM20" s="87">
        <f t="shared" si="0"/>
        <v>0.70833333333333337</v>
      </c>
      <c r="AN20" s="87">
        <f t="shared" si="0"/>
        <v>0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30</v>
      </c>
      <c r="T21" s="31">
        <v>10</v>
      </c>
      <c r="U21" s="31">
        <v>124</v>
      </c>
      <c r="V21" s="32">
        <v>3</v>
      </c>
      <c r="W21" s="32">
        <v>0</v>
      </c>
      <c r="X21" s="32">
        <v>38</v>
      </c>
      <c r="Y21" s="75">
        <v>2</v>
      </c>
      <c r="Z21" s="33">
        <v>0</v>
      </c>
      <c r="AA21" s="34">
        <v>25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7">
        <f t="shared" si="2"/>
        <v>0.75</v>
      </c>
      <c r="AL21" s="87">
        <f t="shared" si="2"/>
        <v>0.5</v>
      </c>
      <c r="AM21" s="87">
        <f t="shared" si="2"/>
        <v>1.0333333333333334</v>
      </c>
      <c r="AN21" s="87">
        <f t="shared" si="2"/>
        <v>0.42857142857142855</v>
      </c>
      <c r="AO21" s="87">
        <f t="shared" si="2"/>
        <v>0</v>
      </c>
      <c r="AP21" s="87"/>
      <c r="AQ21" s="87"/>
      <c r="AR21" s="87"/>
      <c r="AS21" s="87">
        <f t="shared" ref="AS21:AS55" si="3">AA21/L21</f>
        <v>0.14285714285714285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5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7">
        <f t="shared" si="2"/>
        <v>0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47</v>
      </c>
      <c r="T23" s="31">
        <v>30</v>
      </c>
      <c r="U23" s="31">
        <v>80</v>
      </c>
      <c r="V23" s="32">
        <v>2</v>
      </c>
      <c r="W23" s="32">
        <v>0</v>
      </c>
      <c r="X23" s="32">
        <v>20</v>
      </c>
      <c r="Y23" s="75">
        <v>0</v>
      </c>
      <c r="Z23" s="33">
        <v>0</v>
      </c>
      <c r="AA23" s="34">
        <v>55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21"/>
      <c r="AI23" s="22"/>
      <c r="AK23" s="87">
        <f t="shared" si="2"/>
        <v>1.175</v>
      </c>
      <c r="AL23" s="87">
        <f t="shared" si="2"/>
        <v>1.5</v>
      </c>
      <c r="AM23" s="87">
        <f t="shared" si="2"/>
        <v>0.66666666666666663</v>
      </c>
      <c r="AN23" s="87">
        <f t="shared" si="2"/>
        <v>0.2857142857142857</v>
      </c>
      <c r="AO23" s="87">
        <f t="shared" si="2"/>
        <v>0</v>
      </c>
      <c r="AP23" s="87"/>
      <c r="AQ23" s="87"/>
      <c r="AR23" s="87"/>
      <c r="AS23" s="87">
        <f t="shared" si="3"/>
        <v>0.31428571428571428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40</v>
      </c>
      <c r="T24" s="31">
        <v>33</v>
      </c>
      <c r="U24" s="31">
        <v>300</v>
      </c>
      <c r="V24" s="32">
        <v>4</v>
      </c>
      <c r="W24" s="32">
        <v>0</v>
      </c>
      <c r="X24" s="32">
        <v>40</v>
      </c>
      <c r="Y24" s="75">
        <v>15</v>
      </c>
      <c r="Z24" s="33">
        <v>0</v>
      </c>
      <c r="AA24" s="34">
        <v>40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/>
      <c r="AI24" s="22"/>
      <c r="AK24" s="87">
        <f t="shared" si="2"/>
        <v>1</v>
      </c>
      <c r="AL24" s="87">
        <f t="shared" si="2"/>
        <v>1.65</v>
      </c>
      <c r="AM24" s="87">
        <f t="shared" si="2"/>
        <v>2.5</v>
      </c>
      <c r="AN24" s="87">
        <f t="shared" si="2"/>
        <v>0.5714285714285714</v>
      </c>
      <c r="AO24" s="87">
        <f t="shared" si="2"/>
        <v>0</v>
      </c>
      <c r="AP24" s="87"/>
      <c r="AQ24" s="87"/>
      <c r="AR24" s="87"/>
      <c r="AS24" s="87">
        <f t="shared" si="3"/>
        <v>0.22857142857142856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>
        <v>30</v>
      </c>
      <c r="T25" s="31">
        <v>20</v>
      </c>
      <c r="U25" s="31">
        <v>45</v>
      </c>
      <c r="V25" s="32">
        <v>2</v>
      </c>
      <c r="W25" s="32">
        <v>0</v>
      </c>
      <c r="X25" s="32">
        <v>30</v>
      </c>
      <c r="Y25" s="75">
        <v>4</v>
      </c>
      <c r="Z25" s="33">
        <v>0</v>
      </c>
      <c r="AA25" s="34">
        <v>20</v>
      </c>
      <c r="AB25" s="34">
        <v>0</v>
      </c>
      <c r="AC25" s="34">
        <v>0</v>
      </c>
      <c r="AD25" s="35">
        <v>0</v>
      </c>
      <c r="AE25" s="34">
        <v>0</v>
      </c>
      <c r="AF25" s="34">
        <v>0</v>
      </c>
      <c r="AG25" s="34">
        <v>0</v>
      </c>
      <c r="AH25" s="21"/>
      <c r="AI25" s="22"/>
      <c r="AK25" s="87">
        <f t="shared" si="2"/>
        <v>0.75</v>
      </c>
      <c r="AL25" s="87">
        <f t="shared" si="2"/>
        <v>1</v>
      </c>
      <c r="AM25" s="87">
        <f t="shared" si="2"/>
        <v>0.375</v>
      </c>
      <c r="AN25" s="87">
        <f t="shared" si="2"/>
        <v>0.2857142857142857</v>
      </c>
      <c r="AO25" s="87">
        <f t="shared" si="2"/>
        <v>0</v>
      </c>
      <c r="AP25" s="87"/>
      <c r="AQ25" s="87"/>
      <c r="AR25" s="87"/>
      <c r="AS25" s="87">
        <f t="shared" si="3"/>
        <v>0.11428571428571428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>
        <v>34</v>
      </c>
      <c r="T26" s="31">
        <v>20</v>
      </c>
      <c r="U26" s="31">
        <v>90</v>
      </c>
      <c r="V26" s="32">
        <v>5</v>
      </c>
      <c r="W26" s="32">
        <v>0</v>
      </c>
      <c r="X26" s="32">
        <v>50</v>
      </c>
      <c r="Y26" s="75">
        <v>5</v>
      </c>
      <c r="Z26" s="33">
        <v>0</v>
      </c>
      <c r="AA26" s="34">
        <v>90</v>
      </c>
      <c r="AB26" s="34">
        <v>0</v>
      </c>
      <c r="AC26" s="34">
        <v>0</v>
      </c>
      <c r="AD26" s="35">
        <v>0</v>
      </c>
      <c r="AE26" s="34">
        <v>0</v>
      </c>
      <c r="AF26" s="34">
        <v>0</v>
      </c>
      <c r="AG26" s="34">
        <v>0</v>
      </c>
      <c r="AH26" s="21"/>
      <c r="AI26" s="22"/>
      <c r="AK26" s="87">
        <f t="shared" si="2"/>
        <v>0.85</v>
      </c>
      <c r="AL26" s="87">
        <f t="shared" si="2"/>
        <v>1</v>
      </c>
      <c r="AM26" s="87">
        <f t="shared" si="2"/>
        <v>0.75</v>
      </c>
      <c r="AN26" s="87">
        <f t="shared" si="2"/>
        <v>0.7142857142857143</v>
      </c>
      <c r="AO26" s="87">
        <f t="shared" si="2"/>
        <v>0</v>
      </c>
      <c r="AP26" s="87"/>
      <c r="AQ26" s="87"/>
      <c r="AR26" s="87"/>
      <c r="AS26" s="87">
        <f t="shared" si="3"/>
        <v>0.51428571428571423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>
        <v>30</v>
      </c>
      <c r="T27" s="31">
        <v>20</v>
      </c>
      <c r="U27" s="31">
        <v>240</v>
      </c>
      <c r="V27" s="32">
        <v>2</v>
      </c>
      <c r="W27" s="32">
        <v>0</v>
      </c>
      <c r="X27" s="32">
        <v>25</v>
      </c>
      <c r="Y27" s="75">
        <v>7</v>
      </c>
      <c r="Z27" s="33">
        <v>0</v>
      </c>
      <c r="AA27" s="34">
        <v>30</v>
      </c>
      <c r="AB27" s="34">
        <v>0</v>
      </c>
      <c r="AC27" s="34">
        <v>0</v>
      </c>
      <c r="AD27" s="35">
        <v>0</v>
      </c>
      <c r="AE27" s="34">
        <v>0</v>
      </c>
      <c r="AF27" s="34">
        <v>0</v>
      </c>
      <c r="AG27" s="34">
        <v>0</v>
      </c>
      <c r="AH27" s="21"/>
      <c r="AI27" s="22"/>
      <c r="AK27" s="87">
        <f t="shared" si="2"/>
        <v>0.75</v>
      </c>
      <c r="AL27" s="87">
        <f t="shared" si="2"/>
        <v>1</v>
      </c>
      <c r="AM27" s="87">
        <f t="shared" si="2"/>
        <v>2</v>
      </c>
      <c r="AN27" s="87">
        <f t="shared" si="2"/>
        <v>0.2857142857142857</v>
      </c>
      <c r="AO27" s="87">
        <f t="shared" si="2"/>
        <v>0</v>
      </c>
      <c r="AP27" s="87"/>
      <c r="AQ27" s="87"/>
      <c r="AR27" s="87"/>
      <c r="AS27" s="87">
        <f t="shared" si="3"/>
        <v>0.17142857142857143</v>
      </c>
      <c r="AT27" s="87"/>
      <c r="AU27" s="87"/>
      <c r="AV27" s="87"/>
      <c r="AW27" s="87"/>
      <c r="AX27" s="87"/>
      <c r="AY27" s="87"/>
    </row>
    <row r="28" spans="2:51" ht="17.399999999999999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20</v>
      </c>
      <c r="T28" s="31">
        <v>6</v>
      </c>
      <c r="U28" s="31">
        <v>30</v>
      </c>
      <c r="V28" s="32">
        <v>2</v>
      </c>
      <c r="W28" s="32">
        <v>0</v>
      </c>
      <c r="X28" s="32">
        <v>0</v>
      </c>
      <c r="Y28" s="75">
        <v>3</v>
      </c>
      <c r="Z28" s="33">
        <v>0</v>
      </c>
      <c r="AA28" s="34">
        <v>10</v>
      </c>
      <c r="AB28" s="34">
        <v>0</v>
      </c>
      <c r="AC28" s="34">
        <v>0</v>
      </c>
      <c r="AD28" s="35">
        <v>0</v>
      </c>
      <c r="AE28" s="34">
        <v>0</v>
      </c>
      <c r="AF28" s="34">
        <v>0</v>
      </c>
      <c r="AG28" s="34">
        <v>0</v>
      </c>
      <c r="AH28" s="21"/>
      <c r="AI28" s="22"/>
      <c r="AK28" s="87">
        <f t="shared" si="2"/>
        <v>0.5</v>
      </c>
      <c r="AL28" s="87">
        <f t="shared" si="2"/>
        <v>0.3</v>
      </c>
      <c r="AM28" s="87">
        <f t="shared" si="2"/>
        <v>0.25</v>
      </c>
      <c r="AN28" s="87">
        <f t="shared" si="2"/>
        <v>0.2857142857142857</v>
      </c>
      <c r="AO28" s="87">
        <f t="shared" si="2"/>
        <v>0</v>
      </c>
      <c r="AP28" s="87"/>
      <c r="AQ28" s="87"/>
      <c r="AR28" s="87"/>
      <c r="AS28" s="87">
        <f t="shared" si="3"/>
        <v>5.7142857142857141E-2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>
        <v>7</v>
      </c>
      <c r="T29" s="31">
        <v>2</v>
      </c>
      <c r="U29" s="31">
        <v>15</v>
      </c>
      <c r="V29" s="32">
        <v>0</v>
      </c>
      <c r="W29" s="32">
        <v>0</v>
      </c>
      <c r="X29" s="32">
        <v>0</v>
      </c>
      <c r="Y29" s="75">
        <v>0</v>
      </c>
      <c r="Z29" s="33">
        <v>0</v>
      </c>
      <c r="AA29" s="34">
        <v>3</v>
      </c>
      <c r="AB29" s="34">
        <v>0</v>
      </c>
      <c r="AC29" s="34">
        <v>0</v>
      </c>
      <c r="AD29" s="35">
        <v>0</v>
      </c>
      <c r="AE29" s="34">
        <v>0</v>
      </c>
      <c r="AF29" s="34">
        <v>0</v>
      </c>
      <c r="AG29" s="34">
        <v>0</v>
      </c>
      <c r="AH29" s="21"/>
      <c r="AI29" s="22"/>
      <c r="AK29" s="87">
        <f t="shared" si="2"/>
        <v>0.17499999999999999</v>
      </c>
      <c r="AL29" s="87">
        <f t="shared" si="2"/>
        <v>0.1</v>
      </c>
      <c r="AM29" s="87">
        <f t="shared" si="2"/>
        <v>0.125</v>
      </c>
      <c r="AN29" s="87">
        <f t="shared" si="2"/>
        <v>0</v>
      </c>
      <c r="AO29" s="87">
        <f t="shared" si="2"/>
        <v>0</v>
      </c>
      <c r="AP29" s="87"/>
      <c r="AQ29" s="87"/>
      <c r="AR29" s="87"/>
      <c r="AS29" s="87">
        <f t="shared" si="3"/>
        <v>1.7142857142857144E-2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/>
      <c r="T30" s="31"/>
      <c r="U30" s="31"/>
      <c r="V30" s="32"/>
      <c r="W30" s="32"/>
      <c r="X30" s="32"/>
      <c r="Y30" s="75"/>
      <c r="Z30" s="33"/>
      <c r="AA30" s="34"/>
      <c r="AB30" s="34"/>
      <c r="AC30" s="34"/>
      <c r="AD30" s="35"/>
      <c r="AE30" s="34"/>
      <c r="AF30" s="34"/>
      <c r="AG30" s="34"/>
      <c r="AH30" s="21"/>
      <c r="AI30" s="22"/>
      <c r="AK30" s="87">
        <f t="shared" si="2"/>
        <v>0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>
        <v>35</v>
      </c>
      <c r="T31" s="31">
        <v>30</v>
      </c>
      <c r="U31" s="31">
        <v>210</v>
      </c>
      <c r="V31" s="32">
        <v>1</v>
      </c>
      <c r="W31" s="32">
        <v>0</v>
      </c>
      <c r="X31" s="32">
        <v>190</v>
      </c>
      <c r="Y31" s="75">
        <v>6</v>
      </c>
      <c r="Z31" s="33">
        <v>0</v>
      </c>
      <c r="AA31" s="34">
        <v>180</v>
      </c>
      <c r="AB31" s="34">
        <v>0</v>
      </c>
      <c r="AC31" s="34">
        <v>0</v>
      </c>
      <c r="AD31" s="35">
        <v>0</v>
      </c>
      <c r="AE31" s="34">
        <v>0</v>
      </c>
      <c r="AF31" s="34">
        <v>0</v>
      </c>
      <c r="AG31" s="34">
        <v>0</v>
      </c>
      <c r="AH31" s="21"/>
      <c r="AI31" s="22"/>
      <c r="AK31" s="87">
        <f t="shared" si="2"/>
        <v>0.875</v>
      </c>
      <c r="AL31" s="87">
        <f t="shared" si="2"/>
        <v>1.5</v>
      </c>
      <c r="AM31" s="87">
        <f t="shared" si="2"/>
        <v>1.75</v>
      </c>
      <c r="AN31" s="87">
        <f t="shared" si="2"/>
        <v>0.14285714285714285</v>
      </c>
      <c r="AO31" s="87">
        <f t="shared" si="2"/>
        <v>0</v>
      </c>
      <c r="AP31" s="87"/>
      <c r="AQ31" s="87"/>
      <c r="AR31" s="87"/>
      <c r="AS31" s="87">
        <f t="shared" si="3"/>
        <v>1.0285714285714285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>
        <v>30</v>
      </c>
      <c r="T32" s="31">
        <v>15</v>
      </c>
      <c r="U32" s="31">
        <v>120</v>
      </c>
      <c r="V32" s="32">
        <v>0</v>
      </c>
      <c r="W32" s="32">
        <v>0</v>
      </c>
      <c r="X32" s="32">
        <v>120</v>
      </c>
      <c r="Y32" s="75">
        <v>20</v>
      </c>
      <c r="Z32" s="33">
        <v>0</v>
      </c>
      <c r="AA32" s="34">
        <v>20</v>
      </c>
      <c r="AB32" s="34">
        <v>0</v>
      </c>
      <c r="AC32" s="34">
        <v>0</v>
      </c>
      <c r="AD32" s="35">
        <v>0</v>
      </c>
      <c r="AE32" s="34">
        <v>0</v>
      </c>
      <c r="AF32" s="34">
        <v>0</v>
      </c>
      <c r="AG32" s="34">
        <v>0</v>
      </c>
      <c r="AH32" s="21"/>
      <c r="AI32" s="22"/>
      <c r="AK32" s="87">
        <f t="shared" si="2"/>
        <v>0.75</v>
      </c>
      <c r="AL32" s="87">
        <f t="shared" si="2"/>
        <v>0.75</v>
      </c>
      <c r="AM32" s="87">
        <f t="shared" si="2"/>
        <v>1</v>
      </c>
      <c r="AN32" s="87">
        <f t="shared" si="2"/>
        <v>0</v>
      </c>
      <c r="AO32" s="87">
        <f t="shared" si="2"/>
        <v>0</v>
      </c>
      <c r="AP32" s="87"/>
      <c r="AQ32" s="87"/>
      <c r="AR32" s="87"/>
      <c r="AS32" s="87">
        <f t="shared" si="3"/>
        <v>0.11428571428571428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>
        <v>35</v>
      </c>
      <c r="T33" s="31">
        <v>20</v>
      </c>
      <c r="U33" s="31">
        <v>78</v>
      </c>
      <c r="V33" s="32">
        <v>1</v>
      </c>
      <c r="W33" s="32">
        <v>0</v>
      </c>
      <c r="X33" s="32">
        <v>0</v>
      </c>
      <c r="Y33" s="75">
        <v>0</v>
      </c>
      <c r="Z33" s="33">
        <v>0</v>
      </c>
      <c r="AA33" s="34">
        <v>185</v>
      </c>
      <c r="AB33" s="34">
        <v>0</v>
      </c>
      <c r="AC33" s="34">
        <v>0</v>
      </c>
      <c r="AD33" s="35">
        <v>0</v>
      </c>
      <c r="AE33" s="34">
        <v>0</v>
      </c>
      <c r="AF33" s="34">
        <v>0</v>
      </c>
      <c r="AG33" s="34">
        <v>0</v>
      </c>
      <c r="AH33" s="21"/>
      <c r="AI33" s="22"/>
      <c r="AK33" s="87">
        <f t="shared" si="2"/>
        <v>0.875</v>
      </c>
      <c r="AL33" s="87">
        <f t="shared" si="2"/>
        <v>1</v>
      </c>
      <c r="AM33" s="87">
        <f t="shared" si="2"/>
        <v>0.65</v>
      </c>
      <c r="AN33" s="87">
        <f t="shared" si="2"/>
        <v>0.14285714285714285</v>
      </c>
      <c r="AO33" s="87">
        <f t="shared" si="2"/>
        <v>0</v>
      </c>
      <c r="AP33" s="87"/>
      <c r="AQ33" s="87"/>
      <c r="AR33" s="87"/>
      <c r="AS33" s="87">
        <f t="shared" si="3"/>
        <v>1.0571428571428572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20</v>
      </c>
      <c r="T34" s="31">
        <v>18</v>
      </c>
      <c r="U34" s="31">
        <v>100</v>
      </c>
      <c r="V34" s="32">
        <v>1</v>
      </c>
      <c r="W34" s="32">
        <v>0</v>
      </c>
      <c r="X34" s="32">
        <v>10</v>
      </c>
      <c r="Y34" s="75">
        <v>10</v>
      </c>
      <c r="Z34" s="33">
        <v>0</v>
      </c>
      <c r="AA34" s="34">
        <v>20</v>
      </c>
      <c r="AB34" s="34">
        <v>0</v>
      </c>
      <c r="AC34" s="34">
        <v>0</v>
      </c>
      <c r="AD34" s="35">
        <v>0</v>
      </c>
      <c r="AE34" s="34">
        <v>0</v>
      </c>
      <c r="AF34" s="34">
        <v>0</v>
      </c>
      <c r="AG34" s="34">
        <v>0</v>
      </c>
      <c r="AH34" s="21"/>
      <c r="AI34" s="22"/>
      <c r="AK34" s="87">
        <f t="shared" si="2"/>
        <v>0.5</v>
      </c>
      <c r="AL34" s="87">
        <f t="shared" si="2"/>
        <v>0.9</v>
      </c>
      <c r="AM34" s="87">
        <f t="shared" si="2"/>
        <v>0.83333333333333337</v>
      </c>
      <c r="AN34" s="87">
        <f t="shared" si="2"/>
        <v>0.14285714285714285</v>
      </c>
      <c r="AO34" s="87">
        <f t="shared" si="2"/>
        <v>0</v>
      </c>
      <c r="AP34" s="87"/>
      <c r="AQ34" s="87"/>
      <c r="AR34" s="87"/>
      <c r="AS34" s="87">
        <f t="shared" si="3"/>
        <v>0.11428571428571428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>
        <v>25</v>
      </c>
      <c r="T35" s="31">
        <v>15</v>
      </c>
      <c r="U35" s="31">
        <v>70</v>
      </c>
      <c r="V35" s="32">
        <v>0</v>
      </c>
      <c r="W35" s="32">
        <v>0</v>
      </c>
      <c r="X35" s="32">
        <v>0</v>
      </c>
      <c r="Y35" s="75">
        <v>5</v>
      </c>
      <c r="Z35" s="33">
        <v>0</v>
      </c>
      <c r="AA35" s="34">
        <v>29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21"/>
      <c r="AI35" s="22"/>
      <c r="AK35" s="87">
        <f t="shared" si="2"/>
        <v>0.625</v>
      </c>
      <c r="AL35" s="87">
        <f t="shared" si="2"/>
        <v>0.75</v>
      </c>
      <c r="AM35" s="87">
        <f t="shared" si="2"/>
        <v>0.58333333333333337</v>
      </c>
      <c r="AN35" s="87">
        <f t="shared" si="2"/>
        <v>0</v>
      </c>
      <c r="AO35" s="87">
        <f t="shared" si="2"/>
        <v>0</v>
      </c>
      <c r="AP35" s="87"/>
      <c r="AQ35" s="87"/>
      <c r="AR35" s="87"/>
      <c r="AS35" s="87">
        <f t="shared" si="3"/>
        <v>0.1657142857142857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>
        <v>35</v>
      </c>
      <c r="T36" s="31">
        <v>26</v>
      </c>
      <c r="U36" s="31">
        <v>250</v>
      </c>
      <c r="V36" s="32">
        <v>2</v>
      </c>
      <c r="W36" s="32">
        <v>0</v>
      </c>
      <c r="X36" s="32">
        <v>37</v>
      </c>
      <c r="Y36" s="75">
        <v>20</v>
      </c>
      <c r="Z36" s="33">
        <v>0</v>
      </c>
      <c r="AA36" s="34">
        <v>30</v>
      </c>
      <c r="AB36" s="34">
        <v>0</v>
      </c>
      <c r="AC36" s="34">
        <v>0</v>
      </c>
      <c r="AD36" s="35">
        <v>0</v>
      </c>
      <c r="AE36" s="34">
        <v>0</v>
      </c>
      <c r="AF36" s="34">
        <v>0</v>
      </c>
      <c r="AG36" s="34">
        <v>0</v>
      </c>
      <c r="AH36" s="21"/>
      <c r="AI36" s="22"/>
      <c r="AK36" s="87">
        <f t="shared" si="2"/>
        <v>0.875</v>
      </c>
      <c r="AL36" s="87">
        <f t="shared" si="2"/>
        <v>1.3</v>
      </c>
      <c r="AM36" s="87">
        <f t="shared" si="2"/>
        <v>2.0833333333333335</v>
      </c>
      <c r="AN36" s="87">
        <f t="shared" si="2"/>
        <v>0.2857142857142857</v>
      </c>
      <c r="AO36" s="87">
        <f t="shared" si="2"/>
        <v>0</v>
      </c>
      <c r="AP36" s="87"/>
      <c r="AQ36" s="87"/>
      <c r="AR36" s="87"/>
      <c r="AS36" s="87">
        <f t="shared" si="3"/>
        <v>0.17142857142857143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13</v>
      </c>
      <c r="T37" s="31">
        <v>8</v>
      </c>
      <c r="U37" s="31">
        <v>90</v>
      </c>
      <c r="V37" s="32">
        <v>2</v>
      </c>
      <c r="W37" s="32">
        <v>0</v>
      </c>
      <c r="X37" s="32">
        <v>78</v>
      </c>
      <c r="Y37" s="75">
        <v>11</v>
      </c>
      <c r="Z37" s="33">
        <v>0</v>
      </c>
      <c r="AA37" s="34">
        <v>103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0.32500000000000001</v>
      </c>
      <c r="AL37" s="87">
        <f t="shared" si="2"/>
        <v>0.4</v>
      </c>
      <c r="AM37" s="87">
        <f t="shared" si="2"/>
        <v>0.75</v>
      </c>
      <c r="AN37" s="87">
        <f t="shared" si="2"/>
        <v>0.2857142857142857</v>
      </c>
      <c r="AO37" s="87">
        <f t="shared" si="2"/>
        <v>0</v>
      </c>
      <c r="AP37" s="87"/>
      <c r="AQ37" s="87"/>
      <c r="AR37" s="87"/>
      <c r="AS37" s="87">
        <f t="shared" si="3"/>
        <v>0.58857142857142852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51</v>
      </c>
      <c r="T38" s="31">
        <v>42</v>
      </c>
      <c r="U38" s="31">
        <v>205</v>
      </c>
      <c r="V38" s="32">
        <v>5</v>
      </c>
      <c r="W38" s="32">
        <v>0</v>
      </c>
      <c r="X38" s="32">
        <v>0</v>
      </c>
      <c r="Y38" s="75">
        <v>0</v>
      </c>
      <c r="Z38" s="33">
        <v>0</v>
      </c>
      <c r="AA38" s="34">
        <v>95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1.2749999999999999</v>
      </c>
      <c r="AL38" s="87">
        <f t="shared" si="2"/>
        <v>2.1</v>
      </c>
      <c r="AM38" s="87">
        <f t="shared" si="2"/>
        <v>1.7083333333333333</v>
      </c>
      <c r="AN38" s="87">
        <f t="shared" si="2"/>
        <v>0.7142857142857143</v>
      </c>
      <c r="AO38" s="87">
        <f t="shared" si="2"/>
        <v>0</v>
      </c>
      <c r="AP38" s="87"/>
      <c r="AQ38" s="87"/>
      <c r="AR38" s="87"/>
      <c r="AS38" s="87">
        <f t="shared" si="3"/>
        <v>0.54285714285714282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14</v>
      </c>
      <c r="T39" s="31">
        <v>8</v>
      </c>
      <c r="U39" s="31">
        <v>60</v>
      </c>
      <c r="V39" s="32">
        <v>0</v>
      </c>
      <c r="W39" s="32">
        <v>0</v>
      </c>
      <c r="X39" s="32">
        <v>30</v>
      </c>
      <c r="Y39" s="75">
        <v>3</v>
      </c>
      <c r="Z39" s="33">
        <v>0</v>
      </c>
      <c r="AA39" s="34">
        <v>10</v>
      </c>
      <c r="AB39" s="34">
        <v>0</v>
      </c>
      <c r="AC39" s="34">
        <v>0</v>
      </c>
      <c r="AD39" s="35">
        <v>0</v>
      </c>
      <c r="AE39" s="34">
        <v>0</v>
      </c>
      <c r="AF39" s="34">
        <v>0</v>
      </c>
      <c r="AG39" s="34">
        <v>0</v>
      </c>
      <c r="AH39" s="21"/>
      <c r="AI39" s="22"/>
      <c r="AK39" s="87">
        <f t="shared" si="2"/>
        <v>0.35</v>
      </c>
      <c r="AL39" s="87">
        <f t="shared" si="2"/>
        <v>0.4</v>
      </c>
      <c r="AM39" s="87">
        <f t="shared" si="2"/>
        <v>0.5</v>
      </c>
      <c r="AN39" s="87">
        <f t="shared" si="2"/>
        <v>0</v>
      </c>
      <c r="AO39" s="87">
        <f t="shared" si="2"/>
        <v>0</v>
      </c>
      <c r="AP39" s="87"/>
      <c r="AQ39" s="87"/>
      <c r="AR39" s="87"/>
      <c r="AS39" s="87">
        <f t="shared" si="3"/>
        <v>5.7142857142857141E-2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>
        <v>45</v>
      </c>
      <c r="T40" s="31">
        <v>36</v>
      </c>
      <c r="U40" s="31">
        <v>350</v>
      </c>
      <c r="V40" s="32">
        <v>6</v>
      </c>
      <c r="W40" s="32">
        <v>0</v>
      </c>
      <c r="X40" s="32">
        <v>50</v>
      </c>
      <c r="Y40" s="75">
        <v>30</v>
      </c>
      <c r="Z40" s="33">
        <v>0</v>
      </c>
      <c r="AA40" s="34">
        <v>120</v>
      </c>
      <c r="AB40" s="34">
        <v>0</v>
      </c>
      <c r="AC40" s="34">
        <v>0</v>
      </c>
      <c r="AD40" s="35">
        <v>0</v>
      </c>
      <c r="AE40" s="34">
        <v>0</v>
      </c>
      <c r="AF40" s="34">
        <v>0</v>
      </c>
      <c r="AG40" s="34">
        <v>0</v>
      </c>
      <c r="AH40" s="21"/>
      <c r="AI40" s="22"/>
      <c r="AK40" s="87">
        <f t="shared" si="2"/>
        <v>1.125</v>
      </c>
      <c r="AL40" s="87">
        <f t="shared" si="2"/>
        <v>1.8</v>
      </c>
      <c r="AM40" s="87">
        <f t="shared" si="2"/>
        <v>2.9166666666666665</v>
      </c>
      <c r="AN40" s="87">
        <f t="shared" si="2"/>
        <v>0.8571428571428571</v>
      </c>
      <c r="AO40" s="87">
        <f t="shared" si="2"/>
        <v>0</v>
      </c>
      <c r="AP40" s="87"/>
      <c r="AQ40" s="87"/>
      <c r="AR40" s="87"/>
      <c r="AS40" s="87">
        <f t="shared" si="3"/>
        <v>0.68571428571428572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26</v>
      </c>
      <c r="T41" s="31">
        <v>15</v>
      </c>
      <c r="U41" s="31">
        <v>50</v>
      </c>
      <c r="V41" s="32">
        <v>2</v>
      </c>
      <c r="W41" s="32">
        <v>0</v>
      </c>
      <c r="X41" s="32">
        <v>20</v>
      </c>
      <c r="Y41" s="75">
        <v>6</v>
      </c>
      <c r="Z41" s="33">
        <v>0</v>
      </c>
      <c r="AA41" s="34">
        <v>20</v>
      </c>
      <c r="AB41" s="34">
        <v>0</v>
      </c>
      <c r="AC41" s="34">
        <v>0</v>
      </c>
      <c r="AD41" s="34">
        <v>0</v>
      </c>
      <c r="AE41" s="34"/>
      <c r="AF41" s="34"/>
      <c r="AG41" s="34"/>
      <c r="AH41" s="21"/>
      <c r="AI41" s="22"/>
      <c r="AK41" s="87">
        <f t="shared" si="2"/>
        <v>0.65</v>
      </c>
      <c r="AL41" s="87">
        <f t="shared" si="2"/>
        <v>0.75</v>
      </c>
      <c r="AM41" s="87">
        <f t="shared" si="2"/>
        <v>0.41666666666666669</v>
      </c>
      <c r="AN41" s="87">
        <f t="shared" si="2"/>
        <v>0.2857142857142857</v>
      </c>
      <c r="AO41" s="87">
        <f t="shared" si="2"/>
        <v>0</v>
      </c>
      <c r="AP41" s="87"/>
      <c r="AQ41" s="87"/>
      <c r="AR41" s="87"/>
      <c r="AS41" s="87">
        <f t="shared" si="3"/>
        <v>0.11428571428571428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>
        <v>35</v>
      </c>
      <c r="T42" s="31">
        <v>20</v>
      </c>
      <c r="U42" s="31">
        <v>112</v>
      </c>
      <c r="V42" s="32">
        <v>1</v>
      </c>
      <c r="W42" s="32">
        <v>0</v>
      </c>
      <c r="X42" s="32">
        <v>35</v>
      </c>
      <c r="Y42" s="75">
        <v>4</v>
      </c>
      <c r="Z42" s="33">
        <v>0</v>
      </c>
      <c r="AA42" s="34">
        <v>30</v>
      </c>
      <c r="AB42" s="34">
        <v>0</v>
      </c>
      <c r="AC42" s="34">
        <v>0</v>
      </c>
      <c r="AD42" s="35">
        <v>0</v>
      </c>
      <c r="AE42" s="34">
        <v>0</v>
      </c>
      <c r="AF42" s="34">
        <v>0</v>
      </c>
      <c r="AG42" s="34">
        <v>0</v>
      </c>
      <c r="AH42" s="21"/>
      <c r="AI42" s="22"/>
      <c r="AK42" s="87">
        <f t="shared" si="2"/>
        <v>0.875</v>
      </c>
      <c r="AL42" s="87">
        <f t="shared" si="2"/>
        <v>1</v>
      </c>
      <c r="AM42" s="87">
        <f t="shared" si="2"/>
        <v>0.93333333333333335</v>
      </c>
      <c r="AN42" s="87">
        <f t="shared" si="2"/>
        <v>0.14285714285714285</v>
      </c>
      <c r="AO42" s="87">
        <f t="shared" si="2"/>
        <v>0</v>
      </c>
      <c r="AP42" s="87"/>
      <c r="AQ42" s="87"/>
      <c r="AR42" s="87"/>
      <c r="AS42" s="87">
        <f t="shared" si="3"/>
        <v>0.17142857142857143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>
        <v>20</v>
      </c>
      <c r="T43" s="31">
        <v>9</v>
      </c>
      <c r="U43" s="31">
        <v>80</v>
      </c>
      <c r="V43" s="32">
        <v>1</v>
      </c>
      <c r="W43" s="32">
        <v>0</v>
      </c>
      <c r="X43" s="32">
        <v>0</v>
      </c>
      <c r="Y43" s="75">
        <v>0</v>
      </c>
      <c r="Z43" s="33">
        <v>0</v>
      </c>
      <c r="AA43" s="34">
        <v>11</v>
      </c>
      <c r="AB43" s="34">
        <v>0</v>
      </c>
      <c r="AC43" s="34">
        <v>0</v>
      </c>
      <c r="AD43" s="35">
        <v>0</v>
      </c>
      <c r="AE43" s="34">
        <v>0</v>
      </c>
      <c r="AF43" s="34">
        <v>0</v>
      </c>
      <c r="AG43" s="34">
        <v>0</v>
      </c>
      <c r="AH43" s="21"/>
      <c r="AI43" s="22"/>
      <c r="AK43" s="87">
        <f t="shared" si="2"/>
        <v>0.5</v>
      </c>
      <c r="AL43" s="87">
        <f t="shared" si="2"/>
        <v>0.45</v>
      </c>
      <c r="AM43" s="87">
        <f t="shared" si="2"/>
        <v>0.66666666666666663</v>
      </c>
      <c r="AN43" s="87">
        <f t="shared" si="2"/>
        <v>0.14285714285714285</v>
      </c>
      <c r="AO43" s="87">
        <f t="shared" si="2"/>
        <v>0</v>
      </c>
      <c r="AP43" s="87"/>
      <c r="AQ43" s="87"/>
      <c r="AR43" s="87"/>
      <c r="AS43" s="87">
        <f t="shared" si="3"/>
        <v>6.2857142857142861E-2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>
        <v>20</v>
      </c>
      <c r="T44" s="31">
        <v>8</v>
      </c>
      <c r="U44" s="31">
        <v>80</v>
      </c>
      <c r="V44" s="32">
        <v>9</v>
      </c>
      <c r="W44" s="32">
        <v>0</v>
      </c>
      <c r="X44" s="32">
        <v>0</v>
      </c>
      <c r="Y44" s="75">
        <v>0</v>
      </c>
      <c r="Z44" s="33">
        <v>0</v>
      </c>
      <c r="AA44" s="34">
        <v>20</v>
      </c>
      <c r="AB44" s="34">
        <v>0</v>
      </c>
      <c r="AC44" s="34">
        <v>0</v>
      </c>
      <c r="AD44" s="35">
        <v>0</v>
      </c>
      <c r="AE44" s="34">
        <v>0</v>
      </c>
      <c r="AF44" s="34">
        <v>0</v>
      </c>
      <c r="AG44" s="34">
        <v>0</v>
      </c>
      <c r="AH44" s="21"/>
      <c r="AI44" s="22"/>
      <c r="AK44" s="87">
        <f t="shared" si="2"/>
        <v>0.5</v>
      </c>
      <c r="AL44" s="87">
        <f t="shared" si="2"/>
        <v>0.4</v>
      </c>
      <c r="AM44" s="87">
        <f t="shared" si="2"/>
        <v>0.66666666666666663</v>
      </c>
      <c r="AN44" s="87">
        <f t="shared" si="2"/>
        <v>1.2857142857142858</v>
      </c>
      <c r="AO44" s="87">
        <f t="shared" si="2"/>
        <v>0</v>
      </c>
      <c r="AP44" s="87"/>
      <c r="AQ44" s="87"/>
      <c r="AR44" s="87"/>
      <c r="AS44" s="87">
        <f t="shared" si="3"/>
        <v>0.11428571428571428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>
        <v>22</v>
      </c>
      <c r="T45" s="31">
        <v>19</v>
      </c>
      <c r="U45" s="31">
        <v>127</v>
      </c>
      <c r="V45" s="32">
        <v>6</v>
      </c>
      <c r="W45" s="32">
        <v>0</v>
      </c>
      <c r="X45" s="32">
        <v>0</v>
      </c>
      <c r="Y45" s="75">
        <v>0</v>
      </c>
      <c r="Z45" s="33">
        <v>0</v>
      </c>
      <c r="AA45" s="34">
        <v>90</v>
      </c>
      <c r="AB45" s="34">
        <v>0</v>
      </c>
      <c r="AC45" s="34">
        <v>0</v>
      </c>
      <c r="AD45" s="35">
        <v>0</v>
      </c>
      <c r="AE45" s="34">
        <v>0</v>
      </c>
      <c r="AF45" s="34">
        <v>0</v>
      </c>
      <c r="AG45" s="34">
        <v>0</v>
      </c>
      <c r="AH45" s="21"/>
      <c r="AI45" s="22"/>
      <c r="AK45" s="87">
        <f t="shared" si="2"/>
        <v>0.55000000000000004</v>
      </c>
      <c r="AL45" s="87">
        <f t="shared" si="2"/>
        <v>0.95</v>
      </c>
      <c r="AM45" s="87">
        <f t="shared" si="2"/>
        <v>1.0583333333333333</v>
      </c>
      <c r="AN45" s="87">
        <f t="shared" si="2"/>
        <v>0.8571428571428571</v>
      </c>
      <c r="AO45" s="87">
        <f t="shared" si="2"/>
        <v>0</v>
      </c>
      <c r="AP45" s="87"/>
      <c r="AQ45" s="87"/>
      <c r="AR45" s="87"/>
      <c r="AS45" s="87">
        <f t="shared" si="3"/>
        <v>0.51428571428571423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>
        <v>45</v>
      </c>
      <c r="T46" s="31">
        <v>39</v>
      </c>
      <c r="U46" s="31">
        <v>302</v>
      </c>
      <c r="V46" s="32">
        <v>6</v>
      </c>
      <c r="W46" s="32">
        <v>0</v>
      </c>
      <c r="X46" s="32">
        <v>45</v>
      </c>
      <c r="Y46" s="75">
        <v>1</v>
      </c>
      <c r="Z46" s="33">
        <v>0</v>
      </c>
      <c r="AA46" s="34">
        <v>60</v>
      </c>
      <c r="AB46" s="34">
        <v>0</v>
      </c>
      <c r="AC46" s="34">
        <v>0</v>
      </c>
      <c r="AD46" s="35">
        <v>0</v>
      </c>
      <c r="AE46" s="34">
        <v>0</v>
      </c>
      <c r="AF46" s="34">
        <v>0</v>
      </c>
      <c r="AG46" s="34">
        <v>0</v>
      </c>
      <c r="AH46" s="21"/>
      <c r="AI46" s="22"/>
      <c r="AK46" s="87">
        <f t="shared" si="2"/>
        <v>1.125</v>
      </c>
      <c r="AL46" s="87">
        <f t="shared" si="2"/>
        <v>1.95</v>
      </c>
      <c r="AM46" s="87">
        <f t="shared" si="2"/>
        <v>2.5166666666666666</v>
      </c>
      <c r="AN46" s="87">
        <f t="shared" si="2"/>
        <v>0.8571428571428571</v>
      </c>
      <c r="AO46" s="87">
        <f t="shared" si="2"/>
        <v>0</v>
      </c>
      <c r="AP46" s="87"/>
      <c r="AQ46" s="87"/>
      <c r="AR46" s="87"/>
      <c r="AS46" s="87">
        <f t="shared" si="3"/>
        <v>0.34285714285714286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>
        <v>30</v>
      </c>
      <c r="T47" s="31">
        <v>22</v>
      </c>
      <c r="U47" s="31">
        <v>63</v>
      </c>
      <c r="V47" s="32">
        <v>0</v>
      </c>
      <c r="W47" s="32">
        <v>0</v>
      </c>
      <c r="X47" s="32">
        <v>50</v>
      </c>
      <c r="Y47" s="75">
        <v>0</v>
      </c>
      <c r="Z47" s="33">
        <v>0</v>
      </c>
      <c r="AA47" s="34">
        <v>116</v>
      </c>
      <c r="AB47" s="34">
        <v>0</v>
      </c>
      <c r="AC47" s="34">
        <v>0</v>
      </c>
      <c r="AD47" s="35">
        <v>0</v>
      </c>
      <c r="AE47" s="34">
        <v>0</v>
      </c>
      <c r="AF47" s="34">
        <v>0</v>
      </c>
      <c r="AG47" s="34">
        <v>0</v>
      </c>
      <c r="AH47" s="21"/>
      <c r="AI47" s="22"/>
      <c r="AK47" s="87">
        <f t="shared" si="2"/>
        <v>0.75</v>
      </c>
      <c r="AL47" s="87">
        <f t="shared" si="2"/>
        <v>1.1000000000000001</v>
      </c>
      <c r="AM47" s="87">
        <f t="shared" si="2"/>
        <v>0.52500000000000002</v>
      </c>
      <c r="AN47" s="87">
        <f t="shared" si="2"/>
        <v>0</v>
      </c>
      <c r="AO47" s="87">
        <f t="shared" si="2"/>
        <v>0</v>
      </c>
      <c r="AP47" s="87"/>
      <c r="AQ47" s="87"/>
      <c r="AR47" s="87"/>
      <c r="AS47" s="87">
        <f t="shared" si="3"/>
        <v>0.66285714285714281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49</v>
      </c>
      <c r="T48" s="31">
        <v>40</v>
      </c>
      <c r="U48" s="31">
        <v>210</v>
      </c>
      <c r="V48" s="32">
        <v>8</v>
      </c>
      <c r="W48" s="32">
        <v>0</v>
      </c>
      <c r="X48" s="32">
        <v>78</v>
      </c>
      <c r="Y48" s="75">
        <v>10</v>
      </c>
      <c r="Z48" s="33">
        <v>0</v>
      </c>
      <c r="AA48" s="34">
        <v>155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/>
      <c r="AI48" s="22"/>
      <c r="AK48" s="87">
        <f t="shared" si="2"/>
        <v>1.2250000000000001</v>
      </c>
      <c r="AL48" s="87">
        <f t="shared" si="2"/>
        <v>2</v>
      </c>
      <c r="AM48" s="87">
        <f t="shared" si="2"/>
        <v>1.75</v>
      </c>
      <c r="AN48" s="87">
        <f t="shared" si="2"/>
        <v>1.1428571428571428</v>
      </c>
      <c r="AO48" s="87">
        <f t="shared" si="2"/>
        <v>0</v>
      </c>
      <c r="AP48" s="87"/>
      <c r="AQ48" s="87"/>
      <c r="AR48" s="87"/>
      <c r="AS48" s="87">
        <f t="shared" si="3"/>
        <v>0.88571428571428568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25</v>
      </c>
      <c r="T49" s="31">
        <v>15</v>
      </c>
      <c r="U49" s="31">
        <v>90</v>
      </c>
      <c r="V49" s="32">
        <v>8</v>
      </c>
      <c r="W49" s="32">
        <v>0</v>
      </c>
      <c r="X49" s="32">
        <v>78</v>
      </c>
      <c r="Y49" s="75">
        <v>6</v>
      </c>
      <c r="Z49" s="33">
        <v>0</v>
      </c>
      <c r="AA49" s="34">
        <v>20</v>
      </c>
      <c r="AB49" s="34">
        <v>0</v>
      </c>
      <c r="AC49" s="34">
        <v>0</v>
      </c>
      <c r="AD49" s="35">
        <v>0</v>
      </c>
      <c r="AE49" s="34">
        <v>0</v>
      </c>
      <c r="AF49" s="34">
        <v>0</v>
      </c>
      <c r="AG49" s="34">
        <v>0</v>
      </c>
      <c r="AH49" s="21"/>
      <c r="AI49" s="22"/>
      <c r="AK49" s="87">
        <f t="shared" si="2"/>
        <v>0.625</v>
      </c>
      <c r="AL49" s="87">
        <f t="shared" si="2"/>
        <v>0.75</v>
      </c>
      <c r="AM49" s="87">
        <f t="shared" si="2"/>
        <v>0.75</v>
      </c>
      <c r="AN49" s="87">
        <f t="shared" si="2"/>
        <v>1.1428571428571428</v>
      </c>
      <c r="AO49" s="87">
        <f t="shared" si="2"/>
        <v>0</v>
      </c>
      <c r="AP49" s="87"/>
      <c r="AQ49" s="87"/>
      <c r="AR49" s="87"/>
      <c r="AS49" s="87">
        <f t="shared" si="3"/>
        <v>0.11428571428571428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>
        <v>25</v>
      </c>
      <c r="T50" s="31">
        <v>20</v>
      </c>
      <c r="U50" s="31">
        <v>500</v>
      </c>
      <c r="V50" s="32">
        <v>4</v>
      </c>
      <c r="W50" s="32">
        <v>0</v>
      </c>
      <c r="X50" s="32">
        <v>20</v>
      </c>
      <c r="Y50" s="75">
        <v>20</v>
      </c>
      <c r="Z50" s="33">
        <v>0</v>
      </c>
      <c r="AA50" s="34">
        <v>24</v>
      </c>
      <c r="AB50" s="34">
        <v>30</v>
      </c>
      <c r="AC50" s="34">
        <v>0</v>
      </c>
      <c r="AD50" s="35">
        <v>0</v>
      </c>
      <c r="AE50" s="34">
        <v>0</v>
      </c>
      <c r="AF50" s="34">
        <v>0</v>
      </c>
      <c r="AG50" s="34">
        <v>0</v>
      </c>
      <c r="AH50" s="21"/>
      <c r="AI50" s="22"/>
      <c r="AK50" s="87">
        <f t="shared" si="2"/>
        <v>0.625</v>
      </c>
      <c r="AL50" s="87">
        <f t="shared" si="2"/>
        <v>1</v>
      </c>
      <c r="AM50" s="87">
        <f t="shared" si="2"/>
        <v>4.166666666666667</v>
      </c>
      <c r="AN50" s="87">
        <f t="shared" si="2"/>
        <v>0.5714285714285714</v>
      </c>
      <c r="AO50" s="87">
        <f t="shared" si="2"/>
        <v>0</v>
      </c>
      <c r="AP50" s="87"/>
      <c r="AQ50" s="87"/>
      <c r="AR50" s="87"/>
      <c r="AS50" s="87">
        <f t="shared" si="3"/>
        <v>0.13714285714285715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35</v>
      </c>
      <c r="T51" s="31">
        <v>28</v>
      </c>
      <c r="U51" s="31">
        <v>350</v>
      </c>
      <c r="V51" s="32">
        <v>5</v>
      </c>
      <c r="W51" s="32">
        <v>0</v>
      </c>
      <c r="X51" s="32">
        <v>50</v>
      </c>
      <c r="Y51" s="75">
        <v>30</v>
      </c>
      <c r="Z51" s="33">
        <v>0</v>
      </c>
      <c r="AA51" s="34">
        <v>40</v>
      </c>
      <c r="AB51" s="34">
        <v>0</v>
      </c>
      <c r="AC51" s="34">
        <v>0</v>
      </c>
      <c r="AD51" s="35">
        <v>0</v>
      </c>
      <c r="AE51" s="34">
        <v>0</v>
      </c>
      <c r="AF51" s="34">
        <v>0</v>
      </c>
      <c r="AG51" s="34">
        <v>0</v>
      </c>
      <c r="AH51" s="21"/>
      <c r="AI51" s="22"/>
      <c r="AK51" s="87">
        <f t="shared" si="2"/>
        <v>0.875</v>
      </c>
      <c r="AL51" s="87">
        <f t="shared" si="2"/>
        <v>1.4</v>
      </c>
      <c r="AM51" s="87">
        <f t="shared" si="2"/>
        <v>2.9166666666666665</v>
      </c>
      <c r="AN51" s="87">
        <f t="shared" si="2"/>
        <v>0.7142857142857143</v>
      </c>
      <c r="AO51" s="87">
        <f t="shared" si="2"/>
        <v>0</v>
      </c>
      <c r="AP51" s="87"/>
      <c r="AQ51" s="87"/>
      <c r="AR51" s="87"/>
      <c r="AS51" s="87">
        <f t="shared" si="3"/>
        <v>0.22857142857142856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8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  <c r="AE52" s="31">
        <v>0</v>
      </c>
      <c r="AF52" s="31">
        <v>0</v>
      </c>
      <c r="AG52" s="31">
        <v>0</v>
      </c>
      <c r="AH52" s="21"/>
      <c r="AI52" s="22"/>
      <c r="AK52" s="87">
        <f t="shared" si="2"/>
        <v>0.2</v>
      </c>
      <c r="AL52" s="87">
        <f t="shared" si="2"/>
        <v>0</v>
      </c>
      <c r="AM52" s="87">
        <f t="shared" si="2"/>
        <v>0</v>
      </c>
      <c r="AN52" s="87">
        <f t="shared" si="2"/>
        <v>0</v>
      </c>
      <c r="AO52" s="87">
        <f t="shared" si="2"/>
        <v>0</v>
      </c>
      <c r="AP52" s="87"/>
      <c r="AQ52" s="87"/>
      <c r="AR52" s="87"/>
      <c r="AS52" s="87">
        <f t="shared" si="3"/>
        <v>0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10</v>
      </c>
      <c r="T53" s="31">
        <v>4</v>
      </c>
      <c r="U53" s="31">
        <v>30</v>
      </c>
      <c r="V53" s="32">
        <v>1</v>
      </c>
      <c r="W53" s="32">
        <v>0</v>
      </c>
      <c r="X53" s="32">
        <v>30</v>
      </c>
      <c r="Y53" s="75">
        <v>3</v>
      </c>
      <c r="Z53" s="33">
        <v>0</v>
      </c>
      <c r="AA53" s="34">
        <v>30</v>
      </c>
      <c r="AB53" s="34">
        <v>30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0.25</v>
      </c>
      <c r="AL53" s="87">
        <f t="shared" si="2"/>
        <v>0.2</v>
      </c>
      <c r="AM53" s="87">
        <f t="shared" si="2"/>
        <v>0.25</v>
      </c>
      <c r="AN53" s="87">
        <f t="shared" si="2"/>
        <v>0.14285714285714285</v>
      </c>
      <c r="AO53" s="87">
        <f t="shared" si="2"/>
        <v>0</v>
      </c>
      <c r="AP53" s="87"/>
      <c r="AQ53" s="87"/>
      <c r="AR53" s="87"/>
      <c r="AS53" s="87">
        <f t="shared" si="3"/>
        <v>0.17142857142857143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>
        <v>26</v>
      </c>
      <c r="T54" s="31">
        <v>10</v>
      </c>
      <c r="U54" s="31">
        <v>106</v>
      </c>
      <c r="V54" s="32">
        <v>2</v>
      </c>
      <c r="W54" s="32">
        <v>0</v>
      </c>
      <c r="X54" s="32">
        <v>15</v>
      </c>
      <c r="Y54" s="75">
        <v>6</v>
      </c>
      <c r="Z54" s="33">
        <v>0</v>
      </c>
      <c r="AA54" s="34">
        <v>60</v>
      </c>
      <c r="AB54" s="34">
        <v>0</v>
      </c>
      <c r="AC54" s="34">
        <v>0</v>
      </c>
      <c r="AD54" s="35">
        <v>0</v>
      </c>
      <c r="AE54" s="34">
        <v>0</v>
      </c>
      <c r="AF54" s="34">
        <v>0</v>
      </c>
      <c r="AG54" s="34">
        <v>0</v>
      </c>
      <c r="AH54" s="21"/>
      <c r="AI54" s="22"/>
      <c r="AK54" s="87">
        <f t="shared" si="2"/>
        <v>0.65</v>
      </c>
      <c r="AL54" s="87">
        <f t="shared" si="2"/>
        <v>0.5</v>
      </c>
      <c r="AM54" s="87">
        <f t="shared" si="2"/>
        <v>0.8833333333333333</v>
      </c>
      <c r="AN54" s="87">
        <f t="shared" si="2"/>
        <v>0.2857142857142857</v>
      </c>
      <c r="AO54" s="87">
        <f t="shared" si="2"/>
        <v>0</v>
      </c>
      <c r="AP54" s="87"/>
      <c r="AQ54" s="87"/>
      <c r="AR54" s="87"/>
      <c r="AS54" s="87">
        <f t="shared" si="3"/>
        <v>0.34285714285714286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1380</v>
      </c>
      <c r="T55" s="61">
        <f t="shared" si="4"/>
        <v>904</v>
      </c>
      <c r="U55" s="61">
        <f t="shared" si="4"/>
        <v>6502</v>
      </c>
      <c r="V55" s="61">
        <f t="shared" si="4"/>
        <v>135</v>
      </c>
      <c r="W55" s="61">
        <f t="shared" si="4"/>
        <v>8</v>
      </c>
      <c r="X55" s="61">
        <f t="shared" si="4"/>
        <v>1709</v>
      </c>
      <c r="Y55" s="61">
        <f t="shared" si="4"/>
        <v>375</v>
      </c>
      <c r="Z55" s="61">
        <f t="shared" si="4"/>
        <v>0</v>
      </c>
      <c r="AA55" s="61">
        <f t="shared" si="4"/>
        <v>2303</v>
      </c>
      <c r="AB55" s="61">
        <f t="shared" si="4"/>
        <v>92</v>
      </c>
      <c r="AC55" s="61">
        <f t="shared" si="4"/>
        <v>10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0.69</v>
      </c>
      <c r="AL55" s="87">
        <f t="shared" si="2"/>
        <v>0.90400000000000003</v>
      </c>
      <c r="AM55" s="87">
        <f t="shared" si="2"/>
        <v>1.0836666666666666</v>
      </c>
      <c r="AN55" s="87">
        <f t="shared" si="2"/>
        <v>0.38571428571428573</v>
      </c>
      <c r="AO55" s="87">
        <f t="shared" si="2"/>
        <v>0.04</v>
      </c>
      <c r="AP55" s="87"/>
      <c r="AQ55" s="87"/>
      <c r="AR55" s="87"/>
      <c r="AS55" s="87">
        <f t="shared" si="3"/>
        <v>0.26319999999999999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1" t="s">
        <v>18</v>
      </c>
      <c r="C57" s="112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1380</v>
      </c>
      <c r="T57" s="24">
        <f>T55</f>
        <v>904</v>
      </c>
      <c r="U57" s="24">
        <f>U55/120</f>
        <v>54.18333333333333</v>
      </c>
      <c r="V57" s="25">
        <f>V55/6</f>
        <v>22.5</v>
      </c>
      <c r="W57" s="25">
        <f>W55/10</f>
        <v>0.8</v>
      </c>
      <c r="X57" s="25">
        <f>X55/100</f>
        <v>17.09</v>
      </c>
      <c r="Y57" s="76">
        <f>Y55/20</f>
        <v>18.75</v>
      </c>
      <c r="Z57" s="26">
        <f>Z55/60</f>
        <v>0</v>
      </c>
      <c r="AA57" s="27">
        <f>AA55/120</f>
        <v>19.191666666666666</v>
      </c>
      <c r="AB57" s="27">
        <f>AB55/100</f>
        <v>0.92</v>
      </c>
      <c r="AC57" s="27">
        <f>AC55/60</f>
        <v>0.16666666666666666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9.0305555555555538E-3</v>
      </c>
      <c r="AN57" s="25">
        <f>AN55/6</f>
        <v>6.4285714285714293E-2</v>
      </c>
      <c r="AO57" s="25">
        <f>AO55/20</f>
        <v>2E-3</v>
      </c>
      <c r="AP57" s="25">
        <f>AP55/100</f>
        <v>0</v>
      </c>
      <c r="AQ57" s="76"/>
      <c r="AR57" s="26">
        <f>AR55/20</f>
        <v>0</v>
      </c>
      <c r="AS57" s="27">
        <f>AS55/120</f>
        <v>2.1933333333333332E-3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</sheetData>
  <autoFilter ref="A2:AI55" xr:uid="{28B6858A-318E-4BCF-B92D-0645C2D1DF27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</autoFilter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D800D-76C5-4BE7-82B7-23824597B1D8}">
  <dimension ref="A1:AY57"/>
  <sheetViews>
    <sheetView tabSelected="1"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54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9">
        <v>46125</v>
      </c>
      <c r="D2" s="113" t="s">
        <v>107</v>
      </c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5" t="s">
        <v>108</v>
      </c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7"/>
      <c r="AK2" s="118" t="s">
        <v>109</v>
      </c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20"/>
    </row>
    <row r="3" spans="2:51" ht="18" thickBot="1" x14ac:dyDescent="0.3">
      <c r="B3" s="121" t="s">
        <v>1</v>
      </c>
      <c r="C3" s="123" t="s">
        <v>2</v>
      </c>
      <c r="D3" s="5" t="s">
        <v>3</v>
      </c>
      <c r="E3" s="6" t="str">
        <f>T3</f>
        <v>Acheteurs</v>
      </c>
      <c r="F3" s="125" t="s">
        <v>4</v>
      </c>
      <c r="G3" s="125"/>
      <c r="H3" s="125"/>
      <c r="I3" s="125"/>
      <c r="J3" s="126"/>
      <c r="K3" s="56"/>
      <c r="L3" s="127" t="s">
        <v>5</v>
      </c>
      <c r="M3" s="128"/>
      <c r="N3" s="129"/>
      <c r="O3" s="70"/>
      <c r="P3" s="70"/>
      <c r="Q3" s="70"/>
      <c r="R3" s="70"/>
      <c r="S3" s="7" t="s">
        <v>3</v>
      </c>
      <c r="T3" s="7" t="s">
        <v>6</v>
      </c>
      <c r="U3" s="130" t="s">
        <v>7</v>
      </c>
      <c r="V3" s="131"/>
      <c r="W3" s="131"/>
      <c r="X3" s="131"/>
      <c r="Y3" s="131"/>
      <c r="Z3" s="132"/>
      <c r="AA3" s="133" t="str">
        <f>L3</f>
        <v>Gratuités pour achats 
(en unités)</v>
      </c>
      <c r="AB3" s="134"/>
      <c r="AC3" s="135"/>
      <c r="AD3" s="133" t="s">
        <v>19</v>
      </c>
      <c r="AE3" s="134"/>
      <c r="AF3" s="134"/>
      <c r="AG3" s="135"/>
      <c r="AH3" s="136" t="s">
        <v>8</v>
      </c>
      <c r="AI3" s="138" t="s">
        <v>9</v>
      </c>
      <c r="AK3" s="79" t="s">
        <v>3</v>
      </c>
      <c r="AL3" s="79" t="s">
        <v>6</v>
      </c>
      <c r="AM3" s="140" t="s">
        <v>7</v>
      </c>
      <c r="AN3" s="141"/>
      <c r="AO3" s="141"/>
      <c r="AP3" s="141"/>
      <c r="AQ3" s="141"/>
      <c r="AR3" s="142"/>
      <c r="AS3" s="143" t="str">
        <f>AD3</f>
        <v>GOODIES</v>
      </c>
      <c r="AT3" s="144"/>
      <c r="AU3" s="145"/>
      <c r="AV3" s="143" t="s">
        <v>19</v>
      </c>
      <c r="AW3" s="144"/>
      <c r="AX3" s="144"/>
      <c r="AY3" s="145"/>
    </row>
    <row r="4" spans="2:51" ht="202.2" thickBot="1" x14ac:dyDescent="0.3">
      <c r="B4" s="122"/>
      <c r="C4" s="12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3" t="s">
        <v>97</v>
      </c>
      <c r="L4" s="10" t="s">
        <v>10</v>
      </c>
      <c r="M4" s="71" t="s">
        <v>13</v>
      </c>
      <c r="N4" s="11" t="s">
        <v>96</v>
      </c>
      <c r="O4" s="71" t="s">
        <v>98</v>
      </c>
      <c r="P4" s="71" t="s">
        <v>99</v>
      </c>
      <c r="Q4" s="71" t="s">
        <v>100</v>
      </c>
      <c r="R4" s="71" t="s">
        <v>101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4" t="s">
        <v>14</v>
      </c>
      <c r="Z4" s="15" t="s">
        <v>97</v>
      </c>
      <c r="AA4" s="13" t="s">
        <v>10</v>
      </c>
      <c r="AB4" s="72" t="s">
        <v>13</v>
      </c>
      <c r="AC4" s="14" t="s">
        <v>97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7"/>
      <c r="AI4" s="139"/>
      <c r="AK4" s="80" t="s">
        <v>15</v>
      </c>
      <c r="AL4" s="80" t="s">
        <v>16</v>
      </c>
      <c r="AM4" s="80" t="s">
        <v>10</v>
      </c>
      <c r="AN4" s="80" t="s">
        <v>11</v>
      </c>
      <c r="AO4" s="80" t="s">
        <v>12</v>
      </c>
      <c r="AP4" s="81" t="s">
        <v>13</v>
      </c>
      <c r="AQ4" s="82" t="s">
        <v>14</v>
      </c>
      <c r="AR4" s="83" t="s">
        <v>97</v>
      </c>
      <c r="AS4" s="80" t="s">
        <v>10</v>
      </c>
      <c r="AT4" s="84" t="s">
        <v>13</v>
      </c>
      <c r="AU4" s="81" t="s">
        <v>97</v>
      </c>
      <c r="AV4" s="85" t="s">
        <v>98</v>
      </c>
      <c r="AW4" s="81" t="s">
        <v>99</v>
      </c>
      <c r="AX4" s="81" t="s">
        <v>100</v>
      </c>
      <c r="AY4" s="86" t="s">
        <v>106</v>
      </c>
    </row>
    <row r="5" spans="2:51" ht="17.399999999999999" x14ac:dyDescent="0.25">
      <c r="B5" s="16" t="s">
        <v>45</v>
      </c>
      <c r="C5" s="16" t="s">
        <v>46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>5*35</f>
        <v>175</v>
      </c>
      <c r="M5" s="20"/>
      <c r="N5" s="20">
        <v>0</v>
      </c>
      <c r="O5" s="19"/>
      <c r="P5" s="19"/>
      <c r="Q5" s="19"/>
      <c r="R5" s="18"/>
      <c r="S5" s="31"/>
      <c r="T5" s="31"/>
      <c r="U5" s="31"/>
      <c r="V5" s="32"/>
      <c r="W5" s="32"/>
      <c r="X5" s="32"/>
      <c r="Y5" s="75"/>
      <c r="Z5" s="33"/>
      <c r="AA5" s="34"/>
      <c r="AB5" s="34"/>
      <c r="AC5" s="34"/>
      <c r="AD5" s="35"/>
      <c r="AE5" s="34"/>
      <c r="AF5" s="34"/>
      <c r="AG5" s="34"/>
      <c r="AH5" s="21"/>
      <c r="AI5" s="22"/>
      <c r="AK5" s="87">
        <f>S5/D5</f>
        <v>0</v>
      </c>
      <c r="AL5" s="87">
        <f t="shared" ref="AL5:AS20" si="0">T5/E5</f>
        <v>0</v>
      </c>
      <c r="AM5" s="87">
        <f t="shared" si="0"/>
        <v>0</v>
      </c>
      <c r="AN5" s="87">
        <f t="shared" si="0"/>
        <v>0</v>
      </c>
      <c r="AO5" s="87">
        <f t="shared" si="0"/>
        <v>0</v>
      </c>
      <c r="AP5" s="87"/>
      <c r="AQ5" s="87"/>
      <c r="AR5" s="87"/>
      <c r="AS5" s="87">
        <f t="shared" si="0"/>
        <v>0</v>
      </c>
      <c r="AT5" s="87"/>
      <c r="AU5" s="87"/>
      <c r="AV5" s="87"/>
      <c r="AW5" s="87"/>
      <c r="AX5" s="87"/>
      <c r="AY5" s="87"/>
    </row>
    <row r="6" spans="2:51" ht="17.399999999999999" x14ac:dyDescent="0.25">
      <c r="B6" s="16" t="s">
        <v>45</v>
      </c>
      <c r="C6" s="16" t="s">
        <v>47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ref="L6:L54" si="1">5*35</f>
        <v>175</v>
      </c>
      <c r="M6" s="20"/>
      <c r="N6" s="20">
        <v>0</v>
      </c>
      <c r="O6" s="19"/>
      <c r="P6" s="19"/>
      <c r="Q6" s="19"/>
      <c r="R6" s="18"/>
      <c r="S6" s="31">
        <v>27</v>
      </c>
      <c r="T6" s="31">
        <v>18</v>
      </c>
      <c r="U6" s="31">
        <v>200</v>
      </c>
      <c r="V6" s="32">
        <v>2</v>
      </c>
      <c r="W6" s="32">
        <v>0</v>
      </c>
      <c r="X6" s="32">
        <v>20</v>
      </c>
      <c r="Y6" s="75">
        <v>15</v>
      </c>
      <c r="Z6" s="33">
        <v>0</v>
      </c>
      <c r="AA6" s="34">
        <v>40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7">
        <f t="shared" ref="AK6:AO55" si="2">S6/D6</f>
        <v>0.67500000000000004</v>
      </c>
      <c r="AL6" s="87">
        <f t="shared" si="0"/>
        <v>0.9</v>
      </c>
      <c r="AM6" s="87">
        <f t="shared" si="0"/>
        <v>1.6666666666666667</v>
      </c>
      <c r="AN6" s="87">
        <f t="shared" si="0"/>
        <v>0.2857142857142857</v>
      </c>
      <c r="AO6" s="87">
        <f t="shared" si="0"/>
        <v>0</v>
      </c>
      <c r="AP6" s="87"/>
      <c r="AQ6" s="87"/>
      <c r="AR6" s="87"/>
      <c r="AS6" s="87">
        <f t="shared" si="0"/>
        <v>0.22857142857142856</v>
      </c>
      <c r="AT6" s="87"/>
      <c r="AU6" s="87"/>
      <c r="AV6" s="87"/>
      <c r="AW6" s="87"/>
      <c r="AX6" s="87"/>
      <c r="AY6" s="87"/>
    </row>
    <row r="7" spans="2:51" ht="17.399999999999999" x14ac:dyDescent="0.25">
      <c r="B7" s="16" t="s">
        <v>45</v>
      </c>
      <c r="C7" s="16" t="s">
        <v>48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1"/>
        <v>175</v>
      </c>
      <c r="M7" s="20"/>
      <c r="N7" s="20">
        <v>0</v>
      </c>
      <c r="O7" s="19"/>
      <c r="P7" s="19"/>
      <c r="Q7" s="19"/>
      <c r="R7" s="18"/>
      <c r="S7" s="31">
        <v>37</v>
      </c>
      <c r="T7" s="31">
        <v>26</v>
      </c>
      <c r="U7" s="31">
        <v>300</v>
      </c>
      <c r="V7" s="32">
        <v>7</v>
      </c>
      <c r="W7" s="32">
        <v>0</v>
      </c>
      <c r="X7" s="32">
        <v>40</v>
      </c>
      <c r="Y7" s="75">
        <v>60</v>
      </c>
      <c r="Z7" s="33">
        <v>0</v>
      </c>
      <c r="AA7" s="34">
        <v>25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7">
        <f t="shared" si="2"/>
        <v>0.92500000000000004</v>
      </c>
      <c r="AL7" s="87">
        <f t="shared" si="0"/>
        <v>1.3</v>
      </c>
      <c r="AM7" s="87">
        <f t="shared" si="0"/>
        <v>2.5</v>
      </c>
      <c r="AN7" s="87">
        <f t="shared" si="0"/>
        <v>1</v>
      </c>
      <c r="AO7" s="87">
        <f t="shared" si="0"/>
        <v>0</v>
      </c>
      <c r="AP7" s="87"/>
      <c r="AQ7" s="87"/>
      <c r="AR7" s="87"/>
      <c r="AS7" s="87">
        <f t="shared" si="0"/>
        <v>0.14285714285714285</v>
      </c>
      <c r="AT7" s="87"/>
      <c r="AU7" s="87"/>
      <c r="AV7" s="87"/>
      <c r="AW7" s="87"/>
      <c r="AX7" s="87"/>
      <c r="AY7" s="87"/>
    </row>
    <row r="8" spans="2:51" ht="17.399999999999999" x14ac:dyDescent="0.25">
      <c r="B8" s="16" t="s">
        <v>45</v>
      </c>
      <c r="C8" s="16" t="s">
        <v>49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1"/>
        <v>175</v>
      </c>
      <c r="M8" s="20"/>
      <c r="N8" s="20">
        <v>0</v>
      </c>
      <c r="O8" s="19"/>
      <c r="P8" s="19"/>
      <c r="Q8" s="19"/>
      <c r="R8" s="18"/>
      <c r="S8" s="31">
        <v>27</v>
      </c>
      <c r="T8" s="31">
        <v>15</v>
      </c>
      <c r="U8" s="31">
        <v>60</v>
      </c>
      <c r="V8" s="32">
        <v>2</v>
      </c>
      <c r="W8" s="32">
        <v>0</v>
      </c>
      <c r="X8" s="32">
        <v>0</v>
      </c>
      <c r="Y8" s="75">
        <v>12</v>
      </c>
      <c r="Z8" s="33">
        <v>0</v>
      </c>
      <c r="AA8" s="34">
        <v>24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7">
        <f t="shared" si="2"/>
        <v>0.67500000000000004</v>
      </c>
      <c r="AL8" s="87">
        <f t="shared" si="0"/>
        <v>0.75</v>
      </c>
      <c r="AM8" s="87">
        <f t="shared" si="0"/>
        <v>0.5</v>
      </c>
      <c r="AN8" s="87">
        <f t="shared" si="0"/>
        <v>0.2857142857142857</v>
      </c>
      <c r="AO8" s="87">
        <f t="shared" si="0"/>
        <v>0</v>
      </c>
      <c r="AP8" s="87"/>
      <c r="AQ8" s="87"/>
      <c r="AR8" s="87"/>
      <c r="AS8" s="87">
        <f t="shared" si="0"/>
        <v>0.13714285714285715</v>
      </c>
      <c r="AT8" s="87"/>
      <c r="AU8" s="87"/>
      <c r="AV8" s="87"/>
      <c r="AW8" s="87"/>
      <c r="AX8" s="87"/>
      <c r="AY8" s="87"/>
    </row>
    <row r="9" spans="2:51" ht="17.399999999999999" x14ac:dyDescent="0.25">
      <c r="B9" s="16" t="s">
        <v>45</v>
      </c>
      <c r="C9" s="16" t="s">
        <v>50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1"/>
        <v>175</v>
      </c>
      <c r="M9" s="20"/>
      <c r="N9" s="20">
        <v>0</v>
      </c>
      <c r="O9" s="19"/>
      <c r="P9" s="19"/>
      <c r="Q9" s="19"/>
      <c r="R9" s="18"/>
      <c r="S9" s="31">
        <v>32</v>
      </c>
      <c r="T9" s="31">
        <v>17</v>
      </c>
      <c r="U9" s="31">
        <v>120</v>
      </c>
      <c r="V9" s="32">
        <v>5</v>
      </c>
      <c r="W9" s="32">
        <v>0</v>
      </c>
      <c r="X9" s="32">
        <v>60</v>
      </c>
      <c r="Y9" s="75">
        <v>0</v>
      </c>
      <c r="Z9" s="33">
        <v>0</v>
      </c>
      <c r="AA9" s="34">
        <v>80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/>
      <c r="AK9" s="87">
        <f t="shared" si="2"/>
        <v>0.8</v>
      </c>
      <c r="AL9" s="87">
        <f t="shared" si="0"/>
        <v>0.85</v>
      </c>
      <c r="AM9" s="87">
        <f t="shared" si="0"/>
        <v>1</v>
      </c>
      <c r="AN9" s="87">
        <f t="shared" si="0"/>
        <v>0.7142857142857143</v>
      </c>
      <c r="AO9" s="87">
        <f t="shared" si="0"/>
        <v>0</v>
      </c>
      <c r="AP9" s="87"/>
      <c r="AQ9" s="87"/>
      <c r="AR9" s="87"/>
      <c r="AS9" s="87">
        <f t="shared" si="0"/>
        <v>0.45714285714285713</v>
      </c>
      <c r="AT9" s="87"/>
      <c r="AU9" s="87"/>
      <c r="AV9" s="87"/>
      <c r="AW9" s="87"/>
      <c r="AX9" s="87"/>
      <c r="AY9" s="87"/>
    </row>
    <row r="10" spans="2:51" ht="17.399999999999999" x14ac:dyDescent="0.25">
      <c r="B10" s="16" t="s">
        <v>45</v>
      </c>
      <c r="C10" s="16" t="s">
        <v>51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1"/>
        <v>175</v>
      </c>
      <c r="M10" s="20"/>
      <c r="N10" s="20">
        <v>0</v>
      </c>
      <c r="O10" s="19"/>
      <c r="P10" s="19"/>
      <c r="Q10" s="19"/>
      <c r="R10" s="18"/>
      <c r="S10" s="31">
        <v>35</v>
      </c>
      <c r="T10" s="31">
        <v>20</v>
      </c>
      <c r="U10" s="31">
        <v>145</v>
      </c>
      <c r="V10" s="32">
        <v>3</v>
      </c>
      <c r="W10" s="32">
        <v>0</v>
      </c>
      <c r="X10" s="32">
        <v>31</v>
      </c>
      <c r="Y10" s="75">
        <v>5</v>
      </c>
      <c r="Z10" s="33">
        <v>0</v>
      </c>
      <c r="AA10" s="34">
        <v>41</v>
      </c>
      <c r="AB10" s="34">
        <v>0</v>
      </c>
      <c r="AC10" s="34">
        <v>0</v>
      </c>
      <c r="AD10" s="35">
        <v>0</v>
      </c>
      <c r="AE10" s="34">
        <v>0</v>
      </c>
      <c r="AF10" s="34">
        <v>0</v>
      </c>
      <c r="AG10" s="34">
        <v>0</v>
      </c>
      <c r="AH10" s="21"/>
      <c r="AI10" s="22"/>
      <c r="AK10" s="87">
        <f t="shared" si="2"/>
        <v>0.875</v>
      </c>
      <c r="AL10" s="87">
        <f t="shared" si="0"/>
        <v>1</v>
      </c>
      <c r="AM10" s="87">
        <f t="shared" si="0"/>
        <v>1.2083333333333333</v>
      </c>
      <c r="AN10" s="87">
        <f t="shared" si="0"/>
        <v>0.42857142857142855</v>
      </c>
      <c r="AO10" s="87">
        <f t="shared" si="0"/>
        <v>0</v>
      </c>
      <c r="AP10" s="87"/>
      <c r="AQ10" s="87"/>
      <c r="AR10" s="87"/>
      <c r="AS10" s="87">
        <f t="shared" si="0"/>
        <v>0.23428571428571429</v>
      </c>
      <c r="AT10" s="87"/>
      <c r="AU10" s="87"/>
      <c r="AV10" s="87"/>
      <c r="AW10" s="87"/>
      <c r="AX10" s="87"/>
      <c r="AY10" s="87"/>
    </row>
    <row r="11" spans="2:51" ht="17.399999999999999" x14ac:dyDescent="0.25">
      <c r="B11" s="16" t="s">
        <v>45</v>
      </c>
      <c r="C11" s="16" t="s">
        <v>52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1"/>
        <v>175</v>
      </c>
      <c r="M11" s="20"/>
      <c r="N11" s="20">
        <v>0</v>
      </c>
      <c r="O11" s="19"/>
      <c r="P11" s="19"/>
      <c r="Q11" s="19"/>
      <c r="R11" s="18"/>
      <c r="S11" s="31">
        <v>30</v>
      </c>
      <c r="T11" s="31">
        <v>25</v>
      </c>
      <c r="U11" s="31">
        <v>150</v>
      </c>
      <c r="V11" s="32">
        <v>2</v>
      </c>
      <c r="W11" s="32">
        <v>0</v>
      </c>
      <c r="X11" s="32">
        <v>28</v>
      </c>
      <c r="Y11" s="75">
        <v>10</v>
      </c>
      <c r="Z11" s="33">
        <v>0</v>
      </c>
      <c r="AA11" s="34">
        <v>30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7">
        <f t="shared" si="2"/>
        <v>0.75</v>
      </c>
      <c r="AL11" s="87">
        <f t="shared" si="0"/>
        <v>1.25</v>
      </c>
      <c r="AM11" s="87">
        <f t="shared" si="0"/>
        <v>1.25</v>
      </c>
      <c r="AN11" s="87">
        <f t="shared" si="0"/>
        <v>0.2857142857142857</v>
      </c>
      <c r="AO11" s="87">
        <f t="shared" si="0"/>
        <v>0</v>
      </c>
      <c r="AP11" s="87"/>
      <c r="AQ11" s="87"/>
      <c r="AR11" s="87"/>
      <c r="AS11" s="87">
        <f t="shared" si="0"/>
        <v>0.17142857142857143</v>
      </c>
      <c r="AT11" s="87"/>
      <c r="AU11" s="87"/>
      <c r="AV11" s="87"/>
      <c r="AW11" s="87"/>
      <c r="AX11" s="87"/>
      <c r="AY11" s="87"/>
    </row>
    <row r="12" spans="2:51" ht="17.399999999999999" x14ac:dyDescent="0.25">
      <c r="B12" s="16" t="s">
        <v>45</v>
      </c>
      <c r="C12" s="16" t="s">
        <v>95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1"/>
        <v>175</v>
      </c>
      <c r="M12" s="20"/>
      <c r="N12" s="20">
        <v>0</v>
      </c>
      <c r="O12" s="19"/>
      <c r="P12" s="19"/>
      <c r="Q12" s="19"/>
      <c r="R12" s="18"/>
      <c r="S12" s="31">
        <v>15</v>
      </c>
      <c r="T12" s="31">
        <v>5</v>
      </c>
      <c r="U12" s="31">
        <v>30</v>
      </c>
      <c r="V12" s="32">
        <v>0</v>
      </c>
      <c r="W12" s="32">
        <v>0</v>
      </c>
      <c r="X12" s="32">
        <v>10</v>
      </c>
      <c r="Y12" s="75">
        <v>3</v>
      </c>
      <c r="Z12" s="33">
        <v>0</v>
      </c>
      <c r="AA12" s="34">
        <v>4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/>
      <c r="AK12" s="87">
        <f t="shared" si="2"/>
        <v>0.375</v>
      </c>
      <c r="AL12" s="87">
        <f t="shared" si="0"/>
        <v>0.25</v>
      </c>
      <c r="AM12" s="87">
        <f t="shared" si="0"/>
        <v>0.25</v>
      </c>
      <c r="AN12" s="87">
        <f t="shared" si="0"/>
        <v>0</v>
      </c>
      <c r="AO12" s="87">
        <f t="shared" si="0"/>
        <v>0</v>
      </c>
      <c r="AP12" s="87"/>
      <c r="AQ12" s="87"/>
      <c r="AR12" s="87"/>
      <c r="AS12" s="87">
        <f t="shared" si="0"/>
        <v>2.2857142857142857E-2</v>
      </c>
      <c r="AT12" s="87"/>
      <c r="AU12" s="87"/>
      <c r="AV12" s="87"/>
      <c r="AW12" s="87"/>
      <c r="AX12" s="87"/>
      <c r="AY12" s="87"/>
    </row>
    <row r="13" spans="2:51" ht="17.399999999999999" x14ac:dyDescent="0.25">
      <c r="B13" s="16" t="s">
        <v>45</v>
      </c>
      <c r="C13" s="16" t="s">
        <v>53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1"/>
        <v>175</v>
      </c>
      <c r="M13" s="20"/>
      <c r="N13" s="20">
        <v>0</v>
      </c>
      <c r="O13" s="19"/>
      <c r="P13" s="19"/>
      <c r="Q13" s="19"/>
      <c r="R13" s="18"/>
      <c r="S13" s="31">
        <v>45</v>
      </c>
      <c r="T13" s="31">
        <v>29</v>
      </c>
      <c r="U13" s="31">
        <v>100</v>
      </c>
      <c r="V13" s="32">
        <v>1</v>
      </c>
      <c r="W13" s="32">
        <v>0</v>
      </c>
      <c r="X13" s="32">
        <v>67</v>
      </c>
      <c r="Y13" s="75">
        <v>17</v>
      </c>
      <c r="Z13" s="33">
        <v>0</v>
      </c>
      <c r="AA13" s="34">
        <v>90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7">
        <f t="shared" si="2"/>
        <v>1.125</v>
      </c>
      <c r="AL13" s="87">
        <f t="shared" si="0"/>
        <v>1.45</v>
      </c>
      <c r="AM13" s="87">
        <f t="shared" si="0"/>
        <v>0.83333333333333337</v>
      </c>
      <c r="AN13" s="87">
        <f t="shared" si="0"/>
        <v>0.14285714285714285</v>
      </c>
      <c r="AO13" s="87">
        <f t="shared" si="0"/>
        <v>0</v>
      </c>
      <c r="AP13" s="87"/>
      <c r="AQ13" s="87"/>
      <c r="AR13" s="87"/>
      <c r="AS13" s="87">
        <f t="shared" si="0"/>
        <v>0.51428571428571423</v>
      </c>
      <c r="AT13" s="87"/>
      <c r="AU13" s="87"/>
      <c r="AV13" s="87"/>
      <c r="AW13" s="87"/>
      <c r="AX13" s="87"/>
      <c r="AY13" s="87"/>
    </row>
    <row r="14" spans="2:51" ht="17.399999999999999" x14ac:dyDescent="0.25">
      <c r="B14" s="16" t="s">
        <v>45</v>
      </c>
      <c r="C14" s="16" t="s">
        <v>54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1"/>
        <v>175</v>
      </c>
      <c r="M14" s="20"/>
      <c r="N14" s="20">
        <v>0</v>
      </c>
      <c r="O14" s="19"/>
      <c r="P14" s="19"/>
      <c r="Q14" s="19"/>
      <c r="R14" s="18"/>
      <c r="S14" s="31">
        <v>30</v>
      </c>
      <c r="T14" s="31">
        <v>26</v>
      </c>
      <c r="U14" s="31">
        <v>300</v>
      </c>
      <c r="V14" s="32">
        <v>2</v>
      </c>
      <c r="W14" s="32">
        <v>0</v>
      </c>
      <c r="X14" s="32">
        <v>20</v>
      </c>
      <c r="Y14" s="75">
        <v>20</v>
      </c>
      <c r="Z14" s="33">
        <v>0</v>
      </c>
      <c r="AA14" s="34">
        <v>20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7">
        <f t="shared" si="2"/>
        <v>0.75</v>
      </c>
      <c r="AL14" s="87">
        <f t="shared" si="0"/>
        <v>1.3</v>
      </c>
      <c r="AM14" s="87">
        <f t="shared" si="0"/>
        <v>2.5</v>
      </c>
      <c r="AN14" s="87">
        <f t="shared" si="0"/>
        <v>0.2857142857142857</v>
      </c>
      <c r="AO14" s="87">
        <f t="shared" si="0"/>
        <v>0</v>
      </c>
      <c r="AP14" s="87"/>
      <c r="AQ14" s="87"/>
      <c r="AR14" s="87"/>
      <c r="AS14" s="87">
        <f t="shared" si="0"/>
        <v>0.11428571428571428</v>
      </c>
      <c r="AT14" s="87"/>
      <c r="AU14" s="87"/>
      <c r="AV14" s="87"/>
      <c r="AW14" s="87"/>
      <c r="AX14" s="87"/>
      <c r="AY14" s="87"/>
    </row>
    <row r="15" spans="2:51" ht="17.399999999999999" x14ac:dyDescent="0.25">
      <c r="B15" s="16" t="s">
        <v>45</v>
      </c>
      <c r="C15" s="16" t="s">
        <v>55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1"/>
        <v>175</v>
      </c>
      <c r="M15" s="20"/>
      <c r="N15" s="20">
        <v>0</v>
      </c>
      <c r="O15" s="19"/>
      <c r="P15" s="19"/>
      <c r="Q15" s="19"/>
      <c r="R15" s="18"/>
      <c r="S15" s="31">
        <v>25</v>
      </c>
      <c r="T15" s="31">
        <v>14</v>
      </c>
      <c r="U15" s="31">
        <v>23</v>
      </c>
      <c r="V15" s="32">
        <v>2</v>
      </c>
      <c r="W15" s="32">
        <v>0</v>
      </c>
      <c r="X15" s="32">
        <v>19</v>
      </c>
      <c r="Y15" s="75">
        <v>14</v>
      </c>
      <c r="Z15" s="33">
        <v>0</v>
      </c>
      <c r="AA15" s="34">
        <v>50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7">
        <f t="shared" si="2"/>
        <v>0.625</v>
      </c>
      <c r="AL15" s="87">
        <f t="shared" si="0"/>
        <v>0.7</v>
      </c>
      <c r="AM15" s="87">
        <f t="shared" si="0"/>
        <v>0.19166666666666668</v>
      </c>
      <c r="AN15" s="87">
        <f t="shared" si="0"/>
        <v>0.2857142857142857</v>
      </c>
      <c r="AO15" s="87">
        <f t="shared" si="0"/>
        <v>0</v>
      </c>
      <c r="AP15" s="87"/>
      <c r="AQ15" s="87"/>
      <c r="AR15" s="87"/>
      <c r="AS15" s="87">
        <f t="shared" si="0"/>
        <v>0.2857142857142857</v>
      </c>
      <c r="AT15" s="87"/>
      <c r="AU15" s="87"/>
      <c r="AV15" s="87"/>
      <c r="AW15" s="87"/>
      <c r="AX15" s="87"/>
      <c r="AY15" s="87"/>
    </row>
    <row r="16" spans="2:51" ht="17.399999999999999" x14ac:dyDescent="0.25">
      <c r="B16" s="16" t="s">
        <v>45</v>
      </c>
      <c r="C16" s="16" t="s">
        <v>56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1"/>
        <v>175</v>
      </c>
      <c r="M16" s="20"/>
      <c r="N16" s="20">
        <v>0</v>
      </c>
      <c r="O16" s="19"/>
      <c r="P16" s="19"/>
      <c r="Q16" s="19"/>
      <c r="R16" s="18"/>
      <c r="S16" s="31">
        <v>45</v>
      </c>
      <c r="T16" s="31">
        <v>29</v>
      </c>
      <c r="U16" s="31">
        <v>290</v>
      </c>
      <c r="V16" s="32">
        <v>6</v>
      </c>
      <c r="W16" s="32">
        <v>0</v>
      </c>
      <c r="X16" s="32">
        <v>20</v>
      </c>
      <c r="Y16" s="75">
        <v>14</v>
      </c>
      <c r="Z16" s="33">
        <v>0</v>
      </c>
      <c r="AA16" s="34">
        <v>58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/>
      <c r="AI16" s="22"/>
      <c r="AK16" s="87">
        <f t="shared" si="2"/>
        <v>1.125</v>
      </c>
      <c r="AL16" s="87">
        <f t="shared" si="0"/>
        <v>1.45</v>
      </c>
      <c r="AM16" s="87">
        <f t="shared" si="0"/>
        <v>2.4166666666666665</v>
      </c>
      <c r="AN16" s="87">
        <f t="shared" si="0"/>
        <v>0.8571428571428571</v>
      </c>
      <c r="AO16" s="87">
        <f t="shared" si="0"/>
        <v>0</v>
      </c>
      <c r="AP16" s="87"/>
      <c r="AQ16" s="87"/>
      <c r="AR16" s="87"/>
      <c r="AS16" s="87">
        <f t="shared" si="0"/>
        <v>0.33142857142857141</v>
      </c>
      <c r="AT16" s="87"/>
      <c r="AU16" s="87"/>
      <c r="AV16" s="87"/>
      <c r="AW16" s="87"/>
      <c r="AX16" s="87"/>
      <c r="AY16" s="87"/>
    </row>
    <row r="17" spans="2:51" ht="17.399999999999999" x14ac:dyDescent="0.25">
      <c r="B17" s="16" t="s">
        <v>45</v>
      </c>
      <c r="C17" s="16" t="s">
        <v>57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1"/>
        <v>175</v>
      </c>
      <c r="M17" s="20"/>
      <c r="N17" s="20">
        <v>0</v>
      </c>
      <c r="O17" s="19"/>
      <c r="P17" s="19"/>
      <c r="Q17" s="19"/>
      <c r="R17" s="18"/>
      <c r="S17" s="31">
        <v>30</v>
      </c>
      <c r="T17" s="31">
        <v>16</v>
      </c>
      <c r="U17" s="31">
        <v>20</v>
      </c>
      <c r="V17" s="32">
        <v>4</v>
      </c>
      <c r="W17" s="32">
        <v>0</v>
      </c>
      <c r="X17" s="32">
        <v>4</v>
      </c>
      <c r="Y17" s="75">
        <v>2</v>
      </c>
      <c r="Z17" s="33">
        <v>0</v>
      </c>
      <c r="AA17" s="34">
        <v>25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/>
      <c r="AK17" s="87">
        <f t="shared" si="2"/>
        <v>0.75</v>
      </c>
      <c r="AL17" s="87">
        <f t="shared" si="0"/>
        <v>0.8</v>
      </c>
      <c r="AM17" s="87">
        <f t="shared" si="0"/>
        <v>0.16666666666666666</v>
      </c>
      <c r="AN17" s="87">
        <f t="shared" si="0"/>
        <v>0.5714285714285714</v>
      </c>
      <c r="AO17" s="87">
        <f t="shared" si="0"/>
        <v>0</v>
      </c>
      <c r="AP17" s="87"/>
      <c r="AQ17" s="87"/>
      <c r="AR17" s="87"/>
      <c r="AS17" s="87">
        <f t="shared" si="0"/>
        <v>0.14285714285714285</v>
      </c>
      <c r="AT17" s="87"/>
      <c r="AU17" s="87"/>
      <c r="AV17" s="87"/>
      <c r="AW17" s="87"/>
      <c r="AX17" s="87"/>
      <c r="AY17" s="87"/>
    </row>
    <row r="18" spans="2:51" ht="17.399999999999999" x14ac:dyDescent="0.25">
      <c r="B18" s="16" t="s">
        <v>45</v>
      </c>
      <c r="C18" s="16" t="s">
        <v>58</v>
      </c>
      <c r="D18" s="17">
        <v>40</v>
      </c>
      <c r="E18" s="18">
        <v>20</v>
      </c>
      <c r="F18" s="17">
        <v>120</v>
      </c>
      <c r="G18" s="19">
        <v>7</v>
      </c>
      <c r="H18" s="19">
        <v>4</v>
      </c>
      <c r="I18" s="19">
        <v>0</v>
      </c>
      <c r="J18" s="18">
        <v>0</v>
      </c>
      <c r="K18" s="20">
        <v>0</v>
      </c>
      <c r="L18" s="20">
        <f t="shared" si="1"/>
        <v>175</v>
      </c>
      <c r="M18" s="20"/>
      <c r="N18" s="20">
        <v>0</v>
      </c>
      <c r="O18" s="19"/>
      <c r="P18" s="19"/>
      <c r="Q18" s="19"/>
      <c r="R18" s="18"/>
      <c r="S18" s="31">
        <v>35</v>
      </c>
      <c r="T18" s="31">
        <v>10</v>
      </c>
      <c r="U18" s="31">
        <v>121</v>
      </c>
      <c r="V18" s="32">
        <v>4</v>
      </c>
      <c r="W18" s="32">
        <v>0</v>
      </c>
      <c r="X18" s="32">
        <v>0</v>
      </c>
      <c r="Y18" s="75">
        <v>0</v>
      </c>
      <c r="Z18" s="33">
        <v>0</v>
      </c>
      <c r="AA18" s="34">
        <v>32</v>
      </c>
      <c r="AB18" s="34">
        <v>0</v>
      </c>
      <c r="AC18" s="34">
        <v>0</v>
      </c>
      <c r="AD18" s="35">
        <v>0</v>
      </c>
      <c r="AE18" s="34">
        <v>0</v>
      </c>
      <c r="AF18" s="34">
        <v>0</v>
      </c>
      <c r="AG18" s="34">
        <v>0</v>
      </c>
      <c r="AH18" s="21"/>
      <c r="AI18" s="22"/>
      <c r="AK18" s="87">
        <f t="shared" si="2"/>
        <v>0.875</v>
      </c>
      <c r="AL18" s="87">
        <f t="shared" si="0"/>
        <v>0.5</v>
      </c>
      <c r="AM18" s="87">
        <f t="shared" si="0"/>
        <v>1.0083333333333333</v>
      </c>
      <c r="AN18" s="87">
        <f t="shared" si="0"/>
        <v>0.5714285714285714</v>
      </c>
      <c r="AO18" s="87">
        <f t="shared" si="0"/>
        <v>0</v>
      </c>
      <c r="AP18" s="87"/>
      <c r="AQ18" s="87"/>
      <c r="AR18" s="87"/>
      <c r="AS18" s="87">
        <f t="shared" si="0"/>
        <v>0.18285714285714286</v>
      </c>
      <c r="AT18" s="87"/>
      <c r="AU18" s="87"/>
      <c r="AV18" s="87"/>
      <c r="AW18" s="87"/>
      <c r="AX18" s="87"/>
      <c r="AY18" s="87"/>
    </row>
    <row r="19" spans="2:51" ht="17.399999999999999" x14ac:dyDescent="0.25">
      <c r="B19" s="16" t="s">
        <v>45</v>
      </c>
      <c r="C19" s="16" t="s">
        <v>59</v>
      </c>
      <c r="D19" s="17">
        <v>40</v>
      </c>
      <c r="E19" s="18">
        <v>20</v>
      </c>
      <c r="F19" s="17">
        <v>120</v>
      </c>
      <c r="G19" s="19">
        <v>7</v>
      </c>
      <c r="H19" s="19">
        <v>4</v>
      </c>
      <c r="I19" s="19">
        <v>0</v>
      </c>
      <c r="J19" s="18">
        <v>0</v>
      </c>
      <c r="K19" s="20">
        <v>0</v>
      </c>
      <c r="L19" s="20">
        <f t="shared" si="1"/>
        <v>175</v>
      </c>
      <c r="M19" s="20"/>
      <c r="N19" s="20">
        <v>0</v>
      </c>
      <c r="O19" s="19"/>
      <c r="P19" s="19"/>
      <c r="Q19" s="19"/>
      <c r="R19" s="18"/>
      <c r="S19" s="31">
        <v>20</v>
      </c>
      <c r="T19" s="31">
        <v>18</v>
      </c>
      <c r="U19" s="31">
        <v>50</v>
      </c>
      <c r="V19" s="32">
        <v>1</v>
      </c>
      <c r="W19" s="32">
        <v>0</v>
      </c>
      <c r="X19" s="32">
        <v>12</v>
      </c>
      <c r="Y19" s="75">
        <v>0</v>
      </c>
      <c r="Z19" s="33">
        <v>0</v>
      </c>
      <c r="AA19" s="34">
        <v>20</v>
      </c>
      <c r="AB19" s="34">
        <v>0</v>
      </c>
      <c r="AC19" s="34">
        <v>0</v>
      </c>
      <c r="AD19" s="35">
        <v>0</v>
      </c>
      <c r="AE19" s="34">
        <v>0</v>
      </c>
      <c r="AF19" s="34">
        <v>0</v>
      </c>
      <c r="AG19" s="34">
        <v>0</v>
      </c>
      <c r="AH19" s="21"/>
      <c r="AI19" s="22"/>
      <c r="AK19" s="87">
        <f t="shared" si="2"/>
        <v>0.5</v>
      </c>
      <c r="AL19" s="87">
        <f t="shared" si="0"/>
        <v>0.9</v>
      </c>
      <c r="AM19" s="87">
        <f t="shared" si="0"/>
        <v>0.41666666666666669</v>
      </c>
      <c r="AN19" s="87">
        <f t="shared" si="0"/>
        <v>0.14285714285714285</v>
      </c>
      <c r="AO19" s="87">
        <f t="shared" si="0"/>
        <v>0</v>
      </c>
      <c r="AP19" s="87"/>
      <c r="AQ19" s="87"/>
      <c r="AR19" s="87"/>
      <c r="AS19" s="87">
        <f t="shared" si="0"/>
        <v>0.11428571428571428</v>
      </c>
      <c r="AT19" s="87"/>
      <c r="AU19" s="87"/>
      <c r="AV19" s="87"/>
      <c r="AW19" s="87"/>
      <c r="AX19" s="87"/>
      <c r="AY19" s="87"/>
    </row>
    <row r="20" spans="2:51" ht="17.399999999999999" x14ac:dyDescent="0.25">
      <c r="B20" s="16" t="s">
        <v>45</v>
      </c>
      <c r="C20" s="16" t="s">
        <v>60</v>
      </c>
      <c r="D20" s="17">
        <v>40</v>
      </c>
      <c r="E20" s="18">
        <v>20</v>
      </c>
      <c r="F20" s="17">
        <v>120</v>
      </c>
      <c r="G20" s="19">
        <v>7</v>
      </c>
      <c r="H20" s="19">
        <v>4</v>
      </c>
      <c r="I20" s="19">
        <v>0</v>
      </c>
      <c r="J20" s="18">
        <v>0</v>
      </c>
      <c r="K20" s="20">
        <v>0</v>
      </c>
      <c r="L20" s="20">
        <f t="shared" si="1"/>
        <v>175</v>
      </c>
      <c r="M20" s="20"/>
      <c r="N20" s="20">
        <v>0</v>
      </c>
      <c r="O20" s="19"/>
      <c r="P20" s="19"/>
      <c r="Q20" s="19"/>
      <c r="R20" s="18"/>
      <c r="S20" s="31">
        <v>48</v>
      </c>
      <c r="T20" s="31">
        <v>36</v>
      </c>
      <c r="U20" s="31">
        <v>85</v>
      </c>
      <c r="V20" s="32">
        <v>5</v>
      </c>
      <c r="W20" s="32">
        <v>0</v>
      </c>
      <c r="X20" s="32">
        <v>0</v>
      </c>
      <c r="Y20" s="75">
        <v>0</v>
      </c>
      <c r="Z20" s="33">
        <v>0</v>
      </c>
      <c r="AA20" s="34">
        <v>0</v>
      </c>
      <c r="AB20" s="34">
        <v>0</v>
      </c>
      <c r="AC20" s="34">
        <v>0</v>
      </c>
      <c r="AD20" s="35">
        <v>0</v>
      </c>
      <c r="AE20" s="34">
        <v>0</v>
      </c>
      <c r="AF20" s="34">
        <v>0</v>
      </c>
      <c r="AG20" s="34">
        <v>0</v>
      </c>
      <c r="AH20" s="21"/>
      <c r="AI20" s="22"/>
      <c r="AK20" s="87">
        <f t="shared" si="2"/>
        <v>1.2</v>
      </c>
      <c r="AL20" s="87">
        <f t="shared" si="0"/>
        <v>1.8</v>
      </c>
      <c r="AM20" s="87">
        <f t="shared" si="0"/>
        <v>0.70833333333333337</v>
      </c>
      <c r="AN20" s="87">
        <f t="shared" si="0"/>
        <v>0.7142857142857143</v>
      </c>
      <c r="AO20" s="87">
        <f t="shared" si="0"/>
        <v>0</v>
      </c>
      <c r="AP20" s="87"/>
      <c r="AQ20" s="87"/>
      <c r="AR20" s="87"/>
      <c r="AS20" s="87">
        <f t="shared" si="0"/>
        <v>0</v>
      </c>
      <c r="AT20" s="87"/>
      <c r="AU20" s="87"/>
      <c r="AV20" s="87"/>
      <c r="AW20" s="87"/>
      <c r="AX20" s="87"/>
      <c r="AY20" s="87"/>
    </row>
    <row r="21" spans="2:51" ht="17.399999999999999" x14ac:dyDescent="0.25">
      <c r="B21" s="16" t="s">
        <v>45</v>
      </c>
      <c r="C21" s="16" t="s">
        <v>61</v>
      </c>
      <c r="D21" s="17">
        <v>40</v>
      </c>
      <c r="E21" s="18">
        <v>20</v>
      </c>
      <c r="F21" s="17">
        <v>120</v>
      </c>
      <c r="G21" s="19">
        <v>7</v>
      </c>
      <c r="H21" s="19">
        <v>4</v>
      </c>
      <c r="I21" s="19">
        <v>0</v>
      </c>
      <c r="J21" s="18">
        <v>0</v>
      </c>
      <c r="K21" s="20">
        <v>0</v>
      </c>
      <c r="L21" s="20">
        <f t="shared" si="1"/>
        <v>175</v>
      </c>
      <c r="M21" s="20"/>
      <c r="N21" s="20">
        <v>0</v>
      </c>
      <c r="O21" s="19"/>
      <c r="P21" s="19"/>
      <c r="Q21" s="19"/>
      <c r="R21" s="18"/>
      <c r="S21" s="31">
        <v>10</v>
      </c>
      <c r="T21" s="31">
        <v>4</v>
      </c>
      <c r="U21" s="31">
        <v>100</v>
      </c>
      <c r="V21" s="32">
        <v>4</v>
      </c>
      <c r="W21" s="32">
        <v>0</v>
      </c>
      <c r="X21" s="32">
        <v>40</v>
      </c>
      <c r="Y21" s="75">
        <v>8</v>
      </c>
      <c r="Z21" s="33">
        <v>0</v>
      </c>
      <c r="AA21" s="34">
        <v>10</v>
      </c>
      <c r="AB21" s="34">
        <v>0</v>
      </c>
      <c r="AC21" s="34">
        <v>0</v>
      </c>
      <c r="AD21" s="35">
        <v>0</v>
      </c>
      <c r="AE21" s="34">
        <v>0</v>
      </c>
      <c r="AF21" s="34">
        <v>0</v>
      </c>
      <c r="AG21" s="34">
        <v>0</v>
      </c>
      <c r="AH21" s="21"/>
      <c r="AI21" s="22"/>
      <c r="AK21" s="87">
        <f t="shared" si="2"/>
        <v>0.25</v>
      </c>
      <c r="AL21" s="87">
        <f t="shared" si="2"/>
        <v>0.2</v>
      </c>
      <c r="AM21" s="87">
        <f t="shared" si="2"/>
        <v>0.83333333333333337</v>
      </c>
      <c r="AN21" s="87">
        <f t="shared" si="2"/>
        <v>0.5714285714285714</v>
      </c>
      <c r="AO21" s="87">
        <f t="shared" si="2"/>
        <v>0</v>
      </c>
      <c r="AP21" s="87"/>
      <c r="AQ21" s="87"/>
      <c r="AR21" s="87"/>
      <c r="AS21" s="87">
        <f t="shared" ref="AS21:AS55" si="3">AA21/L21</f>
        <v>5.7142857142857141E-2</v>
      </c>
      <c r="AT21" s="87"/>
      <c r="AU21" s="87"/>
      <c r="AV21" s="87"/>
      <c r="AW21" s="87"/>
      <c r="AX21" s="87"/>
      <c r="AY21" s="87"/>
    </row>
    <row r="22" spans="2:51" ht="17.399999999999999" x14ac:dyDescent="0.25">
      <c r="B22" s="16" t="s">
        <v>45</v>
      </c>
      <c r="C22" s="16" t="s">
        <v>62</v>
      </c>
      <c r="D22" s="17">
        <v>40</v>
      </c>
      <c r="E22" s="18">
        <v>20</v>
      </c>
      <c r="F22" s="17">
        <v>120</v>
      </c>
      <c r="G22" s="19">
        <v>7</v>
      </c>
      <c r="H22" s="19">
        <v>4</v>
      </c>
      <c r="I22" s="19">
        <v>0</v>
      </c>
      <c r="J22" s="18">
        <v>0</v>
      </c>
      <c r="K22" s="20">
        <v>0</v>
      </c>
      <c r="L22" s="20">
        <f t="shared" si="1"/>
        <v>175</v>
      </c>
      <c r="M22" s="20"/>
      <c r="N22" s="20">
        <v>0</v>
      </c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5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7">
        <f t="shared" si="2"/>
        <v>0</v>
      </c>
      <c r="AL22" s="87">
        <f t="shared" si="2"/>
        <v>0</v>
      </c>
      <c r="AM22" s="87">
        <f t="shared" si="2"/>
        <v>0</v>
      </c>
      <c r="AN22" s="87">
        <f t="shared" si="2"/>
        <v>0</v>
      </c>
      <c r="AO22" s="87">
        <f t="shared" si="2"/>
        <v>0</v>
      </c>
      <c r="AP22" s="87"/>
      <c r="AQ22" s="87"/>
      <c r="AR22" s="87"/>
      <c r="AS22" s="87">
        <f t="shared" si="3"/>
        <v>0</v>
      </c>
      <c r="AT22" s="87"/>
      <c r="AU22" s="87"/>
      <c r="AV22" s="87"/>
      <c r="AW22" s="87"/>
      <c r="AX22" s="87"/>
      <c r="AY22" s="87"/>
    </row>
    <row r="23" spans="2:51" ht="17.399999999999999" x14ac:dyDescent="0.25">
      <c r="B23" s="16" t="s">
        <v>45</v>
      </c>
      <c r="C23" s="16" t="s">
        <v>63</v>
      </c>
      <c r="D23" s="17">
        <v>40</v>
      </c>
      <c r="E23" s="18">
        <v>20</v>
      </c>
      <c r="F23" s="17">
        <v>120</v>
      </c>
      <c r="G23" s="19">
        <v>7</v>
      </c>
      <c r="H23" s="19">
        <v>4</v>
      </c>
      <c r="I23" s="19">
        <v>0</v>
      </c>
      <c r="J23" s="18">
        <v>0</v>
      </c>
      <c r="K23" s="20">
        <v>0</v>
      </c>
      <c r="L23" s="20">
        <f t="shared" si="1"/>
        <v>175</v>
      </c>
      <c r="M23" s="20"/>
      <c r="N23" s="20">
        <v>0</v>
      </c>
      <c r="O23" s="19"/>
      <c r="P23" s="19"/>
      <c r="Q23" s="19"/>
      <c r="R23" s="18"/>
      <c r="S23" s="31">
        <v>20</v>
      </c>
      <c r="T23" s="31">
        <v>15</v>
      </c>
      <c r="U23" s="31">
        <v>100</v>
      </c>
      <c r="V23" s="32">
        <v>1</v>
      </c>
      <c r="W23" s="32">
        <v>0</v>
      </c>
      <c r="X23" s="32">
        <v>10</v>
      </c>
      <c r="Y23" s="75">
        <v>2</v>
      </c>
      <c r="Z23" s="33">
        <v>0</v>
      </c>
      <c r="AA23" s="34">
        <v>30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21"/>
      <c r="AI23" s="22"/>
      <c r="AK23" s="87">
        <f t="shared" si="2"/>
        <v>0.5</v>
      </c>
      <c r="AL23" s="87">
        <f t="shared" si="2"/>
        <v>0.75</v>
      </c>
      <c r="AM23" s="87">
        <f t="shared" si="2"/>
        <v>0.83333333333333337</v>
      </c>
      <c r="AN23" s="87">
        <f t="shared" si="2"/>
        <v>0.14285714285714285</v>
      </c>
      <c r="AO23" s="87">
        <f t="shared" si="2"/>
        <v>0</v>
      </c>
      <c r="AP23" s="87"/>
      <c r="AQ23" s="87"/>
      <c r="AR23" s="87"/>
      <c r="AS23" s="87">
        <f t="shared" si="3"/>
        <v>0.17142857142857143</v>
      </c>
      <c r="AT23" s="87"/>
      <c r="AU23" s="87"/>
      <c r="AV23" s="87"/>
      <c r="AW23" s="87"/>
      <c r="AX23" s="87"/>
      <c r="AY23" s="87"/>
    </row>
    <row r="24" spans="2:51" ht="17.399999999999999" x14ac:dyDescent="0.25">
      <c r="B24" s="16" t="s">
        <v>45</v>
      </c>
      <c r="C24" s="16" t="s">
        <v>64</v>
      </c>
      <c r="D24" s="17">
        <v>40</v>
      </c>
      <c r="E24" s="18">
        <v>20</v>
      </c>
      <c r="F24" s="17">
        <v>120</v>
      </c>
      <c r="G24" s="19">
        <v>7</v>
      </c>
      <c r="H24" s="19">
        <v>4</v>
      </c>
      <c r="I24" s="19">
        <v>0</v>
      </c>
      <c r="J24" s="18">
        <v>0</v>
      </c>
      <c r="K24" s="20">
        <v>0</v>
      </c>
      <c r="L24" s="20">
        <f t="shared" si="1"/>
        <v>175</v>
      </c>
      <c r="M24" s="20"/>
      <c r="N24" s="20">
        <v>0</v>
      </c>
      <c r="O24" s="19"/>
      <c r="P24" s="19"/>
      <c r="Q24" s="19"/>
      <c r="R24" s="18"/>
      <c r="S24" s="31">
        <v>42</v>
      </c>
      <c r="T24" s="31">
        <v>28</v>
      </c>
      <c r="U24" s="31">
        <v>57</v>
      </c>
      <c r="V24" s="32">
        <v>1</v>
      </c>
      <c r="W24" s="32">
        <v>0</v>
      </c>
      <c r="X24" s="32">
        <v>18</v>
      </c>
      <c r="Y24" s="75">
        <v>16</v>
      </c>
      <c r="Z24" s="33">
        <v>0</v>
      </c>
      <c r="AA24" s="34">
        <v>30</v>
      </c>
      <c r="AB24" s="34">
        <v>0</v>
      </c>
      <c r="AC24" s="34">
        <v>0</v>
      </c>
      <c r="AD24" s="35">
        <v>0</v>
      </c>
      <c r="AE24" s="34">
        <v>0</v>
      </c>
      <c r="AF24" s="34">
        <v>0</v>
      </c>
      <c r="AG24" s="34">
        <v>0</v>
      </c>
      <c r="AH24" s="21"/>
      <c r="AI24" s="22"/>
      <c r="AK24" s="87">
        <f t="shared" si="2"/>
        <v>1.05</v>
      </c>
      <c r="AL24" s="87">
        <f t="shared" si="2"/>
        <v>1.4</v>
      </c>
      <c r="AM24" s="87">
        <f t="shared" si="2"/>
        <v>0.47499999999999998</v>
      </c>
      <c r="AN24" s="87">
        <f t="shared" si="2"/>
        <v>0.14285714285714285</v>
      </c>
      <c r="AO24" s="87">
        <f t="shared" si="2"/>
        <v>0</v>
      </c>
      <c r="AP24" s="87"/>
      <c r="AQ24" s="87"/>
      <c r="AR24" s="87"/>
      <c r="AS24" s="87">
        <f t="shared" si="3"/>
        <v>0.17142857142857143</v>
      </c>
      <c r="AT24" s="87"/>
      <c r="AU24" s="87"/>
      <c r="AV24" s="87"/>
      <c r="AW24" s="87"/>
      <c r="AX24" s="87"/>
      <c r="AY24" s="87"/>
    </row>
    <row r="25" spans="2:51" ht="17.399999999999999" x14ac:dyDescent="0.25">
      <c r="B25" s="16" t="s">
        <v>45</v>
      </c>
      <c r="C25" s="16" t="s">
        <v>65</v>
      </c>
      <c r="D25" s="17">
        <v>40</v>
      </c>
      <c r="E25" s="18">
        <v>20</v>
      </c>
      <c r="F25" s="17">
        <v>120</v>
      </c>
      <c r="G25" s="19">
        <v>7</v>
      </c>
      <c r="H25" s="19">
        <v>4</v>
      </c>
      <c r="I25" s="19">
        <v>0</v>
      </c>
      <c r="J25" s="18">
        <v>0</v>
      </c>
      <c r="K25" s="20">
        <v>0</v>
      </c>
      <c r="L25" s="20">
        <f t="shared" si="1"/>
        <v>175</v>
      </c>
      <c r="M25" s="20"/>
      <c r="N25" s="20">
        <v>0</v>
      </c>
      <c r="O25" s="19"/>
      <c r="P25" s="19"/>
      <c r="Q25" s="19"/>
      <c r="R25" s="18"/>
      <c r="S25" s="31">
        <v>59</v>
      </c>
      <c r="T25" s="31">
        <v>35</v>
      </c>
      <c r="U25" s="31">
        <v>90</v>
      </c>
      <c r="V25" s="32">
        <v>3</v>
      </c>
      <c r="W25" s="32">
        <v>0</v>
      </c>
      <c r="X25" s="32">
        <v>60</v>
      </c>
      <c r="Y25" s="75">
        <v>7</v>
      </c>
      <c r="Z25" s="33">
        <v>0</v>
      </c>
      <c r="AA25" s="34">
        <v>60</v>
      </c>
      <c r="AB25" s="34">
        <v>0</v>
      </c>
      <c r="AC25" s="34">
        <v>0</v>
      </c>
      <c r="AD25" s="35">
        <v>0</v>
      </c>
      <c r="AE25" s="34">
        <v>0</v>
      </c>
      <c r="AF25" s="34">
        <v>0</v>
      </c>
      <c r="AG25" s="34">
        <v>0</v>
      </c>
      <c r="AH25" s="21"/>
      <c r="AI25" s="22"/>
      <c r="AK25" s="87">
        <f t="shared" si="2"/>
        <v>1.4750000000000001</v>
      </c>
      <c r="AL25" s="87">
        <f t="shared" si="2"/>
        <v>1.75</v>
      </c>
      <c r="AM25" s="87">
        <f t="shared" si="2"/>
        <v>0.75</v>
      </c>
      <c r="AN25" s="87">
        <f t="shared" si="2"/>
        <v>0.42857142857142855</v>
      </c>
      <c r="AO25" s="87">
        <f t="shared" si="2"/>
        <v>0</v>
      </c>
      <c r="AP25" s="87"/>
      <c r="AQ25" s="87"/>
      <c r="AR25" s="87"/>
      <c r="AS25" s="87">
        <f t="shared" si="3"/>
        <v>0.34285714285714286</v>
      </c>
      <c r="AT25" s="87"/>
      <c r="AU25" s="87"/>
      <c r="AV25" s="87"/>
      <c r="AW25" s="87"/>
      <c r="AX25" s="87"/>
      <c r="AY25" s="87"/>
    </row>
    <row r="26" spans="2:51" ht="17.399999999999999" x14ac:dyDescent="0.25">
      <c r="B26" s="16" t="s">
        <v>45</v>
      </c>
      <c r="C26" s="16" t="s">
        <v>66</v>
      </c>
      <c r="D26" s="17">
        <v>40</v>
      </c>
      <c r="E26" s="18">
        <v>20</v>
      </c>
      <c r="F26" s="17">
        <v>120</v>
      </c>
      <c r="G26" s="19">
        <v>7</v>
      </c>
      <c r="H26" s="19">
        <v>4</v>
      </c>
      <c r="I26" s="19">
        <v>0</v>
      </c>
      <c r="J26" s="18">
        <v>0</v>
      </c>
      <c r="K26" s="20">
        <v>0</v>
      </c>
      <c r="L26" s="20">
        <f t="shared" si="1"/>
        <v>175</v>
      </c>
      <c r="M26" s="20"/>
      <c r="N26" s="20">
        <v>0</v>
      </c>
      <c r="O26" s="19"/>
      <c r="P26" s="19"/>
      <c r="Q26" s="19"/>
      <c r="R26" s="18"/>
      <c r="S26" s="31">
        <v>30</v>
      </c>
      <c r="T26" s="31">
        <v>22</v>
      </c>
      <c r="U26" s="31">
        <v>34</v>
      </c>
      <c r="V26" s="32">
        <v>4</v>
      </c>
      <c r="W26" s="32">
        <v>0</v>
      </c>
      <c r="X26" s="32">
        <v>13</v>
      </c>
      <c r="Y26" s="75">
        <v>5</v>
      </c>
      <c r="Z26" s="33">
        <v>0</v>
      </c>
      <c r="AA26" s="34">
        <v>56</v>
      </c>
      <c r="AB26" s="34">
        <v>0</v>
      </c>
      <c r="AC26" s="34">
        <v>0</v>
      </c>
      <c r="AD26" s="35">
        <v>0</v>
      </c>
      <c r="AE26" s="34">
        <v>0</v>
      </c>
      <c r="AF26" s="34">
        <v>0</v>
      </c>
      <c r="AG26" s="34">
        <v>0</v>
      </c>
      <c r="AH26" s="21"/>
      <c r="AI26" s="22"/>
      <c r="AK26" s="87">
        <f t="shared" si="2"/>
        <v>0.75</v>
      </c>
      <c r="AL26" s="87">
        <f t="shared" si="2"/>
        <v>1.1000000000000001</v>
      </c>
      <c r="AM26" s="87">
        <f t="shared" si="2"/>
        <v>0.28333333333333333</v>
      </c>
      <c r="AN26" s="87">
        <f t="shared" si="2"/>
        <v>0.5714285714285714</v>
      </c>
      <c r="AO26" s="87">
        <f t="shared" si="2"/>
        <v>0</v>
      </c>
      <c r="AP26" s="87"/>
      <c r="AQ26" s="87"/>
      <c r="AR26" s="87"/>
      <c r="AS26" s="87">
        <f t="shared" si="3"/>
        <v>0.32</v>
      </c>
      <c r="AT26" s="87"/>
      <c r="AU26" s="87"/>
      <c r="AV26" s="87"/>
      <c r="AW26" s="87"/>
      <c r="AX26" s="87"/>
      <c r="AY26" s="87"/>
    </row>
    <row r="27" spans="2:51" ht="17.399999999999999" x14ac:dyDescent="0.25">
      <c r="B27" s="16" t="s">
        <v>45</v>
      </c>
      <c r="C27" s="16" t="s">
        <v>67</v>
      </c>
      <c r="D27" s="17">
        <v>40</v>
      </c>
      <c r="E27" s="18">
        <v>20</v>
      </c>
      <c r="F27" s="17">
        <v>120</v>
      </c>
      <c r="G27" s="19">
        <v>7</v>
      </c>
      <c r="H27" s="19">
        <v>4</v>
      </c>
      <c r="I27" s="19">
        <v>0</v>
      </c>
      <c r="J27" s="18">
        <v>0</v>
      </c>
      <c r="K27" s="20">
        <v>0</v>
      </c>
      <c r="L27" s="20">
        <f t="shared" si="1"/>
        <v>175</v>
      </c>
      <c r="M27" s="20"/>
      <c r="N27" s="20">
        <v>0</v>
      </c>
      <c r="O27" s="19"/>
      <c r="P27" s="19"/>
      <c r="Q27" s="19"/>
      <c r="R27" s="18"/>
      <c r="S27" s="31">
        <v>54</v>
      </c>
      <c r="T27" s="31">
        <v>33</v>
      </c>
      <c r="U27" s="31">
        <v>280</v>
      </c>
      <c r="V27" s="32">
        <v>24</v>
      </c>
      <c r="W27" s="32">
        <v>0</v>
      </c>
      <c r="X27" s="32">
        <v>140</v>
      </c>
      <c r="Y27" s="75">
        <v>18</v>
      </c>
      <c r="Z27" s="33">
        <v>0</v>
      </c>
      <c r="AA27" s="34">
        <v>24</v>
      </c>
      <c r="AB27" s="34">
        <v>0</v>
      </c>
      <c r="AC27" s="34">
        <v>0</v>
      </c>
      <c r="AD27" s="35">
        <v>0</v>
      </c>
      <c r="AE27" s="34">
        <v>0</v>
      </c>
      <c r="AF27" s="34">
        <v>0</v>
      </c>
      <c r="AG27" s="34">
        <v>0</v>
      </c>
      <c r="AH27" s="21"/>
      <c r="AI27" s="22"/>
      <c r="AK27" s="87">
        <f t="shared" si="2"/>
        <v>1.35</v>
      </c>
      <c r="AL27" s="87">
        <f t="shared" si="2"/>
        <v>1.65</v>
      </c>
      <c r="AM27" s="87">
        <f t="shared" si="2"/>
        <v>2.3333333333333335</v>
      </c>
      <c r="AN27" s="87">
        <f t="shared" si="2"/>
        <v>3.4285714285714284</v>
      </c>
      <c r="AO27" s="87">
        <f t="shared" si="2"/>
        <v>0</v>
      </c>
      <c r="AP27" s="87"/>
      <c r="AQ27" s="87"/>
      <c r="AR27" s="87"/>
      <c r="AS27" s="87">
        <f t="shared" si="3"/>
        <v>0.13714285714285715</v>
      </c>
      <c r="AT27" s="87"/>
      <c r="AU27" s="87"/>
      <c r="AV27" s="87"/>
      <c r="AW27" s="87"/>
      <c r="AX27" s="87"/>
      <c r="AY27" s="87"/>
    </row>
    <row r="28" spans="2:51" ht="17.399999999999999" x14ac:dyDescent="0.25">
      <c r="B28" s="16" t="s">
        <v>45</v>
      </c>
      <c r="C28" s="16" t="s">
        <v>68</v>
      </c>
      <c r="D28" s="17">
        <v>40</v>
      </c>
      <c r="E28" s="18">
        <v>20</v>
      </c>
      <c r="F28" s="17">
        <v>120</v>
      </c>
      <c r="G28" s="19">
        <v>7</v>
      </c>
      <c r="H28" s="19">
        <v>4</v>
      </c>
      <c r="I28" s="19">
        <v>0</v>
      </c>
      <c r="J28" s="18">
        <v>0</v>
      </c>
      <c r="K28" s="20">
        <v>0</v>
      </c>
      <c r="L28" s="20">
        <f t="shared" si="1"/>
        <v>175</v>
      </c>
      <c r="M28" s="20"/>
      <c r="N28" s="20">
        <v>0</v>
      </c>
      <c r="O28" s="19"/>
      <c r="P28" s="19"/>
      <c r="Q28" s="19"/>
      <c r="R28" s="18"/>
      <c r="S28" s="31">
        <v>40</v>
      </c>
      <c r="T28" s="31">
        <v>15</v>
      </c>
      <c r="U28" s="31">
        <v>100</v>
      </c>
      <c r="V28" s="32">
        <v>6</v>
      </c>
      <c r="W28" s="32">
        <v>0</v>
      </c>
      <c r="X28" s="32">
        <v>0</v>
      </c>
      <c r="Y28" s="75">
        <v>7</v>
      </c>
      <c r="Z28" s="33">
        <v>0</v>
      </c>
      <c r="AA28" s="34">
        <v>40</v>
      </c>
      <c r="AB28" s="34">
        <v>0</v>
      </c>
      <c r="AC28" s="34">
        <v>0</v>
      </c>
      <c r="AD28" s="35">
        <v>0</v>
      </c>
      <c r="AE28" s="34">
        <v>0</v>
      </c>
      <c r="AF28" s="34">
        <v>0</v>
      </c>
      <c r="AG28" s="34">
        <v>0</v>
      </c>
      <c r="AH28" s="21"/>
      <c r="AI28" s="22"/>
      <c r="AK28" s="87">
        <f t="shared" si="2"/>
        <v>1</v>
      </c>
      <c r="AL28" s="87">
        <f t="shared" si="2"/>
        <v>0.75</v>
      </c>
      <c r="AM28" s="87">
        <f t="shared" si="2"/>
        <v>0.83333333333333337</v>
      </c>
      <c r="AN28" s="87">
        <f t="shared" si="2"/>
        <v>0.8571428571428571</v>
      </c>
      <c r="AO28" s="87">
        <f t="shared" si="2"/>
        <v>0</v>
      </c>
      <c r="AP28" s="87"/>
      <c r="AQ28" s="87"/>
      <c r="AR28" s="87"/>
      <c r="AS28" s="87">
        <f t="shared" si="3"/>
        <v>0.22857142857142856</v>
      </c>
      <c r="AT28" s="87"/>
      <c r="AU28" s="87"/>
      <c r="AV28" s="87"/>
      <c r="AW28" s="87"/>
      <c r="AX28" s="87"/>
      <c r="AY28" s="87"/>
    </row>
    <row r="29" spans="2:51" ht="17.399999999999999" x14ac:dyDescent="0.25">
      <c r="B29" s="16" t="s">
        <v>45</v>
      </c>
      <c r="C29" s="16" t="s">
        <v>69</v>
      </c>
      <c r="D29" s="17">
        <v>40</v>
      </c>
      <c r="E29" s="18">
        <v>20</v>
      </c>
      <c r="F29" s="17">
        <v>120</v>
      </c>
      <c r="G29" s="19">
        <v>7</v>
      </c>
      <c r="H29" s="19">
        <v>4</v>
      </c>
      <c r="I29" s="19">
        <v>0</v>
      </c>
      <c r="J29" s="18">
        <v>0</v>
      </c>
      <c r="K29" s="20">
        <v>0</v>
      </c>
      <c r="L29" s="20">
        <f t="shared" si="1"/>
        <v>175</v>
      </c>
      <c r="M29" s="20"/>
      <c r="N29" s="20">
        <v>0</v>
      </c>
      <c r="O29" s="19"/>
      <c r="P29" s="19"/>
      <c r="Q29" s="19"/>
      <c r="R29" s="18"/>
      <c r="S29" s="31">
        <v>17</v>
      </c>
      <c r="T29" s="31">
        <v>5</v>
      </c>
      <c r="U29" s="31">
        <v>2</v>
      </c>
      <c r="V29" s="32">
        <v>0</v>
      </c>
      <c r="W29" s="32">
        <v>0</v>
      </c>
      <c r="X29" s="32">
        <v>20</v>
      </c>
      <c r="Y29" s="75">
        <v>0</v>
      </c>
      <c r="Z29" s="33">
        <v>0</v>
      </c>
      <c r="AA29" s="34">
        <v>0</v>
      </c>
      <c r="AB29" s="34">
        <v>0</v>
      </c>
      <c r="AC29" s="34">
        <v>0</v>
      </c>
      <c r="AD29" s="35">
        <v>0</v>
      </c>
      <c r="AE29" s="34">
        <v>0</v>
      </c>
      <c r="AF29" s="34">
        <v>0</v>
      </c>
      <c r="AG29" s="34">
        <v>0</v>
      </c>
      <c r="AH29" s="21"/>
      <c r="AI29" s="22"/>
      <c r="AK29" s="87">
        <f t="shared" si="2"/>
        <v>0.42499999999999999</v>
      </c>
      <c r="AL29" s="87">
        <f t="shared" si="2"/>
        <v>0.25</v>
      </c>
      <c r="AM29" s="87">
        <f t="shared" si="2"/>
        <v>1.6666666666666666E-2</v>
      </c>
      <c r="AN29" s="87">
        <f t="shared" si="2"/>
        <v>0</v>
      </c>
      <c r="AO29" s="87">
        <f t="shared" si="2"/>
        <v>0</v>
      </c>
      <c r="AP29" s="87"/>
      <c r="AQ29" s="87"/>
      <c r="AR29" s="87"/>
      <c r="AS29" s="87">
        <f t="shared" si="3"/>
        <v>0</v>
      </c>
      <c r="AT29" s="87"/>
      <c r="AU29" s="87"/>
      <c r="AV29" s="87"/>
      <c r="AW29" s="87"/>
      <c r="AX29" s="87"/>
      <c r="AY29" s="87"/>
    </row>
    <row r="30" spans="2:51" ht="17.399999999999999" x14ac:dyDescent="0.25">
      <c r="B30" s="16" t="s">
        <v>45</v>
      </c>
      <c r="C30" s="16" t="s">
        <v>70</v>
      </c>
      <c r="D30" s="17">
        <v>40</v>
      </c>
      <c r="E30" s="18">
        <v>20</v>
      </c>
      <c r="F30" s="17">
        <v>120</v>
      </c>
      <c r="G30" s="19">
        <v>7</v>
      </c>
      <c r="H30" s="19">
        <v>4</v>
      </c>
      <c r="I30" s="19">
        <v>0</v>
      </c>
      <c r="J30" s="18">
        <v>0</v>
      </c>
      <c r="K30" s="20">
        <v>0</v>
      </c>
      <c r="L30" s="20">
        <f t="shared" si="1"/>
        <v>175</v>
      </c>
      <c r="M30" s="20"/>
      <c r="N30" s="20">
        <v>0</v>
      </c>
      <c r="O30" s="19"/>
      <c r="P30" s="19"/>
      <c r="Q30" s="19"/>
      <c r="R30" s="18"/>
      <c r="S30" s="31"/>
      <c r="T30" s="31"/>
      <c r="U30" s="31"/>
      <c r="V30" s="32"/>
      <c r="W30" s="32"/>
      <c r="X30" s="32"/>
      <c r="Y30" s="75"/>
      <c r="Z30" s="33"/>
      <c r="AA30" s="34"/>
      <c r="AB30" s="34"/>
      <c r="AC30" s="34"/>
      <c r="AD30" s="35"/>
      <c r="AE30" s="34"/>
      <c r="AF30" s="34"/>
      <c r="AG30" s="34"/>
      <c r="AH30" s="21"/>
      <c r="AI30" s="22"/>
      <c r="AK30" s="87">
        <f t="shared" si="2"/>
        <v>0</v>
      </c>
      <c r="AL30" s="87">
        <f t="shared" si="2"/>
        <v>0</v>
      </c>
      <c r="AM30" s="87">
        <f t="shared" si="2"/>
        <v>0</v>
      </c>
      <c r="AN30" s="87">
        <f t="shared" si="2"/>
        <v>0</v>
      </c>
      <c r="AO30" s="87">
        <f t="shared" si="2"/>
        <v>0</v>
      </c>
      <c r="AP30" s="87"/>
      <c r="AQ30" s="87"/>
      <c r="AR30" s="87"/>
      <c r="AS30" s="87">
        <f t="shared" si="3"/>
        <v>0</v>
      </c>
      <c r="AT30" s="87"/>
      <c r="AU30" s="87"/>
      <c r="AV30" s="87"/>
      <c r="AW30" s="87"/>
      <c r="AX30" s="87"/>
      <c r="AY30" s="87"/>
    </row>
    <row r="31" spans="2:51" ht="17.399999999999999" x14ac:dyDescent="0.25">
      <c r="B31" s="16" t="s">
        <v>45</v>
      </c>
      <c r="C31" s="16" t="s">
        <v>71</v>
      </c>
      <c r="D31" s="17">
        <v>40</v>
      </c>
      <c r="E31" s="18">
        <v>20</v>
      </c>
      <c r="F31" s="17">
        <v>120</v>
      </c>
      <c r="G31" s="19">
        <v>7</v>
      </c>
      <c r="H31" s="19">
        <v>4</v>
      </c>
      <c r="I31" s="19">
        <v>0</v>
      </c>
      <c r="J31" s="18">
        <v>0</v>
      </c>
      <c r="K31" s="20">
        <v>0</v>
      </c>
      <c r="L31" s="20">
        <f t="shared" si="1"/>
        <v>175</v>
      </c>
      <c r="M31" s="20"/>
      <c r="N31" s="20">
        <v>0</v>
      </c>
      <c r="O31" s="19"/>
      <c r="P31" s="19"/>
      <c r="Q31" s="19"/>
      <c r="R31" s="18"/>
      <c r="S31" s="31">
        <v>49</v>
      </c>
      <c r="T31" s="31">
        <v>30</v>
      </c>
      <c r="U31" s="31">
        <v>215</v>
      </c>
      <c r="V31" s="32">
        <v>2</v>
      </c>
      <c r="W31" s="32">
        <v>0</v>
      </c>
      <c r="X31" s="32">
        <v>200</v>
      </c>
      <c r="Y31" s="75">
        <v>1</v>
      </c>
      <c r="Z31" s="33">
        <v>0</v>
      </c>
      <c r="AA31" s="34">
        <v>130</v>
      </c>
      <c r="AB31" s="34">
        <v>0</v>
      </c>
      <c r="AC31" s="34">
        <v>0</v>
      </c>
      <c r="AD31" s="35">
        <v>0</v>
      </c>
      <c r="AE31" s="34">
        <v>0</v>
      </c>
      <c r="AF31" s="34">
        <v>0</v>
      </c>
      <c r="AG31" s="34">
        <v>0</v>
      </c>
      <c r="AH31" s="21"/>
      <c r="AI31" s="22"/>
      <c r="AK31" s="87">
        <f t="shared" si="2"/>
        <v>1.2250000000000001</v>
      </c>
      <c r="AL31" s="87">
        <f t="shared" si="2"/>
        <v>1.5</v>
      </c>
      <c r="AM31" s="87">
        <f t="shared" si="2"/>
        <v>1.7916666666666667</v>
      </c>
      <c r="AN31" s="87">
        <f t="shared" si="2"/>
        <v>0.2857142857142857</v>
      </c>
      <c r="AO31" s="87">
        <f t="shared" si="2"/>
        <v>0</v>
      </c>
      <c r="AP31" s="87"/>
      <c r="AQ31" s="87"/>
      <c r="AR31" s="87"/>
      <c r="AS31" s="87">
        <f t="shared" si="3"/>
        <v>0.74285714285714288</v>
      </c>
      <c r="AT31" s="87"/>
      <c r="AU31" s="87"/>
      <c r="AV31" s="87"/>
      <c r="AW31" s="87"/>
      <c r="AX31" s="87"/>
      <c r="AY31" s="87"/>
    </row>
    <row r="32" spans="2:51" ht="17.399999999999999" x14ac:dyDescent="0.25">
      <c r="B32" s="16" t="s">
        <v>45</v>
      </c>
      <c r="C32" s="16" t="s">
        <v>72</v>
      </c>
      <c r="D32" s="17">
        <v>40</v>
      </c>
      <c r="E32" s="18">
        <v>20</v>
      </c>
      <c r="F32" s="17">
        <v>120</v>
      </c>
      <c r="G32" s="19">
        <v>7</v>
      </c>
      <c r="H32" s="19">
        <v>4</v>
      </c>
      <c r="I32" s="19">
        <v>0</v>
      </c>
      <c r="J32" s="18">
        <v>0</v>
      </c>
      <c r="K32" s="20">
        <v>0</v>
      </c>
      <c r="L32" s="20">
        <f t="shared" si="1"/>
        <v>175</v>
      </c>
      <c r="M32" s="20"/>
      <c r="N32" s="20">
        <v>0</v>
      </c>
      <c r="O32" s="19"/>
      <c r="P32" s="19"/>
      <c r="Q32" s="19"/>
      <c r="R32" s="18"/>
      <c r="S32" s="31">
        <v>20</v>
      </c>
      <c r="T32" s="31">
        <v>15</v>
      </c>
      <c r="U32" s="31">
        <v>44</v>
      </c>
      <c r="V32" s="32">
        <v>0</v>
      </c>
      <c r="W32" s="32">
        <v>15</v>
      </c>
      <c r="X32" s="32">
        <v>0</v>
      </c>
      <c r="Y32" s="75">
        <v>0</v>
      </c>
      <c r="Z32" s="33">
        <v>0</v>
      </c>
      <c r="AA32" s="34">
        <v>9</v>
      </c>
      <c r="AB32" s="34">
        <v>0</v>
      </c>
      <c r="AC32" s="34">
        <v>0</v>
      </c>
      <c r="AD32" s="35">
        <v>0</v>
      </c>
      <c r="AE32" s="34">
        <v>0</v>
      </c>
      <c r="AF32" s="34">
        <v>0</v>
      </c>
      <c r="AG32" s="34">
        <v>0</v>
      </c>
      <c r="AH32" s="21"/>
      <c r="AI32" s="22"/>
      <c r="AK32" s="87">
        <f t="shared" si="2"/>
        <v>0.5</v>
      </c>
      <c r="AL32" s="87">
        <f t="shared" si="2"/>
        <v>0.75</v>
      </c>
      <c r="AM32" s="87">
        <f t="shared" si="2"/>
        <v>0.36666666666666664</v>
      </c>
      <c r="AN32" s="87">
        <f t="shared" si="2"/>
        <v>0</v>
      </c>
      <c r="AO32" s="87">
        <f t="shared" si="2"/>
        <v>3.75</v>
      </c>
      <c r="AP32" s="87"/>
      <c r="AQ32" s="87"/>
      <c r="AR32" s="87"/>
      <c r="AS32" s="87">
        <f t="shared" si="3"/>
        <v>5.1428571428571428E-2</v>
      </c>
      <c r="AT32" s="87"/>
      <c r="AU32" s="87"/>
      <c r="AV32" s="87"/>
      <c r="AW32" s="87"/>
      <c r="AX32" s="87"/>
      <c r="AY32" s="87"/>
    </row>
    <row r="33" spans="2:51" ht="17.399999999999999" x14ac:dyDescent="0.25">
      <c r="B33" s="16" t="s">
        <v>45</v>
      </c>
      <c r="C33" s="16" t="s">
        <v>73</v>
      </c>
      <c r="D33" s="17">
        <v>40</v>
      </c>
      <c r="E33" s="18">
        <v>20</v>
      </c>
      <c r="F33" s="17">
        <v>120</v>
      </c>
      <c r="G33" s="19">
        <v>7</v>
      </c>
      <c r="H33" s="19">
        <v>4</v>
      </c>
      <c r="I33" s="19">
        <v>0</v>
      </c>
      <c r="J33" s="18">
        <v>0</v>
      </c>
      <c r="K33" s="20">
        <v>0</v>
      </c>
      <c r="L33" s="20">
        <f t="shared" si="1"/>
        <v>175</v>
      </c>
      <c r="M33" s="20"/>
      <c r="N33" s="20">
        <v>0</v>
      </c>
      <c r="O33" s="19"/>
      <c r="P33" s="19"/>
      <c r="Q33" s="19"/>
      <c r="R33" s="18"/>
      <c r="S33" s="31">
        <v>35</v>
      </c>
      <c r="T33" s="31">
        <v>18</v>
      </c>
      <c r="U33" s="31">
        <v>80</v>
      </c>
      <c r="V33" s="32">
        <v>0</v>
      </c>
      <c r="W33" s="32">
        <v>0</v>
      </c>
      <c r="X33" s="32">
        <v>6</v>
      </c>
      <c r="Y33" s="75">
        <v>0</v>
      </c>
      <c r="Z33" s="33">
        <v>0</v>
      </c>
      <c r="AA33" s="34">
        <v>267</v>
      </c>
      <c r="AB33" s="34">
        <v>0</v>
      </c>
      <c r="AC33" s="34">
        <v>0</v>
      </c>
      <c r="AD33" s="35">
        <v>0</v>
      </c>
      <c r="AE33" s="34">
        <v>0</v>
      </c>
      <c r="AF33" s="34">
        <v>0</v>
      </c>
      <c r="AG33" s="34">
        <v>0</v>
      </c>
      <c r="AH33" s="21"/>
      <c r="AI33" s="22"/>
      <c r="AK33" s="87">
        <f t="shared" si="2"/>
        <v>0.875</v>
      </c>
      <c r="AL33" s="87">
        <f t="shared" si="2"/>
        <v>0.9</v>
      </c>
      <c r="AM33" s="87">
        <f t="shared" si="2"/>
        <v>0.66666666666666663</v>
      </c>
      <c r="AN33" s="87">
        <f t="shared" si="2"/>
        <v>0</v>
      </c>
      <c r="AO33" s="87">
        <f t="shared" si="2"/>
        <v>0</v>
      </c>
      <c r="AP33" s="87"/>
      <c r="AQ33" s="87"/>
      <c r="AR33" s="87"/>
      <c r="AS33" s="87">
        <f t="shared" si="3"/>
        <v>1.5257142857142858</v>
      </c>
      <c r="AT33" s="87"/>
      <c r="AU33" s="87"/>
      <c r="AV33" s="87"/>
      <c r="AW33" s="87"/>
      <c r="AX33" s="87"/>
      <c r="AY33" s="87"/>
    </row>
    <row r="34" spans="2:51" ht="17.399999999999999" x14ac:dyDescent="0.25">
      <c r="B34" s="16" t="s">
        <v>44</v>
      </c>
      <c r="C34" s="16" t="s">
        <v>74</v>
      </c>
      <c r="D34" s="17">
        <v>40</v>
      </c>
      <c r="E34" s="18">
        <v>20</v>
      </c>
      <c r="F34" s="17">
        <v>120</v>
      </c>
      <c r="G34" s="19">
        <v>7</v>
      </c>
      <c r="H34" s="19">
        <v>4</v>
      </c>
      <c r="I34" s="19">
        <v>0</v>
      </c>
      <c r="J34" s="18">
        <v>0</v>
      </c>
      <c r="K34" s="20">
        <v>0</v>
      </c>
      <c r="L34" s="20">
        <f t="shared" si="1"/>
        <v>175</v>
      </c>
      <c r="M34" s="20"/>
      <c r="N34" s="20">
        <v>0</v>
      </c>
      <c r="O34" s="19"/>
      <c r="P34" s="19"/>
      <c r="Q34" s="19"/>
      <c r="R34" s="18"/>
      <c r="S34" s="31">
        <v>23</v>
      </c>
      <c r="T34" s="31">
        <v>5</v>
      </c>
      <c r="U34" s="31">
        <v>50</v>
      </c>
      <c r="V34" s="32">
        <v>0</v>
      </c>
      <c r="W34" s="32">
        <v>0</v>
      </c>
      <c r="X34" s="32">
        <v>0</v>
      </c>
      <c r="Y34" s="75">
        <v>1</v>
      </c>
      <c r="Z34" s="33">
        <v>0</v>
      </c>
      <c r="AA34" s="34">
        <v>12</v>
      </c>
      <c r="AB34" s="34">
        <v>0</v>
      </c>
      <c r="AC34" s="34">
        <v>0</v>
      </c>
      <c r="AD34" s="35">
        <v>0</v>
      </c>
      <c r="AE34" s="34">
        <v>0</v>
      </c>
      <c r="AF34" s="34">
        <v>0</v>
      </c>
      <c r="AG34" s="34">
        <v>0</v>
      </c>
      <c r="AH34" s="21"/>
      <c r="AI34" s="22"/>
      <c r="AK34" s="87">
        <f t="shared" si="2"/>
        <v>0.57499999999999996</v>
      </c>
      <c r="AL34" s="87">
        <f t="shared" si="2"/>
        <v>0.25</v>
      </c>
      <c r="AM34" s="87">
        <f t="shared" si="2"/>
        <v>0.41666666666666669</v>
      </c>
      <c r="AN34" s="87">
        <f t="shared" si="2"/>
        <v>0</v>
      </c>
      <c r="AO34" s="87">
        <f t="shared" si="2"/>
        <v>0</v>
      </c>
      <c r="AP34" s="87"/>
      <c r="AQ34" s="87"/>
      <c r="AR34" s="87"/>
      <c r="AS34" s="87">
        <f t="shared" si="3"/>
        <v>6.8571428571428575E-2</v>
      </c>
      <c r="AT34" s="87"/>
      <c r="AU34" s="87"/>
      <c r="AV34" s="87"/>
      <c r="AW34" s="87"/>
      <c r="AX34" s="87"/>
      <c r="AY34" s="87"/>
    </row>
    <row r="35" spans="2:51" ht="17.399999999999999" x14ac:dyDescent="0.25">
      <c r="B35" s="16" t="s">
        <v>44</v>
      </c>
      <c r="C35" s="16" t="s">
        <v>75</v>
      </c>
      <c r="D35" s="17">
        <v>40</v>
      </c>
      <c r="E35" s="18">
        <v>20</v>
      </c>
      <c r="F35" s="17">
        <v>120</v>
      </c>
      <c r="G35" s="19">
        <v>7</v>
      </c>
      <c r="H35" s="19">
        <v>4</v>
      </c>
      <c r="I35" s="19">
        <v>0</v>
      </c>
      <c r="J35" s="18">
        <v>0</v>
      </c>
      <c r="K35" s="20">
        <v>0</v>
      </c>
      <c r="L35" s="20">
        <f t="shared" si="1"/>
        <v>175</v>
      </c>
      <c r="M35" s="20"/>
      <c r="N35" s="20">
        <v>0</v>
      </c>
      <c r="O35" s="19"/>
      <c r="P35" s="19"/>
      <c r="Q35" s="19"/>
      <c r="R35" s="18"/>
      <c r="S35" s="31">
        <v>20</v>
      </c>
      <c r="T35" s="31">
        <v>15</v>
      </c>
      <c r="U35" s="31">
        <v>100</v>
      </c>
      <c r="V35" s="32">
        <v>0</v>
      </c>
      <c r="W35" s="32">
        <v>0</v>
      </c>
      <c r="X35" s="32">
        <v>50</v>
      </c>
      <c r="Y35" s="75">
        <v>0</v>
      </c>
      <c r="Z35" s="33">
        <v>0</v>
      </c>
      <c r="AA35" s="34">
        <v>20</v>
      </c>
      <c r="AB35" s="34">
        <v>0</v>
      </c>
      <c r="AC35" s="34">
        <v>0</v>
      </c>
      <c r="AD35" s="35">
        <v>0</v>
      </c>
      <c r="AE35" s="34">
        <v>0</v>
      </c>
      <c r="AF35" s="34">
        <v>0</v>
      </c>
      <c r="AG35" s="34">
        <v>0</v>
      </c>
      <c r="AH35" s="21"/>
      <c r="AI35" s="22"/>
      <c r="AK35" s="87">
        <f t="shared" si="2"/>
        <v>0.5</v>
      </c>
      <c r="AL35" s="87">
        <f t="shared" si="2"/>
        <v>0.75</v>
      </c>
      <c r="AM35" s="87">
        <f t="shared" si="2"/>
        <v>0.83333333333333337</v>
      </c>
      <c r="AN35" s="87">
        <f t="shared" si="2"/>
        <v>0</v>
      </c>
      <c r="AO35" s="87">
        <f t="shared" si="2"/>
        <v>0</v>
      </c>
      <c r="AP35" s="87"/>
      <c r="AQ35" s="87"/>
      <c r="AR35" s="87"/>
      <c r="AS35" s="87">
        <f t="shared" si="3"/>
        <v>0.11428571428571428</v>
      </c>
      <c r="AT35" s="87"/>
      <c r="AU35" s="87"/>
      <c r="AV35" s="87"/>
      <c r="AW35" s="87"/>
      <c r="AX35" s="87"/>
      <c r="AY35" s="87"/>
    </row>
    <row r="36" spans="2:51" ht="17.399999999999999" x14ac:dyDescent="0.25">
      <c r="B36" s="16" t="s">
        <v>44</v>
      </c>
      <c r="C36" s="16" t="s">
        <v>76</v>
      </c>
      <c r="D36" s="17">
        <v>40</v>
      </c>
      <c r="E36" s="18">
        <v>20</v>
      </c>
      <c r="F36" s="17">
        <v>120</v>
      </c>
      <c r="G36" s="19">
        <v>7</v>
      </c>
      <c r="H36" s="19">
        <v>4</v>
      </c>
      <c r="I36" s="19">
        <v>0</v>
      </c>
      <c r="J36" s="18">
        <v>0</v>
      </c>
      <c r="K36" s="20">
        <v>0</v>
      </c>
      <c r="L36" s="20">
        <f t="shared" si="1"/>
        <v>175</v>
      </c>
      <c r="M36" s="20"/>
      <c r="N36" s="20">
        <v>0</v>
      </c>
      <c r="O36" s="19"/>
      <c r="P36" s="19"/>
      <c r="Q36" s="19"/>
      <c r="R36" s="18"/>
      <c r="S36" s="31">
        <v>41</v>
      </c>
      <c r="T36" s="31">
        <v>20</v>
      </c>
      <c r="U36" s="31">
        <v>193</v>
      </c>
      <c r="V36" s="32">
        <v>0</v>
      </c>
      <c r="W36" s="32">
        <v>0</v>
      </c>
      <c r="X36" s="32">
        <v>0</v>
      </c>
      <c r="Y36" s="75">
        <v>13</v>
      </c>
      <c r="Z36" s="33">
        <v>0</v>
      </c>
      <c r="AA36" s="34">
        <v>55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21"/>
      <c r="AI36" s="22"/>
      <c r="AK36" s="87">
        <f t="shared" si="2"/>
        <v>1.0249999999999999</v>
      </c>
      <c r="AL36" s="87">
        <f t="shared" si="2"/>
        <v>1</v>
      </c>
      <c r="AM36" s="87">
        <f t="shared" si="2"/>
        <v>1.6083333333333334</v>
      </c>
      <c r="AN36" s="87">
        <f t="shared" si="2"/>
        <v>0</v>
      </c>
      <c r="AO36" s="87">
        <f t="shared" si="2"/>
        <v>0</v>
      </c>
      <c r="AP36" s="87"/>
      <c r="AQ36" s="87"/>
      <c r="AR36" s="87"/>
      <c r="AS36" s="87">
        <f t="shared" si="3"/>
        <v>0.31428571428571428</v>
      </c>
      <c r="AT36" s="87"/>
      <c r="AU36" s="87"/>
      <c r="AV36" s="87"/>
      <c r="AW36" s="87"/>
      <c r="AX36" s="87"/>
      <c r="AY36" s="87"/>
    </row>
    <row r="37" spans="2:51" ht="17.399999999999999" x14ac:dyDescent="0.25">
      <c r="B37" s="16" t="s">
        <v>44</v>
      </c>
      <c r="C37" s="16" t="s">
        <v>77</v>
      </c>
      <c r="D37" s="17">
        <v>40</v>
      </c>
      <c r="E37" s="18">
        <v>20</v>
      </c>
      <c r="F37" s="17">
        <v>120</v>
      </c>
      <c r="G37" s="19">
        <v>7</v>
      </c>
      <c r="H37" s="19">
        <v>4</v>
      </c>
      <c r="I37" s="19">
        <v>0</v>
      </c>
      <c r="J37" s="18">
        <v>0</v>
      </c>
      <c r="K37" s="20">
        <v>0</v>
      </c>
      <c r="L37" s="20">
        <f t="shared" si="1"/>
        <v>175</v>
      </c>
      <c r="M37" s="20"/>
      <c r="N37" s="20">
        <v>0</v>
      </c>
      <c r="O37" s="19"/>
      <c r="P37" s="19"/>
      <c r="Q37" s="19"/>
      <c r="R37" s="18"/>
      <c r="S37" s="31">
        <v>45</v>
      </c>
      <c r="T37" s="31">
        <v>24</v>
      </c>
      <c r="U37" s="31">
        <v>80</v>
      </c>
      <c r="V37" s="32">
        <v>5</v>
      </c>
      <c r="W37" s="32">
        <v>0</v>
      </c>
      <c r="X37" s="32">
        <v>90</v>
      </c>
      <c r="Y37" s="75">
        <v>11</v>
      </c>
      <c r="Z37" s="33">
        <v>0</v>
      </c>
      <c r="AA37" s="34">
        <v>60</v>
      </c>
      <c r="AB37" s="34">
        <v>0</v>
      </c>
      <c r="AC37" s="34">
        <v>0</v>
      </c>
      <c r="AD37" s="35">
        <v>0</v>
      </c>
      <c r="AE37" s="34">
        <v>0</v>
      </c>
      <c r="AF37" s="34">
        <v>0</v>
      </c>
      <c r="AG37" s="34">
        <v>0</v>
      </c>
      <c r="AH37" s="21"/>
      <c r="AI37" s="22"/>
      <c r="AK37" s="87">
        <f t="shared" si="2"/>
        <v>1.125</v>
      </c>
      <c r="AL37" s="87">
        <f t="shared" si="2"/>
        <v>1.2</v>
      </c>
      <c r="AM37" s="87">
        <f t="shared" si="2"/>
        <v>0.66666666666666663</v>
      </c>
      <c r="AN37" s="87">
        <f t="shared" si="2"/>
        <v>0.7142857142857143</v>
      </c>
      <c r="AO37" s="87">
        <f t="shared" si="2"/>
        <v>0</v>
      </c>
      <c r="AP37" s="87"/>
      <c r="AQ37" s="87"/>
      <c r="AR37" s="87"/>
      <c r="AS37" s="87">
        <f t="shared" si="3"/>
        <v>0.34285714285714286</v>
      </c>
      <c r="AT37" s="87"/>
      <c r="AU37" s="87"/>
      <c r="AV37" s="87"/>
      <c r="AW37" s="87"/>
      <c r="AX37" s="87"/>
      <c r="AY37" s="87"/>
    </row>
    <row r="38" spans="2:51" ht="17.399999999999999" x14ac:dyDescent="0.25">
      <c r="B38" s="16" t="s">
        <v>44</v>
      </c>
      <c r="C38" s="16" t="s">
        <v>78</v>
      </c>
      <c r="D38" s="17">
        <v>40</v>
      </c>
      <c r="E38" s="18">
        <v>20</v>
      </c>
      <c r="F38" s="17">
        <v>120</v>
      </c>
      <c r="G38" s="19">
        <v>7</v>
      </c>
      <c r="H38" s="19">
        <v>4</v>
      </c>
      <c r="I38" s="19">
        <v>0</v>
      </c>
      <c r="J38" s="18">
        <v>0</v>
      </c>
      <c r="K38" s="20">
        <v>0</v>
      </c>
      <c r="L38" s="20">
        <f t="shared" si="1"/>
        <v>175</v>
      </c>
      <c r="M38" s="20"/>
      <c r="N38" s="20">
        <v>0</v>
      </c>
      <c r="O38" s="19"/>
      <c r="P38" s="19"/>
      <c r="Q38" s="19"/>
      <c r="R38" s="18"/>
      <c r="S38" s="31">
        <v>42</v>
      </c>
      <c r="T38" s="31">
        <v>38</v>
      </c>
      <c r="U38" s="31">
        <v>226</v>
      </c>
      <c r="V38" s="32">
        <v>2</v>
      </c>
      <c r="W38" s="32">
        <v>0</v>
      </c>
      <c r="X38" s="32">
        <v>60</v>
      </c>
      <c r="Y38" s="75">
        <v>0</v>
      </c>
      <c r="Z38" s="33">
        <v>0</v>
      </c>
      <c r="AA38" s="34">
        <v>98</v>
      </c>
      <c r="AB38" s="34">
        <v>0</v>
      </c>
      <c r="AC38" s="34">
        <v>0</v>
      </c>
      <c r="AD38" s="35">
        <v>0</v>
      </c>
      <c r="AE38" s="34">
        <v>0</v>
      </c>
      <c r="AF38" s="34">
        <v>0</v>
      </c>
      <c r="AG38" s="34">
        <v>0</v>
      </c>
      <c r="AH38" s="21"/>
      <c r="AI38" s="22"/>
      <c r="AK38" s="87">
        <f t="shared" si="2"/>
        <v>1.05</v>
      </c>
      <c r="AL38" s="87">
        <f t="shared" si="2"/>
        <v>1.9</v>
      </c>
      <c r="AM38" s="87">
        <f t="shared" si="2"/>
        <v>1.8833333333333333</v>
      </c>
      <c r="AN38" s="87">
        <f t="shared" si="2"/>
        <v>0.2857142857142857</v>
      </c>
      <c r="AO38" s="87">
        <f t="shared" si="2"/>
        <v>0</v>
      </c>
      <c r="AP38" s="87"/>
      <c r="AQ38" s="87"/>
      <c r="AR38" s="87"/>
      <c r="AS38" s="87">
        <f t="shared" si="3"/>
        <v>0.56000000000000005</v>
      </c>
      <c r="AT38" s="87"/>
      <c r="AU38" s="87"/>
      <c r="AV38" s="87"/>
      <c r="AW38" s="87"/>
      <c r="AX38" s="87"/>
      <c r="AY38" s="87"/>
    </row>
    <row r="39" spans="2:51" ht="17.399999999999999" x14ac:dyDescent="0.25">
      <c r="B39" s="16" t="s">
        <v>44</v>
      </c>
      <c r="C39" s="16" t="s">
        <v>79</v>
      </c>
      <c r="D39" s="17">
        <v>40</v>
      </c>
      <c r="E39" s="18">
        <v>20</v>
      </c>
      <c r="F39" s="17">
        <v>120</v>
      </c>
      <c r="G39" s="19">
        <v>7</v>
      </c>
      <c r="H39" s="19">
        <v>4</v>
      </c>
      <c r="I39" s="19">
        <v>0</v>
      </c>
      <c r="J39" s="18">
        <v>0</v>
      </c>
      <c r="K39" s="20">
        <v>0</v>
      </c>
      <c r="L39" s="20">
        <f t="shared" si="1"/>
        <v>175</v>
      </c>
      <c r="M39" s="20"/>
      <c r="N39" s="20">
        <v>0</v>
      </c>
      <c r="O39" s="19"/>
      <c r="P39" s="19"/>
      <c r="Q39" s="19"/>
      <c r="R39" s="18"/>
      <c r="S39" s="31">
        <v>12</v>
      </c>
      <c r="T39" s="31">
        <v>7</v>
      </c>
      <c r="U39" s="31">
        <v>60</v>
      </c>
      <c r="V39" s="32">
        <v>0</v>
      </c>
      <c r="W39" s="32">
        <v>0</v>
      </c>
      <c r="X39" s="32">
        <v>30</v>
      </c>
      <c r="Y39" s="75">
        <v>5</v>
      </c>
      <c r="Z39" s="33">
        <v>0</v>
      </c>
      <c r="AA39" s="34">
        <v>30</v>
      </c>
      <c r="AB39" s="34">
        <v>0</v>
      </c>
      <c r="AC39" s="34">
        <v>0</v>
      </c>
      <c r="AD39" s="35">
        <v>0</v>
      </c>
      <c r="AE39" s="34">
        <v>0</v>
      </c>
      <c r="AF39" s="34">
        <v>0</v>
      </c>
      <c r="AG39" s="34">
        <v>0</v>
      </c>
      <c r="AH39" s="21"/>
      <c r="AI39" s="22"/>
      <c r="AK39" s="87">
        <f t="shared" si="2"/>
        <v>0.3</v>
      </c>
      <c r="AL39" s="87">
        <f t="shared" si="2"/>
        <v>0.35</v>
      </c>
      <c r="AM39" s="87">
        <f t="shared" si="2"/>
        <v>0.5</v>
      </c>
      <c r="AN39" s="87">
        <f t="shared" si="2"/>
        <v>0</v>
      </c>
      <c r="AO39" s="87">
        <f t="shared" si="2"/>
        <v>0</v>
      </c>
      <c r="AP39" s="87"/>
      <c r="AQ39" s="87"/>
      <c r="AR39" s="87"/>
      <c r="AS39" s="87">
        <f t="shared" si="3"/>
        <v>0.17142857142857143</v>
      </c>
      <c r="AT39" s="87"/>
      <c r="AU39" s="87"/>
      <c r="AV39" s="87"/>
      <c r="AW39" s="87"/>
      <c r="AX39" s="87"/>
      <c r="AY39" s="87"/>
    </row>
    <row r="40" spans="2:51" ht="17.399999999999999" x14ac:dyDescent="0.25">
      <c r="B40" s="16" t="s">
        <v>44</v>
      </c>
      <c r="C40" s="16" t="s">
        <v>80</v>
      </c>
      <c r="D40" s="17">
        <v>40</v>
      </c>
      <c r="E40" s="18">
        <v>20</v>
      </c>
      <c r="F40" s="17">
        <v>120</v>
      </c>
      <c r="G40" s="19">
        <v>7</v>
      </c>
      <c r="H40" s="19">
        <v>4</v>
      </c>
      <c r="I40" s="19">
        <v>0</v>
      </c>
      <c r="J40" s="18">
        <v>0</v>
      </c>
      <c r="K40" s="20">
        <v>0</v>
      </c>
      <c r="L40" s="20">
        <f t="shared" si="1"/>
        <v>175</v>
      </c>
      <c r="M40" s="20"/>
      <c r="N40" s="20">
        <v>0</v>
      </c>
      <c r="O40" s="19"/>
      <c r="P40" s="19"/>
      <c r="Q40" s="19"/>
      <c r="R40" s="18"/>
      <c r="S40" s="31">
        <v>32</v>
      </c>
      <c r="T40" s="31">
        <v>25</v>
      </c>
      <c r="U40" s="31">
        <v>120</v>
      </c>
      <c r="V40" s="32">
        <v>3</v>
      </c>
      <c r="W40" s="32">
        <v>0</v>
      </c>
      <c r="X40" s="32">
        <v>40</v>
      </c>
      <c r="Y40" s="75">
        <v>18</v>
      </c>
      <c r="Z40" s="33">
        <v>0</v>
      </c>
      <c r="AA40" s="34">
        <v>20</v>
      </c>
      <c r="AB40" s="34">
        <v>0</v>
      </c>
      <c r="AC40" s="34">
        <v>0</v>
      </c>
      <c r="AD40" s="35">
        <v>0</v>
      </c>
      <c r="AE40" s="34">
        <v>0</v>
      </c>
      <c r="AF40" s="34">
        <v>0</v>
      </c>
      <c r="AG40" s="34">
        <v>0</v>
      </c>
      <c r="AH40" s="21"/>
      <c r="AI40" s="22"/>
      <c r="AK40" s="87">
        <f t="shared" si="2"/>
        <v>0.8</v>
      </c>
      <c r="AL40" s="87">
        <f t="shared" si="2"/>
        <v>1.25</v>
      </c>
      <c r="AM40" s="87">
        <f t="shared" si="2"/>
        <v>1</v>
      </c>
      <c r="AN40" s="87">
        <f t="shared" si="2"/>
        <v>0.42857142857142855</v>
      </c>
      <c r="AO40" s="87">
        <f t="shared" si="2"/>
        <v>0</v>
      </c>
      <c r="AP40" s="87"/>
      <c r="AQ40" s="87"/>
      <c r="AR40" s="87"/>
      <c r="AS40" s="87">
        <f t="shared" si="3"/>
        <v>0.11428571428571428</v>
      </c>
      <c r="AT40" s="87"/>
      <c r="AU40" s="87"/>
      <c r="AV40" s="87"/>
      <c r="AW40" s="87"/>
      <c r="AX40" s="87"/>
      <c r="AY40" s="87"/>
    </row>
    <row r="41" spans="2:51" ht="17.399999999999999" x14ac:dyDescent="0.25">
      <c r="B41" s="16" t="s">
        <v>44</v>
      </c>
      <c r="C41" s="16" t="s">
        <v>81</v>
      </c>
      <c r="D41" s="17">
        <v>40</v>
      </c>
      <c r="E41" s="18">
        <v>20</v>
      </c>
      <c r="F41" s="17">
        <v>120</v>
      </c>
      <c r="G41" s="19">
        <v>7</v>
      </c>
      <c r="H41" s="19">
        <v>4</v>
      </c>
      <c r="I41" s="19">
        <v>0</v>
      </c>
      <c r="J41" s="18">
        <v>0</v>
      </c>
      <c r="K41" s="20">
        <v>0</v>
      </c>
      <c r="L41" s="20">
        <f t="shared" si="1"/>
        <v>175</v>
      </c>
      <c r="M41" s="20"/>
      <c r="N41" s="20">
        <v>0</v>
      </c>
      <c r="O41" s="19"/>
      <c r="P41" s="19"/>
      <c r="Q41" s="19"/>
      <c r="R41" s="18"/>
      <c r="S41" s="31">
        <v>38</v>
      </c>
      <c r="T41" s="31">
        <v>25</v>
      </c>
      <c r="U41" s="31">
        <v>100</v>
      </c>
      <c r="V41" s="32">
        <v>5</v>
      </c>
      <c r="W41" s="32">
        <v>0</v>
      </c>
      <c r="X41" s="32">
        <v>36</v>
      </c>
      <c r="Y41" s="75">
        <v>10</v>
      </c>
      <c r="Z41" s="33">
        <v>0</v>
      </c>
      <c r="AA41" s="34">
        <v>50</v>
      </c>
      <c r="AB41" s="34">
        <v>0</v>
      </c>
      <c r="AC41" s="34">
        <v>0</v>
      </c>
      <c r="AD41" s="35">
        <v>0</v>
      </c>
      <c r="AE41" s="34">
        <v>0</v>
      </c>
      <c r="AF41" s="34">
        <v>0</v>
      </c>
      <c r="AG41" s="34">
        <v>0</v>
      </c>
      <c r="AH41" s="21"/>
      <c r="AI41" s="22"/>
      <c r="AK41" s="87">
        <f t="shared" si="2"/>
        <v>0.95</v>
      </c>
      <c r="AL41" s="87">
        <f t="shared" si="2"/>
        <v>1.25</v>
      </c>
      <c r="AM41" s="87">
        <f t="shared" si="2"/>
        <v>0.83333333333333337</v>
      </c>
      <c r="AN41" s="87">
        <f t="shared" si="2"/>
        <v>0.7142857142857143</v>
      </c>
      <c r="AO41" s="87">
        <f t="shared" si="2"/>
        <v>0</v>
      </c>
      <c r="AP41" s="87"/>
      <c r="AQ41" s="87"/>
      <c r="AR41" s="87"/>
      <c r="AS41" s="87">
        <f t="shared" si="3"/>
        <v>0.2857142857142857</v>
      </c>
      <c r="AT41" s="87"/>
      <c r="AU41" s="87"/>
      <c r="AV41" s="87"/>
      <c r="AW41" s="87"/>
      <c r="AX41" s="87"/>
      <c r="AY41" s="87"/>
    </row>
    <row r="42" spans="2:51" ht="17.399999999999999" x14ac:dyDescent="0.25">
      <c r="B42" s="16" t="s">
        <v>44</v>
      </c>
      <c r="C42" s="16" t="s">
        <v>82</v>
      </c>
      <c r="D42" s="17">
        <v>40</v>
      </c>
      <c r="E42" s="18">
        <v>20</v>
      </c>
      <c r="F42" s="17">
        <v>120</v>
      </c>
      <c r="G42" s="19">
        <v>7</v>
      </c>
      <c r="H42" s="19">
        <v>4</v>
      </c>
      <c r="I42" s="19">
        <v>0</v>
      </c>
      <c r="J42" s="18">
        <v>0</v>
      </c>
      <c r="K42" s="20">
        <v>0</v>
      </c>
      <c r="L42" s="20">
        <f t="shared" si="1"/>
        <v>175</v>
      </c>
      <c r="M42" s="20"/>
      <c r="N42" s="20">
        <v>0</v>
      </c>
      <c r="O42" s="19"/>
      <c r="P42" s="19"/>
      <c r="Q42" s="19"/>
      <c r="R42" s="18"/>
      <c r="S42" s="31">
        <v>40</v>
      </c>
      <c r="T42" s="31">
        <v>35</v>
      </c>
      <c r="U42" s="31">
        <v>132</v>
      </c>
      <c r="V42" s="32">
        <v>5</v>
      </c>
      <c r="W42" s="32">
        <v>0</v>
      </c>
      <c r="X42" s="32">
        <v>50</v>
      </c>
      <c r="Y42" s="75">
        <v>4</v>
      </c>
      <c r="Z42" s="33">
        <v>0</v>
      </c>
      <c r="AA42" s="34">
        <v>55</v>
      </c>
      <c r="AB42" s="34">
        <v>0</v>
      </c>
      <c r="AC42" s="34">
        <v>0</v>
      </c>
      <c r="AD42" s="35">
        <v>0</v>
      </c>
      <c r="AE42" s="34">
        <v>0</v>
      </c>
      <c r="AF42" s="34">
        <v>0</v>
      </c>
      <c r="AG42" s="34">
        <v>0</v>
      </c>
      <c r="AH42" s="21"/>
      <c r="AI42" s="22"/>
      <c r="AK42" s="87">
        <f t="shared" si="2"/>
        <v>1</v>
      </c>
      <c r="AL42" s="87">
        <f t="shared" si="2"/>
        <v>1.75</v>
      </c>
      <c r="AM42" s="87">
        <f t="shared" si="2"/>
        <v>1.1000000000000001</v>
      </c>
      <c r="AN42" s="87">
        <f t="shared" si="2"/>
        <v>0.7142857142857143</v>
      </c>
      <c r="AO42" s="87">
        <f t="shared" si="2"/>
        <v>0</v>
      </c>
      <c r="AP42" s="87"/>
      <c r="AQ42" s="87"/>
      <c r="AR42" s="87"/>
      <c r="AS42" s="87">
        <f t="shared" si="3"/>
        <v>0.31428571428571428</v>
      </c>
      <c r="AT42" s="87"/>
      <c r="AU42" s="87"/>
      <c r="AV42" s="87"/>
      <c r="AW42" s="87"/>
      <c r="AX42" s="87"/>
      <c r="AY42" s="87"/>
    </row>
    <row r="43" spans="2:51" ht="17.399999999999999" x14ac:dyDescent="0.25">
      <c r="B43" s="16" t="s">
        <v>44</v>
      </c>
      <c r="C43" s="16" t="s">
        <v>83</v>
      </c>
      <c r="D43" s="17">
        <v>40</v>
      </c>
      <c r="E43" s="18">
        <v>20</v>
      </c>
      <c r="F43" s="17">
        <v>120</v>
      </c>
      <c r="G43" s="19">
        <v>7</v>
      </c>
      <c r="H43" s="19">
        <v>4</v>
      </c>
      <c r="I43" s="19">
        <v>0</v>
      </c>
      <c r="J43" s="18">
        <v>0</v>
      </c>
      <c r="K43" s="20">
        <v>0</v>
      </c>
      <c r="L43" s="20">
        <f t="shared" si="1"/>
        <v>175</v>
      </c>
      <c r="M43" s="20"/>
      <c r="N43" s="20">
        <v>0</v>
      </c>
      <c r="O43" s="19"/>
      <c r="P43" s="19"/>
      <c r="Q43" s="19"/>
      <c r="R43" s="18"/>
      <c r="S43" s="31">
        <v>25</v>
      </c>
      <c r="T43" s="31">
        <v>15</v>
      </c>
      <c r="U43" s="31">
        <v>130</v>
      </c>
      <c r="V43" s="32">
        <v>2</v>
      </c>
      <c r="W43" s="32">
        <v>0</v>
      </c>
      <c r="X43" s="32">
        <v>30</v>
      </c>
      <c r="Y43" s="75">
        <v>5</v>
      </c>
      <c r="Z43" s="33">
        <v>0</v>
      </c>
      <c r="AA43" s="34">
        <v>41</v>
      </c>
      <c r="AB43" s="34">
        <v>0</v>
      </c>
      <c r="AC43" s="34">
        <v>0</v>
      </c>
      <c r="AD43" s="35">
        <v>0</v>
      </c>
      <c r="AE43" s="34">
        <v>0</v>
      </c>
      <c r="AF43" s="34">
        <v>0</v>
      </c>
      <c r="AG43" s="34">
        <v>0</v>
      </c>
      <c r="AH43" s="21"/>
      <c r="AI43" s="22"/>
      <c r="AK43" s="87">
        <f t="shared" si="2"/>
        <v>0.625</v>
      </c>
      <c r="AL43" s="87">
        <f t="shared" si="2"/>
        <v>0.75</v>
      </c>
      <c r="AM43" s="87">
        <f t="shared" si="2"/>
        <v>1.0833333333333333</v>
      </c>
      <c r="AN43" s="87">
        <f t="shared" si="2"/>
        <v>0.2857142857142857</v>
      </c>
      <c r="AO43" s="87">
        <f t="shared" si="2"/>
        <v>0</v>
      </c>
      <c r="AP43" s="87"/>
      <c r="AQ43" s="87"/>
      <c r="AR43" s="87"/>
      <c r="AS43" s="87">
        <f t="shared" si="3"/>
        <v>0.23428571428571429</v>
      </c>
      <c r="AT43" s="87"/>
      <c r="AU43" s="87"/>
      <c r="AV43" s="87"/>
      <c r="AW43" s="87"/>
      <c r="AX43" s="87"/>
      <c r="AY43" s="87"/>
    </row>
    <row r="44" spans="2:51" ht="17.399999999999999" x14ac:dyDescent="0.25">
      <c r="B44" s="16" t="s">
        <v>44</v>
      </c>
      <c r="C44" s="16" t="s">
        <v>84</v>
      </c>
      <c r="D44" s="17">
        <v>40</v>
      </c>
      <c r="E44" s="18">
        <v>20</v>
      </c>
      <c r="F44" s="17">
        <v>120</v>
      </c>
      <c r="G44" s="19">
        <v>7</v>
      </c>
      <c r="H44" s="19">
        <v>4</v>
      </c>
      <c r="I44" s="19">
        <v>0</v>
      </c>
      <c r="J44" s="18">
        <v>0</v>
      </c>
      <c r="K44" s="20">
        <v>0</v>
      </c>
      <c r="L44" s="20">
        <f t="shared" si="1"/>
        <v>175</v>
      </c>
      <c r="M44" s="20"/>
      <c r="N44" s="20">
        <v>0</v>
      </c>
      <c r="O44" s="19"/>
      <c r="P44" s="19"/>
      <c r="Q44" s="19"/>
      <c r="R44" s="18"/>
      <c r="S44" s="31">
        <v>20</v>
      </c>
      <c r="T44" s="31">
        <v>8</v>
      </c>
      <c r="U44" s="31">
        <v>100</v>
      </c>
      <c r="V44" s="32">
        <v>4</v>
      </c>
      <c r="W44" s="32">
        <v>0</v>
      </c>
      <c r="X44" s="32">
        <v>0</v>
      </c>
      <c r="Y44" s="75">
        <v>0</v>
      </c>
      <c r="Z44" s="33">
        <v>0</v>
      </c>
      <c r="AA44" s="34">
        <v>30</v>
      </c>
      <c r="AB44" s="34">
        <v>0</v>
      </c>
      <c r="AC44" s="34">
        <v>0</v>
      </c>
      <c r="AD44" s="35">
        <v>0</v>
      </c>
      <c r="AE44" s="34">
        <v>0</v>
      </c>
      <c r="AF44" s="34">
        <v>0</v>
      </c>
      <c r="AG44" s="34">
        <v>0</v>
      </c>
      <c r="AH44" s="21"/>
      <c r="AI44" s="22"/>
      <c r="AK44" s="87">
        <f t="shared" si="2"/>
        <v>0.5</v>
      </c>
      <c r="AL44" s="87">
        <f t="shared" si="2"/>
        <v>0.4</v>
      </c>
      <c r="AM44" s="87">
        <f t="shared" si="2"/>
        <v>0.83333333333333337</v>
      </c>
      <c r="AN44" s="87">
        <f t="shared" si="2"/>
        <v>0.5714285714285714</v>
      </c>
      <c r="AO44" s="87">
        <f t="shared" si="2"/>
        <v>0</v>
      </c>
      <c r="AP44" s="87"/>
      <c r="AQ44" s="87"/>
      <c r="AR44" s="87"/>
      <c r="AS44" s="87">
        <f t="shared" si="3"/>
        <v>0.17142857142857143</v>
      </c>
      <c r="AT44" s="87"/>
      <c r="AU44" s="87"/>
      <c r="AV44" s="87"/>
      <c r="AW44" s="87"/>
      <c r="AX44" s="87"/>
      <c r="AY44" s="87"/>
    </row>
    <row r="45" spans="2:51" ht="17.399999999999999" x14ac:dyDescent="0.25">
      <c r="B45" s="16" t="s">
        <v>44</v>
      </c>
      <c r="C45" s="16" t="s">
        <v>85</v>
      </c>
      <c r="D45" s="17">
        <v>40</v>
      </c>
      <c r="E45" s="18">
        <v>20</v>
      </c>
      <c r="F45" s="17">
        <v>120</v>
      </c>
      <c r="G45" s="19">
        <v>7</v>
      </c>
      <c r="H45" s="19">
        <v>4</v>
      </c>
      <c r="I45" s="19">
        <v>0</v>
      </c>
      <c r="J45" s="18">
        <v>0</v>
      </c>
      <c r="K45" s="20">
        <v>0</v>
      </c>
      <c r="L45" s="20">
        <f t="shared" si="1"/>
        <v>175</v>
      </c>
      <c r="M45" s="20"/>
      <c r="N45" s="20">
        <v>0</v>
      </c>
      <c r="O45" s="19"/>
      <c r="P45" s="19"/>
      <c r="Q45" s="19"/>
      <c r="R45" s="18"/>
      <c r="S45" s="31">
        <v>22</v>
      </c>
      <c r="T45" s="31">
        <v>19</v>
      </c>
      <c r="U45" s="31">
        <v>251</v>
      </c>
      <c r="V45" s="32">
        <v>17</v>
      </c>
      <c r="W45" s="32">
        <v>0</v>
      </c>
      <c r="X45" s="32">
        <v>87</v>
      </c>
      <c r="Y45" s="75">
        <v>0</v>
      </c>
      <c r="Z45" s="33">
        <v>0</v>
      </c>
      <c r="AA45" s="34">
        <v>112</v>
      </c>
      <c r="AB45" s="34">
        <v>0</v>
      </c>
      <c r="AC45" s="34">
        <v>0</v>
      </c>
      <c r="AD45" s="35">
        <v>0</v>
      </c>
      <c r="AE45" s="34">
        <v>0</v>
      </c>
      <c r="AF45" s="34">
        <v>0</v>
      </c>
      <c r="AG45" s="34">
        <v>0</v>
      </c>
      <c r="AH45" s="21"/>
      <c r="AI45" s="22"/>
      <c r="AK45" s="87">
        <f t="shared" si="2"/>
        <v>0.55000000000000004</v>
      </c>
      <c r="AL45" s="87">
        <f t="shared" si="2"/>
        <v>0.95</v>
      </c>
      <c r="AM45" s="87">
        <f t="shared" si="2"/>
        <v>2.0916666666666668</v>
      </c>
      <c r="AN45" s="87">
        <f t="shared" si="2"/>
        <v>2.4285714285714284</v>
      </c>
      <c r="AO45" s="87">
        <f t="shared" si="2"/>
        <v>0</v>
      </c>
      <c r="AP45" s="87"/>
      <c r="AQ45" s="87"/>
      <c r="AR45" s="87"/>
      <c r="AS45" s="87">
        <f t="shared" si="3"/>
        <v>0.64</v>
      </c>
      <c r="AT45" s="87"/>
      <c r="AU45" s="87"/>
      <c r="AV45" s="87"/>
      <c r="AW45" s="87"/>
      <c r="AX45" s="87"/>
      <c r="AY45" s="87"/>
    </row>
    <row r="46" spans="2:51" ht="17.399999999999999" x14ac:dyDescent="0.25">
      <c r="B46" s="16" t="s">
        <v>44</v>
      </c>
      <c r="C46" s="16" t="s">
        <v>86</v>
      </c>
      <c r="D46" s="17">
        <v>40</v>
      </c>
      <c r="E46" s="18">
        <v>20</v>
      </c>
      <c r="F46" s="17">
        <v>120</v>
      </c>
      <c r="G46" s="19">
        <v>7</v>
      </c>
      <c r="H46" s="19">
        <v>4</v>
      </c>
      <c r="I46" s="19">
        <v>0</v>
      </c>
      <c r="J46" s="18">
        <v>0</v>
      </c>
      <c r="K46" s="20">
        <v>0</v>
      </c>
      <c r="L46" s="20">
        <f t="shared" si="1"/>
        <v>175</v>
      </c>
      <c r="M46" s="20"/>
      <c r="N46" s="20">
        <v>0</v>
      </c>
      <c r="O46" s="19"/>
      <c r="P46" s="19"/>
      <c r="Q46" s="19"/>
      <c r="R46" s="18"/>
      <c r="S46" s="31">
        <v>30</v>
      </c>
      <c r="T46" s="31">
        <v>16</v>
      </c>
      <c r="U46" s="31">
        <v>17</v>
      </c>
      <c r="V46" s="32">
        <v>1</v>
      </c>
      <c r="W46" s="32">
        <v>0</v>
      </c>
      <c r="X46" s="32">
        <v>15</v>
      </c>
      <c r="Y46" s="75">
        <v>9</v>
      </c>
      <c r="Z46" s="33">
        <v>0</v>
      </c>
      <c r="AA46" s="34">
        <v>37</v>
      </c>
      <c r="AB46" s="34">
        <v>0</v>
      </c>
      <c r="AC46" s="34">
        <v>0</v>
      </c>
      <c r="AD46" s="34">
        <v>0</v>
      </c>
      <c r="AE46" s="34">
        <v>0</v>
      </c>
      <c r="AF46" s="34">
        <v>0</v>
      </c>
      <c r="AG46" s="34">
        <v>0</v>
      </c>
      <c r="AH46" s="21"/>
      <c r="AI46" s="22"/>
      <c r="AK46" s="87">
        <f t="shared" si="2"/>
        <v>0.75</v>
      </c>
      <c r="AL46" s="87">
        <f t="shared" si="2"/>
        <v>0.8</v>
      </c>
      <c r="AM46" s="87">
        <f t="shared" si="2"/>
        <v>0.14166666666666666</v>
      </c>
      <c r="AN46" s="87">
        <f t="shared" si="2"/>
        <v>0.14285714285714285</v>
      </c>
      <c r="AO46" s="87">
        <f t="shared" si="2"/>
        <v>0</v>
      </c>
      <c r="AP46" s="87"/>
      <c r="AQ46" s="87"/>
      <c r="AR46" s="87"/>
      <c r="AS46" s="87">
        <f t="shared" si="3"/>
        <v>0.21142857142857144</v>
      </c>
      <c r="AT46" s="87"/>
      <c r="AU46" s="87"/>
      <c r="AV46" s="87"/>
      <c r="AW46" s="87"/>
      <c r="AX46" s="87"/>
      <c r="AY46" s="87"/>
    </row>
    <row r="47" spans="2:51" ht="17.399999999999999" x14ac:dyDescent="0.25">
      <c r="B47" s="16" t="s">
        <v>44</v>
      </c>
      <c r="C47" s="16" t="s">
        <v>87</v>
      </c>
      <c r="D47" s="17">
        <v>40</v>
      </c>
      <c r="E47" s="18">
        <v>20</v>
      </c>
      <c r="F47" s="17">
        <v>120</v>
      </c>
      <c r="G47" s="19">
        <v>7</v>
      </c>
      <c r="H47" s="19">
        <v>4</v>
      </c>
      <c r="I47" s="19">
        <v>0</v>
      </c>
      <c r="J47" s="18">
        <v>0</v>
      </c>
      <c r="K47" s="20">
        <v>0</v>
      </c>
      <c r="L47" s="20">
        <f t="shared" si="1"/>
        <v>175</v>
      </c>
      <c r="M47" s="20"/>
      <c r="N47" s="20">
        <v>0</v>
      </c>
      <c r="O47" s="19"/>
      <c r="P47" s="19"/>
      <c r="Q47" s="19"/>
      <c r="R47" s="18"/>
      <c r="S47" s="31">
        <v>35</v>
      </c>
      <c r="T47" s="31">
        <v>18</v>
      </c>
      <c r="U47" s="31">
        <v>122</v>
      </c>
      <c r="V47" s="32">
        <v>0</v>
      </c>
      <c r="W47" s="32">
        <v>0</v>
      </c>
      <c r="X47" s="32">
        <v>30</v>
      </c>
      <c r="Y47" s="75">
        <v>0</v>
      </c>
      <c r="Z47" s="33">
        <v>0</v>
      </c>
      <c r="AA47" s="34">
        <v>112</v>
      </c>
      <c r="AB47" s="34">
        <v>0</v>
      </c>
      <c r="AC47" s="34">
        <v>0</v>
      </c>
      <c r="AD47" s="35">
        <v>0</v>
      </c>
      <c r="AE47" s="34">
        <v>0</v>
      </c>
      <c r="AF47" s="34">
        <v>0</v>
      </c>
      <c r="AG47" s="34">
        <v>0</v>
      </c>
      <c r="AH47" s="21"/>
      <c r="AI47" s="22"/>
      <c r="AK47" s="87">
        <f t="shared" si="2"/>
        <v>0.875</v>
      </c>
      <c r="AL47" s="87">
        <f t="shared" si="2"/>
        <v>0.9</v>
      </c>
      <c r="AM47" s="87">
        <f t="shared" si="2"/>
        <v>1.0166666666666666</v>
      </c>
      <c r="AN47" s="87">
        <f t="shared" si="2"/>
        <v>0</v>
      </c>
      <c r="AO47" s="87">
        <f t="shared" si="2"/>
        <v>0</v>
      </c>
      <c r="AP47" s="87"/>
      <c r="AQ47" s="87"/>
      <c r="AR47" s="87"/>
      <c r="AS47" s="87">
        <f t="shared" si="3"/>
        <v>0.64</v>
      </c>
      <c r="AT47" s="87"/>
      <c r="AU47" s="87"/>
      <c r="AV47" s="87"/>
      <c r="AW47" s="87"/>
      <c r="AX47" s="87"/>
      <c r="AY47" s="87"/>
    </row>
    <row r="48" spans="2:51" ht="17.399999999999999" x14ac:dyDescent="0.25">
      <c r="B48" s="16" t="s">
        <v>44</v>
      </c>
      <c r="C48" s="16" t="s">
        <v>88</v>
      </c>
      <c r="D48" s="17">
        <v>40</v>
      </c>
      <c r="E48" s="18">
        <v>20</v>
      </c>
      <c r="F48" s="17">
        <v>120</v>
      </c>
      <c r="G48" s="19">
        <v>7</v>
      </c>
      <c r="H48" s="19">
        <v>4</v>
      </c>
      <c r="I48" s="19">
        <v>0</v>
      </c>
      <c r="J48" s="18">
        <v>0</v>
      </c>
      <c r="K48" s="20">
        <v>0</v>
      </c>
      <c r="L48" s="20">
        <f t="shared" si="1"/>
        <v>175</v>
      </c>
      <c r="M48" s="20"/>
      <c r="N48" s="20">
        <v>0</v>
      </c>
      <c r="O48" s="19"/>
      <c r="P48" s="19"/>
      <c r="Q48" s="19"/>
      <c r="R48" s="18"/>
      <c r="S48" s="31">
        <v>38</v>
      </c>
      <c r="T48" s="31">
        <v>28</v>
      </c>
      <c r="U48" s="31">
        <v>120</v>
      </c>
      <c r="V48" s="32">
        <v>9</v>
      </c>
      <c r="W48" s="32">
        <v>0</v>
      </c>
      <c r="X48" s="32">
        <v>80</v>
      </c>
      <c r="Y48" s="75">
        <v>16</v>
      </c>
      <c r="Z48" s="33">
        <v>0</v>
      </c>
      <c r="AA48" s="34">
        <v>90</v>
      </c>
      <c r="AB48" s="34">
        <v>0</v>
      </c>
      <c r="AC48" s="34">
        <v>0</v>
      </c>
      <c r="AD48" s="35">
        <v>0</v>
      </c>
      <c r="AE48" s="34">
        <v>0</v>
      </c>
      <c r="AF48" s="34">
        <v>0</v>
      </c>
      <c r="AG48" s="34">
        <v>0</v>
      </c>
      <c r="AH48" s="21"/>
      <c r="AI48" s="22"/>
      <c r="AK48" s="87">
        <f t="shared" si="2"/>
        <v>0.95</v>
      </c>
      <c r="AL48" s="87">
        <f t="shared" si="2"/>
        <v>1.4</v>
      </c>
      <c r="AM48" s="87">
        <f t="shared" si="2"/>
        <v>1</v>
      </c>
      <c r="AN48" s="87">
        <f t="shared" si="2"/>
        <v>1.2857142857142858</v>
      </c>
      <c r="AO48" s="87">
        <f t="shared" si="2"/>
        <v>0</v>
      </c>
      <c r="AP48" s="87"/>
      <c r="AQ48" s="87"/>
      <c r="AR48" s="87"/>
      <c r="AS48" s="87">
        <f t="shared" si="3"/>
        <v>0.51428571428571423</v>
      </c>
      <c r="AT48" s="87"/>
      <c r="AU48" s="87"/>
      <c r="AV48" s="87"/>
      <c r="AW48" s="87"/>
      <c r="AX48" s="87"/>
      <c r="AY48" s="87"/>
    </row>
    <row r="49" spans="1:51" ht="17.399999999999999" x14ac:dyDescent="0.25">
      <c r="B49" s="16" t="s">
        <v>44</v>
      </c>
      <c r="C49" s="16" t="s">
        <v>89</v>
      </c>
      <c r="D49" s="17">
        <v>40</v>
      </c>
      <c r="E49" s="18">
        <v>20</v>
      </c>
      <c r="F49" s="17">
        <v>120</v>
      </c>
      <c r="G49" s="19">
        <v>7</v>
      </c>
      <c r="H49" s="19">
        <v>4</v>
      </c>
      <c r="I49" s="19">
        <v>0</v>
      </c>
      <c r="J49" s="18">
        <v>0</v>
      </c>
      <c r="K49" s="20">
        <v>0</v>
      </c>
      <c r="L49" s="20">
        <f t="shared" si="1"/>
        <v>175</v>
      </c>
      <c r="M49" s="20"/>
      <c r="N49" s="20">
        <v>0</v>
      </c>
      <c r="O49" s="19"/>
      <c r="P49" s="19"/>
      <c r="Q49" s="19"/>
      <c r="R49" s="18"/>
      <c r="S49" s="31">
        <v>25</v>
      </c>
      <c r="T49" s="31">
        <v>15</v>
      </c>
      <c r="U49" s="31">
        <v>180</v>
      </c>
      <c r="V49" s="32">
        <v>9</v>
      </c>
      <c r="W49" s="32">
        <v>0</v>
      </c>
      <c r="X49" s="32">
        <v>100</v>
      </c>
      <c r="Y49" s="75">
        <v>18</v>
      </c>
      <c r="Z49" s="33">
        <v>0</v>
      </c>
      <c r="AA49" s="34">
        <v>30</v>
      </c>
      <c r="AB49" s="34">
        <v>0</v>
      </c>
      <c r="AC49" s="34">
        <v>0</v>
      </c>
      <c r="AD49" s="35">
        <v>0</v>
      </c>
      <c r="AE49" s="34">
        <v>0</v>
      </c>
      <c r="AF49" s="34">
        <v>0</v>
      </c>
      <c r="AG49" s="34">
        <v>0</v>
      </c>
      <c r="AH49" s="21"/>
      <c r="AI49" s="22"/>
      <c r="AK49" s="87">
        <f t="shared" si="2"/>
        <v>0.625</v>
      </c>
      <c r="AL49" s="87">
        <f t="shared" si="2"/>
        <v>0.75</v>
      </c>
      <c r="AM49" s="87">
        <f t="shared" si="2"/>
        <v>1.5</v>
      </c>
      <c r="AN49" s="87">
        <f t="shared" si="2"/>
        <v>1.2857142857142858</v>
      </c>
      <c r="AO49" s="87">
        <f t="shared" si="2"/>
        <v>0</v>
      </c>
      <c r="AP49" s="87"/>
      <c r="AQ49" s="87"/>
      <c r="AR49" s="87"/>
      <c r="AS49" s="87">
        <f t="shared" si="3"/>
        <v>0.17142857142857143</v>
      </c>
      <c r="AT49" s="87"/>
      <c r="AU49" s="87"/>
      <c r="AV49" s="87"/>
      <c r="AW49" s="87"/>
      <c r="AX49" s="87"/>
      <c r="AY49" s="87"/>
    </row>
    <row r="50" spans="1:51" ht="17.399999999999999" x14ac:dyDescent="0.25">
      <c r="B50" s="16" t="s">
        <v>44</v>
      </c>
      <c r="C50" s="16" t="s">
        <v>90</v>
      </c>
      <c r="D50" s="17">
        <v>40</v>
      </c>
      <c r="E50" s="18">
        <v>20</v>
      </c>
      <c r="F50" s="17">
        <v>120</v>
      </c>
      <c r="G50" s="19">
        <v>7</v>
      </c>
      <c r="H50" s="19">
        <v>4</v>
      </c>
      <c r="I50" s="19">
        <v>0</v>
      </c>
      <c r="J50" s="18">
        <v>0</v>
      </c>
      <c r="K50" s="20">
        <v>0</v>
      </c>
      <c r="L50" s="20">
        <f t="shared" si="1"/>
        <v>175</v>
      </c>
      <c r="M50" s="20"/>
      <c r="N50" s="20">
        <v>0</v>
      </c>
      <c r="O50" s="19"/>
      <c r="P50" s="19"/>
      <c r="Q50" s="19"/>
      <c r="R50" s="18"/>
      <c r="S50" s="31">
        <v>34</v>
      </c>
      <c r="T50" s="31">
        <v>27</v>
      </c>
      <c r="U50" s="31">
        <v>800</v>
      </c>
      <c r="V50" s="32">
        <v>2</v>
      </c>
      <c r="W50" s="32">
        <v>0</v>
      </c>
      <c r="X50" s="32">
        <v>50</v>
      </c>
      <c r="Y50" s="75">
        <v>20</v>
      </c>
      <c r="Z50" s="33">
        <v>0</v>
      </c>
      <c r="AA50" s="34">
        <v>24</v>
      </c>
      <c r="AB50" s="34">
        <v>0</v>
      </c>
      <c r="AC50" s="34">
        <v>0</v>
      </c>
      <c r="AD50" s="35">
        <v>0</v>
      </c>
      <c r="AE50" s="34">
        <v>0</v>
      </c>
      <c r="AF50" s="34">
        <v>0</v>
      </c>
      <c r="AG50" s="34">
        <v>0</v>
      </c>
      <c r="AH50" s="21"/>
      <c r="AI50" s="22"/>
      <c r="AK50" s="87">
        <f t="shared" si="2"/>
        <v>0.85</v>
      </c>
      <c r="AL50" s="87">
        <f t="shared" si="2"/>
        <v>1.35</v>
      </c>
      <c r="AM50" s="87">
        <f t="shared" si="2"/>
        <v>6.666666666666667</v>
      </c>
      <c r="AN50" s="87">
        <f t="shared" si="2"/>
        <v>0.2857142857142857</v>
      </c>
      <c r="AO50" s="87">
        <f t="shared" si="2"/>
        <v>0</v>
      </c>
      <c r="AP50" s="87"/>
      <c r="AQ50" s="87"/>
      <c r="AR50" s="87"/>
      <c r="AS50" s="87">
        <f t="shared" si="3"/>
        <v>0.13714285714285715</v>
      </c>
      <c r="AT50" s="87"/>
      <c r="AU50" s="87"/>
      <c r="AV50" s="87"/>
      <c r="AW50" s="87"/>
      <c r="AX50" s="87"/>
      <c r="AY50" s="87"/>
    </row>
    <row r="51" spans="1:51" ht="17.399999999999999" x14ac:dyDescent="0.25">
      <c r="B51" s="16" t="s">
        <v>44</v>
      </c>
      <c r="C51" s="16" t="s">
        <v>91</v>
      </c>
      <c r="D51" s="17">
        <v>40</v>
      </c>
      <c r="E51" s="18">
        <v>20</v>
      </c>
      <c r="F51" s="17">
        <v>120</v>
      </c>
      <c r="G51" s="19">
        <v>7</v>
      </c>
      <c r="H51" s="19">
        <v>4</v>
      </c>
      <c r="I51" s="19">
        <v>0</v>
      </c>
      <c r="J51" s="18">
        <v>0</v>
      </c>
      <c r="K51" s="20">
        <v>0</v>
      </c>
      <c r="L51" s="20">
        <f t="shared" si="1"/>
        <v>175</v>
      </c>
      <c r="M51" s="20"/>
      <c r="N51" s="20">
        <v>0</v>
      </c>
      <c r="O51" s="19"/>
      <c r="P51" s="19"/>
      <c r="Q51" s="19"/>
      <c r="R51" s="18"/>
      <c r="S51" s="31">
        <v>15</v>
      </c>
      <c r="T51" s="31">
        <v>0</v>
      </c>
      <c r="U51" s="31">
        <v>0</v>
      </c>
      <c r="V51" s="32">
        <v>0</v>
      </c>
      <c r="W51" s="32">
        <v>0</v>
      </c>
      <c r="X51" s="32">
        <v>0</v>
      </c>
      <c r="Y51" s="75">
        <v>0</v>
      </c>
      <c r="Z51" s="33">
        <v>0</v>
      </c>
      <c r="AA51" s="34">
        <v>0</v>
      </c>
      <c r="AB51" s="34">
        <v>0</v>
      </c>
      <c r="AC51" s="34">
        <v>0</v>
      </c>
      <c r="AD51" s="35">
        <v>0</v>
      </c>
      <c r="AE51" s="34">
        <v>0</v>
      </c>
      <c r="AF51" s="34">
        <v>0</v>
      </c>
      <c r="AG51" s="34">
        <v>0</v>
      </c>
      <c r="AH51" s="21"/>
      <c r="AI51" s="22"/>
      <c r="AK51" s="87">
        <f t="shared" si="2"/>
        <v>0.375</v>
      </c>
      <c r="AL51" s="87">
        <f t="shared" si="2"/>
        <v>0</v>
      </c>
      <c r="AM51" s="87">
        <f t="shared" si="2"/>
        <v>0</v>
      </c>
      <c r="AN51" s="87">
        <f t="shared" si="2"/>
        <v>0</v>
      </c>
      <c r="AO51" s="87">
        <f t="shared" si="2"/>
        <v>0</v>
      </c>
      <c r="AP51" s="87"/>
      <c r="AQ51" s="87"/>
      <c r="AR51" s="87"/>
      <c r="AS51" s="87">
        <f t="shared" si="3"/>
        <v>0</v>
      </c>
      <c r="AT51" s="87"/>
      <c r="AU51" s="87"/>
      <c r="AV51" s="87"/>
      <c r="AW51" s="87"/>
      <c r="AX51" s="87"/>
      <c r="AY51" s="87"/>
    </row>
    <row r="52" spans="1:51" ht="17.399999999999999" x14ac:dyDescent="0.25">
      <c r="B52" s="16" t="s">
        <v>44</v>
      </c>
      <c r="C52" s="16" t="s">
        <v>92</v>
      </c>
      <c r="D52" s="17">
        <v>40</v>
      </c>
      <c r="E52" s="18">
        <v>20</v>
      </c>
      <c r="F52" s="17">
        <v>120</v>
      </c>
      <c r="G52" s="19">
        <v>7</v>
      </c>
      <c r="H52" s="19">
        <v>4</v>
      </c>
      <c r="I52" s="19">
        <v>0</v>
      </c>
      <c r="J52" s="18">
        <v>0</v>
      </c>
      <c r="K52" s="20">
        <v>0</v>
      </c>
      <c r="L52" s="20">
        <f t="shared" si="1"/>
        <v>175</v>
      </c>
      <c r="M52" s="20"/>
      <c r="N52" s="20">
        <v>0</v>
      </c>
      <c r="O52" s="19"/>
      <c r="P52" s="19"/>
      <c r="Q52" s="19"/>
      <c r="R52" s="18"/>
      <c r="S52" s="31">
        <v>45</v>
      </c>
      <c r="T52" s="31">
        <v>29</v>
      </c>
      <c r="U52" s="31">
        <v>80</v>
      </c>
      <c r="V52" s="32">
        <v>5</v>
      </c>
      <c r="W52" s="32">
        <v>0</v>
      </c>
      <c r="X52" s="32">
        <v>90</v>
      </c>
      <c r="Y52" s="75">
        <v>11</v>
      </c>
      <c r="Z52" s="33">
        <v>0</v>
      </c>
      <c r="AA52" s="34">
        <v>60</v>
      </c>
      <c r="AB52" s="34">
        <v>0</v>
      </c>
      <c r="AC52" s="34">
        <v>0</v>
      </c>
      <c r="AD52" s="35">
        <v>0</v>
      </c>
      <c r="AE52" s="34">
        <v>0</v>
      </c>
      <c r="AF52" s="34">
        <v>0</v>
      </c>
      <c r="AG52" s="34">
        <v>0</v>
      </c>
      <c r="AH52" s="21"/>
      <c r="AI52" s="22"/>
      <c r="AK52" s="87">
        <f t="shared" si="2"/>
        <v>1.125</v>
      </c>
      <c r="AL52" s="87">
        <f t="shared" si="2"/>
        <v>1.45</v>
      </c>
      <c r="AM52" s="87">
        <f t="shared" si="2"/>
        <v>0.66666666666666663</v>
      </c>
      <c r="AN52" s="87">
        <f t="shared" si="2"/>
        <v>0.7142857142857143</v>
      </c>
      <c r="AO52" s="87">
        <f t="shared" si="2"/>
        <v>0</v>
      </c>
      <c r="AP52" s="87"/>
      <c r="AQ52" s="87"/>
      <c r="AR52" s="87"/>
      <c r="AS52" s="87">
        <f t="shared" si="3"/>
        <v>0.34285714285714286</v>
      </c>
      <c r="AT52" s="87"/>
      <c r="AU52" s="87"/>
      <c r="AV52" s="87"/>
      <c r="AW52" s="87"/>
      <c r="AX52" s="87"/>
      <c r="AY52" s="87"/>
    </row>
    <row r="53" spans="1:51" ht="17.399999999999999" x14ac:dyDescent="0.25">
      <c r="B53" s="16" t="s">
        <v>44</v>
      </c>
      <c r="C53" s="16" t="s">
        <v>93</v>
      </c>
      <c r="D53" s="17">
        <v>40</v>
      </c>
      <c r="E53" s="18">
        <v>20</v>
      </c>
      <c r="F53" s="17">
        <v>120</v>
      </c>
      <c r="G53" s="19">
        <v>7</v>
      </c>
      <c r="H53" s="19">
        <v>4</v>
      </c>
      <c r="I53" s="19">
        <v>0</v>
      </c>
      <c r="J53" s="18">
        <v>0</v>
      </c>
      <c r="K53" s="20">
        <v>0</v>
      </c>
      <c r="L53" s="20">
        <f t="shared" si="1"/>
        <v>175</v>
      </c>
      <c r="M53" s="20"/>
      <c r="N53" s="20">
        <v>0</v>
      </c>
      <c r="O53" s="19"/>
      <c r="P53" s="19"/>
      <c r="Q53" s="19"/>
      <c r="R53" s="18"/>
      <c r="S53" s="31">
        <v>27</v>
      </c>
      <c r="T53" s="31">
        <v>10</v>
      </c>
      <c r="U53" s="31">
        <v>90</v>
      </c>
      <c r="V53" s="32">
        <v>2</v>
      </c>
      <c r="W53" s="32">
        <v>0</v>
      </c>
      <c r="X53" s="32">
        <v>0</v>
      </c>
      <c r="Y53" s="75">
        <v>50</v>
      </c>
      <c r="Z53" s="33">
        <v>0</v>
      </c>
      <c r="AA53" s="34">
        <v>40</v>
      </c>
      <c r="AB53" s="34">
        <v>0</v>
      </c>
      <c r="AC53" s="34">
        <v>0</v>
      </c>
      <c r="AD53" s="35">
        <v>0</v>
      </c>
      <c r="AE53" s="34">
        <v>0</v>
      </c>
      <c r="AF53" s="34">
        <v>0</v>
      </c>
      <c r="AG53" s="34">
        <v>0</v>
      </c>
      <c r="AH53" s="21"/>
      <c r="AI53" s="22"/>
      <c r="AK53" s="87">
        <f t="shared" si="2"/>
        <v>0.67500000000000004</v>
      </c>
      <c r="AL53" s="87">
        <f t="shared" si="2"/>
        <v>0.5</v>
      </c>
      <c r="AM53" s="87">
        <f t="shared" si="2"/>
        <v>0.75</v>
      </c>
      <c r="AN53" s="87">
        <f t="shared" si="2"/>
        <v>0.2857142857142857</v>
      </c>
      <c r="AO53" s="87">
        <f t="shared" si="2"/>
        <v>0</v>
      </c>
      <c r="AP53" s="87"/>
      <c r="AQ53" s="87"/>
      <c r="AR53" s="87"/>
      <c r="AS53" s="87">
        <f t="shared" si="3"/>
        <v>0.22857142857142856</v>
      </c>
      <c r="AT53" s="87"/>
      <c r="AU53" s="87"/>
      <c r="AV53" s="87"/>
      <c r="AW53" s="87"/>
      <c r="AX53" s="87"/>
      <c r="AY53" s="87"/>
    </row>
    <row r="54" spans="1:51" ht="17.399999999999999" x14ac:dyDescent="0.25">
      <c r="B54" s="16" t="s">
        <v>44</v>
      </c>
      <c r="C54" s="16" t="s">
        <v>94</v>
      </c>
      <c r="D54" s="17">
        <v>40</v>
      </c>
      <c r="E54" s="18">
        <v>20</v>
      </c>
      <c r="F54" s="17">
        <v>120</v>
      </c>
      <c r="G54" s="19">
        <v>7</v>
      </c>
      <c r="H54" s="19">
        <v>4</v>
      </c>
      <c r="I54" s="19">
        <v>0</v>
      </c>
      <c r="J54" s="18">
        <v>0</v>
      </c>
      <c r="K54" s="20">
        <v>0</v>
      </c>
      <c r="L54" s="20">
        <f t="shared" si="1"/>
        <v>175</v>
      </c>
      <c r="M54" s="20"/>
      <c r="N54" s="20">
        <v>0</v>
      </c>
      <c r="O54" s="19"/>
      <c r="P54" s="19"/>
      <c r="Q54" s="19"/>
      <c r="R54" s="18"/>
      <c r="S54" s="31">
        <v>25</v>
      </c>
      <c r="T54" s="31">
        <v>12</v>
      </c>
      <c r="U54" s="31">
        <v>110</v>
      </c>
      <c r="V54" s="32">
        <v>0</v>
      </c>
      <c r="W54" s="32">
        <v>0</v>
      </c>
      <c r="X54" s="32">
        <v>10</v>
      </c>
      <c r="Y54" s="75">
        <v>12</v>
      </c>
      <c r="Z54" s="33">
        <v>0</v>
      </c>
      <c r="AA54" s="34">
        <v>60</v>
      </c>
      <c r="AB54" s="34">
        <v>0</v>
      </c>
      <c r="AC54" s="34">
        <v>0</v>
      </c>
      <c r="AD54" s="35">
        <v>0</v>
      </c>
      <c r="AE54" s="34">
        <v>0</v>
      </c>
      <c r="AF54" s="34">
        <v>0</v>
      </c>
      <c r="AG54" s="34">
        <v>0</v>
      </c>
      <c r="AH54" s="21"/>
      <c r="AI54" s="22"/>
      <c r="AK54" s="87">
        <f t="shared" si="2"/>
        <v>0.625</v>
      </c>
      <c r="AL54" s="87">
        <f t="shared" si="2"/>
        <v>0.6</v>
      </c>
      <c r="AM54" s="87">
        <f t="shared" si="2"/>
        <v>0.91666666666666663</v>
      </c>
      <c r="AN54" s="87">
        <f t="shared" si="2"/>
        <v>0</v>
      </c>
      <c r="AO54" s="87">
        <f t="shared" si="2"/>
        <v>0</v>
      </c>
      <c r="AP54" s="87"/>
      <c r="AQ54" s="87"/>
      <c r="AR54" s="87"/>
      <c r="AS54" s="87">
        <f t="shared" si="3"/>
        <v>0.34285714285714286</v>
      </c>
      <c r="AT54" s="87"/>
      <c r="AU54" s="87"/>
      <c r="AV54" s="87"/>
      <c r="AW54" s="87"/>
      <c r="AX54" s="87"/>
      <c r="AY54" s="87"/>
    </row>
    <row r="55" spans="1:51" s="51" customFormat="1" ht="17.399999999999999" x14ac:dyDescent="0.25">
      <c r="A55" s="51">
        <v>2</v>
      </c>
      <c r="B55" s="16" t="s">
        <v>17</v>
      </c>
      <c r="C55" s="16"/>
      <c r="D55" s="61">
        <f>SUM(D5:D54)</f>
        <v>2000</v>
      </c>
      <c r="E55" s="61">
        <f t="shared" ref="E55:AG55" si="4">SUM(E5:E54)</f>
        <v>1000</v>
      </c>
      <c r="F55" s="61">
        <f t="shared" si="4"/>
        <v>6000</v>
      </c>
      <c r="G55" s="61">
        <f t="shared" si="4"/>
        <v>350</v>
      </c>
      <c r="H55" s="61">
        <f t="shared" si="4"/>
        <v>200</v>
      </c>
      <c r="I55" s="61">
        <f t="shared" si="4"/>
        <v>0</v>
      </c>
      <c r="J55" s="61">
        <f t="shared" si="4"/>
        <v>0</v>
      </c>
      <c r="K55" s="61">
        <f t="shared" si="4"/>
        <v>0</v>
      </c>
      <c r="L55" s="61">
        <f t="shared" si="4"/>
        <v>8750</v>
      </c>
      <c r="M55" s="61">
        <f t="shared" si="4"/>
        <v>0</v>
      </c>
      <c r="N55" s="61">
        <f t="shared" si="4"/>
        <v>0</v>
      </c>
      <c r="O55" s="61">
        <f t="shared" si="4"/>
        <v>0</v>
      </c>
      <c r="P55" s="61">
        <f t="shared" si="4"/>
        <v>0</v>
      </c>
      <c r="Q55" s="61">
        <f t="shared" si="4"/>
        <v>0</v>
      </c>
      <c r="R55" s="61">
        <f t="shared" si="4"/>
        <v>0</v>
      </c>
      <c r="S55" s="61">
        <f t="shared" si="4"/>
        <v>1491</v>
      </c>
      <c r="T55" s="61">
        <f t="shared" si="4"/>
        <v>915</v>
      </c>
      <c r="U55" s="61">
        <f t="shared" si="4"/>
        <v>6157</v>
      </c>
      <c r="V55" s="61">
        <f t="shared" si="4"/>
        <v>162</v>
      </c>
      <c r="W55" s="61">
        <f t="shared" si="4"/>
        <v>15</v>
      </c>
      <c r="X55" s="61">
        <f t="shared" si="4"/>
        <v>1686</v>
      </c>
      <c r="Y55" s="61">
        <f t="shared" si="4"/>
        <v>439</v>
      </c>
      <c r="Z55" s="61">
        <f t="shared" si="4"/>
        <v>0</v>
      </c>
      <c r="AA55" s="61">
        <f t="shared" si="4"/>
        <v>2231</v>
      </c>
      <c r="AB55" s="61">
        <f t="shared" si="4"/>
        <v>0</v>
      </c>
      <c r="AC55" s="61">
        <f t="shared" si="4"/>
        <v>0</v>
      </c>
      <c r="AD55" s="61">
        <f t="shared" si="4"/>
        <v>0</v>
      </c>
      <c r="AE55" s="61">
        <f t="shared" si="4"/>
        <v>0</v>
      </c>
      <c r="AF55" s="61">
        <f t="shared" si="4"/>
        <v>0</v>
      </c>
      <c r="AG55" s="61">
        <f t="shared" si="4"/>
        <v>0</v>
      </c>
      <c r="AH55" s="36">
        <f>SUM(AH5:AH34)</f>
        <v>0</v>
      </c>
      <c r="AI55" s="64">
        <f>SUM(AI5:AI34)</f>
        <v>0</v>
      </c>
      <c r="AK55" s="87">
        <f t="shared" si="2"/>
        <v>0.74550000000000005</v>
      </c>
      <c r="AL55" s="87">
        <f t="shared" si="2"/>
        <v>0.91500000000000004</v>
      </c>
      <c r="AM55" s="87">
        <f t="shared" si="2"/>
        <v>1.0261666666666667</v>
      </c>
      <c r="AN55" s="87">
        <f t="shared" si="2"/>
        <v>0.46285714285714286</v>
      </c>
      <c r="AO55" s="87">
        <f t="shared" si="2"/>
        <v>7.4999999999999997E-2</v>
      </c>
      <c r="AP55" s="87"/>
      <c r="AQ55" s="87"/>
      <c r="AR55" s="87"/>
      <c r="AS55" s="87">
        <f t="shared" si="3"/>
        <v>0.25497142857142857</v>
      </c>
      <c r="AT55" s="87"/>
      <c r="AU55" s="87"/>
      <c r="AV55" s="87"/>
      <c r="AW55" s="87"/>
      <c r="AX55" s="87"/>
      <c r="AY55" s="87"/>
    </row>
    <row r="56" spans="1:51" ht="14.4" thickBot="1" x14ac:dyDescent="0.3"/>
    <row r="57" spans="1:51" ht="20.399999999999999" thickBot="1" x14ac:dyDescent="0.3">
      <c r="B57" s="111" t="s">
        <v>18</v>
      </c>
      <c r="C57" s="112"/>
      <c r="D57" s="23">
        <f>D55</f>
        <v>2000</v>
      </c>
      <c r="E57" s="23">
        <f>E55</f>
        <v>1000</v>
      </c>
      <c r="F57" s="65">
        <f>F55/120</f>
        <v>50</v>
      </c>
      <c r="G57" s="66">
        <f>G55/6</f>
        <v>58.333333333333336</v>
      </c>
      <c r="H57" s="66">
        <f>H55/10</f>
        <v>20</v>
      </c>
      <c r="I57" s="66">
        <f>I55/100</f>
        <v>0</v>
      </c>
      <c r="J57" s="67">
        <f>J55/10</f>
        <v>0</v>
      </c>
      <c r="K57" s="68">
        <f>K55/60</f>
        <v>0</v>
      </c>
      <c r="L57" s="68">
        <f>L55/120</f>
        <v>72.916666666666671</v>
      </c>
      <c r="M57" s="68">
        <f>M55/100</f>
        <v>0</v>
      </c>
      <c r="N57" s="68">
        <f>N55/60</f>
        <v>0</v>
      </c>
      <c r="O57" s="27">
        <f>O55</f>
        <v>0</v>
      </c>
      <c r="P57" s="27">
        <f t="shared" ref="P57:R57" si="5">P55</f>
        <v>0</v>
      </c>
      <c r="Q57" s="27">
        <f t="shared" si="5"/>
        <v>0</v>
      </c>
      <c r="R57" s="27">
        <f t="shared" si="5"/>
        <v>0</v>
      </c>
      <c r="S57" s="24">
        <f>S55</f>
        <v>1491</v>
      </c>
      <c r="T57" s="24">
        <f>T55</f>
        <v>915</v>
      </c>
      <c r="U57" s="24">
        <f>U55/120</f>
        <v>51.30833333333333</v>
      </c>
      <c r="V57" s="25">
        <f>V55/6</f>
        <v>27</v>
      </c>
      <c r="W57" s="25">
        <f>W55/10</f>
        <v>1.5</v>
      </c>
      <c r="X57" s="25">
        <f>X55/100</f>
        <v>16.86</v>
      </c>
      <c r="Y57" s="76">
        <f>Y55/20</f>
        <v>21.95</v>
      </c>
      <c r="Z57" s="26">
        <f>Z55/60</f>
        <v>0</v>
      </c>
      <c r="AA57" s="27">
        <f>AA55/120</f>
        <v>18.591666666666665</v>
      </c>
      <c r="AB57" s="27">
        <f>AB55/100</f>
        <v>0</v>
      </c>
      <c r="AC57" s="27">
        <f>AC55/60</f>
        <v>0</v>
      </c>
      <c r="AD57" s="27">
        <f>AD55</f>
        <v>0</v>
      </c>
      <c r="AE57" s="27">
        <f t="shared" ref="AE57:AG57" si="6">AE55</f>
        <v>0</v>
      </c>
      <c r="AF57" s="27">
        <f t="shared" si="6"/>
        <v>0</v>
      </c>
      <c r="AG57" s="27">
        <f t="shared" si="6"/>
        <v>0</v>
      </c>
      <c r="AH57" s="23"/>
      <c r="AI57" s="28"/>
      <c r="AK57" s="24"/>
      <c r="AL57" s="23"/>
      <c r="AM57" s="24">
        <f>AM55/120</f>
        <v>8.5513888888888896E-3</v>
      </c>
      <c r="AN57" s="25">
        <f>AN55/6</f>
        <v>7.7142857142857138E-2</v>
      </c>
      <c r="AO57" s="25">
        <f>AO55/20</f>
        <v>3.7499999999999999E-3</v>
      </c>
      <c r="AP57" s="25">
        <f>AP55/100</f>
        <v>0</v>
      </c>
      <c r="AQ57" s="76"/>
      <c r="AR57" s="26">
        <f>AR55/20</f>
        <v>0</v>
      </c>
      <c r="AS57" s="27">
        <f>AS55/120</f>
        <v>2.1247619047619049E-3</v>
      </c>
      <c r="AT57" s="27"/>
      <c r="AU57" s="27">
        <f>AU55/100</f>
        <v>0</v>
      </c>
      <c r="AV57" s="27">
        <f t="shared" ref="AV57:AY57" si="7">AV55/100</f>
        <v>0</v>
      </c>
      <c r="AW57" s="27">
        <f t="shared" si="7"/>
        <v>0</v>
      </c>
      <c r="AX57" s="27">
        <f t="shared" si="7"/>
        <v>0</v>
      </c>
      <c r="AY57" s="27">
        <f t="shared" si="7"/>
        <v>0</v>
      </c>
    </row>
  </sheetData>
  <mergeCells count="16">
    <mergeCell ref="B57:C5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RECAP PAR JOUR</vt:lpstr>
      <vt:lpstr>RECAP PAR MAGASIN</vt:lpstr>
      <vt:lpstr>JOUR 1</vt:lpstr>
      <vt:lpstr>JOUR 2</vt:lpstr>
      <vt:lpstr>JOUR 3</vt:lpstr>
      <vt:lpstr>JOUR 4</vt:lpstr>
      <vt:lpstr>JOUR 5</vt:lpstr>
      <vt:lpstr>JOUR 6</vt:lpstr>
      <vt:lpstr>JOUR 7</vt:lpstr>
      <vt:lpstr>JOUR 8</vt:lpstr>
      <vt:lpstr>JOUR 9</vt:lpstr>
      <vt:lpstr>JOUR 10</vt:lpstr>
      <vt:lpstr>JOUR 11</vt:lpstr>
      <vt:lpstr>JOUR 12</vt:lpstr>
      <vt:lpstr>JOUR 13</vt:lpstr>
      <vt:lpstr>JOUR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Edwige Emmanuelle Tanoh</cp:lastModifiedBy>
  <dcterms:created xsi:type="dcterms:W3CDTF">2026-02-12T22:08:50Z</dcterms:created>
  <dcterms:modified xsi:type="dcterms:W3CDTF">2026-06-13T11:21:48Z</dcterms:modified>
</cp:coreProperties>
</file>