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blos856-my.sharepoint.com/personal/edwige_tanoh_biblos_ci/Documents/Bureau/DOSSIER TRACKER/"/>
    </mc:Choice>
  </mc:AlternateContent>
  <xr:revisionPtr revIDLastSave="36" documentId="13_ncr:1_{CDE50745-2B59-4339-909D-4F182D740505}" xr6:coauthVersionLast="47" xr6:coauthVersionMax="47" xr10:uidLastSave="{D1DED9FF-ABA8-4D37-B4D4-37D909298EED}"/>
  <bookViews>
    <workbookView xWindow="-108" yWindow="-108" windowWidth="23256" windowHeight="12456" firstSheet="3" activeTab="12" xr2:uid="{05167F89-FAE9-48E2-BC3B-DC2773EB0E85}"/>
  </bookViews>
  <sheets>
    <sheet name="RECAP PAR JOUR" sheetId="11" r:id="rId1"/>
    <sheet name="RECAP PAR MAGASIN" sheetId="42" r:id="rId2"/>
    <sheet name="JOUR 1" sheetId="1" r:id="rId3"/>
    <sheet name="JOUR 2" sheetId="27" r:id="rId4"/>
    <sheet name="JOUR 3" sheetId="28" r:id="rId5"/>
    <sheet name="JOUR 4" sheetId="29" r:id="rId6"/>
    <sheet name="JOUR 5" sheetId="30" r:id="rId7"/>
    <sheet name="JOUR 6" sheetId="31" r:id="rId8"/>
    <sheet name="JOUR 7" sheetId="32" r:id="rId9"/>
    <sheet name="JOUR 8" sheetId="33" r:id="rId10"/>
    <sheet name="JOUR 9" sheetId="34" r:id="rId11"/>
    <sheet name="JOUR 10" sheetId="35" r:id="rId12"/>
    <sheet name="JOUR 11" sheetId="3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1" l="1"/>
  <c r="J5" i="11"/>
  <c r="I5" i="11"/>
  <c r="E6" i="11"/>
  <c r="E7" i="11"/>
  <c r="E8" i="11"/>
  <c r="E9" i="11"/>
  <c r="E10" i="11"/>
  <c r="E11" i="11"/>
  <c r="E12" i="11"/>
  <c r="E13" i="11"/>
  <c r="E14" i="11"/>
  <c r="E15" i="11"/>
  <c r="E16" i="11"/>
  <c r="E5" i="11"/>
  <c r="B6" i="11"/>
  <c r="B7" i="11"/>
  <c r="B8" i="11"/>
  <c r="B9" i="11"/>
  <c r="B10" i="11"/>
  <c r="B11" i="11"/>
  <c r="B12" i="11"/>
  <c r="B13" i="11"/>
  <c r="B14" i="11"/>
  <c r="B15" i="11"/>
  <c r="B16" i="11"/>
  <c r="B5" i="11"/>
  <c r="AK16" i="1"/>
  <c r="AO17" i="36" l="1"/>
  <c r="AN17" i="36"/>
  <c r="AM17" i="36"/>
  <c r="AL17" i="36"/>
  <c r="AK17" i="36"/>
  <c r="L17" i="36"/>
  <c r="AS17" i="36" s="1"/>
  <c r="AS16" i="36"/>
  <c r="AO16" i="36"/>
  <c r="AN16" i="36"/>
  <c r="AM16" i="36"/>
  <c r="AL16" i="36"/>
  <c r="AK16" i="36"/>
  <c r="L16" i="36"/>
  <c r="AO15" i="36"/>
  <c r="AN15" i="36"/>
  <c r="AM15" i="36"/>
  <c r="AL15" i="36"/>
  <c r="AK15" i="36"/>
  <c r="L15" i="36"/>
  <c r="AS15" i="36" s="1"/>
  <c r="AS14" i="36"/>
  <c r="AO14" i="36"/>
  <c r="AN14" i="36"/>
  <c r="AM14" i="36"/>
  <c r="AL14" i="36"/>
  <c r="AK14" i="36"/>
  <c r="L14" i="36"/>
  <c r="AO13" i="36"/>
  <c r="AN13" i="36"/>
  <c r="AM13" i="36"/>
  <c r="AL13" i="36"/>
  <c r="AK13" i="36"/>
  <c r="L13" i="36"/>
  <c r="AS13" i="36" s="1"/>
  <c r="AS12" i="36"/>
  <c r="AO12" i="36"/>
  <c r="AN12" i="36"/>
  <c r="AM12" i="36"/>
  <c r="AL12" i="36"/>
  <c r="AK12" i="36"/>
  <c r="L12" i="36"/>
  <c r="AS11" i="36"/>
  <c r="AO11" i="36"/>
  <c r="AN11" i="36"/>
  <c r="AM11" i="36"/>
  <c r="AL11" i="36"/>
  <c r="AK11" i="36"/>
  <c r="L11" i="36"/>
  <c r="L11" i="42" s="1"/>
  <c r="AO10" i="36"/>
  <c r="AN10" i="36"/>
  <c r="AM10" i="36"/>
  <c r="AL10" i="36"/>
  <c r="AK10" i="36"/>
  <c r="L10" i="36"/>
  <c r="AS10" i="36" s="1"/>
  <c r="AS9" i="36"/>
  <c r="AO9" i="36"/>
  <c r="AN9" i="36"/>
  <c r="AM9" i="36"/>
  <c r="AL9" i="36"/>
  <c r="AK9" i="36"/>
  <c r="L9" i="36"/>
  <c r="AO8" i="36"/>
  <c r="AN8" i="36"/>
  <c r="AM8" i="36"/>
  <c r="AL8" i="36"/>
  <c r="AK8" i="36"/>
  <c r="L8" i="36"/>
  <c r="AS8" i="36" s="1"/>
  <c r="AS7" i="36"/>
  <c r="AO7" i="36"/>
  <c r="AN7" i="36"/>
  <c r="AM7" i="36"/>
  <c r="AL7" i="36"/>
  <c r="AK7" i="36"/>
  <c r="L7" i="36"/>
  <c r="AO6" i="36"/>
  <c r="AN6" i="36"/>
  <c r="AM6" i="36"/>
  <c r="AL6" i="36"/>
  <c r="AK6" i="36"/>
  <c r="L6" i="36"/>
  <c r="L25" i="36" s="1"/>
  <c r="AO5" i="36"/>
  <c r="AN5" i="36"/>
  <c r="AM5" i="36"/>
  <c r="AL5" i="36"/>
  <c r="AK5" i="36"/>
  <c r="L5" i="36"/>
  <c r="AS5" i="36" s="1"/>
  <c r="AO17" i="35"/>
  <c r="AN17" i="35"/>
  <c r="AM17" i="35"/>
  <c r="AL17" i="35"/>
  <c r="AK17" i="35"/>
  <c r="L17" i="35"/>
  <c r="AS17" i="35" s="1"/>
  <c r="AS16" i="35"/>
  <c r="AO16" i="35"/>
  <c r="AN16" i="35"/>
  <c r="AM16" i="35"/>
  <c r="AL16" i="35"/>
  <c r="AK16" i="35"/>
  <c r="L16" i="35"/>
  <c r="AO15" i="35"/>
  <c r="AN15" i="35"/>
  <c r="AM15" i="35"/>
  <c r="AL15" i="35"/>
  <c r="AK15" i="35"/>
  <c r="L15" i="35"/>
  <c r="AS15" i="35" s="1"/>
  <c r="AS14" i="35"/>
  <c r="AO14" i="35"/>
  <c r="AN14" i="35"/>
  <c r="AM14" i="35"/>
  <c r="AL14" i="35"/>
  <c r="AK14" i="35"/>
  <c r="L14" i="35"/>
  <c r="AO13" i="35"/>
  <c r="AN13" i="35"/>
  <c r="AM13" i="35"/>
  <c r="AL13" i="35"/>
  <c r="AK13" i="35"/>
  <c r="L13" i="35"/>
  <c r="AS13" i="35" s="1"/>
  <c r="AS12" i="35"/>
  <c r="AO12" i="35"/>
  <c r="AN12" i="35"/>
  <c r="AM12" i="35"/>
  <c r="AL12" i="35"/>
  <c r="AK12" i="35"/>
  <c r="L12" i="35"/>
  <c r="AS11" i="35"/>
  <c r="AO11" i="35"/>
  <c r="AN11" i="35"/>
  <c r="AM11" i="35"/>
  <c r="AL11" i="35"/>
  <c r="AK11" i="35"/>
  <c r="L11" i="35"/>
  <c r="AO10" i="35"/>
  <c r="AN10" i="35"/>
  <c r="AM10" i="35"/>
  <c r="AL10" i="35"/>
  <c r="AK10" i="35"/>
  <c r="L10" i="35"/>
  <c r="AS10" i="35" s="1"/>
  <c r="AS9" i="35"/>
  <c r="AO9" i="35"/>
  <c r="AN9" i="35"/>
  <c r="AM9" i="35"/>
  <c r="AL9" i="35"/>
  <c r="AK9" i="35"/>
  <c r="L9" i="35"/>
  <c r="AO8" i="35"/>
  <c r="AN8" i="35"/>
  <c r="AM8" i="35"/>
  <c r="AL8" i="35"/>
  <c r="AK8" i="35"/>
  <c r="L8" i="35"/>
  <c r="AS8" i="35" s="1"/>
  <c r="AS7" i="35"/>
  <c r="AO7" i="35"/>
  <c r="AN7" i="35"/>
  <c r="AM7" i="35"/>
  <c r="AL7" i="35"/>
  <c r="AK7" i="35"/>
  <c r="L7" i="35"/>
  <c r="AO6" i="35"/>
  <c r="AN6" i="35"/>
  <c r="AM6" i="35"/>
  <c r="AL6" i="35"/>
  <c r="AK6" i="35"/>
  <c r="L6" i="35"/>
  <c r="AS6" i="35" s="1"/>
  <c r="AO5" i="35"/>
  <c r="AN5" i="35"/>
  <c r="AM5" i="35"/>
  <c r="AL5" i="35"/>
  <c r="AK5" i="35"/>
  <c r="L5" i="35"/>
  <c r="AS5" i="35" s="1"/>
  <c r="AO17" i="34"/>
  <c r="AN17" i="34"/>
  <c r="AM17" i="34"/>
  <c r="AL17" i="34"/>
  <c r="AK17" i="34"/>
  <c r="L17" i="34"/>
  <c r="AS17" i="34" s="1"/>
  <c r="AS16" i="34"/>
  <c r="AO16" i="34"/>
  <c r="AN16" i="34"/>
  <c r="AM16" i="34"/>
  <c r="AL16" i="34"/>
  <c r="AK16" i="34"/>
  <c r="L16" i="34"/>
  <c r="AO15" i="34"/>
  <c r="AN15" i="34"/>
  <c r="AM15" i="34"/>
  <c r="AL15" i="34"/>
  <c r="AK15" i="34"/>
  <c r="L15" i="34"/>
  <c r="AS15" i="34" s="1"/>
  <c r="AS14" i="34"/>
  <c r="AO14" i="34"/>
  <c r="AN14" i="34"/>
  <c r="AM14" i="34"/>
  <c r="AL14" i="34"/>
  <c r="AK14" i="34"/>
  <c r="L14" i="34"/>
  <c r="AO13" i="34"/>
  <c r="AN13" i="34"/>
  <c r="AM13" i="34"/>
  <c r="AL13" i="34"/>
  <c r="AK13" i="34"/>
  <c r="L13" i="34"/>
  <c r="AS13" i="34" s="1"/>
  <c r="AS12" i="34"/>
  <c r="AO12" i="34"/>
  <c r="AN12" i="34"/>
  <c r="AM12" i="34"/>
  <c r="AL12" i="34"/>
  <c r="AK12" i="34"/>
  <c r="L12" i="34"/>
  <c r="AS11" i="34"/>
  <c r="AO11" i="34"/>
  <c r="AN11" i="34"/>
  <c r="AM11" i="34"/>
  <c r="AL11" i="34"/>
  <c r="AK11" i="34"/>
  <c r="L11" i="34"/>
  <c r="AO10" i="34"/>
  <c r="AN10" i="34"/>
  <c r="AM10" i="34"/>
  <c r="AL10" i="34"/>
  <c r="AK10" i="34"/>
  <c r="L10" i="34"/>
  <c r="AS10" i="34" s="1"/>
  <c r="AS9" i="34"/>
  <c r="AO9" i="34"/>
  <c r="AN9" i="34"/>
  <c r="AM9" i="34"/>
  <c r="AL9" i="34"/>
  <c r="AK9" i="34"/>
  <c r="L9" i="34"/>
  <c r="AO8" i="34"/>
  <c r="AN8" i="34"/>
  <c r="AM8" i="34"/>
  <c r="AL8" i="34"/>
  <c r="AK8" i="34"/>
  <c r="L8" i="34"/>
  <c r="AS8" i="34" s="1"/>
  <c r="AS7" i="34"/>
  <c r="AO7" i="34"/>
  <c r="AN7" i="34"/>
  <c r="AM7" i="34"/>
  <c r="AL7" i="34"/>
  <c r="AK7" i="34"/>
  <c r="L7" i="34"/>
  <c r="AO6" i="34"/>
  <c r="AN6" i="34"/>
  <c r="AM6" i="34"/>
  <c r="AL6" i="34"/>
  <c r="AK6" i="34"/>
  <c r="L6" i="34"/>
  <c r="AS6" i="34" s="1"/>
  <c r="AO5" i="34"/>
  <c r="AN5" i="34"/>
  <c r="AM5" i="34"/>
  <c r="AL5" i="34"/>
  <c r="AK5" i="34"/>
  <c r="L5" i="34"/>
  <c r="AS5" i="34" s="1"/>
  <c r="AO17" i="33"/>
  <c r="AN17" i="33"/>
  <c r="AM17" i="33"/>
  <c r="AL17" i="33"/>
  <c r="AK17" i="33"/>
  <c r="L17" i="33"/>
  <c r="AS17" i="33" s="1"/>
  <c r="AS16" i="33"/>
  <c r="AO16" i="33"/>
  <c r="AN16" i="33"/>
  <c r="AM16" i="33"/>
  <c r="AL16" i="33"/>
  <c r="AK16" i="33"/>
  <c r="L16" i="33"/>
  <c r="AO15" i="33"/>
  <c r="AN15" i="33"/>
  <c r="AM15" i="33"/>
  <c r="AL15" i="33"/>
  <c r="AK15" i="33"/>
  <c r="L15" i="33"/>
  <c r="AS15" i="33" s="1"/>
  <c r="AS14" i="33"/>
  <c r="AO14" i="33"/>
  <c r="AN14" i="33"/>
  <c r="AM14" i="33"/>
  <c r="AL14" i="33"/>
  <c r="AK14" i="33"/>
  <c r="L14" i="33"/>
  <c r="AO13" i="33"/>
  <c r="AN13" i="33"/>
  <c r="AM13" i="33"/>
  <c r="AL13" i="33"/>
  <c r="AK13" i="33"/>
  <c r="L13" i="33"/>
  <c r="AS13" i="33" s="1"/>
  <c r="AS12" i="33"/>
  <c r="AO12" i="33"/>
  <c r="AN12" i="33"/>
  <c r="AM12" i="33"/>
  <c r="AL12" i="33"/>
  <c r="AK12" i="33"/>
  <c r="L12" i="33"/>
  <c r="AS11" i="33"/>
  <c r="AO11" i="33"/>
  <c r="AN11" i="33"/>
  <c r="AM11" i="33"/>
  <c r="AL11" i="33"/>
  <c r="AK11" i="33"/>
  <c r="L11" i="33"/>
  <c r="AO10" i="33"/>
  <c r="AN10" i="33"/>
  <c r="AM10" i="33"/>
  <c r="AL10" i="33"/>
  <c r="AK10" i="33"/>
  <c r="L10" i="33"/>
  <c r="AS10" i="33" s="1"/>
  <c r="AS9" i="33"/>
  <c r="AO9" i="33"/>
  <c r="AN9" i="33"/>
  <c r="AM9" i="33"/>
  <c r="AL9" i="33"/>
  <c r="AK9" i="33"/>
  <c r="L9" i="33"/>
  <c r="AO8" i="33"/>
  <c r="AN8" i="33"/>
  <c r="AM8" i="33"/>
  <c r="AL8" i="33"/>
  <c r="AK8" i="33"/>
  <c r="L8" i="33"/>
  <c r="AS8" i="33" s="1"/>
  <c r="AS7" i="33"/>
  <c r="AO7" i="33"/>
  <c r="AN7" i="33"/>
  <c r="AM7" i="33"/>
  <c r="AL7" i="33"/>
  <c r="AK7" i="33"/>
  <c r="L7" i="33"/>
  <c r="AO6" i="33"/>
  <c r="AN6" i="33"/>
  <c r="AM6" i="33"/>
  <c r="AL6" i="33"/>
  <c r="AK6" i="33"/>
  <c r="L6" i="33"/>
  <c r="AS6" i="33" s="1"/>
  <c r="AO5" i="33"/>
  <c r="AN5" i="33"/>
  <c r="AM5" i="33"/>
  <c r="AL5" i="33"/>
  <c r="AK5" i="33"/>
  <c r="L5" i="33"/>
  <c r="AS5" i="33" s="1"/>
  <c r="AO17" i="32"/>
  <c r="AN17" i="32"/>
  <c r="AM17" i="32"/>
  <c r="AL17" i="32"/>
  <c r="AK17" i="32"/>
  <c r="L17" i="32"/>
  <c r="AS17" i="32" s="1"/>
  <c r="AS16" i="32"/>
  <c r="AO16" i="32"/>
  <c r="AN16" i="32"/>
  <c r="AM16" i="32"/>
  <c r="AL16" i="32"/>
  <c r="AK16" i="32"/>
  <c r="L16" i="32"/>
  <c r="AO15" i="32"/>
  <c r="AN15" i="32"/>
  <c r="AM15" i="32"/>
  <c r="AL15" i="32"/>
  <c r="AK15" i="32"/>
  <c r="L15" i="32"/>
  <c r="AS15" i="32" s="1"/>
  <c r="AS14" i="32"/>
  <c r="AO14" i="32"/>
  <c r="AN14" i="32"/>
  <c r="AM14" i="32"/>
  <c r="AL14" i="32"/>
  <c r="AK14" i="32"/>
  <c r="L14" i="32"/>
  <c r="AO13" i="32"/>
  <c r="AN13" i="32"/>
  <c r="AM13" i="32"/>
  <c r="AL13" i="32"/>
  <c r="AK13" i="32"/>
  <c r="L13" i="32"/>
  <c r="AS13" i="32" s="1"/>
  <c r="AS12" i="32"/>
  <c r="AO12" i="32"/>
  <c r="AN12" i="32"/>
  <c r="AM12" i="32"/>
  <c r="AL12" i="32"/>
  <c r="AK12" i="32"/>
  <c r="L12" i="32"/>
  <c r="AS11" i="32"/>
  <c r="AO11" i="32"/>
  <c r="AN11" i="32"/>
  <c r="AM11" i="32"/>
  <c r="AL11" i="32"/>
  <c r="AK11" i="32"/>
  <c r="L11" i="32"/>
  <c r="AO10" i="32"/>
  <c r="AN10" i="32"/>
  <c r="AM10" i="32"/>
  <c r="AL10" i="32"/>
  <c r="AK10" i="32"/>
  <c r="L10" i="32"/>
  <c r="AS10" i="32" s="1"/>
  <c r="AS9" i="32"/>
  <c r="AO9" i="32"/>
  <c r="AN9" i="32"/>
  <c r="AM9" i="32"/>
  <c r="AL9" i="32"/>
  <c r="AK9" i="32"/>
  <c r="L9" i="32"/>
  <c r="AO8" i="32"/>
  <c r="AN8" i="32"/>
  <c r="AM8" i="32"/>
  <c r="AL8" i="32"/>
  <c r="AK8" i="32"/>
  <c r="L8" i="32"/>
  <c r="AS8" i="32" s="1"/>
  <c r="AS7" i="32"/>
  <c r="AO7" i="32"/>
  <c r="AN7" i="32"/>
  <c r="AM7" i="32"/>
  <c r="AL7" i="32"/>
  <c r="AK7" i="32"/>
  <c r="L7" i="32"/>
  <c r="AO6" i="32"/>
  <c r="AN6" i="32"/>
  <c r="AM6" i="32"/>
  <c r="AL6" i="32"/>
  <c r="AK6" i="32"/>
  <c r="L6" i="32"/>
  <c r="AS6" i="32" s="1"/>
  <c r="AO5" i="32"/>
  <c r="AN5" i="32"/>
  <c r="AM5" i="32"/>
  <c r="AL5" i="32"/>
  <c r="AK5" i="32"/>
  <c r="L5" i="32"/>
  <c r="AS5" i="32" s="1"/>
  <c r="AO17" i="31"/>
  <c r="AN17" i="31"/>
  <c r="AM17" i="31"/>
  <c r="AL17" i="31"/>
  <c r="AK17" i="31"/>
  <c r="L17" i="31"/>
  <c r="AS17" i="31" s="1"/>
  <c r="AS16" i="31"/>
  <c r="AO16" i="31"/>
  <c r="AN16" i="31"/>
  <c r="AM16" i="31"/>
  <c r="AL16" i="31"/>
  <c r="AK16" i="31"/>
  <c r="L16" i="31"/>
  <c r="AO15" i="31"/>
  <c r="AN15" i="31"/>
  <c r="AM15" i="31"/>
  <c r="AL15" i="31"/>
  <c r="AK15" i="31"/>
  <c r="L15" i="31"/>
  <c r="AS15" i="31" s="1"/>
  <c r="AS14" i="31"/>
  <c r="AO14" i="31"/>
  <c r="AN14" i="31"/>
  <c r="AM14" i="31"/>
  <c r="AL14" i="31"/>
  <c r="AK14" i="31"/>
  <c r="L14" i="31"/>
  <c r="AO13" i="31"/>
  <c r="AN13" i="31"/>
  <c r="AM13" i="31"/>
  <c r="AL13" i="31"/>
  <c r="AK13" i="31"/>
  <c r="L13" i="31"/>
  <c r="AS13" i="31" s="1"/>
  <c r="AS12" i="31"/>
  <c r="AO12" i="31"/>
  <c r="AN12" i="31"/>
  <c r="AM12" i="31"/>
  <c r="AL12" i="31"/>
  <c r="AK12" i="31"/>
  <c r="L12" i="31"/>
  <c r="AS11" i="31"/>
  <c r="AO11" i="31"/>
  <c r="AN11" i="31"/>
  <c r="AM11" i="31"/>
  <c r="AL11" i="31"/>
  <c r="AK11" i="31"/>
  <c r="L11" i="31"/>
  <c r="AO10" i="31"/>
  <c r="AN10" i="31"/>
  <c r="AM10" i="31"/>
  <c r="AL10" i="31"/>
  <c r="AK10" i="31"/>
  <c r="L10" i="31"/>
  <c r="AS10" i="31" s="1"/>
  <c r="AS9" i="31"/>
  <c r="AO9" i="31"/>
  <c r="AN9" i="31"/>
  <c r="AM9" i="31"/>
  <c r="AL9" i="31"/>
  <c r="AK9" i="31"/>
  <c r="L9" i="31"/>
  <c r="AO8" i="31"/>
  <c r="AN8" i="31"/>
  <c r="AM8" i="31"/>
  <c r="AL8" i="31"/>
  <c r="AK8" i="31"/>
  <c r="L8" i="31"/>
  <c r="AS8" i="31" s="1"/>
  <c r="AS7" i="31"/>
  <c r="AO7" i="31"/>
  <c r="AN7" i="31"/>
  <c r="AM7" i="31"/>
  <c r="AL7" i="31"/>
  <c r="AK7" i="31"/>
  <c r="L7" i="31"/>
  <c r="AO6" i="31"/>
  <c r="AN6" i="31"/>
  <c r="AM6" i="31"/>
  <c r="AL6" i="31"/>
  <c r="AK6" i="31"/>
  <c r="L6" i="31"/>
  <c r="AS6" i="31" s="1"/>
  <c r="AO5" i="31"/>
  <c r="AN5" i="31"/>
  <c r="AM5" i="31"/>
  <c r="AL5" i="31"/>
  <c r="AK5" i="31"/>
  <c r="L5" i="31"/>
  <c r="AS5" i="31" s="1"/>
  <c r="AO17" i="30"/>
  <c r="AN17" i="30"/>
  <c r="AM17" i="30"/>
  <c r="AL17" i="30"/>
  <c r="AK17" i="30"/>
  <c r="L17" i="30"/>
  <c r="AS17" i="30" s="1"/>
  <c r="AS16" i="30"/>
  <c r="AO16" i="30"/>
  <c r="AN16" i="30"/>
  <c r="AM16" i="30"/>
  <c r="AL16" i="30"/>
  <c r="AK16" i="30"/>
  <c r="L16" i="30"/>
  <c r="AO15" i="30"/>
  <c r="AN15" i="30"/>
  <c r="AM15" i="30"/>
  <c r="AL15" i="30"/>
  <c r="AK15" i="30"/>
  <c r="L15" i="30"/>
  <c r="AS15" i="30" s="1"/>
  <c r="AS14" i="30"/>
  <c r="AO14" i="30"/>
  <c r="AN14" i="30"/>
  <c r="AM14" i="30"/>
  <c r="AL14" i="30"/>
  <c r="AK14" i="30"/>
  <c r="L14" i="30"/>
  <c r="AO13" i="30"/>
  <c r="AN13" i="30"/>
  <c r="AM13" i="30"/>
  <c r="AL13" i="30"/>
  <c r="AK13" i="30"/>
  <c r="L13" i="30"/>
  <c r="AS13" i="30" s="1"/>
  <c r="AS12" i="30"/>
  <c r="AO12" i="30"/>
  <c r="AN12" i="30"/>
  <c r="AM12" i="30"/>
  <c r="AL12" i="30"/>
  <c r="AK12" i="30"/>
  <c r="L12" i="30"/>
  <c r="AS11" i="30"/>
  <c r="AO11" i="30"/>
  <c r="AN11" i="30"/>
  <c r="AM11" i="30"/>
  <c r="AL11" i="30"/>
  <c r="AK11" i="30"/>
  <c r="L11" i="30"/>
  <c r="AO10" i="30"/>
  <c r="AN10" i="30"/>
  <c r="AM10" i="30"/>
  <c r="AL10" i="30"/>
  <c r="AK10" i="30"/>
  <c r="L10" i="30"/>
  <c r="AS10" i="30" s="1"/>
  <c r="AS9" i="30"/>
  <c r="AO9" i="30"/>
  <c r="AN9" i="30"/>
  <c r="AM9" i="30"/>
  <c r="AL9" i="30"/>
  <c r="AK9" i="30"/>
  <c r="L9" i="30"/>
  <c r="AO8" i="30"/>
  <c r="AN8" i="30"/>
  <c r="AM8" i="30"/>
  <c r="AL8" i="30"/>
  <c r="AK8" i="30"/>
  <c r="L8" i="30"/>
  <c r="AS8" i="30" s="1"/>
  <c r="AS7" i="30"/>
  <c r="AO7" i="30"/>
  <c r="AN7" i="30"/>
  <c r="AM7" i="30"/>
  <c r="AL7" i="30"/>
  <c r="AK7" i="30"/>
  <c r="L7" i="30"/>
  <c r="AO6" i="30"/>
  <c r="AN6" i="30"/>
  <c r="AM6" i="30"/>
  <c r="AL6" i="30"/>
  <c r="AK6" i="30"/>
  <c r="L6" i="30"/>
  <c r="AS6" i="30" s="1"/>
  <c r="AO5" i="30"/>
  <c r="AN5" i="30"/>
  <c r="AM5" i="30"/>
  <c r="AL5" i="30"/>
  <c r="AK5" i="30"/>
  <c r="L5" i="30"/>
  <c r="AS5" i="30" s="1"/>
  <c r="AO17" i="29"/>
  <c r="AN17" i="29"/>
  <c r="AM17" i="29"/>
  <c r="AL17" i="29"/>
  <c r="AK17" i="29"/>
  <c r="L17" i="29"/>
  <c r="AS17" i="29" s="1"/>
  <c r="AS16" i="29"/>
  <c r="AO16" i="29"/>
  <c r="AN16" i="29"/>
  <c r="AM16" i="29"/>
  <c r="AL16" i="29"/>
  <c r="AK16" i="29"/>
  <c r="L16" i="29"/>
  <c r="AO15" i="29"/>
  <c r="AN15" i="29"/>
  <c r="AM15" i="29"/>
  <c r="AL15" i="29"/>
  <c r="AK15" i="29"/>
  <c r="L15" i="29"/>
  <c r="AS15" i="29" s="1"/>
  <c r="AS14" i="29"/>
  <c r="AO14" i="29"/>
  <c r="AN14" i="29"/>
  <c r="AM14" i="29"/>
  <c r="AL14" i="29"/>
  <c r="AK14" i="29"/>
  <c r="L14" i="29"/>
  <c r="AO13" i="29"/>
  <c r="AN13" i="29"/>
  <c r="AM13" i="29"/>
  <c r="AL13" i="29"/>
  <c r="AK13" i="29"/>
  <c r="L13" i="29"/>
  <c r="AS13" i="29" s="1"/>
  <c r="AS12" i="29"/>
  <c r="AO12" i="29"/>
  <c r="AN12" i="29"/>
  <c r="AM12" i="29"/>
  <c r="AL12" i="29"/>
  <c r="AK12" i="29"/>
  <c r="L12" i="29"/>
  <c r="AS11" i="29"/>
  <c r="AO11" i="29"/>
  <c r="AN11" i="29"/>
  <c r="AM11" i="29"/>
  <c r="AL11" i="29"/>
  <c r="AK11" i="29"/>
  <c r="L11" i="29"/>
  <c r="AO10" i="29"/>
  <c r="AN10" i="29"/>
  <c r="AM10" i="29"/>
  <c r="AL10" i="29"/>
  <c r="AK10" i="29"/>
  <c r="L10" i="29"/>
  <c r="AS10" i="29" s="1"/>
  <c r="AS9" i="29"/>
  <c r="AO9" i="29"/>
  <c r="AN9" i="29"/>
  <c r="AM9" i="29"/>
  <c r="AL9" i="29"/>
  <c r="AK9" i="29"/>
  <c r="L9" i="29"/>
  <c r="AO8" i="29"/>
  <c r="AN8" i="29"/>
  <c r="AM8" i="29"/>
  <c r="AL8" i="29"/>
  <c r="AK8" i="29"/>
  <c r="L8" i="29"/>
  <c r="AS8" i="29" s="1"/>
  <c r="AS7" i="29"/>
  <c r="AO7" i="29"/>
  <c r="AN7" i="29"/>
  <c r="AM7" i="29"/>
  <c r="AL7" i="29"/>
  <c r="AK7" i="29"/>
  <c r="L7" i="29"/>
  <c r="AO6" i="29"/>
  <c r="AN6" i="29"/>
  <c r="AM6" i="29"/>
  <c r="AL6" i="29"/>
  <c r="AK6" i="29"/>
  <c r="L6" i="29"/>
  <c r="AS6" i="29" s="1"/>
  <c r="AO5" i="29"/>
  <c r="AN5" i="29"/>
  <c r="AM5" i="29"/>
  <c r="AL5" i="29"/>
  <c r="AK5" i="29"/>
  <c r="L5" i="29"/>
  <c r="AS5" i="29" s="1"/>
  <c r="AO17" i="28"/>
  <c r="AN17" i="28"/>
  <c r="AM17" i="28"/>
  <c r="AL17" i="28"/>
  <c r="AK17" i="28"/>
  <c r="L17" i="28"/>
  <c r="AS17" i="28" s="1"/>
  <c r="AO16" i="28"/>
  <c r="AN16" i="28"/>
  <c r="AM16" i="28"/>
  <c r="AL16" i="28"/>
  <c r="AK16" i="28"/>
  <c r="L16" i="28"/>
  <c r="AS16" i="28" s="1"/>
  <c r="AO15" i="28"/>
  <c r="AN15" i="28"/>
  <c r="AM15" i="28"/>
  <c r="AL15" i="28"/>
  <c r="AK15" i="28"/>
  <c r="L15" i="28"/>
  <c r="AS15" i="28" s="1"/>
  <c r="AS14" i="28"/>
  <c r="AO14" i="28"/>
  <c r="AN14" i="28"/>
  <c r="AM14" i="28"/>
  <c r="AL14" i="28"/>
  <c r="AK14" i="28"/>
  <c r="L14" i="28"/>
  <c r="AO13" i="28"/>
  <c r="AN13" i="28"/>
  <c r="AM13" i="28"/>
  <c r="AL13" i="28"/>
  <c r="AK13" i="28"/>
  <c r="L13" i="28"/>
  <c r="AS13" i="28" s="1"/>
  <c r="AS12" i="28"/>
  <c r="AO12" i="28"/>
  <c r="AN12" i="28"/>
  <c r="AM12" i="28"/>
  <c r="AL12" i="28"/>
  <c r="AK12" i="28"/>
  <c r="L12" i="28"/>
  <c r="AS11" i="28"/>
  <c r="AO11" i="28"/>
  <c r="AN11" i="28"/>
  <c r="AM11" i="28"/>
  <c r="AL11" i="28"/>
  <c r="AK11" i="28"/>
  <c r="L11" i="28"/>
  <c r="AS10" i="28"/>
  <c r="AO10" i="28"/>
  <c r="AN10" i="28"/>
  <c r="AM10" i="28"/>
  <c r="AL10" i="28"/>
  <c r="AK10" i="28"/>
  <c r="L10" i="28"/>
  <c r="AS9" i="28"/>
  <c r="AO9" i="28"/>
  <c r="AN9" i="28"/>
  <c r="AM9" i="28"/>
  <c r="AL9" i="28"/>
  <c r="AK9" i="28"/>
  <c r="L9" i="28"/>
  <c r="AO8" i="28"/>
  <c r="AN8" i="28"/>
  <c r="AM8" i="28"/>
  <c r="AL8" i="28"/>
  <c r="AK8" i="28"/>
  <c r="L8" i="28"/>
  <c r="AS8" i="28" s="1"/>
  <c r="AS7" i="28"/>
  <c r="AO7" i="28"/>
  <c r="AN7" i="28"/>
  <c r="AM7" i="28"/>
  <c r="AL7" i="28"/>
  <c r="AK7" i="28"/>
  <c r="L7" i="28"/>
  <c r="AO6" i="28"/>
  <c r="AN6" i="28"/>
  <c r="AM6" i="28"/>
  <c r="AL6" i="28"/>
  <c r="AK6" i="28"/>
  <c r="L6" i="28"/>
  <c r="AS6" i="28" s="1"/>
  <c r="AO5" i="28"/>
  <c r="AN5" i="28"/>
  <c r="AM5" i="28"/>
  <c r="AL5" i="28"/>
  <c r="AK5" i="28"/>
  <c r="L5" i="28"/>
  <c r="AS5" i="28" s="1"/>
  <c r="AO17" i="27"/>
  <c r="AN17" i="27"/>
  <c r="AM17" i="27"/>
  <c r="AL17" i="27"/>
  <c r="AK17" i="27"/>
  <c r="L17" i="27"/>
  <c r="AS17" i="27" s="1"/>
  <c r="AS16" i="27"/>
  <c r="AO16" i="27"/>
  <c r="AN16" i="27"/>
  <c r="AM16" i="27"/>
  <c r="AL16" i="27"/>
  <c r="AK16" i="27"/>
  <c r="L16" i="27"/>
  <c r="AO15" i="27"/>
  <c r="AN15" i="27"/>
  <c r="AM15" i="27"/>
  <c r="AL15" i="27"/>
  <c r="AK15" i="27"/>
  <c r="L15" i="27"/>
  <c r="AS15" i="27" s="1"/>
  <c r="AS14" i="27"/>
  <c r="AO14" i="27"/>
  <c r="AN14" i="27"/>
  <c r="AM14" i="27"/>
  <c r="AL14" i="27"/>
  <c r="AK14" i="27"/>
  <c r="L14" i="27"/>
  <c r="L14" i="42" s="1"/>
  <c r="AO13" i="27"/>
  <c r="AN13" i="27"/>
  <c r="AM13" i="27"/>
  <c r="AL13" i="27"/>
  <c r="AK13" i="27"/>
  <c r="L13" i="27"/>
  <c r="AS13" i="27" s="1"/>
  <c r="AS12" i="27"/>
  <c r="AO12" i="27"/>
  <c r="AN12" i="27"/>
  <c r="AM12" i="27"/>
  <c r="AL12" i="27"/>
  <c r="AK12" i="27"/>
  <c r="L12" i="27"/>
  <c r="L12" i="42" s="1"/>
  <c r="AS11" i="27"/>
  <c r="AO11" i="27"/>
  <c r="AN11" i="27"/>
  <c r="AM11" i="27"/>
  <c r="AL11" i="27"/>
  <c r="AK11" i="27"/>
  <c r="L11" i="27"/>
  <c r="AO10" i="27"/>
  <c r="AN10" i="27"/>
  <c r="AM10" i="27"/>
  <c r="AL10" i="27"/>
  <c r="AK10" i="27"/>
  <c r="L10" i="27"/>
  <c r="AS10" i="27" s="1"/>
  <c r="AS9" i="27"/>
  <c r="AO9" i="27"/>
  <c r="AN9" i="27"/>
  <c r="AM9" i="27"/>
  <c r="AL9" i="27"/>
  <c r="AK9" i="27"/>
  <c r="L9" i="27"/>
  <c r="AO8" i="27"/>
  <c r="AN8" i="27"/>
  <c r="AM8" i="27"/>
  <c r="AL8" i="27"/>
  <c r="AK8" i="27"/>
  <c r="L8" i="27"/>
  <c r="L8" i="42" s="1"/>
  <c r="AS7" i="27"/>
  <c r="AO7" i="27"/>
  <c r="AN7" i="27"/>
  <c r="AM7" i="27"/>
  <c r="AL7" i="27"/>
  <c r="AK7" i="27"/>
  <c r="L7" i="27"/>
  <c r="AO6" i="27"/>
  <c r="AN6" i="27"/>
  <c r="AM6" i="27"/>
  <c r="AL6" i="27"/>
  <c r="AK6" i="27"/>
  <c r="L6" i="27"/>
  <c r="AO5" i="27"/>
  <c r="AN5" i="27"/>
  <c r="AM5" i="27"/>
  <c r="AL5" i="27"/>
  <c r="AK5" i="27"/>
  <c r="L5" i="27"/>
  <c r="AS5" i="27" s="1"/>
  <c r="D6" i="42"/>
  <c r="E6" i="42"/>
  <c r="F6" i="42"/>
  <c r="G6" i="42"/>
  <c r="H6" i="42"/>
  <c r="I6" i="42"/>
  <c r="J6" i="42"/>
  <c r="K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AF6" i="42"/>
  <c r="AG6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D8" i="42"/>
  <c r="E8" i="42"/>
  <c r="F8" i="42"/>
  <c r="G8" i="42"/>
  <c r="H8" i="42"/>
  <c r="I8" i="42"/>
  <c r="J8" i="42"/>
  <c r="K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D10" i="42"/>
  <c r="E10" i="42"/>
  <c r="F10" i="42"/>
  <c r="G10" i="42"/>
  <c r="H10" i="42"/>
  <c r="I10" i="42"/>
  <c r="J10" i="42"/>
  <c r="K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D11" i="42"/>
  <c r="E11" i="42"/>
  <c r="F11" i="42"/>
  <c r="G11" i="42"/>
  <c r="H11" i="42"/>
  <c r="I11" i="42"/>
  <c r="J11" i="42"/>
  <c r="K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D12" i="42"/>
  <c r="E12" i="42"/>
  <c r="F12" i="42"/>
  <c r="G12" i="42"/>
  <c r="H12" i="42"/>
  <c r="I12" i="42"/>
  <c r="J12" i="42"/>
  <c r="K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AD12" i="42"/>
  <c r="AE12" i="42"/>
  <c r="AF12" i="42"/>
  <c r="AG12" i="42"/>
  <c r="D13" i="42"/>
  <c r="E13" i="42"/>
  <c r="F13" i="42"/>
  <c r="G13" i="42"/>
  <c r="H13" i="42"/>
  <c r="I13" i="42"/>
  <c r="J13" i="42"/>
  <c r="K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D14" i="42"/>
  <c r="E14" i="42"/>
  <c r="F14" i="42"/>
  <c r="G14" i="42"/>
  <c r="H14" i="42"/>
  <c r="I14" i="42"/>
  <c r="J14" i="42"/>
  <c r="K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AF14" i="42"/>
  <c r="AG14" i="42"/>
  <c r="D15" i="42"/>
  <c r="E15" i="42"/>
  <c r="F15" i="42"/>
  <c r="G15" i="42"/>
  <c r="H15" i="42"/>
  <c r="I15" i="42"/>
  <c r="J15" i="42"/>
  <c r="K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AF15" i="42"/>
  <c r="AG15" i="42"/>
  <c r="D16" i="42"/>
  <c r="E16" i="42"/>
  <c r="F16" i="42"/>
  <c r="G16" i="42"/>
  <c r="H16" i="42"/>
  <c r="I16" i="42"/>
  <c r="J16" i="42"/>
  <c r="K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AD16" i="42"/>
  <c r="AE16" i="42"/>
  <c r="AF16" i="42"/>
  <c r="AG16" i="42"/>
  <c r="D17" i="42"/>
  <c r="E17" i="42"/>
  <c r="F17" i="42"/>
  <c r="G17" i="42"/>
  <c r="H17" i="42"/>
  <c r="I17" i="42"/>
  <c r="J17" i="42"/>
  <c r="K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AD17" i="42"/>
  <c r="AE17" i="42"/>
  <c r="AF17" i="42"/>
  <c r="AG17" i="42"/>
  <c r="D18" i="42"/>
  <c r="E18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D19" i="42"/>
  <c r="E19" i="42"/>
  <c r="F19" i="42"/>
  <c r="G19" i="42"/>
  <c r="H19" i="42"/>
  <c r="I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D20" i="42"/>
  <c r="E20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B20" i="42"/>
  <c r="AC20" i="42"/>
  <c r="AD20" i="42"/>
  <c r="AE20" i="42"/>
  <c r="AF20" i="42"/>
  <c r="AG20" i="42"/>
  <c r="D21" i="42"/>
  <c r="E21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AD21" i="42"/>
  <c r="AE21" i="42"/>
  <c r="AF21" i="42"/>
  <c r="AG21" i="42"/>
  <c r="D22" i="42"/>
  <c r="E22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AD22" i="42"/>
  <c r="AE22" i="42"/>
  <c r="AF22" i="42"/>
  <c r="AG22" i="42"/>
  <c r="D23" i="42"/>
  <c r="E23" i="42"/>
  <c r="F23" i="42"/>
  <c r="G23" i="42"/>
  <c r="H23" i="42"/>
  <c r="I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AD23" i="42"/>
  <c r="AE23" i="42"/>
  <c r="AF23" i="42"/>
  <c r="AG23" i="42"/>
  <c r="D24" i="42"/>
  <c r="E24" i="42"/>
  <c r="F24" i="42"/>
  <c r="G24" i="42"/>
  <c r="H24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W24" i="42"/>
  <c r="X24" i="42"/>
  <c r="Y24" i="42"/>
  <c r="Z24" i="42"/>
  <c r="AA24" i="42"/>
  <c r="AB24" i="42"/>
  <c r="AC24" i="42"/>
  <c r="AD24" i="42"/>
  <c r="AE24" i="42"/>
  <c r="AF24" i="42"/>
  <c r="AG24" i="42"/>
  <c r="D26" i="42"/>
  <c r="E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/>
  <c r="X26" i="42"/>
  <c r="Y26" i="42"/>
  <c r="Z26" i="42"/>
  <c r="AA26" i="42"/>
  <c r="AB26" i="42"/>
  <c r="AC26" i="42"/>
  <c r="AD26" i="42"/>
  <c r="AE26" i="42"/>
  <c r="AF26" i="42"/>
  <c r="AG26" i="42"/>
  <c r="E5" i="42"/>
  <c r="F5" i="42"/>
  <c r="G5" i="42"/>
  <c r="H5" i="42"/>
  <c r="I5" i="42"/>
  <c r="J5" i="42"/>
  <c r="K5" i="42"/>
  <c r="M5" i="42"/>
  <c r="N5" i="42"/>
  <c r="O5" i="42"/>
  <c r="P5" i="42"/>
  <c r="Q5" i="42"/>
  <c r="R5" i="42"/>
  <c r="S5" i="42"/>
  <c r="T5" i="42"/>
  <c r="U5" i="42"/>
  <c r="V5" i="42"/>
  <c r="W5" i="42"/>
  <c r="X5" i="42"/>
  <c r="Y5" i="42"/>
  <c r="Z5" i="42"/>
  <c r="AA5" i="42"/>
  <c r="AB5" i="42"/>
  <c r="AC5" i="42"/>
  <c r="AD5" i="42"/>
  <c r="AE5" i="42"/>
  <c r="AF5" i="42"/>
  <c r="AG5" i="42"/>
  <c r="D5" i="42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K25" i="36"/>
  <c r="J25" i="36"/>
  <c r="I25" i="36"/>
  <c r="H25" i="36"/>
  <c r="G25" i="36"/>
  <c r="F25" i="36"/>
  <c r="E25" i="36"/>
  <c r="D25" i="36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K25" i="35"/>
  <c r="J25" i="35"/>
  <c r="I25" i="35"/>
  <c r="H25" i="35"/>
  <c r="G25" i="35"/>
  <c r="F25" i="35"/>
  <c r="E25" i="35"/>
  <c r="D25" i="35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K25" i="34"/>
  <c r="J25" i="34"/>
  <c r="I25" i="34"/>
  <c r="H25" i="34"/>
  <c r="G25" i="34"/>
  <c r="F25" i="34"/>
  <c r="E25" i="34"/>
  <c r="D25" i="34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K25" i="33"/>
  <c r="J25" i="33"/>
  <c r="I25" i="33"/>
  <c r="H25" i="33"/>
  <c r="G25" i="33"/>
  <c r="F25" i="33"/>
  <c r="E25" i="33"/>
  <c r="D25" i="33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K25" i="32"/>
  <c r="J25" i="32"/>
  <c r="I25" i="32"/>
  <c r="H25" i="32"/>
  <c r="G25" i="32"/>
  <c r="F25" i="32"/>
  <c r="E25" i="32"/>
  <c r="D25" i="32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K25" i="31"/>
  <c r="J25" i="31"/>
  <c r="I25" i="31"/>
  <c r="H25" i="31"/>
  <c r="G25" i="31"/>
  <c r="F25" i="31"/>
  <c r="E25" i="31"/>
  <c r="D25" i="31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K25" i="30"/>
  <c r="J25" i="30"/>
  <c r="I25" i="30"/>
  <c r="H25" i="30"/>
  <c r="G25" i="30"/>
  <c r="F25" i="30"/>
  <c r="E25" i="30"/>
  <c r="D25" i="30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K25" i="29"/>
  <c r="J25" i="29"/>
  <c r="I25" i="29"/>
  <c r="H25" i="29"/>
  <c r="G25" i="29"/>
  <c r="F25" i="29"/>
  <c r="E25" i="29"/>
  <c r="D25" i="29"/>
  <c r="AG25" i="28"/>
  <c r="AF25" i="28"/>
  <c r="AE25" i="28"/>
  <c r="AD25" i="28"/>
  <c r="AC25" i="28"/>
  <c r="AB25" i="28"/>
  <c r="AA25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K25" i="28"/>
  <c r="J25" i="28"/>
  <c r="I25" i="28"/>
  <c r="H25" i="28"/>
  <c r="G25" i="28"/>
  <c r="F25" i="28"/>
  <c r="E25" i="28"/>
  <c r="D25" i="28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K25" i="27"/>
  <c r="J25" i="27"/>
  <c r="I25" i="27"/>
  <c r="H25" i="27"/>
  <c r="G25" i="27"/>
  <c r="F25" i="27"/>
  <c r="E25" i="27"/>
  <c r="D25" i="27"/>
  <c r="AS6" i="36" l="1"/>
  <c r="L25" i="35"/>
  <c r="L25" i="34"/>
  <c r="L25" i="33"/>
  <c r="L27" i="33" s="1"/>
  <c r="L25" i="32"/>
  <c r="L25" i="31"/>
  <c r="L25" i="30"/>
  <c r="L25" i="29"/>
  <c r="L17" i="42"/>
  <c r="L16" i="42"/>
  <c r="L25" i="28"/>
  <c r="L15" i="42"/>
  <c r="L6" i="42"/>
  <c r="L13" i="42"/>
  <c r="AS6" i="27"/>
  <c r="L5" i="42"/>
  <c r="L25" i="27"/>
  <c r="AS8" i="27"/>
  <c r="L10" i="42"/>
  <c r="S25" i="1"/>
  <c r="S25" i="42" s="1"/>
  <c r="S27" i="42" s="1"/>
  <c r="T25" i="1"/>
  <c r="T25" i="42" s="1"/>
  <c r="T27" i="42" s="1"/>
  <c r="U25" i="1"/>
  <c r="U25" i="42" s="1"/>
  <c r="U27" i="42" s="1"/>
  <c r="V25" i="1"/>
  <c r="V25" i="42" s="1"/>
  <c r="W25" i="1"/>
  <c r="W25" i="42" s="1"/>
  <c r="X25" i="1"/>
  <c r="X25" i="42" s="1"/>
  <c r="Y25" i="1"/>
  <c r="Y25" i="42" s="1"/>
  <c r="Y27" i="42" s="1"/>
  <c r="Z25" i="1"/>
  <c r="Z25" i="42" s="1"/>
  <c r="Z27" i="42" s="1"/>
  <c r="AA25" i="1"/>
  <c r="AA25" i="42" s="1"/>
  <c r="AB25" i="1"/>
  <c r="AC25" i="1"/>
  <c r="AC25" i="42" s="1"/>
  <c r="AC27" i="42" s="1"/>
  <c r="AD25" i="1"/>
  <c r="AD25" i="42" s="1"/>
  <c r="AD27" i="42" s="1"/>
  <c r="AE25" i="1"/>
  <c r="AE25" i="42" s="1"/>
  <c r="AE27" i="42" s="1"/>
  <c r="AF25" i="1"/>
  <c r="AF25" i="42" s="1"/>
  <c r="AF27" i="42" s="1"/>
  <c r="AG25" i="1"/>
  <c r="AG25" i="42" s="1"/>
  <c r="AG27" i="42" s="1"/>
  <c r="I25" i="1"/>
  <c r="I25" i="42" s="1"/>
  <c r="J25" i="1"/>
  <c r="J25" i="42" s="1"/>
  <c r="J27" i="42" s="1"/>
  <c r="K25" i="1"/>
  <c r="K25" i="42" s="1"/>
  <c r="K27" i="42" s="1"/>
  <c r="L25" i="1"/>
  <c r="M25" i="1"/>
  <c r="M25" i="42" s="1"/>
  <c r="M27" i="42" s="1"/>
  <c r="N25" i="1"/>
  <c r="N25" i="42" s="1"/>
  <c r="N27" i="42" s="1"/>
  <c r="O25" i="1"/>
  <c r="O25" i="42" s="1"/>
  <c r="O27" i="42" s="1"/>
  <c r="P25" i="1"/>
  <c r="P25" i="42" s="1"/>
  <c r="P27" i="42" s="1"/>
  <c r="Q25" i="1"/>
  <c r="R25" i="1"/>
  <c r="E25" i="1"/>
  <c r="E25" i="42" s="1"/>
  <c r="B21" i="11"/>
  <c r="AG27" i="36"/>
  <c r="AF27" i="36"/>
  <c r="AE27" i="36"/>
  <c r="AD27" i="36"/>
  <c r="AC27" i="36"/>
  <c r="AB27" i="36"/>
  <c r="Y27" i="36"/>
  <c r="S15" i="11" s="1"/>
  <c r="V27" i="36"/>
  <c r="P15" i="11" s="1"/>
  <c r="U27" i="36"/>
  <c r="O15" i="11" s="1"/>
  <c r="T27" i="36"/>
  <c r="F15" i="11" s="1"/>
  <c r="S27" i="36"/>
  <c r="C15" i="11" s="1"/>
  <c r="R27" i="36"/>
  <c r="Q27" i="36"/>
  <c r="P27" i="36"/>
  <c r="O27" i="36"/>
  <c r="M27" i="36"/>
  <c r="E27" i="36"/>
  <c r="AB27" i="35"/>
  <c r="Y27" i="35"/>
  <c r="S14" i="11" s="1"/>
  <c r="T27" i="35"/>
  <c r="F14" i="11" s="1"/>
  <c r="S27" i="35"/>
  <c r="C14" i="11" s="1"/>
  <c r="R27" i="35"/>
  <c r="Q27" i="35"/>
  <c r="P27" i="35"/>
  <c r="O27" i="35"/>
  <c r="M27" i="35"/>
  <c r="AG27" i="34"/>
  <c r="AF27" i="34"/>
  <c r="AE27" i="34"/>
  <c r="AB27" i="34"/>
  <c r="Y27" i="34"/>
  <c r="S13" i="11" s="1"/>
  <c r="U27" i="34"/>
  <c r="O13" i="11" s="1"/>
  <c r="T27" i="34"/>
  <c r="F13" i="11" s="1"/>
  <c r="S27" i="34"/>
  <c r="C13" i="11" s="1"/>
  <c r="R27" i="34"/>
  <c r="Q27" i="34"/>
  <c r="P27" i="34"/>
  <c r="O27" i="34"/>
  <c r="M27" i="34"/>
  <c r="K27" i="34"/>
  <c r="J27" i="34"/>
  <c r="I27" i="34"/>
  <c r="H27" i="34"/>
  <c r="G27" i="34"/>
  <c r="AG27" i="33"/>
  <c r="AF27" i="33"/>
  <c r="AE27" i="33"/>
  <c r="AD27" i="33"/>
  <c r="AB27" i="33"/>
  <c r="AA27" i="33"/>
  <c r="Z27" i="33"/>
  <c r="T12" i="11" s="1"/>
  <c r="Y27" i="33"/>
  <c r="S12" i="11" s="1"/>
  <c r="X27" i="33"/>
  <c r="R12" i="11" s="1"/>
  <c r="W27" i="33"/>
  <c r="Q12" i="11" s="1"/>
  <c r="V27" i="33"/>
  <c r="P12" i="11" s="1"/>
  <c r="U27" i="33"/>
  <c r="O12" i="11" s="1"/>
  <c r="T27" i="33"/>
  <c r="F12" i="11" s="1"/>
  <c r="S27" i="33"/>
  <c r="C12" i="11" s="1"/>
  <c r="R27" i="33"/>
  <c r="Q27" i="33"/>
  <c r="P27" i="33"/>
  <c r="O27" i="33"/>
  <c r="M27" i="33"/>
  <c r="H27" i="33"/>
  <c r="G27" i="33"/>
  <c r="F27" i="33"/>
  <c r="AB27" i="32"/>
  <c r="Y27" i="32"/>
  <c r="S11" i="11" s="1"/>
  <c r="X27" i="32"/>
  <c r="R11" i="11" s="1"/>
  <c r="W27" i="32"/>
  <c r="Q11" i="11" s="1"/>
  <c r="V27" i="32"/>
  <c r="P11" i="11" s="1"/>
  <c r="U27" i="32"/>
  <c r="O11" i="11" s="1"/>
  <c r="T27" i="32"/>
  <c r="F11" i="11" s="1"/>
  <c r="S27" i="32"/>
  <c r="C11" i="11" s="1"/>
  <c r="R27" i="32"/>
  <c r="Q27" i="32"/>
  <c r="P27" i="32"/>
  <c r="O27" i="32"/>
  <c r="M27" i="32"/>
  <c r="I27" i="32"/>
  <c r="H27" i="32"/>
  <c r="G27" i="32"/>
  <c r="F27" i="32"/>
  <c r="AE27" i="31"/>
  <c r="AD27" i="31"/>
  <c r="AB27" i="31"/>
  <c r="Z27" i="31"/>
  <c r="T10" i="11" s="1"/>
  <c r="Y27" i="31"/>
  <c r="S10" i="11" s="1"/>
  <c r="R27" i="31"/>
  <c r="Q27" i="31"/>
  <c r="P27" i="31"/>
  <c r="O27" i="31"/>
  <c r="M27" i="31"/>
  <c r="K27" i="31"/>
  <c r="J27" i="31"/>
  <c r="I27" i="31"/>
  <c r="H27" i="31"/>
  <c r="G27" i="31"/>
  <c r="F27" i="31"/>
  <c r="AF27" i="30"/>
  <c r="AD27" i="30"/>
  <c r="AB27" i="30"/>
  <c r="Y27" i="30"/>
  <c r="S9" i="11" s="1"/>
  <c r="X27" i="30"/>
  <c r="R9" i="11" s="1"/>
  <c r="W27" i="30"/>
  <c r="Q9" i="11" s="1"/>
  <c r="V27" i="30"/>
  <c r="P9" i="11" s="1"/>
  <c r="U27" i="30"/>
  <c r="O9" i="11" s="1"/>
  <c r="T27" i="30"/>
  <c r="F9" i="11" s="1"/>
  <c r="R27" i="30"/>
  <c r="Q27" i="30"/>
  <c r="P27" i="30"/>
  <c r="O27" i="30"/>
  <c r="N27" i="30"/>
  <c r="M27" i="30"/>
  <c r="K27" i="30"/>
  <c r="J27" i="30"/>
  <c r="I27" i="30"/>
  <c r="H27" i="30"/>
  <c r="AB27" i="29"/>
  <c r="Y27" i="29"/>
  <c r="S8" i="11" s="1"/>
  <c r="X27" i="29"/>
  <c r="R8" i="11" s="1"/>
  <c r="W27" i="29"/>
  <c r="Q8" i="11" s="1"/>
  <c r="V27" i="29"/>
  <c r="P8" i="11" s="1"/>
  <c r="R27" i="29"/>
  <c r="Q27" i="29"/>
  <c r="P27" i="29"/>
  <c r="O27" i="29"/>
  <c r="N27" i="29"/>
  <c r="M27" i="29"/>
  <c r="K27" i="29"/>
  <c r="J27" i="29"/>
  <c r="F27" i="29"/>
  <c r="E27" i="29"/>
  <c r="D27" i="29"/>
  <c r="AC27" i="28"/>
  <c r="AB27" i="28"/>
  <c r="AA27" i="28"/>
  <c r="Z27" i="28"/>
  <c r="T7" i="11" s="1"/>
  <c r="Y27" i="28"/>
  <c r="S7" i="11" s="1"/>
  <c r="X27" i="28"/>
  <c r="R7" i="11" s="1"/>
  <c r="W27" i="28"/>
  <c r="Q7" i="11" s="1"/>
  <c r="V27" i="28"/>
  <c r="P7" i="11" s="1"/>
  <c r="R27" i="28"/>
  <c r="Q27" i="28"/>
  <c r="P27" i="28"/>
  <c r="O27" i="28"/>
  <c r="M27" i="28"/>
  <c r="AE27" i="27"/>
  <c r="AD27" i="27"/>
  <c r="AC27" i="27"/>
  <c r="AB27" i="27"/>
  <c r="AA27" i="27"/>
  <c r="Z27" i="27"/>
  <c r="T6" i="11" s="1"/>
  <c r="Y27" i="27"/>
  <c r="S6" i="11" s="1"/>
  <c r="X27" i="27"/>
  <c r="R6" i="11" s="1"/>
  <c r="W27" i="27"/>
  <c r="Q6" i="11" s="1"/>
  <c r="R27" i="27"/>
  <c r="Q27" i="27"/>
  <c r="P27" i="27"/>
  <c r="O27" i="27"/>
  <c r="M27" i="27"/>
  <c r="K27" i="27"/>
  <c r="D27" i="27"/>
  <c r="Y27" i="1"/>
  <c r="S5" i="11" s="1"/>
  <c r="O27" i="1"/>
  <c r="M27" i="1"/>
  <c r="AI25" i="42"/>
  <c r="AH25" i="42"/>
  <c r="AG4" i="42"/>
  <c r="AF4" i="42"/>
  <c r="AE4" i="42"/>
  <c r="AD4" i="42"/>
  <c r="E4" i="42"/>
  <c r="D4" i="42"/>
  <c r="AS3" i="42"/>
  <c r="AA3" i="42"/>
  <c r="E3" i="42"/>
  <c r="AY27" i="36"/>
  <c r="AX27" i="36"/>
  <c r="AW27" i="36"/>
  <c r="AV27" i="36"/>
  <c r="AU27" i="36"/>
  <c r="AR27" i="36"/>
  <c r="AP27" i="36"/>
  <c r="AI25" i="36"/>
  <c r="AH25" i="36"/>
  <c r="AA27" i="36"/>
  <c r="Z27" i="36"/>
  <c r="T15" i="11" s="1"/>
  <c r="X27" i="36"/>
  <c r="R15" i="11" s="1"/>
  <c r="W27" i="36"/>
  <c r="Q15" i="11" s="1"/>
  <c r="AL25" i="36"/>
  <c r="N27" i="36"/>
  <c r="K27" i="36"/>
  <c r="J27" i="36"/>
  <c r="I27" i="36"/>
  <c r="H27" i="36"/>
  <c r="G27" i="36"/>
  <c r="F27" i="36"/>
  <c r="D27" i="36"/>
  <c r="E4" i="36"/>
  <c r="D4" i="36"/>
  <c r="AS3" i="36"/>
  <c r="AA3" i="36"/>
  <c r="E3" i="36"/>
  <c r="AY27" i="35"/>
  <c r="AX27" i="35"/>
  <c r="AW27" i="35"/>
  <c r="AV27" i="35"/>
  <c r="AU27" i="35"/>
  <c r="AR27" i="35"/>
  <c r="AP27" i="35"/>
  <c r="AI25" i="35"/>
  <c r="AH25" i="35"/>
  <c r="AG27" i="35"/>
  <c r="AF27" i="35"/>
  <c r="AE27" i="35"/>
  <c r="AD27" i="35"/>
  <c r="AC27" i="35"/>
  <c r="AA27" i="35"/>
  <c r="Z27" i="35"/>
  <c r="T14" i="11" s="1"/>
  <c r="X27" i="35"/>
  <c r="R14" i="11" s="1"/>
  <c r="W27" i="35"/>
  <c r="Q14" i="11" s="1"/>
  <c r="V27" i="35"/>
  <c r="P14" i="11" s="1"/>
  <c r="U27" i="35"/>
  <c r="O14" i="11" s="1"/>
  <c r="N27" i="35"/>
  <c r="K27" i="35"/>
  <c r="J27" i="35"/>
  <c r="I27" i="35"/>
  <c r="H27" i="35"/>
  <c r="G27" i="35"/>
  <c r="F27" i="35"/>
  <c r="E27" i="35"/>
  <c r="D27" i="35"/>
  <c r="E4" i="35"/>
  <c r="D4" i="35"/>
  <c r="AS3" i="35"/>
  <c r="AA3" i="35"/>
  <c r="E3" i="35"/>
  <c r="AY27" i="34"/>
  <c r="AX27" i="34"/>
  <c r="AW27" i="34"/>
  <c r="AV27" i="34"/>
  <c r="AU27" i="34"/>
  <c r="AR27" i="34"/>
  <c r="AP27" i="34"/>
  <c r="AI25" i="34"/>
  <c r="AH25" i="34"/>
  <c r="AD27" i="34"/>
  <c r="AC27" i="34"/>
  <c r="AA27" i="34"/>
  <c r="Z27" i="34"/>
  <c r="T13" i="11" s="1"/>
  <c r="X27" i="34"/>
  <c r="R13" i="11" s="1"/>
  <c r="W27" i="34"/>
  <c r="Q13" i="11" s="1"/>
  <c r="V27" i="34"/>
  <c r="P13" i="11" s="1"/>
  <c r="N27" i="34"/>
  <c r="F27" i="34"/>
  <c r="E27" i="34"/>
  <c r="D27" i="34"/>
  <c r="E4" i="34"/>
  <c r="D4" i="34"/>
  <c r="AS3" i="34"/>
  <c r="AA3" i="34"/>
  <c r="E3" i="34"/>
  <c r="AY27" i="33"/>
  <c r="AX27" i="33"/>
  <c r="AW27" i="33"/>
  <c r="AV27" i="33"/>
  <c r="AU27" i="33"/>
  <c r="AR27" i="33"/>
  <c r="AP27" i="33"/>
  <c r="AI25" i="33"/>
  <c r="AH25" i="33"/>
  <c r="AC27" i="33"/>
  <c r="AL25" i="33"/>
  <c r="AK25" i="33"/>
  <c r="N27" i="33"/>
  <c r="K27" i="33"/>
  <c r="J27" i="33"/>
  <c r="I27" i="33"/>
  <c r="E27" i="33"/>
  <c r="D27" i="33"/>
  <c r="E4" i="33"/>
  <c r="D4" i="33"/>
  <c r="AS3" i="33"/>
  <c r="AA3" i="33"/>
  <c r="E3" i="33"/>
  <c r="AY27" i="32"/>
  <c r="AX27" i="32"/>
  <c r="AW27" i="32"/>
  <c r="AV27" i="32"/>
  <c r="AU27" i="32"/>
  <c r="AR27" i="32"/>
  <c r="AP27" i="32"/>
  <c r="AI25" i="32"/>
  <c r="AH25" i="32"/>
  <c r="AG27" i="32"/>
  <c r="AF27" i="32"/>
  <c r="AE27" i="32"/>
  <c r="AD27" i="32"/>
  <c r="AC27" i="32"/>
  <c r="AA27" i="32"/>
  <c r="Z27" i="32"/>
  <c r="T11" i="11" s="1"/>
  <c r="AM25" i="32"/>
  <c r="AM27" i="32" s="1"/>
  <c r="AL25" i="32"/>
  <c r="AK25" i="32"/>
  <c r="N27" i="32"/>
  <c r="K27" i="32"/>
  <c r="J27" i="32"/>
  <c r="AO25" i="32"/>
  <c r="AO27" i="32" s="1"/>
  <c r="E27" i="32"/>
  <c r="D27" i="32"/>
  <c r="E4" i="32"/>
  <c r="D4" i="32"/>
  <c r="AS3" i="32"/>
  <c r="AA3" i="32"/>
  <c r="E3" i="32"/>
  <c r="AY27" i="31"/>
  <c r="AX27" i="31"/>
  <c r="AW27" i="31"/>
  <c r="AV27" i="31"/>
  <c r="AU27" i="31"/>
  <c r="AR27" i="31"/>
  <c r="AP27" i="31"/>
  <c r="AI25" i="31"/>
  <c r="AH25" i="31"/>
  <c r="AG27" i="31"/>
  <c r="AF27" i="31"/>
  <c r="AC27" i="31"/>
  <c r="AA27" i="31"/>
  <c r="X27" i="31"/>
  <c r="R10" i="11" s="1"/>
  <c r="W27" i="31"/>
  <c r="Q10" i="11" s="1"/>
  <c r="V27" i="31"/>
  <c r="P10" i="11" s="1"/>
  <c r="AM25" i="31"/>
  <c r="AM27" i="31" s="1"/>
  <c r="AL25" i="31"/>
  <c r="AK25" i="31"/>
  <c r="N27" i="31"/>
  <c r="AO25" i="31"/>
  <c r="AO27" i="31" s="1"/>
  <c r="E27" i="31"/>
  <c r="D27" i="31"/>
  <c r="L27" i="31"/>
  <c r="E4" i="31"/>
  <c r="D4" i="31"/>
  <c r="AS3" i="31"/>
  <c r="AA3" i="31"/>
  <c r="E3" i="31"/>
  <c r="AY27" i="30"/>
  <c r="AX27" i="30"/>
  <c r="AW27" i="30"/>
  <c r="AV27" i="30"/>
  <c r="AU27" i="30"/>
  <c r="AR27" i="30"/>
  <c r="AP27" i="30"/>
  <c r="AO25" i="30"/>
  <c r="AO27" i="30" s="1"/>
  <c r="AI25" i="30"/>
  <c r="AH25" i="30"/>
  <c r="AG27" i="30"/>
  <c r="AE27" i="30"/>
  <c r="AC27" i="30"/>
  <c r="Z27" i="30"/>
  <c r="T9" i="11" s="1"/>
  <c r="AN25" i="30"/>
  <c r="AN27" i="30" s="1"/>
  <c r="AL25" i="30"/>
  <c r="AK25" i="30"/>
  <c r="G27" i="30"/>
  <c r="F27" i="30"/>
  <c r="E27" i="30"/>
  <c r="D27" i="30"/>
  <c r="E4" i="30"/>
  <c r="D4" i="30"/>
  <c r="AS3" i="30"/>
  <c r="AA3" i="30"/>
  <c r="E3" i="30"/>
  <c r="AY27" i="29"/>
  <c r="AX27" i="29"/>
  <c r="AW27" i="29"/>
  <c r="AV27" i="29"/>
  <c r="AU27" i="29"/>
  <c r="AR27" i="29"/>
  <c r="AP27" i="29"/>
  <c r="AI25" i="29"/>
  <c r="AH25" i="29"/>
  <c r="AG27" i="29"/>
  <c r="AF27" i="29"/>
  <c r="AE27" i="29"/>
  <c r="AD27" i="29"/>
  <c r="AC27" i="29"/>
  <c r="AA27" i="29"/>
  <c r="Z27" i="29"/>
  <c r="T8" i="11" s="1"/>
  <c r="U27" i="29"/>
  <c r="O8" i="11" s="1"/>
  <c r="T27" i="29"/>
  <c r="F8" i="11" s="1"/>
  <c r="AK25" i="29"/>
  <c r="I27" i="29"/>
  <c r="H27" i="29"/>
  <c r="G27" i="29"/>
  <c r="E4" i="29"/>
  <c r="D4" i="29"/>
  <c r="AS3" i="29"/>
  <c r="AA3" i="29"/>
  <c r="E3" i="29"/>
  <c r="AY27" i="28"/>
  <c r="AX27" i="28"/>
  <c r="AW27" i="28"/>
  <c r="AV27" i="28"/>
  <c r="AU27" i="28"/>
  <c r="AR27" i="28"/>
  <c r="AP27" i="28"/>
  <c r="AI25" i="28"/>
  <c r="AH25" i="28"/>
  <c r="AG27" i="28"/>
  <c r="AF27" i="28"/>
  <c r="AE27" i="28"/>
  <c r="AD27" i="28"/>
  <c r="U27" i="28"/>
  <c r="O7" i="11" s="1"/>
  <c r="AL25" i="28"/>
  <c r="AK25" i="28"/>
  <c r="N27" i="28"/>
  <c r="K27" i="28"/>
  <c r="J27" i="28"/>
  <c r="I27" i="28"/>
  <c r="H27" i="28"/>
  <c r="G27" i="28"/>
  <c r="F27" i="28"/>
  <c r="E27" i="28"/>
  <c r="D27" i="28"/>
  <c r="E4" i="28"/>
  <c r="D4" i="28"/>
  <c r="AS3" i="28"/>
  <c r="AA3" i="28"/>
  <c r="E3" i="28"/>
  <c r="AY27" i="27"/>
  <c r="AX27" i="27"/>
  <c r="AW27" i="27"/>
  <c r="AV27" i="27"/>
  <c r="AU27" i="27"/>
  <c r="AR27" i="27"/>
  <c r="AP27" i="27"/>
  <c r="AI25" i="27"/>
  <c r="AH25" i="27"/>
  <c r="AG27" i="27"/>
  <c r="AF27" i="27"/>
  <c r="V27" i="27"/>
  <c r="P6" i="11" s="1"/>
  <c r="U27" i="27"/>
  <c r="O6" i="11" s="1"/>
  <c r="T27" i="27"/>
  <c r="F6" i="11" s="1"/>
  <c r="S27" i="27"/>
  <c r="C6" i="11" s="1"/>
  <c r="N27" i="27"/>
  <c r="J27" i="27"/>
  <c r="I27" i="27"/>
  <c r="H27" i="27"/>
  <c r="G27" i="27"/>
  <c r="F27" i="27"/>
  <c r="E27" i="27"/>
  <c r="E4" i="27"/>
  <c r="D4" i="27"/>
  <c r="AS3" i="27"/>
  <c r="AA3" i="27"/>
  <c r="E3" i="27"/>
  <c r="AK5" i="1"/>
  <c r="AL5" i="1"/>
  <c r="AM5" i="1"/>
  <c r="AN5" i="1"/>
  <c r="AO5" i="1"/>
  <c r="AK6" i="1"/>
  <c r="AL6" i="1"/>
  <c r="AM6" i="1"/>
  <c r="AN6" i="1"/>
  <c r="AO6" i="1"/>
  <c r="AK7" i="1"/>
  <c r="AL7" i="1"/>
  <c r="AM7" i="1"/>
  <c r="AN7" i="1"/>
  <c r="AO7" i="1"/>
  <c r="AK8" i="1"/>
  <c r="AL8" i="1"/>
  <c r="AM8" i="1"/>
  <c r="AN8" i="1"/>
  <c r="AO8" i="1"/>
  <c r="AK9" i="1"/>
  <c r="AL9" i="1"/>
  <c r="AM9" i="1"/>
  <c r="AN9" i="1"/>
  <c r="AO9" i="1"/>
  <c r="AS9" i="1"/>
  <c r="AK10" i="1"/>
  <c r="AL10" i="1"/>
  <c r="AM10" i="1"/>
  <c r="AN10" i="1"/>
  <c r="AO10" i="1"/>
  <c r="AK11" i="1"/>
  <c r="AL11" i="1"/>
  <c r="AM11" i="1"/>
  <c r="AN11" i="1"/>
  <c r="AO11" i="1"/>
  <c r="AS11" i="1"/>
  <c r="AK12" i="1"/>
  <c r="AL12" i="1"/>
  <c r="AM12" i="1"/>
  <c r="AN12" i="1"/>
  <c r="AO12" i="1"/>
  <c r="AK13" i="1"/>
  <c r="AL13" i="1"/>
  <c r="AM13" i="1"/>
  <c r="AN13" i="1"/>
  <c r="AO13" i="1"/>
  <c r="AS13" i="1"/>
  <c r="AK14" i="1"/>
  <c r="AL14" i="1"/>
  <c r="AM14" i="1"/>
  <c r="AN14" i="1"/>
  <c r="AO14" i="1"/>
  <c r="AK15" i="1"/>
  <c r="AL15" i="1"/>
  <c r="AM15" i="1"/>
  <c r="AN15" i="1"/>
  <c r="AO15" i="1"/>
  <c r="AL16" i="1"/>
  <c r="AM16" i="1"/>
  <c r="AN16" i="1"/>
  <c r="AO16" i="1"/>
  <c r="AK17" i="1"/>
  <c r="AL17" i="1"/>
  <c r="AM17" i="1"/>
  <c r="AN17" i="1"/>
  <c r="AO17" i="1"/>
  <c r="AP27" i="1"/>
  <c r="AY27" i="1"/>
  <c r="AU27" i="1"/>
  <c r="AV27" i="1"/>
  <c r="AW27" i="1"/>
  <c r="AX27" i="1"/>
  <c r="AR27" i="1"/>
  <c r="AS3" i="1"/>
  <c r="V4" i="11"/>
  <c r="W4" i="11"/>
  <c r="X4" i="11"/>
  <c r="Y4" i="11"/>
  <c r="Z4" i="11"/>
  <c r="U4" i="11"/>
  <c r="I27" i="1"/>
  <c r="J27" i="1"/>
  <c r="K27" i="1"/>
  <c r="H25" i="1"/>
  <c r="H25" i="42" s="1"/>
  <c r="G25" i="1"/>
  <c r="F25" i="1"/>
  <c r="L5" i="1"/>
  <c r="AS5" i="1" s="1"/>
  <c r="L6" i="1"/>
  <c r="AS6" i="1" s="1"/>
  <c r="L7" i="1"/>
  <c r="L8" i="1"/>
  <c r="AS8" i="1" s="1"/>
  <c r="L9" i="1"/>
  <c r="L10" i="1"/>
  <c r="AS10" i="1" s="1"/>
  <c r="L11" i="1"/>
  <c r="L12" i="1"/>
  <c r="AS12" i="1" s="1"/>
  <c r="L13" i="1"/>
  <c r="L14" i="1"/>
  <c r="AS14" i="1" s="1"/>
  <c r="L15" i="1"/>
  <c r="AS15" i="1" s="1"/>
  <c r="L16" i="1"/>
  <c r="AS16" i="1" s="1"/>
  <c r="L17" i="1"/>
  <c r="AS17" i="1" s="1"/>
  <c r="D25" i="1"/>
  <c r="D25" i="42" s="1"/>
  <c r="E27" i="1" l="1"/>
  <c r="AB27" i="1"/>
  <c r="AB25" i="42"/>
  <c r="AB27" i="42" s="1"/>
  <c r="L25" i="42"/>
  <c r="L27" i="42" s="1"/>
  <c r="Q27" i="1"/>
  <c r="Q25" i="42"/>
  <c r="Q27" i="42" s="1"/>
  <c r="P27" i="1"/>
  <c r="F27" i="1"/>
  <c r="F25" i="42"/>
  <c r="AM25" i="42" s="1"/>
  <c r="D27" i="1"/>
  <c r="G27" i="1"/>
  <c r="G25" i="42"/>
  <c r="G27" i="42" s="1"/>
  <c r="H27" i="1"/>
  <c r="R27" i="1"/>
  <c r="R25" i="42"/>
  <c r="R27" i="42" s="1"/>
  <c r="AK25" i="36"/>
  <c r="AO25" i="36"/>
  <c r="AO27" i="36" s="1"/>
  <c r="AO10" i="42"/>
  <c r="AM8" i="42"/>
  <c r="AL25" i="35"/>
  <c r="AL17" i="42"/>
  <c r="AK10" i="42"/>
  <c r="AM25" i="33"/>
  <c r="AM27" i="33" s="1"/>
  <c r="AO5" i="42"/>
  <c r="AM13" i="42"/>
  <c r="AM17" i="42"/>
  <c r="AS13" i="42"/>
  <c r="AS15" i="42"/>
  <c r="AN25" i="32"/>
  <c r="AN27" i="32" s="1"/>
  <c r="AN25" i="31"/>
  <c r="AN27" i="31" s="1"/>
  <c r="AO8" i="42"/>
  <c r="AM15" i="42"/>
  <c r="AK13" i="42"/>
  <c r="S27" i="31"/>
  <c r="C10" i="11" s="1"/>
  <c r="T27" i="31"/>
  <c r="F10" i="11" s="1"/>
  <c r="U27" i="31"/>
  <c r="O10" i="11" s="1"/>
  <c r="AO12" i="42"/>
  <c r="AA27" i="30"/>
  <c r="AK12" i="42"/>
  <c r="AO6" i="42"/>
  <c r="L27" i="30"/>
  <c r="AK9" i="42"/>
  <c r="AN6" i="42"/>
  <c r="S27" i="30"/>
  <c r="C9" i="11" s="1"/>
  <c r="AS9" i="42"/>
  <c r="AS11" i="42"/>
  <c r="AL25" i="29"/>
  <c r="S27" i="29"/>
  <c r="C8" i="11" s="1"/>
  <c r="AM11" i="42"/>
  <c r="AM25" i="28"/>
  <c r="AM27" i="28" s="1"/>
  <c r="AM10" i="42"/>
  <c r="AM12" i="42"/>
  <c r="S27" i="28"/>
  <c r="C7" i="11" s="1"/>
  <c r="AK14" i="42"/>
  <c r="AM7" i="42"/>
  <c r="T27" i="28"/>
  <c r="F7" i="11" s="1"/>
  <c r="AN14" i="42"/>
  <c r="AL10" i="42"/>
  <c r="AM9" i="42"/>
  <c r="AK25" i="27"/>
  <c r="AL5" i="42"/>
  <c r="AS7" i="42"/>
  <c r="AO14" i="42"/>
  <c r="AN12" i="42"/>
  <c r="AM14" i="42"/>
  <c r="AL12" i="42"/>
  <c r="AM16" i="42"/>
  <c r="AL14" i="42"/>
  <c r="AS17" i="42"/>
  <c r="AM6" i="42"/>
  <c r="AO16" i="42"/>
  <c r="AK17" i="42"/>
  <c r="AK15" i="42"/>
  <c r="AN13" i="42"/>
  <c r="AK11" i="42"/>
  <c r="AN11" i="42"/>
  <c r="AN9" i="42"/>
  <c r="AK7" i="42"/>
  <c r="AN7" i="42"/>
  <c r="AS7" i="1"/>
  <c r="AN5" i="42"/>
  <c r="AL15" i="42"/>
  <c r="AL13" i="42"/>
  <c r="AL11" i="42"/>
  <c r="AO11" i="42"/>
  <c r="AL9" i="42"/>
  <c r="AO9" i="42"/>
  <c r="AL7" i="42"/>
  <c r="AS16" i="42"/>
  <c r="AS14" i="42"/>
  <c r="AS12" i="42"/>
  <c r="AS10" i="42"/>
  <c r="AS8" i="42"/>
  <c r="AS6" i="42"/>
  <c r="E27" i="42"/>
  <c r="W27" i="42"/>
  <c r="AK16" i="42"/>
  <c r="AK8" i="42"/>
  <c r="AA27" i="42"/>
  <c r="AK6" i="42"/>
  <c r="AN16" i="42"/>
  <c r="AN10" i="42"/>
  <c r="AK5" i="42"/>
  <c r="V27" i="42"/>
  <c r="AN8" i="42"/>
  <c r="AL16" i="42"/>
  <c r="AL8" i="42"/>
  <c r="AL6" i="42"/>
  <c r="AM5" i="42"/>
  <c r="I27" i="42"/>
  <c r="H27" i="42"/>
  <c r="AK25" i="42"/>
  <c r="X27" i="42"/>
  <c r="AO17" i="42"/>
  <c r="AO15" i="42"/>
  <c r="AO13" i="42"/>
  <c r="AO7" i="42"/>
  <c r="AN17" i="42"/>
  <c r="AN15" i="42"/>
  <c r="D27" i="42"/>
  <c r="L27" i="36"/>
  <c r="AM25" i="34"/>
  <c r="AM27" i="34" s="1"/>
  <c r="L27" i="34"/>
  <c r="AK25" i="34"/>
  <c r="AN25" i="34"/>
  <c r="AN27" i="34" s="1"/>
  <c r="AL25" i="34"/>
  <c r="AK25" i="35"/>
  <c r="L27" i="35"/>
  <c r="AM25" i="35"/>
  <c r="AM27" i="35" s="1"/>
  <c r="AO25" i="34"/>
  <c r="AO27" i="34" s="1"/>
  <c r="AN25" i="35"/>
  <c r="AN27" i="35" s="1"/>
  <c r="AM25" i="36"/>
  <c r="AM27" i="36" s="1"/>
  <c r="AO25" i="35"/>
  <c r="AO27" i="35" s="1"/>
  <c r="AN25" i="36"/>
  <c r="AN27" i="36" s="1"/>
  <c r="AS25" i="31"/>
  <c r="AS27" i="31" s="1"/>
  <c r="AS25" i="33"/>
  <c r="AS27" i="33" s="1"/>
  <c r="AO25" i="33"/>
  <c r="AO27" i="33" s="1"/>
  <c r="L27" i="32"/>
  <c r="AM25" i="30"/>
  <c r="AM27" i="30" s="1"/>
  <c r="AN25" i="33"/>
  <c r="AN27" i="33" s="1"/>
  <c r="L27" i="28"/>
  <c r="AO25" i="28"/>
  <c r="AO27" i="28" s="1"/>
  <c r="AN25" i="28"/>
  <c r="AN27" i="28" s="1"/>
  <c r="AM25" i="29"/>
  <c r="AM27" i="29" s="1"/>
  <c r="AN25" i="29"/>
  <c r="AN27" i="29" s="1"/>
  <c r="AS25" i="28"/>
  <c r="AS27" i="28" s="1"/>
  <c r="AO25" i="29"/>
  <c r="AO27" i="29" s="1"/>
  <c r="L27" i="29"/>
  <c r="AL25" i="27"/>
  <c r="AM25" i="27"/>
  <c r="AM27" i="27" s="1"/>
  <c r="AN25" i="27"/>
  <c r="AN27" i="27" s="1"/>
  <c r="AO25" i="27"/>
  <c r="AO27" i="27" s="1"/>
  <c r="L27" i="27"/>
  <c r="L27" i="1"/>
  <c r="AL25" i="42" l="1"/>
  <c r="AS5" i="42"/>
  <c r="AS25" i="30"/>
  <c r="AS27" i="30" s="1"/>
  <c r="AS25" i="29"/>
  <c r="AS27" i="29" s="1"/>
  <c r="F27" i="42"/>
  <c r="AN25" i="42"/>
  <c r="AO25" i="42"/>
  <c r="AS25" i="42"/>
  <c r="AS25" i="35"/>
  <c r="AS27" i="35" s="1"/>
  <c r="AS25" i="36"/>
  <c r="AS27" i="36" s="1"/>
  <c r="AS25" i="34"/>
  <c r="AS27" i="34" s="1"/>
  <c r="AS25" i="32"/>
  <c r="AS27" i="32" s="1"/>
  <c r="AS25" i="27"/>
  <c r="AS27" i="27" s="1"/>
  <c r="E21" i="11"/>
  <c r="G16" i="11" l="1"/>
  <c r="D6" i="11"/>
  <c r="D11" i="11"/>
  <c r="D16" i="11"/>
  <c r="G15" i="11"/>
  <c r="G13" i="11"/>
  <c r="D13" i="11"/>
  <c r="G9" i="11"/>
  <c r="J6" i="11"/>
  <c r="V6" i="11" s="1"/>
  <c r="I6" i="11"/>
  <c r="I7" i="11" s="1"/>
  <c r="I8" i="11" s="1"/>
  <c r="I9" i="11" s="1"/>
  <c r="K6" i="11"/>
  <c r="AD27" i="1"/>
  <c r="AE27" i="1"/>
  <c r="AF27" i="1"/>
  <c r="AG27" i="1"/>
  <c r="J7" i="11" l="1"/>
  <c r="J8" i="11" s="1"/>
  <c r="J9" i="11" s="1"/>
  <c r="V9" i="11" s="1"/>
  <c r="U6" i="11"/>
  <c r="U7" i="11"/>
  <c r="G8" i="11"/>
  <c r="G14" i="11"/>
  <c r="G12" i="11"/>
  <c r="D12" i="11"/>
  <c r="G10" i="11"/>
  <c r="U9" i="11"/>
  <c r="I10" i="11"/>
  <c r="I11" i="11" s="1"/>
  <c r="D7" i="11"/>
  <c r="G7" i="11"/>
  <c r="G11" i="11"/>
  <c r="D9" i="11"/>
  <c r="D14" i="11"/>
  <c r="G6" i="11"/>
  <c r="U8" i="11"/>
  <c r="D15" i="11"/>
  <c r="K7" i="11"/>
  <c r="W6" i="11"/>
  <c r="D8" i="11"/>
  <c r="AC27" i="1"/>
  <c r="Z27" i="1"/>
  <c r="T5" i="11" s="1"/>
  <c r="X27" i="1"/>
  <c r="R5" i="11" s="1"/>
  <c r="N27" i="1"/>
  <c r="E4" i="1"/>
  <c r="D4" i="1"/>
  <c r="AA3" i="1"/>
  <c r="E3" i="1"/>
  <c r="W27" i="1" l="1"/>
  <c r="Q5" i="11" s="1"/>
  <c r="Q21" i="11" s="1"/>
  <c r="AO25" i="1"/>
  <c r="AO27" i="1" s="1"/>
  <c r="AS25" i="1"/>
  <c r="AS27" i="1" s="1"/>
  <c r="AA27" i="1"/>
  <c r="U27" i="1"/>
  <c r="O5" i="11" s="1"/>
  <c r="O21" i="11" s="1"/>
  <c r="AM25" i="1"/>
  <c r="AM27" i="1" s="1"/>
  <c r="AL25" i="1"/>
  <c r="T27" i="1"/>
  <c r="F5" i="11" s="1"/>
  <c r="V27" i="1"/>
  <c r="P5" i="11" s="1"/>
  <c r="V5" i="11" s="1"/>
  <c r="AN25" i="1"/>
  <c r="AN27" i="1" s="1"/>
  <c r="AK25" i="1"/>
  <c r="S27" i="1"/>
  <c r="C5" i="11" s="1"/>
  <c r="C21" i="11" s="1"/>
  <c r="D21" i="11" s="1"/>
  <c r="V7" i="11"/>
  <c r="V8" i="11"/>
  <c r="J10" i="11"/>
  <c r="V10" i="11" s="1"/>
  <c r="S21" i="11"/>
  <c r="R21" i="11"/>
  <c r="U5" i="11"/>
  <c r="F21" i="11"/>
  <c r="G21" i="11" s="1"/>
  <c r="G5" i="11"/>
  <c r="D10" i="11"/>
  <c r="U10" i="11"/>
  <c r="K8" i="11"/>
  <c r="W7" i="11"/>
  <c r="I12" i="11"/>
  <c r="U11" i="11"/>
  <c r="J11" i="11" l="1"/>
  <c r="J12" i="11" s="1"/>
  <c r="J13" i="11" s="1"/>
  <c r="P21" i="11"/>
  <c r="D5" i="11"/>
  <c r="W5" i="11"/>
  <c r="I13" i="11"/>
  <c r="U12" i="11"/>
  <c r="K9" i="11"/>
  <c r="W8" i="11"/>
  <c r="V12" i="11" l="1"/>
  <c r="V11" i="11"/>
  <c r="I14" i="11"/>
  <c r="U13" i="11"/>
  <c r="J14" i="11"/>
  <c r="V13" i="11"/>
  <c r="K10" i="11"/>
  <c r="W9" i="11"/>
  <c r="K11" i="11" l="1"/>
  <c r="W10" i="11"/>
  <c r="V14" i="11"/>
  <c r="J15" i="11"/>
  <c r="I15" i="11"/>
  <c r="U14" i="11"/>
  <c r="W11" i="11" l="1"/>
  <c r="K12" i="11"/>
  <c r="I16" i="11"/>
  <c r="U15" i="11"/>
  <c r="J16" i="11"/>
  <c r="V15" i="11"/>
  <c r="V16" i="11" l="1"/>
  <c r="U16" i="11"/>
  <c r="K13" i="11"/>
  <c r="W12" i="11"/>
  <c r="K14" i="11" l="1"/>
  <c r="W13" i="11"/>
  <c r="K15" i="11" l="1"/>
  <c r="W14" i="11"/>
  <c r="W15" i="11" l="1"/>
  <c r="K16" i="11"/>
  <c r="W16" i="11" l="1"/>
  <c r="J21" i="11" l="1"/>
  <c r="V21" i="11" s="1"/>
  <c r="I21" i="11"/>
  <c r="U21" i="11" s="1"/>
  <c r="M21" i="11" l="1"/>
  <c r="L21" i="11" l="1"/>
  <c r="K21" i="11" l="1"/>
  <c r="W21" i="11" s="1"/>
</calcChain>
</file>

<file path=xl/sharedStrings.xml><?xml version="1.0" encoding="utf-8"?>
<sst xmlns="http://schemas.openxmlformats.org/spreadsheetml/2006/main" count="1179" uniqueCount="126">
  <si>
    <t>Date</t>
  </si>
  <si>
    <t>Enseigne</t>
  </si>
  <si>
    <t>Nom du PDV en promotion</t>
  </si>
  <si>
    <t>Contacts</t>
  </si>
  <si>
    <t>Produits (en unités)</t>
  </si>
  <si>
    <t>Gratuités pour achats 
(en unités)</t>
  </si>
  <si>
    <t>Acheteurs</t>
  </si>
  <si>
    <t>Produits</t>
  </si>
  <si>
    <t>Commentaires</t>
  </si>
  <si>
    <t>Impressions des PDV et des clients</t>
  </si>
  <si>
    <t>Biblos Lait Premium 16g</t>
  </si>
  <si>
    <t>Biblos Lait Premium 360g</t>
  </si>
  <si>
    <t>Biblos Lait Excellence</t>
  </si>
  <si>
    <t>Biblos Flocon d'avoine 50g</t>
  </si>
  <si>
    <t>Biblos Flocon d'avoine 400g</t>
  </si>
  <si>
    <t>Nombre de personnes ayant été contactées au rayon</t>
  </si>
  <si>
    <t>Nombre de personnes ayant acheté</t>
  </si>
  <si>
    <t xml:space="preserve">TOTAL </t>
  </si>
  <si>
    <t>TOTAL EN CARTONS</t>
  </si>
  <si>
    <t>GOODIES</t>
  </si>
  <si>
    <t>CONTACTS</t>
  </si>
  <si>
    <t>ACHETEURS</t>
  </si>
  <si>
    <t>OBJECTIF VOLUME PRODUITS</t>
  </si>
  <si>
    <t>REALISATION VOLUME PRODUITS</t>
  </si>
  <si>
    <t>Objectif</t>
  </si>
  <si>
    <t>Réalisé</t>
  </si>
  <si>
    <t>Tx Réal.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</si>
  <si>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</si>
  <si>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</si>
  <si>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</si>
  <si>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</si>
  <si>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</si>
  <si>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</si>
  <si>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</si>
  <si>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</si>
  <si>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JOUR 9</t>
  </si>
  <si>
    <t>JOUR 10</t>
  </si>
  <si>
    <t>JOUR 11</t>
  </si>
  <si>
    <t>JOUR 12</t>
  </si>
  <si>
    <t>JOUR 13</t>
  </si>
  <si>
    <t>JOUR 14</t>
  </si>
  <si>
    <t>JOUR 15</t>
  </si>
  <si>
    <t>JOUR 16</t>
  </si>
  <si>
    <t>TOTAL</t>
  </si>
  <si>
    <t>Biblos 3 en Café au Lait</t>
  </si>
  <si>
    <t>Biblos 3 en 1 Café au lait</t>
  </si>
  <si>
    <t>Goodies 1</t>
  </si>
  <si>
    <t>Goodies 2</t>
  </si>
  <si>
    <t>Goodies 3</t>
  </si>
  <si>
    <t>Goodie 4</t>
  </si>
  <si>
    <t>Biblos Lait Excellence 900g</t>
  </si>
  <si>
    <t>Biblos Avoine 50g</t>
  </si>
  <si>
    <t>Biblos Avoine 400g</t>
  </si>
  <si>
    <t>Biblos 3 en 1 Café au lait 32g</t>
  </si>
  <si>
    <t>Goodies 4</t>
  </si>
  <si>
    <t>OBJECTIFS</t>
  </si>
  <si>
    <t>REALISATIONS</t>
  </si>
  <si>
    <t>TAUX DE REALISATION</t>
  </si>
  <si>
    <t>TOTAL PROMO</t>
  </si>
  <si>
    <t>AUCHAN</t>
  </si>
  <si>
    <t xml:space="preserve">AUCHAN ABATTA </t>
  </si>
  <si>
    <t>AUCHAN ABOBO SAMAKE</t>
  </si>
  <si>
    <t xml:space="preserve">AUCHAN ANGRE DJIBI </t>
  </si>
  <si>
    <t>AUCHAN ATTOBAN</t>
  </si>
  <si>
    <t xml:space="preserve">AUCHAN BINGERVILLE </t>
  </si>
  <si>
    <t xml:space="preserve">AUCHAN GARDEN LATRILLE </t>
  </si>
  <si>
    <t xml:space="preserve">AUCHAN GRAND-BASSAM </t>
  </si>
  <si>
    <t>AUCHAN KOUMASSI SOLEIL</t>
  </si>
  <si>
    <t>AUCHAN YOPOUGON COMPLEXE</t>
  </si>
  <si>
    <t>AUCHAN TREICHVILLE ROND-POINT</t>
  </si>
  <si>
    <t xml:space="preserve">AUCHAN ZONE 4 </t>
  </si>
  <si>
    <t>AUCHAN BOUAKE</t>
  </si>
  <si>
    <t>AUCHAN YAMOUSSOUKRO</t>
  </si>
  <si>
    <t>Plateau</t>
  </si>
  <si>
    <t>Tasse à café porcelaine</t>
  </si>
  <si>
    <t>Bocal transparent</t>
  </si>
  <si>
    <t>Tasse plastique</t>
  </si>
  <si>
    <t>Les clients apprécient les produits et demandent une réduction</t>
  </si>
  <si>
    <t>Les clients aiment Biblos lait, demandent les gratuités et les goodies</t>
  </si>
  <si>
    <t xml:space="preserve">Les clients sont satisfait du goût </t>
  </si>
  <si>
    <t>Les clients sont content de Biblos lait et veulent en gros</t>
  </si>
  <si>
    <t>Les clients veulent déguster avant l'achat</t>
  </si>
  <si>
    <t>Satisfaits du goût et de la qualité des produits</t>
  </si>
  <si>
    <t>Peu d'affluence, les clients apprécient</t>
  </si>
  <si>
    <t xml:space="preserve">Clients satisfaits du lait </t>
  </si>
  <si>
    <t>2 déguê</t>
  </si>
  <si>
    <t xml:space="preserve">Les clients apprécient le flocon d'avoine </t>
  </si>
  <si>
    <t xml:space="preserve">Clients satisfaits du goût du lait et demandent le flocon d'avoine </t>
  </si>
  <si>
    <t>Les clients ont très apprécié les produits surtout le café au lait 3en1</t>
  </si>
  <si>
    <t xml:space="preserve">Les clients demandent des gratuités </t>
  </si>
  <si>
    <t>Les clients apprécient et sont habitué aux produits Biblos, demandent une réduction</t>
  </si>
  <si>
    <t xml:space="preserve">Les clients demandent les produits en boîte pour la conservation sur le long terme et que le goût du lait ne change pas </t>
  </si>
  <si>
    <t>Pas assez d'affluence dans le magasin</t>
  </si>
  <si>
    <t>Bon goût et bonne qualité de produits</t>
  </si>
  <si>
    <t>Les clients aiment les produits et demandent à déguster aussi le plus souvent</t>
  </si>
  <si>
    <t xml:space="preserve">La plupart trouvent la quantité petite dans le sachet de 16g </t>
  </si>
  <si>
    <t xml:space="preserve">Réclamation du lait 900g en boîte </t>
  </si>
  <si>
    <t xml:space="preserve">Ils apprécient le goût du lait </t>
  </si>
  <si>
    <t xml:space="preserve">Les clients commencent à beaucoup apprécié le produit biblos mais réclament le lait en boîte </t>
  </si>
  <si>
    <t xml:space="preserve">Les clients demandent le lait de 400g en boîte </t>
  </si>
  <si>
    <t xml:space="preserve">Les clients ont commencé à arriver le plus aux alentours de 17h </t>
  </si>
  <si>
    <t xml:space="preserve">Les clients demandent une baisse sur le prix, ils apprécient </t>
  </si>
  <si>
    <t xml:space="preserve">Les clients réclament le lait en boîte pour mieux conserver, ils aiment le goût </t>
  </si>
  <si>
    <t>RUPTURE FLOCON 400G</t>
  </si>
  <si>
    <t>RUPTURE DE FLOCON D'AVOINE 400G</t>
  </si>
  <si>
    <t xml:space="preserve">RUPTURE DU 16G ET DU FLOCON D'AVOINE 400G </t>
  </si>
  <si>
    <t xml:space="preserve">RUPTURE DE STOCK </t>
  </si>
  <si>
    <t>PAS DE FLOCON D'AVOINE 400G</t>
  </si>
  <si>
    <t>Les produits sont appréciés par les clients et demandent en boîte</t>
  </si>
  <si>
    <t>Les clients aiment beaucoup le goût du lait avec le flocon d'avoine</t>
  </si>
  <si>
    <t>Apprécient le goût</t>
  </si>
  <si>
    <t>Le goût et le packaging est validé par les clients</t>
  </si>
  <si>
    <t>Les clients disent que le lait est petit dans le 16g mais ils apprécient le goût</t>
  </si>
  <si>
    <t>Demande de 900g en boîte</t>
  </si>
  <si>
    <t>Demande de flocon d'avoine en boîte</t>
  </si>
  <si>
    <t>Les clients apprécient</t>
  </si>
  <si>
    <t>Goût et qualité apprécies</t>
  </si>
  <si>
    <t>ils aiment le goût du lait pas trop sucrée et fondant dans la bouche</t>
  </si>
  <si>
    <t>appréciation du goût et texture</t>
  </si>
  <si>
    <t>Les clients apprécient les produits Biblos</t>
  </si>
  <si>
    <t>RUPTURE DE LAIT 16G ET FLOCON D'AVOINE 400G</t>
  </si>
  <si>
    <t xml:space="preserve">Les clients dans l'ensemble ont beaucoup appréciés le goût des produits </t>
  </si>
  <si>
    <t xml:space="preserve">Les clients réclament surtout le flocon d'avoine 400g et aiment beaucoup le goût doux du lait </t>
  </si>
  <si>
    <t xml:space="preserve">Le lait fond dans la bouche sa plait beaucoup aux clients </t>
  </si>
  <si>
    <t xml:space="preserve">Les clients demandent le café au lait, ils apprécient le lait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</si>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</sst>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#,##0.0"/>
    <numFmt numFmtId="165" formatCode="0.0"/>
    <numFmt numFmtId="166" formatCode="_-* #,##0.00_-;\-* #,##0.00_-;_-* &quot;-&quot;_-;_-@_-"/>
    <numFmt numFmtId="167" formatCode="_-* #,##0.00\ _F_ _C_F_A_-;\-* #,##0.00\ _F_ _C_F_A_-;_-* &quot;-&quot;??\ _F_ _C_F_A_-;_-@_-"/>
    <numFmt numFmtId="168" formatCode="_-* #,##0.0_-;\-* #,##0.0_-;_-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rgb="FFFF000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textRotation="90" wrapText="1"/>
    </xf>
    <xf numFmtId="0" fontId="6" fillId="3" borderId="12" xfId="0" applyFont="1" applyFill="1" applyBorder="1" applyAlignment="1">
      <alignment horizontal="center" vertical="center" textRotation="90" wrapText="1"/>
    </xf>
    <xf numFmtId="0" fontId="6" fillId="3" borderId="13" xfId="0" applyFont="1" applyFill="1" applyBorder="1" applyAlignment="1">
      <alignment horizontal="center" vertical="center" textRotation="90" wrapText="1"/>
    </xf>
    <xf numFmtId="0" fontId="6" fillId="3" borderId="14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center" vertical="center" textRotation="90" wrapText="1"/>
    </xf>
    <xf numFmtId="0" fontId="6" fillId="4" borderId="14" xfId="0" applyFont="1" applyFill="1" applyBorder="1" applyAlignment="1">
      <alignment horizontal="center" vertical="center" textRotation="90" wrapText="1"/>
    </xf>
    <xf numFmtId="0" fontId="6" fillId="5" borderId="16" xfId="0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/>
    </xf>
    <xf numFmtId="41" fontId="7" fillId="6" borderId="18" xfId="1" applyFont="1" applyFill="1" applyBorder="1" applyAlignment="1">
      <alignment horizontal="center" vertical="center"/>
    </xf>
    <xf numFmtId="41" fontId="7" fillId="6" borderId="19" xfId="1" applyFont="1" applyFill="1" applyBorder="1" applyAlignment="1">
      <alignment horizontal="center" vertical="center"/>
    </xf>
    <xf numFmtId="41" fontId="7" fillId="6" borderId="20" xfId="1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 wrapText="1"/>
    </xf>
    <xf numFmtId="41" fontId="7" fillId="6" borderId="16" xfId="1" applyFont="1" applyFill="1" applyBorder="1" applyAlignment="1">
      <alignment horizontal="center" vertical="center" wrapText="1"/>
    </xf>
    <xf numFmtId="3" fontId="9" fillId="7" borderId="21" xfId="0" applyNumberFormat="1" applyFont="1" applyFill="1" applyBorder="1" applyAlignment="1">
      <alignment horizontal="center" vertical="center"/>
    </xf>
    <xf numFmtId="164" fontId="9" fillId="7" borderId="21" xfId="0" applyNumberFormat="1" applyFont="1" applyFill="1" applyBorder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2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3" fontId="9" fillId="7" borderId="6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textRotation="90" wrapText="1"/>
    </xf>
    <xf numFmtId="0" fontId="6" fillId="4" borderId="11" xfId="0" applyFont="1" applyFill="1" applyBorder="1" applyAlignment="1">
      <alignment horizontal="center" vertical="center" textRotation="90" wrapText="1"/>
    </xf>
    <xf numFmtId="41" fontId="7" fillId="4" borderId="17" xfId="1" applyFont="1" applyFill="1" applyBorder="1" applyAlignment="1">
      <alignment horizontal="center" vertical="center"/>
    </xf>
    <xf numFmtId="41" fontId="7" fillId="4" borderId="19" xfId="1" applyFont="1" applyFill="1" applyBorder="1" applyAlignment="1">
      <alignment horizontal="center" vertical="center"/>
    </xf>
    <xf numFmtId="41" fontId="7" fillId="4" borderId="18" xfId="1" applyFont="1" applyFill="1" applyBorder="1" applyAlignment="1">
      <alignment horizontal="center" vertical="center"/>
    </xf>
    <xf numFmtId="41" fontId="7" fillId="4" borderId="20" xfId="1" applyFont="1" applyFill="1" applyBorder="1" applyAlignment="1">
      <alignment horizontal="center" vertical="center"/>
    </xf>
    <xf numFmtId="41" fontId="7" fillId="4" borderId="16" xfId="1" applyFont="1" applyFill="1" applyBorder="1" applyAlignment="1">
      <alignment horizontal="center" vertical="center"/>
    </xf>
    <xf numFmtId="41" fontId="6" fillId="6" borderId="17" xfId="1" applyFont="1" applyFill="1" applyBorder="1" applyAlignment="1">
      <alignment horizontal="center" vertical="center" wrapText="1"/>
    </xf>
    <xf numFmtId="41" fontId="3" fillId="0" borderId="24" xfId="1" applyFont="1" applyBorder="1" applyAlignment="1">
      <alignment horizontal="center"/>
    </xf>
    <xf numFmtId="41" fontId="3" fillId="0" borderId="24" xfId="1" applyFont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9" fontId="3" fillId="3" borderId="24" xfId="2" applyFont="1" applyFill="1" applyBorder="1" applyAlignment="1">
      <alignment horizontal="center"/>
    </xf>
    <xf numFmtId="9" fontId="3" fillId="4" borderId="24" xfId="2" applyFont="1" applyFill="1" applyBorder="1" applyAlignment="1">
      <alignment horizontal="center"/>
    </xf>
    <xf numFmtId="165" fontId="3" fillId="12" borderId="24" xfId="0" applyNumberFormat="1" applyFont="1" applyFill="1" applyBorder="1" applyAlignment="1">
      <alignment horizontal="center" vertical="center" wrapText="1"/>
    </xf>
    <xf numFmtId="9" fontId="3" fillId="13" borderId="24" xfId="2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/>
    </xf>
    <xf numFmtId="41" fontId="10" fillId="0" borderId="24" xfId="0" applyNumberFormat="1" applyFont="1" applyBorder="1" applyAlignment="1">
      <alignment horizontal="center"/>
    </xf>
    <xf numFmtId="9" fontId="10" fillId="0" borderId="24" xfId="2" applyFont="1" applyBorder="1" applyAlignment="1">
      <alignment horizontal="center"/>
    </xf>
    <xf numFmtId="0" fontId="10" fillId="0" borderId="0" xfId="0" applyFont="1"/>
    <xf numFmtId="165" fontId="10" fillId="0" borderId="24" xfId="0" applyNumberFormat="1" applyFont="1" applyBorder="1" applyAlignment="1">
      <alignment horizontal="center" vertical="center" wrapText="1"/>
    </xf>
    <xf numFmtId="9" fontId="10" fillId="0" borderId="24" xfId="2" applyFont="1" applyFill="1" applyBorder="1" applyAlignment="1">
      <alignment horizontal="center" vertical="center" wrapText="1"/>
    </xf>
    <xf numFmtId="41" fontId="3" fillId="0" borderId="0" xfId="1" applyFont="1"/>
    <xf numFmtId="0" fontId="3" fillId="0" borderId="0" xfId="0" applyFont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41" fontId="3" fillId="7" borderId="24" xfId="1" applyFont="1" applyFill="1" applyBorder="1" applyAlignment="1">
      <alignment horizontal="center" vertical="center" wrapText="1"/>
    </xf>
    <xf numFmtId="41" fontId="3" fillId="12" borderId="24" xfId="1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 vertical="center" wrapText="1"/>
    </xf>
    <xf numFmtId="41" fontId="3" fillId="0" borderId="0" xfId="1" applyFont="1" applyAlignment="1">
      <alignment vertical="center" wrapText="1"/>
    </xf>
    <xf numFmtId="41" fontId="6" fillId="6" borderId="17" xfId="1" applyFont="1" applyFill="1" applyBorder="1" applyAlignment="1">
      <alignment horizontal="center" vertical="center"/>
    </xf>
    <xf numFmtId="41" fontId="6" fillId="6" borderId="16" xfId="1" applyFont="1" applyFill="1" applyBorder="1" applyAlignment="1">
      <alignment horizontal="center" vertical="center" wrapText="1"/>
    </xf>
    <xf numFmtId="166" fontId="9" fillId="7" borderId="21" xfId="1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166" fontId="9" fillId="7" borderId="22" xfId="1" applyNumberFormat="1" applyFont="1" applyFill="1" applyBorder="1" applyAlignment="1">
      <alignment horizontal="center" vertical="center"/>
    </xf>
    <xf numFmtId="166" fontId="9" fillId="7" borderId="2" xfId="1" applyNumberFormat="1" applyFont="1" applyFill="1" applyBorder="1" applyAlignment="1">
      <alignment horizontal="center" vertical="center"/>
    </xf>
    <xf numFmtId="14" fontId="4" fillId="2" borderId="2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4" borderId="28" xfId="0" applyFont="1" applyFill="1" applyBorder="1" applyAlignment="1">
      <alignment horizontal="center" vertical="center" textRotation="90" wrapText="1"/>
    </xf>
    <xf numFmtId="0" fontId="6" fillId="3" borderId="29" xfId="0" applyFont="1" applyFill="1" applyBorder="1" applyAlignment="1">
      <alignment horizontal="center" vertical="center" textRotation="90" wrapText="1"/>
    </xf>
    <xf numFmtId="0" fontId="6" fillId="4" borderId="30" xfId="0" applyFont="1" applyFill="1" applyBorder="1" applyAlignment="1">
      <alignment horizontal="center" vertical="center" textRotation="90" wrapText="1"/>
    </xf>
    <xf numFmtId="41" fontId="7" fillId="4" borderId="31" xfId="1" applyFont="1" applyFill="1" applyBorder="1" applyAlignment="1">
      <alignment horizontal="center" vertical="center"/>
    </xf>
    <xf numFmtId="164" fontId="9" fillId="7" borderId="32" xfId="0" applyNumberFormat="1" applyFont="1" applyFill="1" applyBorder="1" applyAlignment="1">
      <alignment horizontal="center" vertical="center"/>
    </xf>
    <xf numFmtId="41" fontId="3" fillId="10" borderId="24" xfId="1" applyFont="1" applyFill="1" applyBorder="1" applyAlignment="1">
      <alignment horizontal="center" vertical="center" wrapText="1"/>
    </xf>
    <xf numFmtId="41" fontId="3" fillId="11" borderId="24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textRotation="90" wrapText="1"/>
    </xf>
    <xf numFmtId="0" fontId="6" fillId="12" borderId="13" xfId="0" applyFont="1" applyFill="1" applyBorder="1" applyAlignment="1">
      <alignment horizontal="center" vertical="center" textRotation="90" wrapText="1"/>
    </xf>
    <xf numFmtId="0" fontId="6" fillId="12" borderId="30" xfId="0" applyFont="1" applyFill="1" applyBorder="1" applyAlignment="1">
      <alignment horizontal="center" vertical="center" textRotation="90" wrapText="1"/>
    </xf>
    <xf numFmtId="0" fontId="6" fillId="12" borderId="14" xfId="0" applyFont="1" applyFill="1" applyBorder="1" applyAlignment="1">
      <alignment horizontal="center" vertical="center" textRotation="90" wrapText="1"/>
    </xf>
    <xf numFmtId="0" fontId="6" fillId="12" borderId="28" xfId="0" applyFont="1" applyFill="1" applyBorder="1" applyAlignment="1">
      <alignment horizontal="center" vertical="center" textRotation="90" wrapText="1"/>
    </xf>
    <xf numFmtId="0" fontId="6" fillId="12" borderId="10" xfId="0" applyFont="1" applyFill="1" applyBorder="1" applyAlignment="1">
      <alignment horizontal="center" vertical="center" textRotation="90" wrapText="1"/>
    </xf>
    <xf numFmtId="0" fontId="6" fillId="12" borderId="11" xfId="0" applyFont="1" applyFill="1" applyBorder="1" applyAlignment="1">
      <alignment horizontal="center" vertical="center" textRotation="90" wrapText="1"/>
    </xf>
    <xf numFmtId="9" fontId="7" fillId="12" borderId="17" xfId="2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wrapText="1"/>
    </xf>
    <xf numFmtId="9" fontId="7" fillId="12" borderId="16" xfId="2" applyFont="1" applyFill="1" applyBorder="1" applyAlignment="1">
      <alignment horizontal="center" vertical="center"/>
    </xf>
    <xf numFmtId="41" fontId="3" fillId="8" borderId="24" xfId="1" applyFont="1" applyFill="1" applyBorder="1" applyAlignment="1">
      <alignment horizontal="center" vertical="center"/>
    </xf>
    <xf numFmtId="41" fontId="3" fillId="3" borderId="24" xfId="1" applyFont="1" applyFill="1" applyBorder="1" applyAlignment="1">
      <alignment horizontal="center"/>
    </xf>
    <xf numFmtId="41" fontId="3" fillId="9" borderId="24" xfId="1" applyFont="1" applyFill="1" applyBorder="1" applyAlignment="1">
      <alignment horizontal="center" vertical="center"/>
    </xf>
    <xf numFmtId="41" fontId="3" fillId="4" borderId="24" xfId="1" applyFont="1" applyFill="1" applyBorder="1" applyAlignment="1">
      <alignment horizontal="center"/>
    </xf>
    <xf numFmtId="41" fontId="3" fillId="5" borderId="24" xfId="1" applyFont="1" applyFill="1" applyBorder="1" applyAlignment="1">
      <alignment horizontal="center"/>
    </xf>
    <xf numFmtId="9" fontId="6" fillId="12" borderId="10" xfId="2" applyFont="1" applyFill="1" applyBorder="1" applyAlignment="1">
      <alignment horizontal="center" vertical="center"/>
    </xf>
    <xf numFmtId="9" fontId="6" fillId="12" borderId="9" xfId="2" applyFont="1" applyFill="1" applyBorder="1" applyAlignment="1">
      <alignment horizontal="center" vertical="center"/>
    </xf>
    <xf numFmtId="3" fontId="8" fillId="7" borderId="21" xfId="0" applyNumberFormat="1" applyFont="1" applyFill="1" applyBorder="1" applyAlignment="1">
      <alignment horizontal="center" vertical="center"/>
    </xf>
    <xf numFmtId="166" fontId="8" fillId="7" borderId="21" xfId="1" applyNumberFormat="1" applyFont="1" applyFill="1" applyBorder="1" applyAlignment="1">
      <alignment horizontal="center" vertical="center"/>
    </xf>
    <xf numFmtId="166" fontId="8" fillId="7" borderId="23" xfId="1" applyNumberFormat="1" applyFont="1" applyFill="1" applyBorder="1" applyAlignment="1">
      <alignment horizontal="center" vertical="center"/>
    </xf>
    <xf numFmtId="166" fontId="8" fillId="7" borderId="22" xfId="1" applyNumberFormat="1" applyFont="1" applyFill="1" applyBorder="1" applyAlignment="1">
      <alignment horizontal="center" vertical="center"/>
    </xf>
    <xf numFmtId="166" fontId="8" fillId="7" borderId="2" xfId="1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7" borderId="21" xfId="0" applyNumberFormat="1" applyFont="1" applyFill="1" applyBorder="1" applyAlignment="1">
      <alignment horizontal="center" vertical="center"/>
    </xf>
    <xf numFmtId="164" fontId="8" fillId="7" borderId="23" xfId="0" applyNumberFormat="1" applyFont="1" applyFill="1" applyBorder="1" applyAlignment="1">
      <alignment horizontal="center" vertical="center"/>
    </xf>
    <xf numFmtId="164" fontId="8" fillId="7" borderId="32" xfId="0" applyNumberFormat="1" applyFont="1" applyFill="1" applyBorder="1" applyAlignment="1">
      <alignment horizontal="center" vertical="center"/>
    </xf>
    <xf numFmtId="164" fontId="8" fillId="7" borderId="22" xfId="0" applyNumberFormat="1" applyFont="1" applyFill="1" applyBorder="1" applyAlignment="1">
      <alignment horizontal="center" vertical="center"/>
    </xf>
    <xf numFmtId="3" fontId="8" fillId="7" borderId="6" xfId="0" applyNumberFormat="1" applyFont="1" applyFill="1" applyBorder="1" applyAlignment="1">
      <alignment horizontal="center" vertical="center"/>
    </xf>
    <xf numFmtId="168" fontId="3" fillId="12" borderId="24" xfId="1" applyNumberFormat="1" applyFont="1" applyFill="1" applyBorder="1" applyAlignment="1">
      <alignment horizontal="center" vertical="center" wrapText="1"/>
    </xf>
    <xf numFmtId="41" fontId="12" fillId="6" borderId="17" xfId="1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9" borderId="26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6F6B-DB6A-41FF-B10A-2CEEBD3A7555}">
  <sheetPr>
    <tabColor rgb="FFFFFF00"/>
  </sheetPr>
  <dimension ref="A3:Z2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6" sqref="K6"/>
    </sheetView>
  </sheetViews>
  <sheetFormatPr baseColWidth="10" defaultColWidth="11.5546875" defaultRowHeight="13.8" x14ac:dyDescent="0.25"/>
  <cols>
    <col min="1" max="3" width="11.5546875" style="54"/>
    <col min="4" max="4" width="11.5546875" style="2"/>
    <col min="5" max="5" width="13.33203125" style="54" bestFit="1" customWidth="1"/>
    <col min="6" max="6" width="13.33203125" style="54" customWidth="1"/>
    <col min="7" max="7" width="11.5546875" style="2"/>
    <col min="8" max="8" width="3.5546875" style="2" customWidth="1"/>
    <col min="9" max="11" width="16" style="60" customWidth="1"/>
    <col min="12" max="14" width="16" style="55" customWidth="1"/>
    <col min="15" max="20" width="15.33203125" style="2" customWidth="1"/>
    <col min="21" max="26" width="14.44140625" style="2" customWidth="1"/>
    <col min="27" max="27" width="3.88671875" style="2" customWidth="1"/>
    <col min="28" max="16384" width="11.5546875" style="2"/>
  </cols>
  <sheetData>
    <row r="3" spans="1:26" ht="13.95" customHeight="1" x14ac:dyDescent="0.25">
      <c r="A3" s="37"/>
      <c r="B3" s="108" t="s">
        <v>20</v>
      </c>
      <c r="C3" s="109"/>
      <c r="D3" s="110"/>
      <c r="E3" s="111" t="s">
        <v>21</v>
      </c>
      <c r="F3" s="112"/>
      <c r="G3" s="113"/>
      <c r="I3" s="114" t="s">
        <v>22</v>
      </c>
      <c r="J3" s="115"/>
      <c r="K3" s="115"/>
      <c r="L3" s="115"/>
      <c r="M3" s="115"/>
      <c r="N3" s="116"/>
      <c r="O3" s="117" t="s">
        <v>23</v>
      </c>
      <c r="P3" s="118"/>
      <c r="Q3" s="118"/>
      <c r="R3" s="118"/>
      <c r="S3" s="118"/>
      <c r="T3" s="119"/>
      <c r="U3" s="120" t="s">
        <v>23</v>
      </c>
      <c r="V3" s="120"/>
      <c r="W3" s="120"/>
      <c r="X3" s="120"/>
      <c r="Y3" s="120"/>
      <c r="Z3" s="120"/>
    </row>
    <row r="4" spans="1:26" s="41" customFormat="1" ht="41.4" x14ac:dyDescent="0.3">
      <c r="A4" s="38"/>
      <c r="B4" s="88" t="s">
        <v>24</v>
      </c>
      <c r="C4" s="88" t="s">
        <v>25</v>
      </c>
      <c r="D4" s="39" t="s">
        <v>26</v>
      </c>
      <c r="E4" s="90" t="s">
        <v>24</v>
      </c>
      <c r="F4" s="90" t="s">
        <v>25</v>
      </c>
      <c r="G4" s="40" t="s">
        <v>26</v>
      </c>
      <c r="I4" s="57" t="s">
        <v>10</v>
      </c>
      <c r="J4" s="57" t="s">
        <v>11</v>
      </c>
      <c r="K4" s="57" t="s">
        <v>50</v>
      </c>
      <c r="L4" s="42" t="s">
        <v>51</v>
      </c>
      <c r="M4" s="42" t="s">
        <v>52</v>
      </c>
      <c r="N4" s="42" t="s">
        <v>53</v>
      </c>
      <c r="O4" s="75" t="s">
        <v>10</v>
      </c>
      <c r="P4" s="75" t="s">
        <v>11</v>
      </c>
      <c r="Q4" s="75" t="s">
        <v>50</v>
      </c>
      <c r="R4" s="43" t="s">
        <v>51</v>
      </c>
      <c r="S4" s="43" t="s">
        <v>52</v>
      </c>
      <c r="T4" s="43" t="s">
        <v>53</v>
      </c>
      <c r="U4" s="76" t="str">
        <f>O4</f>
        <v>Biblos Lait Premium 16g</v>
      </c>
      <c r="V4" s="76" t="str">
        <f t="shared" ref="V4:Z4" si="0">P4</f>
        <v>Biblos Lait Premium 360g</v>
      </c>
      <c r="W4" s="76" t="str">
        <f t="shared" si="0"/>
        <v>Biblos Lait Excellence 900g</v>
      </c>
      <c r="X4" s="76" t="str">
        <f t="shared" si="0"/>
        <v>Biblos Avoine 50g</v>
      </c>
      <c r="Y4" s="76" t="str">
        <f t="shared" si="0"/>
        <v>Biblos Avoine 400g</v>
      </c>
      <c r="Z4" s="76" t="str">
        <f t="shared" si="0"/>
        <v>Biblos 3 en 1 Café au lait 32g</v>
      </c>
    </row>
    <row r="5" spans="1:26" ht="20.399999999999999" customHeight="1" x14ac:dyDescent="0.25">
      <c r="A5" s="37" t="s">
        <v>27</v>
      </c>
      <c r="B5" s="89">
        <f>13*40</f>
        <v>520</v>
      </c>
      <c r="C5" s="89">
        <f>'JOUR 1'!S27</f>
        <v>512</v>
      </c>
      <c r="D5" s="44">
        <f>C5/B5</f>
        <v>0.98461538461538467</v>
      </c>
      <c r="E5" s="91">
        <f>13*20</f>
        <v>260</v>
      </c>
      <c r="F5" s="91">
        <f>'JOUR 1'!T27</f>
        <v>370</v>
      </c>
      <c r="G5" s="45">
        <f>F5/E5</f>
        <v>1.4230769230769231</v>
      </c>
      <c r="I5" s="106">
        <f>120*13/120</f>
        <v>13</v>
      </c>
      <c r="J5" s="106">
        <f>7*13/6</f>
        <v>15.166666666666666</v>
      </c>
      <c r="K5" s="106">
        <f>13*4/10</f>
        <v>5.2</v>
      </c>
      <c r="L5" s="46"/>
      <c r="M5" s="46"/>
      <c r="N5" s="46"/>
      <c r="O5" s="92">
        <f>'JOUR 1'!U27</f>
        <v>11.525</v>
      </c>
      <c r="P5" s="92">
        <f>'JOUR 1'!V27</f>
        <v>16.5</v>
      </c>
      <c r="Q5" s="92">
        <f>'JOUR 1'!W27</f>
        <v>7.2</v>
      </c>
      <c r="R5" s="92">
        <f>'JOUR 1'!X27</f>
        <v>5.54</v>
      </c>
      <c r="S5" s="92">
        <f>'JOUR 1'!Y27</f>
        <v>8.85</v>
      </c>
      <c r="T5" s="92">
        <f>'JOUR 1'!Z27</f>
        <v>0</v>
      </c>
      <c r="U5" s="47">
        <f t="shared" ref="U5:U16" si="1">O5/I5</f>
        <v>0.88653846153846161</v>
      </c>
      <c r="V5" s="47">
        <f t="shared" ref="V5:V16" si="2">P5/J5</f>
        <v>1.087912087912088</v>
      </c>
      <c r="W5" s="47">
        <f t="shared" ref="W5:W16" si="3">Q5/K5</f>
        <v>1.3846153846153846</v>
      </c>
      <c r="X5" s="47"/>
      <c r="Y5" s="47"/>
      <c r="Z5" s="47"/>
    </row>
    <row r="6" spans="1:26" ht="20.399999999999999" customHeight="1" x14ac:dyDescent="0.25">
      <c r="A6" s="37" t="s">
        <v>28</v>
      </c>
      <c r="B6" s="89">
        <f t="shared" ref="B6:B16" si="4">13*40</f>
        <v>520</v>
      </c>
      <c r="C6" s="89">
        <f>'JOUR 2'!S27</f>
        <v>489</v>
      </c>
      <c r="D6" s="44">
        <f t="shared" ref="D6:D16" si="5">C6/B6</f>
        <v>0.94038461538461537</v>
      </c>
      <c r="E6" s="91">
        <f t="shared" ref="E6:E16" si="6">13*20</f>
        <v>260</v>
      </c>
      <c r="F6" s="91">
        <f>'JOUR 2'!T27</f>
        <v>352</v>
      </c>
      <c r="G6" s="45">
        <f t="shared" ref="G6:G21" si="7">F6/E6</f>
        <v>1.3538461538461539</v>
      </c>
      <c r="I6" s="106">
        <f>I5</f>
        <v>13</v>
      </c>
      <c r="J6" s="106">
        <f t="shared" ref="J6:K16" si="8">J5</f>
        <v>15.166666666666666</v>
      </c>
      <c r="K6" s="106">
        <f t="shared" si="8"/>
        <v>5.2</v>
      </c>
      <c r="L6" s="46"/>
      <c r="M6" s="46"/>
      <c r="N6" s="46"/>
      <c r="O6" s="92">
        <f>'JOUR 2'!U27</f>
        <v>16.133333333333333</v>
      </c>
      <c r="P6" s="92">
        <f>'JOUR 2'!V27</f>
        <v>19.333333333333332</v>
      </c>
      <c r="Q6" s="92">
        <f>'JOUR 2'!W27</f>
        <v>9.6</v>
      </c>
      <c r="R6" s="92">
        <f>'JOUR 2'!X27</f>
        <v>7.66</v>
      </c>
      <c r="S6" s="92">
        <f>'JOUR 2'!Y27</f>
        <v>9.85</v>
      </c>
      <c r="T6" s="92">
        <f>'JOUR 2'!Z27</f>
        <v>0.05</v>
      </c>
      <c r="U6" s="47">
        <f t="shared" si="1"/>
        <v>1.2410256410256411</v>
      </c>
      <c r="V6" s="47">
        <f t="shared" si="2"/>
        <v>1.2747252747252746</v>
      </c>
      <c r="W6" s="47">
        <f t="shared" si="3"/>
        <v>1.846153846153846</v>
      </c>
      <c r="X6" s="47"/>
      <c r="Y6" s="47"/>
      <c r="Z6" s="47"/>
    </row>
    <row r="7" spans="1:26" ht="20.399999999999999" customHeight="1" x14ac:dyDescent="0.25">
      <c r="A7" s="37" t="s">
        <v>29</v>
      </c>
      <c r="B7" s="89">
        <f t="shared" si="4"/>
        <v>520</v>
      </c>
      <c r="C7" s="89">
        <f>'JOUR 3'!S27</f>
        <v>565</v>
      </c>
      <c r="D7" s="44">
        <f t="shared" si="5"/>
        <v>1.0865384615384615</v>
      </c>
      <c r="E7" s="91">
        <f t="shared" si="6"/>
        <v>260</v>
      </c>
      <c r="F7" s="91">
        <f>'JOUR 3'!T27</f>
        <v>363</v>
      </c>
      <c r="G7" s="45">
        <f t="shared" si="7"/>
        <v>1.3961538461538461</v>
      </c>
      <c r="I7" s="106">
        <f t="shared" ref="I7:I16" si="9">I6</f>
        <v>13</v>
      </c>
      <c r="J7" s="106">
        <f t="shared" si="8"/>
        <v>15.166666666666666</v>
      </c>
      <c r="K7" s="106">
        <f t="shared" si="8"/>
        <v>5.2</v>
      </c>
      <c r="L7" s="46"/>
      <c r="M7" s="46"/>
      <c r="N7" s="46"/>
      <c r="O7" s="92">
        <f>'JOUR 3'!U27</f>
        <v>16.925000000000001</v>
      </c>
      <c r="P7" s="92">
        <f>'JOUR 3'!V27</f>
        <v>25.666666666666668</v>
      </c>
      <c r="Q7" s="92">
        <f>'JOUR 3'!W27</f>
        <v>8.6</v>
      </c>
      <c r="R7" s="92">
        <f>'JOUR 3'!X27</f>
        <v>7.17</v>
      </c>
      <c r="S7" s="92">
        <f>'JOUR 3'!Y27</f>
        <v>14.65</v>
      </c>
      <c r="T7" s="92">
        <f>'JOUR 3'!Z27</f>
        <v>0.11666666666666667</v>
      </c>
      <c r="U7" s="47">
        <f t="shared" si="1"/>
        <v>1.301923076923077</v>
      </c>
      <c r="V7" s="47">
        <f t="shared" si="2"/>
        <v>1.6923076923076925</v>
      </c>
      <c r="W7" s="47">
        <f t="shared" si="3"/>
        <v>1.6538461538461537</v>
      </c>
      <c r="X7" s="47"/>
      <c r="Y7" s="47"/>
      <c r="Z7" s="47"/>
    </row>
    <row r="8" spans="1:26" ht="20.399999999999999" customHeight="1" x14ac:dyDescent="0.25">
      <c r="A8" s="37" t="s">
        <v>30</v>
      </c>
      <c r="B8" s="89">
        <f t="shared" si="4"/>
        <v>520</v>
      </c>
      <c r="C8" s="89">
        <f>'JOUR 4'!S27</f>
        <v>587</v>
      </c>
      <c r="D8" s="44">
        <f t="shared" si="5"/>
        <v>1.1288461538461538</v>
      </c>
      <c r="E8" s="91">
        <f t="shared" si="6"/>
        <v>260</v>
      </c>
      <c r="F8" s="91">
        <f>'JOUR 4'!T27</f>
        <v>344</v>
      </c>
      <c r="G8" s="45">
        <f t="shared" si="7"/>
        <v>1.323076923076923</v>
      </c>
      <c r="I8" s="106">
        <f t="shared" si="9"/>
        <v>13</v>
      </c>
      <c r="J8" s="106">
        <f t="shared" si="8"/>
        <v>15.166666666666666</v>
      </c>
      <c r="K8" s="106">
        <f t="shared" si="8"/>
        <v>5.2</v>
      </c>
      <c r="L8" s="46"/>
      <c r="M8" s="46"/>
      <c r="N8" s="46"/>
      <c r="O8" s="92">
        <f>'JOUR 4'!U27</f>
        <v>15.741666666666667</v>
      </c>
      <c r="P8" s="92">
        <f>'JOUR 4'!V27</f>
        <v>16.166666666666668</v>
      </c>
      <c r="Q8" s="92">
        <f>'JOUR 4'!W27</f>
        <v>6.8</v>
      </c>
      <c r="R8" s="92">
        <f>'JOUR 4'!X27</f>
        <v>7.27</v>
      </c>
      <c r="S8" s="92">
        <f>'JOUR 4'!Y27</f>
        <v>22.4</v>
      </c>
      <c r="T8" s="92">
        <f>'JOUR 4'!Z27</f>
        <v>0.16666666666666666</v>
      </c>
      <c r="U8" s="47">
        <f t="shared" si="1"/>
        <v>1.210897435897436</v>
      </c>
      <c r="V8" s="47">
        <f t="shared" si="2"/>
        <v>1.0659340659340661</v>
      </c>
      <c r="W8" s="47">
        <f t="shared" si="3"/>
        <v>1.3076923076923077</v>
      </c>
      <c r="X8" s="47"/>
      <c r="Y8" s="47"/>
      <c r="Z8" s="47"/>
    </row>
    <row r="9" spans="1:26" ht="20.399999999999999" customHeight="1" x14ac:dyDescent="0.25">
      <c r="A9" s="37" t="s">
        <v>31</v>
      </c>
      <c r="B9" s="89">
        <f t="shared" si="4"/>
        <v>520</v>
      </c>
      <c r="C9" s="89">
        <f>'JOUR 5'!S27</f>
        <v>483</v>
      </c>
      <c r="D9" s="44">
        <f t="shared" si="5"/>
        <v>0.92884615384615388</v>
      </c>
      <c r="E9" s="91">
        <f t="shared" si="6"/>
        <v>260</v>
      </c>
      <c r="F9" s="91">
        <f>'JOUR 5'!T27</f>
        <v>345</v>
      </c>
      <c r="G9" s="45">
        <f t="shared" si="7"/>
        <v>1.3269230769230769</v>
      </c>
      <c r="I9" s="106">
        <f t="shared" si="9"/>
        <v>13</v>
      </c>
      <c r="J9" s="106">
        <f t="shared" si="8"/>
        <v>15.166666666666666</v>
      </c>
      <c r="K9" s="106">
        <f t="shared" si="8"/>
        <v>5.2</v>
      </c>
      <c r="L9" s="46"/>
      <c r="M9" s="46"/>
      <c r="N9" s="46"/>
      <c r="O9" s="92">
        <f>'JOUR 5'!U27</f>
        <v>18.824999999999999</v>
      </c>
      <c r="P9" s="92">
        <f>'JOUR 5'!V27</f>
        <v>15.5</v>
      </c>
      <c r="Q9" s="92">
        <f>'JOUR 5'!W27</f>
        <v>4.7</v>
      </c>
      <c r="R9" s="92">
        <f>'JOUR 5'!X27</f>
        <v>8.2200000000000006</v>
      </c>
      <c r="S9" s="92">
        <f>'JOUR 5'!Y27</f>
        <v>18.600000000000001</v>
      </c>
      <c r="T9" s="92">
        <f>'JOUR 5'!Z27</f>
        <v>0.11666666666666667</v>
      </c>
      <c r="U9" s="47">
        <f t="shared" si="1"/>
        <v>1.448076923076923</v>
      </c>
      <c r="V9" s="47">
        <f t="shared" si="2"/>
        <v>1.0219780219780221</v>
      </c>
      <c r="W9" s="47">
        <f t="shared" si="3"/>
        <v>0.90384615384615385</v>
      </c>
      <c r="X9" s="47"/>
      <c r="Y9" s="47"/>
      <c r="Z9" s="47"/>
    </row>
    <row r="10" spans="1:26" ht="20.399999999999999" customHeight="1" x14ac:dyDescent="0.25">
      <c r="A10" s="37" t="s">
        <v>32</v>
      </c>
      <c r="B10" s="89">
        <f t="shared" si="4"/>
        <v>520</v>
      </c>
      <c r="C10" s="89">
        <f>'JOUR 6'!S27</f>
        <v>546</v>
      </c>
      <c r="D10" s="44">
        <f t="shared" si="5"/>
        <v>1.05</v>
      </c>
      <c r="E10" s="91">
        <f t="shared" si="6"/>
        <v>260</v>
      </c>
      <c r="F10" s="91">
        <f>'JOUR 6'!T27</f>
        <v>344</v>
      </c>
      <c r="G10" s="45">
        <f t="shared" si="7"/>
        <v>1.323076923076923</v>
      </c>
      <c r="I10" s="106">
        <f t="shared" si="9"/>
        <v>13</v>
      </c>
      <c r="J10" s="106">
        <f t="shared" si="8"/>
        <v>15.166666666666666</v>
      </c>
      <c r="K10" s="106">
        <f t="shared" si="8"/>
        <v>5.2</v>
      </c>
      <c r="L10" s="46"/>
      <c r="M10" s="46"/>
      <c r="N10" s="46"/>
      <c r="O10" s="92">
        <f>'JOUR 6'!U27</f>
        <v>17.558333333333334</v>
      </c>
      <c r="P10" s="92">
        <f>'JOUR 6'!V27</f>
        <v>13.333333333333334</v>
      </c>
      <c r="Q10" s="92">
        <f>'JOUR 6'!W27</f>
        <v>7.3</v>
      </c>
      <c r="R10" s="92">
        <f>'JOUR 6'!X27</f>
        <v>11.65</v>
      </c>
      <c r="S10" s="92">
        <f>'JOUR 6'!Y27</f>
        <v>11.6</v>
      </c>
      <c r="T10" s="92">
        <f>'JOUR 6'!Z27</f>
        <v>0.11666666666666667</v>
      </c>
      <c r="U10" s="47">
        <f t="shared" si="1"/>
        <v>1.3506410256410257</v>
      </c>
      <c r="V10" s="47">
        <f t="shared" si="2"/>
        <v>0.87912087912087922</v>
      </c>
      <c r="W10" s="47">
        <f t="shared" si="3"/>
        <v>1.4038461538461537</v>
      </c>
      <c r="X10" s="47"/>
      <c r="Y10" s="47"/>
      <c r="Z10" s="47"/>
    </row>
    <row r="11" spans="1:26" ht="20.399999999999999" customHeight="1" x14ac:dyDescent="0.25">
      <c r="A11" s="37" t="s">
        <v>33</v>
      </c>
      <c r="B11" s="89">
        <f t="shared" si="4"/>
        <v>520</v>
      </c>
      <c r="C11" s="89">
        <f>'JOUR 7'!S27</f>
        <v>550</v>
      </c>
      <c r="D11" s="44">
        <f t="shared" si="5"/>
        <v>1.0576923076923077</v>
      </c>
      <c r="E11" s="91">
        <f t="shared" si="6"/>
        <v>260</v>
      </c>
      <c r="F11" s="91">
        <f>'JOUR 7'!T27</f>
        <v>349</v>
      </c>
      <c r="G11" s="45">
        <f t="shared" si="7"/>
        <v>1.3423076923076922</v>
      </c>
      <c r="I11" s="106">
        <f t="shared" si="9"/>
        <v>13</v>
      </c>
      <c r="J11" s="106">
        <f t="shared" si="8"/>
        <v>15.166666666666666</v>
      </c>
      <c r="K11" s="106">
        <f t="shared" si="8"/>
        <v>5.2</v>
      </c>
      <c r="L11" s="46"/>
      <c r="M11" s="46"/>
      <c r="N11" s="46"/>
      <c r="O11" s="92">
        <f>'JOUR 7'!U27</f>
        <v>14.375</v>
      </c>
      <c r="P11" s="92">
        <f>'JOUR 7'!V27</f>
        <v>20</v>
      </c>
      <c r="Q11" s="92">
        <f>'JOUR 7'!W27</f>
        <v>7.4</v>
      </c>
      <c r="R11" s="92">
        <f>'JOUR 7'!X27</f>
        <v>13.33</v>
      </c>
      <c r="S11" s="92">
        <f>'JOUR 7'!Y27</f>
        <v>6.95</v>
      </c>
      <c r="T11" s="92">
        <f>'JOUR 7'!Z27</f>
        <v>0.13333333333333333</v>
      </c>
      <c r="U11" s="47">
        <f t="shared" si="1"/>
        <v>1.1057692307692308</v>
      </c>
      <c r="V11" s="47">
        <f t="shared" si="2"/>
        <v>1.3186813186813187</v>
      </c>
      <c r="W11" s="47">
        <f t="shared" si="3"/>
        <v>1.4230769230769231</v>
      </c>
      <c r="X11" s="47"/>
      <c r="Y11" s="47"/>
      <c r="Z11" s="47"/>
    </row>
    <row r="12" spans="1:26" ht="20.399999999999999" customHeight="1" x14ac:dyDescent="0.25">
      <c r="A12" s="37" t="s">
        <v>34</v>
      </c>
      <c r="B12" s="89">
        <f t="shared" si="4"/>
        <v>520</v>
      </c>
      <c r="C12" s="89">
        <f>'JOUR 8'!S27</f>
        <v>535</v>
      </c>
      <c r="D12" s="44">
        <f t="shared" si="5"/>
        <v>1.0288461538461537</v>
      </c>
      <c r="E12" s="91">
        <f t="shared" si="6"/>
        <v>260</v>
      </c>
      <c r="F12" s="91">
        <f>'JOUR 8'!T27</f>
        <v>358</v>
      </c>
      <c r="G12" s="45">
        <f t="shared" si="7"/>
        <v>1.3769230769230769</v>
      </c>
      <c r="I12" s="106">
        <f t="shared" si="9"/>
        <v>13</v>
      </c>
      <c r="J12" s="106">
        <f t="shared" si="8"/>
        <v>15.166666666666666</v>
      </c>
      <c r="K12" s="106">
        <f t="shared" si="8"/>
        <v>5.2</v>
      </c>
      <c r="L12" s="46"/>
      <c r="M12" s="46"/>
      <c r="N12" s="46"/>
      <c r="O12" s="92">
        <f>'JOUR 8'!U27</f>
        <v>17.350000000000001</v>
      </c>
      <c r="P12" s="92">
        <f>'JOUR 8'!V27</f>
        <v>31</v>
      </c>
      <c r="Q12" s="92">
        <f>'JOUR 8'!W27</f>
        <v>14.3</v>
      </c>
      <c r="R12" s="92">
        <f>'JOUR 8'!X27</f>
        <v>12.98</v>
      </c>
      <c r="S12" s="92">
        <f>'JOUR 8'!Y27</f>
        <v>11.9</v>
      </c>
      <c r="T12" s="92">
        <f>'JOUR 8'!Z27</f>
        <v>0.4</v>
      </c>
      <c r="U12" s="47">
        <f t="shared" si="1"/>
        <v>1.3346153846153848</v>
      </c>
      <c r="V12" s="47">
        <f t="shared" si="2"/>
        <v>2.0439560439560442</v>
      </c>
      <c r="W12" s="47">
        <f t="shared" si="3"/>
        <v>2.75</v>
      </c>
      <c r="X12" s="47"/>
      <c r="Y12" s="47"/>
      <c r="Z12" s="47"/>
    </row>
    <row r="13" spans="1:26" ht="20.399999999999999" customHeight="1" x14ac:dyDescent="0.25">
      <c r="A13" s="37" t="s">
        <v>35</v>
      </c>
      <c r="B13" s="89">
        <f t="shared" si="4"/>
        <v>520</v>
      </c>
      <c r="C13" s="89">
        <f>'JOUR 9'!S27</f>
        <v>516</v>
      </c>
      <c r="D13" s="44">
        <f t="shared" si="5"/>
        <v>0.99230769230769234</v>
      </c>
      <c r="E13" s="91">
        <f t="shared" si="6"/>
        <v>260</v>
      </c>
      <c r="F13" s="91">
        <f>'JOUR 9'!T27</f>
        <v>337</v>
      </c>
      <c r="G13" s="45">
        <f t="shared" si="7"/>
        <v>1.2961538461538462</v>
      </c>
      <c r="I13" s="106">
        <f t="shared" si="9"/>
        <v>13</v>
      </c>
      <c r="J13" s="106">
        <f t="shared" si="8"/>
        <v>15.166666666666666</v>
      </c>
      <c r="K13" s="106">
        <f t="shared" si="8"/>
        <v>5.2</v>
      </c>
      <c r="L13" s="46"/>
      <c r="M13" s="46"/>
      <c r="N13" s="46"/>
      <c r="O13" s="92">
        <f>'JOUR 9'!U27</f>
        <v>21.608333333333334</v>
      </c>
      <c r="P13" s="92">
        <f>'JOUR 9'!V27</f>
        <v>43.666666666666664</v>
      </c>
      <c r="Q13" s="92">
        <f>'JOUR 9'!W27</f>
        <v>8.6999999999999993</v>
      </c>
      <c r="R13" s="92">
        <f>'JOUR 9'!X27</f>
        <v>13.41</v>
      </c>
      <c r="S13" s="92">
        <f>'JOUR 9'!Y27</f>
        <v>15</v>
      </c>
      <c r="T13" s="92">
        <f>'JOUR 9'!Z27</f>
        <v>0</v>
      </c>
      <c r="U13" s="47">
        <f t="shared" si="1"/>
        <v>1.6621794871794873</v>
      </c>
      <c r="V13" s="47">
        <f t="shared" si="2"/>
        <v>2.8791208791208791</v>
      </c>
      <c r="W13" s="47">
        <f t="shared" si="3"/>
        <v>1.6730769230769229</v>
      </c>
      <c r="X13" s="47"/>
      <c r="Y13" s="47"/>
      <c r="Z13" s="47"/>
    </row>
    <row r="14" spans="1:26" ht="20.399999999999999" customHeight="1" x14ac:dyDescent="0.25">
      <c r="A14" s="37" t="s">
        <v>36</v>
      </c>
      <c r="B14" s="89">
        <f t="shared" si="4"/>
        <v>520</v>
      </c>
      <c r="C14" s="89">
        <f>'JOUR 10'!S27</f>
        <v>523</v>
      </c>
      <c r="D14" s="44">
        <f t="shared" si="5"/>
        <v>1.0057692307692307</v>
      </c>
      <c r="E14" s="91">
        <f t="shared" si="6"/>
        <v>260</v>
      </c>
      <c r="F14" s="91">
        <f>'JOUR 10'!T27</f>
        <v>323</v>
      </c>
      <c r="G14" s="45">
        <f t="shared" si="7"/>
        <v>1.2423076923076923</v>
      </c>
      <c r="I14" s="106">
        <f t="shared" si="9"/>
        <v>13</v>
      </c>
      <c r="J14" s="106">
        <f t="shared" si="8"/>
        <v>15.166666666666666</v>
      </c>
      <c r="K14" s="106">
        <f t="shared" si="8"/>
        <v>5.2</v>
      </c>
      <c r="L14" s="46"/>
      <c r="M14" s="46"/>
      <c r="N14" s="46"/>
      <c r="O14" s="92">
        <f>'JOUR 10'!U27</f>
        <v>14.55</v>
      </c>
      <c r="P14" s="92">
        <f>'JOUR 10'!V27</f>
        <v>15.666666666666666</v>
      </c>
      <c r="Q14" s="92">
        <f>'JOUR 10'!W27</f>
        <v>10.199999999999999</v>
      </c>
      <c r="R14" s="92">
        <f>'JOUR 10'!X27</f>
        <v>10.5</v>
      </c>
      <c r="S14" s="92">
        <f>'JOUR 10'!Y27</f>
        <v>7.75</v>
      </c>
      <c r="T14" s="92">
        <f>'JOUR 10'!Z27</f>
        <v>0</v>
      </c>
      <c r="U14" s="47">
        <f t="shared" si="1"/>
        <v>1.1192307692307693</v>
      </c>
      <c r="V14" s="47">
        <f t="shared" si="2"/>
        <v>1.0329670329670331</v>
      </c>
      <c r="W14" s="47">
        <f t="shared" si="3"/>
        <v>1.9615384615384612</v>
      </c>
      <c r="X14" s="47"/>
      <c r="Y14" s="47"/>
      <c r="Z14" s="47"/>
    </row>
    <row r="15" spans="1:26" ht="20.399999999999999" customHeight="1" x14ac:dyDescent="0.25">
      <c r="A15" s="37" t="s">
        <v>37</v>
      </c>
      <c r="B15" s="89">
        <f t="shared" si="4"/>
        <v>520</v>
      </c>
      <c r="C15" s="89">
        <f>'JOUR 11'!S27</f>
        <v>459</v>
      </c>
      <c r="D15" s="44">
        <f t="shared" si="5"/>
        <v>0.88269230769230766</v>
      </c>
      <c r="E15" s="91">
        <f t="shared" si="6"/>
        <v>260</v>
      </c>
      <c r="F15" s="91">
        <f>'JOUR 11'!T27</f>
        <v>317</v>
      </c>
      <c r="G15" s="45">
        <f t="shared" si="7"/>
        <v>1.2192307692307693</v>
      </c>
      <c r="I15" s="106">
        <f t="shared" si="9"/>
        <v>13</v>
      </c>
      <c r="J15" s="106">
        <f t="shared" si="8"/>
        <v>15.166666666666666</v>
      </c>
      <c r="K15" s="106">
        <f t="shared" si="8"/>
        <v>5.2</v>
      </c>
      <c r="L15" s="46"/>
      <c r="M15" s="46"/>
      <c r="N15" s="46"/>
      <c r="O15" s="92">
        <f>'JOUR 11'!U27</f>
        <v>17.016666666666666</v>
      </c>
      <c r="P15" s="92">
        <f>'JOUR 11'!V27</f>
        <v>22.5</v>
      </c>
      <c r="Q15" s="92">
        <f>'JOUR 11'!W27</f>
        <v>10.4</v>
      </c>
      <c r="R15" s="92">
        <f>'JOUR 11'!X27</f>
        <v>11.54</v>
      </c>
      <c r="S15" s="92">
        <f>'JOUR 11'!Y27</f>
        <v>10.3</v>
      </c>
      <c r="T15" s="92">
        <f>'JOUR 11'!Z27</f>
        <v>0.05</v>
      </c>
      <c r="U15" s="47">
        <f t="shared" si="1"/>
        <v>1.308974358974359</v>
      </c>
      <c r="V15" s="47">
        <f t="shared" si="2"/>
        <v>1.4835164835164836</v>
      </c>
      <c r="W15" s="47">
        <f t="shared" si="3"/>
        <v>2</v>
      </c>
      <c r="X15" s="47"/>
      <c r="Y15" s="47"/>
      <c r="Z15" s="47"/>
    </row>
    <row r="16" spans="1:26" ht="20.399999999999999" customHeight="1" x14ac:dyDescent="0.25">
      <c r="A16" s="37" t="s">
        <v>38</v>
      </c>
      <c r="B16" s="89">
        <f t="shared" si="4"/>
        <v>520</v>
      </c>
      <c r="C16" s="89"/>
      <c r="D16" s="44">
        <f t="shared" si="5"/>
        <v>0</v>
      </c>
      <c r="E16" s="91">
        <f t="shared" si="6"/>
        <v>260</v>
      </c>
      <c r="F16" s="91"/>
      <c r="G16" s="45">
        <f t="shared" si="7"/>
        <v>0</v>
      </c>
      <c r="I16" s="106">
        <f t="shared" si="9"/>
        <v>13</v>
      </c>
      <c r="J16" s="106">
        <f t="shared" si="8"/>
        <v>15.166666666666666</v>
      </c>
      <c r="K16" s="106">
        <f t="shared" si="8"/>
        <v>5.2</v>
      </c>
      <c r="L16" s="46"/>
      <c r="M16" s="46"/>
      <c r="N16" s="46"/>
      <c r="O16" s="92"/>
      <c r="P16" s="92"/>
      <c r="Q16" s="92"/>
      <c r="R16" s="92"/>
      <c r="S16" s="92"/>
      <c r="T16" s="92"/>
      <c r="U16" s="47">
        <f t="shared" si="1"/>
        <v>0</v>
      </c>
      <c r="V16" s="47">
        <f t="shared" si="2"/>
        <v>0</v>
      </c>
      <c r="W16" s="47">
        <f t="shared" si="3"/>
        <v>0</v>
      </c>
      <c r="X16" s="47"/>
      <c r="Y16" s="47"/>
      <c r="Z16" s="47"/>
    </row>
    <row r="17" spans="1:26" ht="20.399999999999999" customHeight="1" x14ac:dyDescent="0.25">
      <c r="A17" s="37" t="s">
        <v>39</v>
      </c>
      <c r="B17" s="89"/>
      <c r="C17" s="89"/>
      <c r="D17" s="44"/>
      <c r="E17" s="91"/>
      <c r="F17" s="91"/>
      <c r="G17" s="45"/>
      <c r="I17" s="58"/>
      <c r="J17" s="58"/>
      <c r="K17" s="58"/>
      <c r="L17" s="46"/>
      <c r="M17" s="46"/>
      <c r="N17" s="46"/>
      <c r="O17" s="92"/>
      <c r="P17" s="92"/>
      <c r="Q17" s="92"/>
      <c r="R17" s="92"/>
      <c r="S17" s="92"/>
      <c r="T17" s="92"/>
      <c r="U17" s="47"/>
      <c r="V17" s="47"/>
      <c r="W17" s="47"/>
      <c r="X17" s="47"/>
      <c r="Y17" s="47"/>
      <c r="Z17" s="47"/>
    </row>
    <row r="18" spans="1:26" ht="20.399999999999999" customHeight="1" x14ac:dyDescent="0.25">
      <c r="A18" s="37" t="s">
        <v>40</v>
      </c>
      <c r="B18" s="89"/>
      <c r="C18" s="89"/>
      <c r="D18" s="44"/>
      <c r="E18" s="91"/>
      <c r="F18" s="91"/>
      <c r="G18" s="45"/>
      <c r="I18" s="58"/>
      <c r="J18" s="58"/>
      <c r="K18" s="58"/>
      <c r="L18" s="46"/>
      <c r="M18" s="46"/>
      <c r="N18" s="46"/>
      <c r="O18" s="92"/>
      <c r="P18" s="92"/>
      <c r="Q18" s="92"/>
      <c r="R18" s="92"/>
      <c r="S18" s="92"/>
      <c r="T18" s="92"/>
      <c r="U18" s="47"/>
      <c r="V18" s="47"/>
      <c r="W18" s="47"/>
      <c r="X18" s="47"/>
      <c r="Y18" s="47"/>
      <c r="Z18" s="47"/>
    </row>
    <row r="19" spans="1:26" ht="20.399999999999999" customHeight="1" x14ac:dyDescent="0.25">
      <c r="A19" s="37" t="s">
        <v>41</v>
      </c>
      <c r="B19" s="89"/>
      <c r="C19" s="89"/>
      <c r="D19" s="44"/>
      <c r="E19" s="91"/>
      <c r="F19" s="91"/>
      <c r="G19" s="45"/>
      <c r="I19" s="58"/>
      <c r="J19" s="58"/>
      <c r="K19" s="58"/>
      <c r="L19" s="46"/>
      <c r="M19" s="46"/>
      <c r="N19" s="46"/>
      <c r="O19" s="92"/>
      <c r="P19" s="92"/>
      <c r="Q19" s="92"/>
      <c r="R19" s="92"/>
      <c r="S19" s="92"/>
      <c r="T19" s="92"/>
      <c r="U19" s="47"/>
      <c r="V19" s="47"/>
      <c r="W19" s="47"/>
      <c r="X19" s="47"/>
      <c r="Y19" s="47"/>
      <c r="Z19" s="47"/>
    </row>
    <row r="20" spans="1:26" ht="20.399999999999999" customHeight="1" x14ac:dyDescent="0.25">
      <c r="A20" s="37" t="s">
        <v>42</v>
      </c>
      <c r="B20" s="89"/>
      <c r="C20" s="89"/>
      <c r="D20" s="44"/>
      <c r="E20" s="91"/>
      <c r="F20" s="91"/>
      <c r="G20" s="45"/>
      <c r="I20" s="58"/>
      <c r="J20" s="58"/>
      <c r="K20" s="58"/>
      <c r="L20" s="46"/>
      <c r="M20" s="46"/>
      <c r="N20" s="46"/>
      <c r="O20" s="92"/>
      <c r="P20" s="92"/>
      <c r="Q20" s="92"/>
      <c r="R20" s="92"/>
      <c r="S20" s="92"/>
      <c r="T20" s="92"/>
      <c r="U20" s="47"/>
      <c r="V20" s="47"/>
      <c r="W20" s="47"/>
      <c r="X20" s="47"/>
      <c r="Y20" s="47"/>
      <c r="Z20" s="47"/>
    </row>
    <row r="21" spans="1:26" s="51" customFormat="1" ht="20.399999999999999" customHeight="1" x14ac:dyDescent="0.25">
      <c r="A21" s="48" t="s">
        <v>43</v>
      </c>
      <c r="B21" s="48">
        <f>SUM(B5:B20)</f>
        <v>6240</v>
      </c>
      <c r="C21" s="48">
        <f>SUM(C5:C20)</f>
        <v>5765</v>
      </c>
      <c r="D21" s="50">
        <f>C21/B21</f>
        <v>0.92387820512820518</v>
      </c>
      <c r="E21" s="48">
        <f>SUM(E5:E20)</f>
        <v>3120</v>
      </c>
      <c r="F21" s="48">
        <f>SUM(F5:F20)</f>
        <v>3802</v>
      </c>
      <c r="G21" s="50">
        <f t="shared" si="7"/>
        <v>1.2185897435897435</v>
      </c>
      <c r="I21" s="59">
        <f>SUM(I5:I20)</f>
        <v>156</v>
      </c>
      <c r="J21" s="59">
        <f>SUM(J5:J20)</f>
        <v>181.99999999999997</v>
      </c>
      <c r="K21" s="59">
        <f>SUM(K5:K20)</f>
        <v>62.400000000000013</v>
      </c>
      <c r="L21" s="52">
        <f>SUM(L5:L20)</f>
        <v>0</v>
      </c>
      <c r="M21" s="52">
        <f>SUM(M5:M20)</f>
        <v>0</v>
      </c>
      <c r="N21" s="52"/>
      <c r="O21" s="49">
        <f>SUM(O5:O20)</f>
        <v>181.60833333333335</v>
      </c>
      <c r="P21" s="49">
        <f>SUM(P5:P20)</f>
        <v>239.33333333333331</v>
      </c>
      <c r="Q21" s="49">
        <f>SUM(Q5:Q20)</f>
        <v>95.2</v>
      </c>
      <c r="R21" s="49">
        <f>SUM(R5:R20)</f>
        <v>109.26999999999998</v>
      </c>
      <c r="S21" s="49">
        <f>SUM(S5:S20)</f>
        <v>137.85</v>
      </c>
      <c r="T21" s="49"/>
      <c r="U21" s="53">
        <f>O21/I21</f>
        <v>1.1641559829059831</v>
      </c>
      <c r="V21" s="53">
        <f>P21/J21</f>
        <v>1.315018315018315</v>
      </c>
      <c r="W21" s="53">
        <f>Q21/K21</f>
        <v>1.5256410256410253</v>
      </c>
      <c r="X21" s="53"/>
      <c r="Y21" s="53"/>
      <c r="Z21" s="53"/>
    </row>
  </sheetData>
  <mergeCells count="5">
    <mergeCell ref="B3:D3"/>
    <mergeCell ref="E3:G3"/>
    <mergeCell ref="I3:N3"/>
    <mergeCell ref="O3:T3"/>
    <mergeCell ref="U3:Z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F401-9804-4094-B2B6-3C77E30AC544}">
  <sheetPr>
    <tabColor rgb="FFFFFF00"/>
  </sheetPr>
  <dimension ref="A1:AY30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7" width="17.6640625" style="3" bestFit="1" customWidth="1"/>
    <col min="8" max="8" width="16.109375" style="3" bestFit="1" customWidth="1"/>
    <col min="9" max="11" width="13.33203125" style="3" customWidth="1"/>
    <col min="12" max="12" width="17.6640625" style="3" bestFit="1" customWidth="1"/>
    <col min="13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customHeight="1" thickBot="1" x14ac:dyDescent="0.35">
      <c r="B2" s="4" t="s">
        <v>0</v>
      </c>
      <c r="C2" s="67" t="s">
        <v>58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customHeight="1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12.4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53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 t="e">
        <f>'JOUR 1'!D5+'JOUR 2'!D5+'JOUR 3'!D5+'JOUR 4'!D5+'JOUR 5'!D5+'JOUR 6'!D5+'JOUR 7'!D5+'JOUR 8'!D5+'JOUR 9'!D5+'JOUR 10'!D5+'JOUR 11'!D5+#REF!+#REF!+#REF!+#REF!+#REF!</f>
        <v>#REF!</v>
      </c>
      <c r="E5" s="17" t="e">
        <f>'JOUR 1'!E5+'JOUR 2'!E5+'JOUR 3'!E5+'JOUR 4'!E5+'JOUR 5'!E5+'JOUR 6'!E5+'JOUR 7'!E5+'JOUR 8'!E5+'JOUR 9'!E5+'JOUR 10'!E5+'JOUR 11'!E5+#REF!+#REF!+#REF!+#REF!+#REF!</f>
        <v>#REF!</v>
      </c>
      <c r="F5" s="17" t="e">
        <f>'JOUR 1'!F5+'JOUR 2'!F5+'JOUR 3'!F5+'JOUR 4'!F5+'JOUR 5'!F5+'JOUR 6'!F5+'JOUR 7'!F5+'JOUR 8'!F5+'JOUR 9'!F5+'JOUR 10'!F5+'JOUR 11'!F5+#REF!+#REF!+#REF!+#REF!+#REF!</f>
        <v>#REF!</v>
      </c>
      <c r="G5" s="17" t="e">
        <f>'JOUR 1'!G5+'JOUR 2'!G5+'JOUR 3'!G5+'JOUR 4'!G5+'JOUR 5'!G5+'JOUR 6'!G5+'JOUR 7'!G5+'JOUR 8'!G5+'JOUR 9'!G5+'JOUR 10'!G5+'JOUR 11'!G5+#REF!+#REF!+#REF!+#REF!+#REF!</f>
        <v>#REF!</v>
      </c>
      <c r="H5" s="17" t="e">
        <f>'JOUR 1'!H5+'JOUR 2'!H5+'JOUR 3'!H5+'JOUR 4'!H5+'JOUR 5'!H5+'JOUR 6'!H5+'JOUR 7'!H5+'JOUR 8'!H5+'JOUR 9'!H5+'JOUR 10'!H5+'JOUR 11'!H5+#REF!+#REF!+#REF!+#REF!+#REF!</f>
        <v>#REF!</v>
      </c>
      <c r="I5" s="17" t="e">
        <f>'JOUR 1'!I5+'JOUR 2'!I5+'JOUR 3'!I5+'JOUR 4'!I5+'JOUR 5'!I5+'JOUR 6'!I5+'JOUR 7'!I5+'JOUR 8'!I5+'JOUR 9'!I5+'JOUR 10'!I5+'JOUR 11'!I5+#REF!+#REF!+#REF!+#REF!+#REF!</f>
        <v>#REF!</v>
      </c>
      <c r="J5" s="17" t="e">
        <f>'JOUR 1'!J5+'JOUR 2'!J5+'JOUR 3'!J5+'JOUR 4'!J5+'JOUR 5'!J5+'JOUR 6'!J5+'JOUR 7'!J5+'JOUR 8'!J5+'JOUR 9'!J5+'JOUR 10'!J5+'JOUR 11'!J5+#REF!+#REF!+#REF!+#REF!+#REF!</f>
        <v>#REF!</v>
      </c>
      <c r="K5" s="17" t="e">
        <f>'JOUR 1'!K5+'JOUR 2'!K5+'JOUR 3'!K5+'JOUR 4'!K5+'JOUR 5'!K5+'JOUR 6'!K5+'JOUR 7'!K5+'JOUR 8'!K5+'JOUR 9'!K5+'JOUR 10'!K5+'JOUR 11'!K5+#REF!+#REF!+#REF!+#REF!+#REF!</f>
        <v>#REF!</v>
      </c>
      <c r="L5" s="17" t="e">
        <f>'JOUR 1'!L5+'JOUR 2'!L5+'JOUR 3'!L5+'JOUR 4'!L5+'JOUR 5'!L5+'JOUR 6'!L5+'JOUR 7'!L5+'JOUR 8'!L5+'JOUR 9'!L5+'JOUR 10'!L5+'JOUR 11'!L5+#REF!+#REF!+#REF!+#REF!+#REF!</f>
        <v>#REF!</v>
      </c>
      <c r="M5" s="17" t="e">
        <f>'JOUR 1'!M5+'JOUR 2'!M5+'JOUR 3'!M5+'JOUR 4'!M5+'JOUR 5'!M5+'JOUR 6'!M5+'JOUR 7'!M5+'JOUR 8'!M5+'JOUR 9'!M5+'JOUR 10'!M5+'JOUR 11'!M5+#REF!+#REF!+#REF!+#REF!+#REF!</f>
        <v>#REF!</v>
      </c>
      <c r="N5" s="17" t="e">
        <f>'JOUR 1'!N5+'JOUR 2'!N5+'JOUR 3'!N5+'JOUR 4'!N5+'JOUR 5'!N5+'JOUR 6'!N5+'JOUR 7'!N5+'JOUR 8'!N5+'JOUR 9'!N5+'JOUR 10'!N5+'JOUR 11'!N5+#REF!+#REF!+#REF!+#REF!+#REF!</f>
        <v>#REF!</v>
      </c>
      <c r="O5" s="17" t="e">
        <f>'JOUR 1'!O5+'JOUR 2'!O5+'JOUR 3'!O5+'JOUR 4'!O5+'JOUR 5'!O5+'JOUR 6'!O5+'JOUR 7'!O5+'JOUR 8'!O5+'JOUR 9'!O5+'JOUR 10'!O5+'JOUR 11'!O5+#REF!+#REF!+#REF!+#REF!+#REF!</f>
        <v>#REF!</v>
      </c>
      <c r="P5" s="17" t="e">
        <f>'JOUR 1'!P5+'JOUR 2'!P5+'JOUR 3'!P5+'JOUR 4'!P5+'JOUR 5'!P5+'JOUR 6'!P5+'JOUR 7'!P5+'JOUR 8'!P5+'JOUR 9'!P5+'JOUR 10'!P5+'JOUR 11'!P5+#REF!+#REF!+#REF!+#REF!+#REF!</f>
        <v>#REF!</v>
      </c>
      <c r="Q5" s="17" t="e">
        <f>'JOUR 1'!Q5+'JOUR 2'!Q5+'JOUR 3'!Q5+'JOUR 4'!Q5+'JOUR 5'!Q5+'JOUR 6'!Q5+'JOUR 7'!Q5+'JOUR 8'!Q5+'JOUR 9'!Q5+'JOUR 10'!Q5+'JOUR 11'!Q5+#REF!+#REF!+#REF!+#REF!+#REF!</f>
        <v>#REF!</v>
      </c>
      <c r="R5" s="17" t="e">
        <f>'JOUR 1'!R5+'JOUR 2'!R5+'JOUR 3'!R5+'JOUR 4'!R5+'JOUR 5'!R5+'JOUR 6'!R5+'JOUR 7'!R5+'JOUR 8'!R5+'JOUR 9'!R5+'JOUR 10'!R5+'JOUR 11'!R5+#REF!+#REF!+#REF!+#REF!+#REF!</f>
        <v>#REF!</v>
      </c>
      <c r="S5" s="31" t="e">
        <f>'JOUR 1'!S5+'JOUR 2'!S5+'JOUR 3'!S5+'JOUR 4'!S5+'JOUR 5'!S5+'JOUR 6'!S5+'JOUR 7'!S5+'JOUR 8'!S5+'JOUR 9'!S5+'JOUR 10'!S5+'JOUR 11'!S5+#REF!+#REF!+#REF!+#REF!+#REF!</f>
        <v>#REF!</v>
      </c>
      <c r="T5" s="31" t="e">
        <f>'JOUR 1'!T5+'JOUR 2'!T5+'JOUR 3'!T5+'JOUR 4'!T5+'JOUR 5'!T5+'JOUR 6'!T5+'JOUR 7'!T5+'JOUR 8'!T5+'JOUR 9'!T5+'JOUR 10'!T5+'JOUR 11'!T5+#REF!+#REF!+#REF!+#REF!+#REF!</f>
        <v>#REF!</v>
      </c>
      <c r="U5" s="31" t="e">
        <f>'JOUR 1'!U5+'JOUR 2'!U5+'JOUR 3'!U5+'JOUR 4'!U5+'JOUR 5'!U5+'JOUR 6'!U5+'JOUR 7'!U5+'JOUR 8'!U5+'JOUR 9'!U5+'JOUR 10'!U5+'JOUR 11'!U5+#REF!+#REF!+#REF!+#REF!+#REF!</f>
        <v>#REF!</v>
      </c>
      <c r="V5" s="32" t="e">
        <f>'JOUR 1'!V5+'JOUR 2'!V5+'JOUR 3'!V5+'JOUR 4'!V5+'JOUR 5'!V5+'JOUR 6'!V5+'JOUR 7'!V5+'JOUR 8'!V5+'JOUR 9'!V5+'JOUR 10'!V5+'JOUR 11'!V5+#REF!+#REF!+#REF!+#REF!+#REF!</f>
        <v>#REF!</v>
      </c>
      <c r="W5" s="32" t="e">
        <f>'JOUR 1'!W5+'JOUR 2'!W5+'JOUR 3'!W5+'JOUR 4'!W5+'JOUR 5'!W5+'JOUR 6'!W5+'JOUR 7'!W5+'JOUR 8'!W5+'JOUR 9'!W5+'JOUR 10'!W5+'JOUR 11'!W5+#REF!+#REF!+#REF!+#REF!+#REF!</f>
        <v>#REF!</v>
      </c>
      <c r="X5" s="32" t="e">
        <f>'JOUR 1'!X5+'JOUR 2'!X5+'JOUR 3'!X5+'JOUR 4'!X5+'JOUR 5'!X5+'JOUR 6'!X5+'JOUR 7'!X5+'JOUR 8'!X5+'JOUR 9'!X5+'JOUR 10'!X5+'JOUR 11'!X5+#REF!+#REF!+#REF!+#REF!+#REF!</f>
        <v>#REF!</v>
      </c>
      <c r="Y5" s="73" t="e">
        <f>'JOUR 1'!Y5+'JOUR 2'!Y5+'JOUR 3'!Y5+'JOUR 4'!Y5+'JOUR 5'!Y5+'JOUR 6'!Y5+'JOUR 7'!Y5+'JOUR 8'!Y5+'JOUR 9'!Y5+'JOUR 10'!Y5+'JOUR 11'!Y5+#REF!+#REF!+#REF!+#REF!+#REF!</f>
        <v>#REF!</v>
      </c>
      <c r="Z5" s="33" t="e">
        <f>'JOUR 1'!Z5+'JOUR 2'!Z5+'JOUR 3'!Z5+'JOUR 4'!Z5+'JOUR 5'!Z5+'JOUR 6'!Z5+'JOUR 7'!Z5+'JOUR 8'!Z5+'JOUR 9'!Z5+'JOUR 10'!Z5+'JOUR 11'!Z5+#REF!+#REF!+#REF!+#REF!+#REF!</f>
        <v>#REF!</v>
      </c>
      <c r="AA5" s="34" t="e">
        <f>'JOUR 1'!AA5+'JOUR 2'!AA5+'JOUR 3'!AA5+'JOUR 4'!AA5+'JOUR 5'!AA5+'JOUR 6'!AA5+'JOUR 7'!AA5+'JOUR 8'!AA5+'JOUR 9'!AA5+'JOUR 10'!AA5+'JOUR 11'!AA5+#REF!+#REF!+#REF!+#REF!+#REF!</f>
        <v>#REF!</v>
      </c>
      <c r="AB5" s="34" t="e">
        <f>'JOUR 1'!AB5+'JOUR 2'!AB5+'JOUR 3'!AB5+'JOUR 4'!AB5+'JOUR 5'!AB5+'JOUR 6'!AB5+'JOUR 7'!AB5+'JOUR 8'!AB5+'JOUR 9'!AB5+'JOUR 10'!AB5+'JOUR 11'!AB5+#REF!+#REF!+#REF!+#REF!+#REF!</f>
        <v>#REF!</v>
      </c>
      <c r="AC5" s="34" t="e">
        <f>'JOUR 1'!AC5+'JOUR 2'!AC5+'JOUR 3'!AC5+'JOUR 4'!AC5+'JOUR 5'!AC5+'JOUR 6'!AC5+'JOUR 7'!AC5+'JOUR 8'!AC5+'JOUR 9'!AC5+'JOUR 10'!AC5+'JOUR 11'!AC5+#REF!+#REF!+#REF!+#REF!+#REF!</f>
        <v>#REF!</v>
      </c>
      <c r="AD5" s="35" t="e">
        <f>'JOUR 1'!AD5+'JOUR 2'!AD5+'JOUR 3'!AD5+'JOUR 4'!AD5+'JOUR 5'!AD5+'JOUR 6'!AD5+'JOUR 7'!AD5+'JOUR 8'!AD5+'JOUR 9'!AD5+'JOUR 10'!AD5+'JOUR 11'!AD5+#REF!+#REF!+#REF!+#REF!+#REF!</f>
        <v>#REF!</v>
      </c>
      <c r="AE5" s="34" t="e">
        <f>'JOUR 1'!AE5+'JOUR 2'!AE5+'JOUR 3'!AE5+'JOUR 4'!AE5+'JOUR 5'!AE5+'JOUR 6'!AE5+'JOUR 7'!AE5+'JOUR 8'!AE5+'JOUR 9'!AE5+'JOUR 10'!AE5+'JOUR 11'!AE5+#REF!+#REF!+#REF!+#REF!+#REF!</f>
        <v>#REF!</v>
      </c>
      <c r="AF5" s="34" t="e">
        <f>'JOUR 1'!AF5+'JOUR 2'!AF5+'JOUR 3'!AF5+'JOUR 4'!AF5+'JOUR 5'!AF5+'JOUR 6'!AF5+'JOUR 7'!AF5+'JOUR 8'!AF5+'JOUR 9'!AF5+'JOUR 10'!AF5+'JOUR 11'!AF5+#REF!+#REF!+#REF!+#REF!+#REF!</f>
        <v>#REF!</v>
      </c>
      <c r="AG5" s="34" t="e">
        <f>'JOUR 1'!AG5+'JOUR 2'!AG5+'JOUR 3'!AG5+'JOUR 4'!AG5+'JOUR 5'!AG5+'JOUR 6'!AG5+'JOUR 7'!AG5+'JOUR 8'!AG5+'JOUR 9'!AG5+'JOUR 10'!AG5+'JOUR 11'!AG5+#REF!+#REF!+#REF!+#REF!+#REF!</f>
        <v>#REF!</v>
      </c>
      <c r="AH5" s="21"/>
      <c r="AI5" s="22"/>
      <c r="AK5" s="85" t="e">
        <f>S5/D5</f>
        <v>#REF!</v>
      </c>
      <c r="AL5" s="85" t="e">
        <f t="shared" ref="AL5:AS5" si="0">T5/E5</f>
        <v>#REF!</v>
      </c>
      <c r="AM5" s="85" t="e">
        <f t="shared" si="0"/>
        <v>#REF!</v>
      </c>
      <c r="AN5" s="85" t="e">
        <f t="shared" si="0"/>
        <v>#REF!</v>
      </c>
      <c r="AO5" s="85" t="e">
        <f t="shared" si="0"/>
        <v>#REF!</v>
      </c>
      <c r="AP5" s="85"/>
      <c r="AQ5" s="85"/>
      <c r="AR5" s="85"/>
      <c r="AS5" s="85" t="e">
        <f t="shared" si="0"/>
        <v>#REF!</v>
      </c>
      <c r="AT5" s="85"/>
      <c r="AU5" s="85"/>
      <c r="AV5" s="85"/>
      <c r="AW5" s="85"/>
      <c r="AX5" s="85"/>
      <c r="AY5" s="87"/>
    </row>
    <row r="6" spans="2:51" ht="17.399999999999999" x14ac:dyDescent="0.25">
      <c r="B6" s="16" t="s">
        <v>59</v>
      </c>
      <c r="C6" s="16" t="s">
        <v>61</v>
      </c>
      <c r="D6" s="17" t="e">
        <f>'JOUR 1'!D6+'JOUR 2'!D6+'JOUR 3'!D6+'JOUR 4'!D6+'JOUR 5'!D6+'JOUR 6'!D6+'JOUR 7'!D6+'JOUR 8'!D6+'JOUR 9'!D6+'JOUR 10'!D6+'JOUR 11'!D6+#REF!+#REF!+#REF!+#REF!+#REF!</f>
        <v>#REF!</v>
      </c>
      <c r="E6" s="17" t="e">
        <f>'JOUR 1'!E6+'JOUR 2'!E6+'JOUR 3'!E6+'JOUR 4'!E6+'JOUR 5'!E6+'JOUR 6'!E6+'JOUR 7'!E6+'JOUR 8'!E6+'JOUR 9'!E6+'JOUR 10'!E6+'JOUR 11'!E6+#REF!+#REF!+#REF!+#REF!+#REF!</f>
        <v>#REF!</v>
      </c>
      <c r="F6" s="17" t="e">
        <f>'JOUR 1'!F6+'JOUR 2'!F6+'JOUR 3'!F6+'JOUR 4'!F6+'JOUR 5'!F6+'JOUR 6'!F6+'JOUR 7'!F6+'JOUR 8'!F6+'JOUR 9'!F6+'JOUR 10'!F6+'JOUR 11'!F6+#REF!+#REF!+#REF!+#REF!+#REF!</f>
        <v>#REF!</v>
      </c>
      <c r="G6" s="17" t="e">
        <f>'JOUR 1'!G6+'JOUR 2'!G6+'JOUR 3'!G6+'JOUR 4'!G6+'JOUR 5'!G6+'JOUR 6'!G6+'JOUR 7'!G6+'JOUR 8'!G6+'JOUR 9'!G6+'JOUR 10'!G6+'JOUR 11'!G6+#REF!+#REF!+#REF!+#REF!+#REF!</f>
        <v>#REF!</v>
      </c>
      <c r="H6" s="17" t="e">
        <f>'JOUR 1'!H6+'JOUR 2'!H6+'JOUR 3'!H6+'JOUR 4'!H6+'JOUR 5'!H6+'JOUR 6'!H6+'JOUR 7'!H6+'JOUR 8'!H6+'JOUR 9'!H6+'JOUR 10'!H6+'JOUR 11'!H6+#REF!+#REF!+#REF!+#REF!+#REF!</f>
        <v>#REF!</v>
      </c>
      <c r="I6" s="17" t="e">
        <f>'JOUR 1'!I6+'JOUR 2'!I6+'JOUR 3'!I6+'JOUR 4'!I6+'JOUR 5'!I6+'JOUR 6'!I6+'JOUR 7'!I6+'JOUR 8'!I6+'JOUR 9'!I6+'JOUR 10'!I6+'JOUR 11'!I6+#REF!+#REF!+#REF!+#REF!+#REF!</f>
        <v>#REF!</v>
      </c>
      <c r="J6" s="17" t="e">
        <f>'JOUR 1'!J6+'JOUR 2'!J6+'JOUR 3'!J6+'JOUR 4'!J6+'JOUR 5'!J6+'JOUR 6'!J6+'JOUR 7'!J6+'JOUR 8'!J6+'JOUR 9'!J6+'JOUR 10'!J6+'JOUR 11'!J6+#REF!+#REF!+#REF!+#REF!+#REF!</f>
        <v>#REF!</v>
      </c>
      <c r="K6" s="17" t="e">
        <f>'JOUR 1'!K6+'JOUR 2'!K6+'JOUR 3'!K6+'JOUR 4'!K6+'JOUR 5'!K6+'JOUR 6'!K6+'JOUR 7'!K6+'JOUR 8'!K6+'JOUR 9'!K6+'JOUR 10'!K6+'JOUR 11'!K6+#REF!+#REF!+#REF!+#REF!+#REF!</f>
        <v>#REF!</v>
      </c>
      <c r="L6" s="17" t="e">
        <f>'JOUR 1'!L6+'JOUR 2'!L6+'JOUR 3'!L6+'JOUR 4'!L6+'JOUR 5'!L6+'JOUR 6'!L6+'JOUR 7'!L6+'JOUR 8'!L6+'JOUR 9'!L6+'JOUR 10'!L6+'JOUR 11'!L6+#REF!+#REF!+#REF!+#REF!+#REF!</f>
        <v>#REF!</v>
      </c>
      <c r="M6" s="17" t="e">
        <f>'JOUR 1'!M6+'JOUR 2'!M6+'JOUR 3'!M6+'JOUR 4'!M6+'JOUR 5'!M6+'JOUR 6'!M6+'JOUR 7'!M6+'JOUR 8'!M6+'JOUR 9'!M6+'JOUR 10'!M6+'JOUR 11'!M6+#REF!+#REF!+#REF!+#REF!+#REF!</f>
        <v>#REF!</v>
      </c>
      <c r="N6" s="17" t="e">
        <f>'JOUR 1'!N6+'JOUR 2'!N6+'JOUR 3'!N6+'JOUR 4'!N6+'JOUR 5'!N6+'JOUR 6'!N6+'JOUR 7'!N6+'JOUR 8'!N6+'JOUR 9'!N6+'JOUR 10'!N6+'JOUR 11'!N6+#REF!+#REF!+#REF!+#REF!+#REF!</f>
        <v>#REF!</v>
      </c>
      <c r="O6" s="17" t="e">
        <f>'JOUR 1'!O6+'JOUR 2'!O6+'JOUR 3'!O6+'JOUR 4'!O6+'JOUR 5'!O6+'JOUR 6'!O6+'JOUR 7'!O6+'JOUR 8'!O6+'JOUR 9'!O6+'JOUR 10'!O6+'JOUR 11'!O6+#REF!+#REF!+#REF!+#REF!+#REF!</f>
        <v>#REF!</v>
      </c>
      <c r="P6" s="17" t="e">
        <f>'JOUR 1'!P6+'JOUR 2'!P6+'JOUR 3'!P6+'JOUR 4'!P6+'JOUR 5'!P6+'JOUR 6'!P6+'JOUR 7'!P6+'JOUR 8'!P6+'JOUR 9'!P6+'JOUR 10'!P6+'JOUR 11'!P6+#REF!+#REF!+#REF!+#REF!+#REF!</f>
        <v>#REF!</v>
      </c>
      <c r="Q6" s="17" t="e">
        <f>'JOUR 1'!Q6+'JOUR 2'!Q6+'JOUR 3'!Q6+'JOUR 4'!Q6+'JOUR 5'!Q6+'JOUR 6'!Q6+'JOUR 7'!Q6+'JOUR 8'!Q6+'JOUR 9'!Q6+'JOUR 10'!Q6+'JOUR 11'!Q6+#REF!+#REF!+#REF!+#REF!+#REF!</f>
        <v>#REF!</v>
      </c>
      <c r="R6" s="17" t="e">
        <f>'JOUR 1'!R6+'JOUR 2'!R6+'JOUR 3'!R6+'JOUR 4'!R6+'JOUR 5'!R6+'JOUR 6'!R6+'JOUR 7'!R6+'JOUR 8'!R6+'JOUR 9'!R6+'JOUR 10'!R6+'JOUR 11'!R6+#REF!+#REF!+#REF!+#REF!+#REF!</f>
        <v>#REF!</v>
      </c>
      <c r="S6" s="31" t="e">
        <f>'JOUR 1'!S6+'JOUR 2'!S6+'JOUR 3'!S6+'JOUR 4'!S6+'JOUR 5'!S6+'JOUR 6'!S6+'JOUR 7'!S6+'JOUR 8'!S6+'JOUR 9'!S6+'JOUR 10'!S6+'JOUR 11'!S6+#REF!+#REF!+#REF!+#REF!+#REF!</f>
        <v>#REF!</v>
      </c>
      <c r="T6" s="31" t="e">
        <f>'JOUR 1'!T6+'JOUR 2'!T6+'JOUR 3'!T6+'JOUR 4'!T6+'JOUR 5'!T6+'JOUR 6'!T6+'JOUR 7'!T6+'JOUR 8'!T6+'JOUR 9'!T6+'JOUR 10'!T6+'JOUR 11'!T6+#REF!+#REF!+#REF!+#REF!+#REF!</f>
        <v>#REF!</v>
      </c>
      <c r="U6" s="31" t="e">
        <f>'JOUR 1'!U6+'JOUR 2'!U6+'JOUR 3'!U6+'JOUR 4'!U6+'JOUR 5'!U6+'JOUR 6'!U6+'JOUR 7'!U6+'JOUR 8'!U6+'JOUR 9'!U6+'JOUR 10'!U6+'JOUR 11'!U6+#REF!+#REF!+#REF!+#REF!+#REF!</f>
        <v>#REF!</v>
      </c>
      <c r="V6" s="32" t="e">
        <f>'JOUR 1'!V6+'JOUR 2'!V6+'JOUR 3'!V6+'JOUR 4'!V6+'JOUR 5'!V6+'JOUR 6'!V6+'JOUR 7'!V6+'JOUR 8'!V6+'JOUR 9'!V6+'JOUR 10'!V6+'JOUR 11'!V6+#REF!+#REF!+#REF!+#REF!+#REF!</f>
        <v>#REF!</v>
      </c>
      <c r="W6" s="32" t="e">
        <f>'JOUR 1'!W6+'JOUR 2'!W6+'JOUR 3'!W6+'JOUR 4'!W6+'JOUR 5'!W6+'JOUR 6'!W6+'JOUR 7'!W6+'JOUR 8'!W6+'JOUR 9'!W6+'JOUR 10'!W6+'JOUR 11'!W6+#REF!+#REF!+#REF!+#REF!+#REF!</f>
        <v>#REF!</v>
      </c>
      <c r="X6" s="32" t="e">
        <f>'JOUR 1'!X6+'JOUR 2'!X6+'JOUR 3'!X6+'JOUR 4'!X6+'JOUR 5'!X6+'JOUR 6'!X6+'JOUR 7'!X6+'JOUR 8'!X6+'JOUR 9'!X6+'JOUR 10'!X6+'JOUR 11'!X6+#REF!+#REF!+#REF!+#REF!+#REF!</f>
        <v>#REF!</v>
      </c>
      <c r="Y6" s="73" t="e">
        <f>'JOUR 1'!Y6+'JOUR 2'!Y6+'JOUR 3'!Y6+'JOUR 4'!Y6+'JOUR 5'!Y6+'JOUR 6'!Y6+'JOUR 7'!Y6+'JOUR 8'!Y6+'JOUR 9'!Y6+'JOUR 10'!Y6+'JOUR 11'!Y6+#REF!+#REF!+#REF!+#REF!+#REF!</f>
        <v>#REF!</v>
      </c>
      <c r="Z6" s="33" t="e">
        <f>'JOUR 1'!Z6+'JOUR 2'!Z6+'JOUR 3'!Z6+'JOUR 4'!Z6+'JOUR 5'!Z6+'JOUR 6'!Z6+'JOUR 7'!Z6+'JOUR 8'!Z6+'JOUR 9'!Z6+'JOUR 10'!Z6+'JOUR 11'!Z6+#REF!+#REF!+#REF!+#REF!+#REF!</f>
        <v>#REF!</v>
      </c>
      <c r="AA6" s="34" t="e">
        <f>'JOUR 1'!AA6+'JOUR 2'!AA6+'JOUR 3'!AA6+'JOUR 4'!AA6+'JOUR 5'!AA6+'JOUR 6'!AA6+'JOUR 7'!AA6+'JOUR 8'!AA6+'JOUR 9'!AA6+'JOUR 10'!AA6+'JOUR 11'!AA6+#REF!+#REF!+#REF!+#REF!+#REF!</f>
        <v>#REF!</v>
      </c>
      <c r="AB6" s="34" t="e">
        <f>'JOUR 1'!AB6+'JOUR 2'!AB6+'JOUR 3'!AB6+'JOUR 4'!AB6+'JOUR 5'!AB6+'JOUR 6'!AB6+'JOUR 7'!AB6+'JOUR 8'!AB6+'JOUR 9'!AB6+'JOUR 10'!AB6+'JOUR 11'!AB6+#REF!+#REF!+#REF!+#REF!+#REF!</f>
        <v>#REF!</v>
      </c>
      <c r="AC6" s="34" t="e">
        <f>'JOUR 1'!AC6+'JOUR 2'!AC6+'JOUR 3'!AC6+'JOUR 4'!AC6+'JOUR 5'!AC6+'JOUR 6'!AC6+'JOUR 7'!AC6+'JOUR 8'!AC6+'JOUR 9'!AC6+'JOUR 10'!AC6+'JOUR 11'!AC6+#REF!+#REF!+#REF!+#REF!+#REF!</f>
        <v>#REF!</v>
      </c>
      <c r="AD6" s="35" t="e">
        <f>'JOUR 1'!AD6+'JOUR 2'!AD6+'JOUR 3'!AD6+'JOUR 4'!AD6+'JOUR 5'!AD6+'JOUR 6'!AD6+'JOUR 7'!AD6+'JOUR 8'!AD6+'JOUR 9'!AD6+'JOUR 10'!AD6+'JOUR 11'!AD6+#REF!+#REF!+#REF!+#REF!+#REF!</f>
        <v>#REF!</v>
      </c>
      <c r="AE6" s="34" t="e">
        <f>'JOUR 1'!AE6+'JOUR 2'!AE6+'JOUR 3'!AE6+'JOUR 4'!AE6+'JOUR 5'!AE6+'JOUR 6'!AE6+'JOUR 7'!AE6+'JOUR 8'!AE6+'JOUR 9'!AE6+'JOUR 10'!AE6+'JOUR 11'!AE6+#REF!+#REF!+#REF!+#REF!+#REF!</f>
        <v>#REF!</v>
      </c>
      <c r="AF6" s="34" t="e">
        <f>'JOUR 1'!AF6+'JOUR 2'!AF6+'JOUR 3'!AF6+'JOUR 4'!AF6+'JOUR 5'!AF6+'JOUR 6'!AF6+'JOUR 7'!AF6+'JOUR 8'!AF6+'JOUR 9'!AF6+'JOUR 10'!AF6+'JOUR 11'!AF6+#REF!+#REF!+#REF!+#REF!+#REF!</f>
        <v>#REF!</v>
      </c>
      <c r="AG6" s="34" t="e">
        <f>'JOUR 1'!AG6+'JOUR 2'!AG6+'JOUR 3'!AG6+'JOUR 4'!AG6+'JOUR 5'!AG6+'JOUR 6'!AG6+'JOUR 7'!AG6+'JOUR 8'!AG6+'JOUR 9'!AG6+'JOUR 10'!AG6+'JOUR 11'!AG6+#REF!+#REF!+#REF!+#REF!+#REF!</f>
        <v>#REF!</v>
      </c>
      <c r="AH6" s="21"/>
      <c r="AI6" s="22"/>
      <c r="AK6" s="85" t="e">
        <f t="shared" ref="AK6:AO25" si="1">S6/D6</f>
        <v>#REF!</v>
      </c>
      <c r="AL6" s="85" t="e">
        <f t="shared" si="1"/>
        <v>#REF!</v>
      </c>
      <c r="AM6" s="85" t="e">
        <f t="shared" si="1"/>
        <v>#REF!</v>
      </c>
      <c r="AN6" s="85" t="e">
        <f t="shared" si="1"/>
        <v>#REF!</v>
      </c>
      <c r="AO6" s="85" t="e">
        <f t="shared" si="1"/>
        <v>#REF!</v>
      </c>
      <c r="AP6" s="85"/>
      <c r="AQ6" s="85"/>
      <c r="AR6" s="85"/>
      <c r="AS6" s="85" t="e">
        <f t="shared" ref="AS6:AS25" si="2">AA6/L6</f>
        <v>#REF!</v>
      </c>
      <c r="AT6" s="85"/>
      <c r="AU6" s="85"/>
      <c r="AV6" s="85"/>
      <c r="AW6" s="85"/>
      <c r="AX6" s="85"/>
      <c r="AY6" s="87"/>
    </row>
    <row r="7" spans="2:51" ht="17.399999999999999" x14ac:dyDescent="0.25">
      <c r="B7" s="16" t="s">
        <v>59</v>
      </c>
      <c r="C7" s="16" t="s">
        <v>62</v>
      </c>
      <c r="D7" s="17" t="e">
        <f>'JOUR 1'!D7+'JOUR 2'!D7+'JOUR 3'!D7+'JOUR 4'!D7+'JOUR 5'!D7+'JOUR 6'!D7+'JOUR 7'!D7+'JOUR 8'!D7+'JOUR 9'!D7+'JOUR 10'!D7+'JOUR 11'!D7+#REF!+#REF!+#REF!+#REF!+#REF!</f>
        <v>#REF!</v>
      </c>
      <c r="E7" s="17" t="e">
        <f>'JOUR 1'!E7+'JOUR 2'!E7+'JOUR 3'!E7+'JOUR 4'!E7+'JOUR 5'!E7+'JOUR 6'!E7+'JOUR 7'!E7+'JOUR 8'!E7+'JOUR 9'!E7+'JOUR 10'!E7+'JOUR 11'!E7+#REF!+#REF!+#REF!+#REF!+#REF!</f>
        <v>#REF!</v>
      </c>
      <c r="F7" s="17" t="e">
        <f>'JOUR 1'!F7+'JOUR 2'!F7+'JOUR 3'!F7+'JOUR 4'!F7+'JOUR 5'!F7+'JOUR 6'!F7+'JOUR 7'!F7+'JOUR 8'!F7+'JOUR 9'!F7+'JOUR 10'!F7+'JOUR 11'!F7+#REF!+#REF!+#REF!+#REF!+#REF!</f>
        <v>#REF!</v>
      </c>
      <c r="G7" s="17" t="e">
        <f>'JOUR 1'!G7+'JOUR 2'!G7+'JOUR 3'!G7+'JOUR 4'!G7+'JOUR 5'!G7+'JOUR 6'!G7+'JOUR 7'!G7+'JOUR 8'!G7+'JOUR 9'!G7+'JOUR 10'!G7+'JOUR 11'!G7+#REF!+#REF!+#REF!+#REF!+#REF!</f>
        <v>#REF!</v>
      </c>
      <c r="H7" s="17" t="e">
        <f>'JOUR 1'!H7+'JOUR 2'!H7+'JOUR 3'!H7+'JOUR 4'!H7+'JOUR 5'!H7+'JOUR 6'!H7+'JOUR 7'!H7+'JOUR 8'!H7+'JOUR 9'!H7+'JOUR 10'!H7+'JOUR 11'!H7+#REF!+#REF!+#REF!+#REF!+#REF!</f>
        <v>#REF!</v>
      </c>
      <c r="I7" s="17" t="e">
        <f>'JOUR 1'!I7+'JOUR 2'!I7+'JOUR 3'!I7+'JOUR 4'!I7+'JOUR 5'!I7+'JOUR 6'!I7+'JOUR 7'!I7+'JOUR 8'!I7+'JOUR 9'!I7+'JOUR 10'!I7+'JOUR 11'!I7+#REF!+#REF!+#REF!+#REF!+#REF!</f>
        <v>#REF!</v>
      </c>
      <c r="J7" s="17" t="e">
        <f>'JOUR 1'!J7+'JOUR 2'!J7+'JOUR 3'!J7+'JOUR 4'!J7+'JOUR 5'!J7+'JOUR 6'!J7+'JOUR 7'!J7+'JOUR 8'!J7+'JOUR 9'!J7+'JOUR 10'!J7+'JOUR 11'!J7+#REF!+#REF!+#REF!+#REF!+#REF!</f>
        <v>#REF!</v>
      </c>
      <c r="K7" s="17" t="e">
        <f>'JOUR 1'!K7+'JOUR 2'!K7+'JOUR 3'!K7+'JOUR 4'!K7+'JOUR 5'!K7+'JOUR 6'!K7+'JOUR 7'!K7+'JOUR 8'!K7+'JOUR 9'!K7+'JOUR 10'!K7+'JOUR 11'!K7+#REF!+#REF!+#REF!+#REF!+#REF!</f>
        <v>#REF!</v>
      </c>
      <c r="L7" s="17" t="e">
        <f>'JOUR 1'!L7+'JOUR 2'!L7+'JOUR 3'!L7+'JOUR 4'!L7+'JOUR 5'!L7+'JOUR 6'!L7+'JOUR 7'!L7+'JOUR 8'!L7+'JOUR 9'!L7+'JOUR 10'!L7+'JOUR 11'!L7+#REF!+#REF!+#REF!+#REF!+#REF!</f>
        <v>#REF!</v>
      </c>
      <c r="M7" s="17" t="e">
        <f>'JOUR 1'!M7+'JOUR 2'!M7+'JOUR 3'!M7+'JOUR 4'!M7+'JOUR 5'!M7+'JOUR 6'!M7+'JOUR 7'!M7+'JOUR 8'!M7+'JOUR 9'!M7+'JOUR 10'!M7+'JOUR 11'!M7+#REF!+#REF!+#REF!+#REF!+#REF!</f>
        <v>#REF!</v>
      </c>
      <c r="N7" s="17" t="e">
        <f>'JOUR 1'!N7+'JOUR 2'!N7+'JOUR 3'!N7+'JOUR 4'!N7+'JOUR 5'!N7+'JOUR 6'!N7+'JOUR 7'!N7+'JOUR 8'!N7+'JOUR 9'!N7+'JOUR 10'!N7+'JOUR 11'!N7+#REF!+#REF!+#REF!+#REF!+#REF!</f>
        <v>#REF!</v>
      </c>
      <c r="O7" s="17" t="e">
        <f>'JOUR 1'!O7+'JOUR 2'!O7+'JOUR 3'!O7+'JOUR 4'!O7+'JOUR 5'!O7+'JOUR 6'!O7+'JOUR 7'!O7+'JOUR 8'!O7+'JOUR 9'!O7+'JOUR 10'!O7+'JOUR 11'!O7+#REF!+#REF!+#REF!+#REF!+#REF!</f>
        <v>#REF!</v>
      </c>
      <c r="P7" s="17" t="e">
        <f>'JOUR 1'!P7+'JOUR 2'!P7+'JOUR 3'!P7+'JOUR 4'!P7+'JOUR 5'!P7+'JOUR 6'!P7+'JOUR 7'!P7+'JOUR 8'!P7+'JOUR 9'!P7+'JOUR 10'!P7+'JOUR 11'!P7+#REF!+#REF!+#REF!+#REF!+#REF!</f>
        <v>#REF!</v>
      </c>
      <c r="Q7" s="17" t="e">
        <f>'JOUR 1'!Q7+'JOUR 2'!Q7+'JOUR 3'!Q7+'JOUR 4'!Q7+'JOUR 5'!Q7+'JOUR 6'!Q7+'JOUR 7'!Q7+'JOUR 8'!Q7+'JOUR 9'!Q7+'JOUR 10'!Q7+'JOUR 11'!Q7+#REF!+#REF!+#REF!+#REF!+#REF!</f>
        <v>#REF!</v>
      </c>
      <c r="R7" s="17" t="e">
        <f>'JOUR 1'!R7+'JOUR 2'!R7+'JOUR 3'!R7+'JOUR 4'!R7+'JOUR 5'!R7+'JOUR 6'!R7+'JOUR 7'!R7+'JOUR 8'!R7+'JOUR 9'!R7+'JOUR 10'!R7+'JOUR 11'!R7+#REF!+#REF!+#REF!+#REF!+#REF!</f>
        <v>#REF!</v>
      </c>
      <c r="S7" s="31" t="e">
        <f>'JOUR 1'!S7+'JOUR 2'!S7+'JOUR 3'!S7+'JOUR 4'!S7+'JOUR 5'!S7+'JOUR 6'!S7+'JOUR 7'!S7+'JOUR 8'!S7+'JOUR 9'!S7+'JOUR 10'!S7+'JOUR 11'!S7+#REF!+#REF!+#REF!+#REF!+#REF!</f>
        <v>#REF!</v>
      </c>
      <c r="T7" s="31" t="e">
        <f>'JOUR 1'!T7+'JOUR 2'!T7+'JOUR 3'!T7+'JOUR 4'!T7+'JOUR 5'!T7+'JOUR 6'!T7+'JOUR 7'!T7+'JOUR 8'!T7+'JOUR 9'!T7+'JOUR 10'!T7+'JOUR 11'!T7+#REF!+#REF!+#REF!+#REF!+#REF!</f>
        <v>#REF!</v>
      </c>
      <c r="U7" s="31" t="e">
        <f>'JOUR 1'!U7+'JOUR 2'!U7+'JOUR 3'!U7+'JOUR 4'!U7+'JOUR 5'!U7+'JOUR 6'!U7+'JOUR 7'!U7+'JOUR 8'!U7+'JOUR 9'!U7+'JOUR 10'!U7+'JOUR 11'!U7+#REF!+#REF!+#REF!+#REF!+#REF!</f>
        <v>#REF!</v>
      </c>
      <c r="V7" s="32" t="e">
        <f>'JOUR 1'!V7+'JOUR 2'!V7+'JOUR 3'!V7+'JOUR 4'!V7+'JOUR 5'!V7+'JOUR 6'!V7+'JOUR 7'!V7+'JOUR 8'!V7+'JOUR 9'!V7+'JOUR 10'!V7+'JOUR 11'!V7+#REF!+#REF!+#REF!+#REF!+#REF!</f>
        <v>#REF!</v>
      </c>
      <c r="W7" s="32" t="e">
        <f>'JOUR 1'!W7+'JOUR 2'!W7+'JOUR 3'!W7+'JOUR 4'!W7+'JOUR 5'!W7+'JOUR 6'!W7+'JOUR 7'!W7+'JOUR 8'!W7+'JOUR 9'!W7+'JOUR 10'!W7+'JOUR 11'!W7+#REF!+#REF!+#REF!+#REF!+#REF!</f>
        <v>#REF!</v>
      </c>
      <c r="X7" s="32" t="e">
        <f>'JOUR 1'!X7+'JOUR 2'!X7+'JOUR 3'!X7+'JOUR 4'!X7+'JOUR 5'!X7+'JOUR 6'!X7+'JOUR 7'!X7+'JOUR 8'!X7+'JOUR 9'!X7+'JOUR 10'!X7+'JOUR 11'!X7+#REF!+#REF!+#REF!+#REF!+#REF!</f>
        <v>#REF!</v>
      </c>
      <c r="Y7" s="73" t="e">
        <f>'JOUR 1'!Y7+'JOUR 2'!Y7+'JOUR 3'!Y7+'JOUR 4'!Y7+'JOUR 5'!Y7+'JOUR 6'!Y7+'JOUR 7'!Y7+'JOUR 8'!Y7+'JOUR 9'!Y7+'JOUR 10'!Y7+'JOUR 11'!Y7+#REF!+#REF!+#REF!+#REF!+#REF!</f>
        <v>#REF!</v>
      </c>
      <c r="Z7" s="33" t="e">
        <f>'JOUR 1'!Z7+'JOUR 2'!Z7+'JOUR 3'!Z7+'JOUR 4'!Z7+'JOUR 5'!Z7+'JOUR 6'!Z7+'JOUR 7'!Z7+'JOUR 8'!Z7+'JOUR 9'!Z7+'JOUR 10'!Z7+'JOUR 11'!Z7+#REF!+#REF!+#REF!+#REF!+#REF!</f>
        <v>#REF!</v>
      </c>
      <c r="AA7" s="34" t="e">
        <f>'JOUR 1'!AA7+'JOUR 2'!AA7+'JOUR 3'!AA7+'JOUR 4'!AA7+'JOUR 5'!AA7+'JOUR 6'!AA7+'JOUR 7'!AA7+'JOUR 8'!AA7+'JOUR 9'!AA7+'JOUR 10'!AA7+'JOUR 11'!AA7+#REF!+#REF!+#REF!+#REF!+#REF!</f>
        <v>#REF!</v>
      </c>
      <c r="AB7" s="34" t="e">
        <f>'JOUR 1'!AB7+'JOUR 2'!AB7+'JOUR 3'!AB7+'JOUR 4'!AB7+'JOUR 5'!AB7+'JOUR 6'!AB7+'JOUR 7'!AB7+'JOUR 8'!AB7+'JOUR 9'!AB7+'JOUR 10'!AB7+'JOUR 11'!AB7+#REF!+#REF!+#REF!+#REF!+#REF!</f>
        <v>#REF!</v>
      </c>
      <c r="AC7" s="34" t="e">
        <f>'JOUR 1'!AC7+'JOUR 2'!AC7+'JOUR 3'!AC7+'JOUR 4'!AC7+'JOUR 5'!AC7+'JOUR 6'!AC7+'JOUR 7'!AC7+'JOUR 8'!AC7+'JOUR 9'!AC7+'JOUR 10'!AC7+'JOUR 11'!AC7+#REF!+#REF!+#REF!+#REF!+#REF!</f>
        <v>#REF!</v>
      </c>
      <c r="AD7" s="35" t="e">
        <f>'JOUR 1'!AD7+'JOUR 2'!AD7+'JOUR 3'!AD7+'JOUR 4'!AD7+'JOUR 5'!AD7+'JOUR 6'!AD7+'JOUR 7'!AD7+'JOUR 8'!AD7+'JOUR 9'!AD7+'JOUR 10'!AD7+'JOUR 11'!AD7+#REF!+#REF!+#REF!+#REF!+#REF!</f>
        <v>#REF!</v>
      </c>
      <c r="AE7" s="34" t="e">
        <f>'JOUR 1'!AE7+'JOUR 2'!AE7+'JOUR 3'!AE7+'JOUR 4'!AE7+'JOUR 5'!AE7+'JOUR 6'!AE7+'JOUR 7'!AE7+'JOUR 8'!AE7+'JOUR 9'!AE7+'JOUR 10'!AE7+'JOUR 11'!AE7+#REF!+#REF!+#REF!+#REF!+#REF!</f>
        <v>#REF!</v>
      </c>
      <c r="AF7" s="34" t="e">
        <f>'JOUR 1'!AF7+'JOUR 2'!AF7+'JOUR 3'!AF7+'JOUR 4'!AF7+'JOUR 5'!AF7+'JOUR 6'!AF7+'JOUR 7'!AF7+'JOUR 8'!AF7+'JOUR 9'!AF7+'JOUR 10'!AF7+'JOUR 11'!AF7+#REF!+#REF!+#REF!+#REF!+#REF!</f>
        <v>#REF!</v>
      </c>
      <c r="AG7" s="34" t="e">
        <f>'JOUR 1'!AG7+'JOUR 2'!AG7+'JOUR 3'!AG7+'JOUR 4'!AG7+'JOUR 5'!AG7+'JOUR 6'!AG7+'JOUR 7'!AG7+'JOUR 8'!AG7+'JOUR 9'!AG7+'JOUR 10'!AG7+'JOUR 11'!AG7+#REF!+#REF!+#REF!+#REF!+#REF!</f>
        <v>#REF!</v>
      </c>
      <c r="AH7" s="21"/>
      <c r="AI7" s="22"/>
      <c r="AK7" s="85" t="e">
        <f t="shared" si="1"/>
        <v>#REF!</v>
      </c>
      <c r="AL7" s="85" t="e">
        <f t="shared" si="1"/>
        <v>#REF!</v>
      </c>
      <c r="AM7" s="85" t="e">
        <f t="shared" si="1"/>
        <v>#REF!</v>
      </c>
      <c r="AN7" s="85" t="e">
        <f t="shared" si="1"/>
        <v>#REF!</v>
      </c>
      <c r="AO7" s="85" t="e">
        <f t="shared" si="1"/>
        <v>#REF!</v>
      </c>
      <c r="AP7" s="85"/>
      <c r="AQ7" s="85"/>
      <c r="AR7" s="85"/>
      <c r="AS7" s="85" t="e">
        <f t="shared" si="2"/>
        <v>#REF!</v>
      </c>
      <c r="AT7" s="85"/>
      <c r="AU7" s="85"/>
      <c r="AV7" s="85"/>
      <c r="AW7" s="85"/>
      <c r="AX7" s="85"/>
      <c r="AY7" s="87"/>
    </row>
    <row r="8" spans="2:51" ht="17.399999999999999" x14ac:dyDescent="0.25">
      <c r="B8" s="16" t="s">
        <v>59</v>
      </c>
      <c r="C8" s="16" t="s">
        <v>63</v>
      </c>
      <c r="D8" s="17" t="e">
        <f>'JOUR 1'!D8+'JOUR 2'!D8+'JOUR 3'!D8+'JOUR 4'!D8+'JOUR 5'!D8+'JOUR 6'!D8+'JOUR 7'!D8+'JOUR 8'!D8+'JOUR 9'!D8+'JOUR 10'!D8+'JOUR 11'!D8+#REF!+#REF!+#REF!+#REF!+#REF!</f>
        <v>#REF!</v>
      </c>
      <c r="E8" s="17" t="e">
        <f>'JOUR 1'!E8+'JOUR 2'!E8+'JOUR 3'!E8+'JOUR 4'!E8+'JOUR 5'!E8+'JOUR 6'!E8+'JOUR 7'!E8+'JOUR 8'!E8+'JOUR 9'!E8+'JOUR 10'!E8+'JOUR 11'!E8+#REF!+#REF!+#REF!+#REF!+#REF!</f>
        <v>#REF!</v>
      </c>
      <c r="F8" s="17" t="e">
        <f>'JOUR 1'!F8+'JOUR 2'!F8+'JOUR 3'!F8+'JOUR 4'!F8+'JOUR 5'!F8+'JOUR 6'!F8+'JOUR 7'!F8+'JOUR 8'!F8+'JOUR 9'!F8+'JOUR 10'!F8+'JOUR 11'!F8+#REF!+#REF!+#REF!+#REF!+#REF!</f>
        <v>#REF!</v>
      </c>
      <c r="G8" s="17" t="e">
        <f>'JOUR 1'!G8+'JOUR 2'!G8+'JOUR 3'!G8+'JOUR 4'!G8+'JOUR 5'!G8+'JOUR 6'!G8+'JOUR 7'!G8+'JOUR 8'!G8+'JOUR 9'!G8+'JOUR 10'!G8+'JOUR 11'!G8+#REF!+#REF!+#REF!+#REF!+#REF!</f>
        <v>#REF!</v>
      </c>
      <c r="H8" s="17" t="e">
        <f>'JOUR 1'!H8+'JOUR 2'!H8+'JOUR 3'!H8+'JOUR 4'!H8+'JOUR 5'!H8+'JOUR 6'!H8+'JOUR 7'!H8+'JOUR 8'!H8+'JOUR 9'!H8+'JOUR 10'!H8+'JOUR 11'!H8+#REF!+#REF!+#REF!+#REF!+#REF!</f>
        <v>#REF!</v>
      </c>
      <c r="I8" s="17" t="e">
        <f>'JOUR 1'!I8+'JOUR 2'!I8+'JOUR 3'!I8+'JOUR 4'!I8+'JOUR 5'!I8+'JOUR 6'!I8+'JOUR 7'!I8+'JOUR 8'!I8+'JOUR 9'!I8+'JOUR 10'!I8+'JOUR 11'!I8+#REF!+#REF!+#REF!+#REF!+#REF!</f>
        <v>#REF!</v>
      </c>
      <c r="J8" s="17" t="e">
        <f>'JOUR 1'!J8+'JOUR 2'!J8+'JOUR 3'!J8+'JOUR 4'!J8+'JOUR 5'!J8+'JOUR 6'!J8+'JOUR 7'!J8+'JOUR 8'!J8+'JOUR 9'!J8+'JOUR 10'!J8+'JOUR 11'!J8+#REF!+#REF!+#REF!+#REF!+#REF!</f>
        <v>#REF!</v>
      </c>
      <c r="K8" s="17" t="e">
        <f>'JOUR 1'!K8+'JOUR 2'!K8+'JOUR 3'!K8+'JOUR 4'!K8+'JOUR 5'!K8+'JOUR 6'!K8+'JOUR 7'!K8+'JOUR 8'!K8+'JOUR 9'!K8+'JOUR 10'!K8+'JOUR 11'!K8+#REF!+#REF!+#REF!+#REF!+#REF!</f>
        <v>#REF!</v>
      </c>
      <c r="L8" s="17" t="e">
        <f>'JOUR 1'!L8+'JOUR 2'!L8+'JOUR 3'!L8+'JOUR 4'!L8+'JOUR 5'!L8+'JOUR 6'!L8+'JOUR 7'!L8+'JOUR 8'!L8+'JOUR 9'!L8+'JOUR 10'!L8+'JOUR 11'!L8+#REF!+#REF!+#REF!+#REF!+#REF!</f>
        <v>#REF!</v>
      </c>
      <c r="M8" s="17" t="e">
        <f>'JOUR 1'!M8+'JOUR 2'!M8+'JOUR 3'!M8+'JOUR 4'!M8+'JOUR 5'!M8+'JOUR 6'!M8+'JOUR 7'!M8+'JOUR 8'!M8+'JOUR 9'!M8+'JOUR 10'!M8+'JOUR 11'!M8+#REF!+#REF!+#REF!+#REF!+#REF!</f>
        <v>#REF!</v>
      </c>
      <c r="N8" s="17" t="e">
        <f>'JOUR 1'!N8+'JOUR 2'!N8+'JOUR 3'!N8+'JOUR 4'!N8+'JOUR 5'!N8+'JOUR 6'!N8+'JOUR 7'!N8+'JOUR 8'!N8+'JOUR 9'!N8+'JOUR 10'!N8+'JOUR 11'!N8+#REF!+#REF!+#REF!+#REF!+#REF!</f>
        <v>#REF!</v>
      </c>
      <c r="O8" s="17" t="e">
        <f>'JOUR 1'!O8+'JOUR 2'!O8+'JOUR 3'!O8+'JOUR 4'!O8+'JOUR 5'!O8+'JOUR 6'!O8+'JOUR 7'!O8+'JOUR 8'!O8+'JOUR 9'!O8+'JOUR 10'!O8+'JOUR 11'!O8+#REF!+#REF!+#REF!+#REF!+#REF!</f>
        <v>#REF!</v>
      </c>
      <c r="P8" s="17" t="e">
        <f>'JOUR 1'!P8+'JOUR 2'!P8+'JOUR 3'!P8+'JOUR 4'!P8+'JOUR 5'!P8+'JOUR 6'!P8+'JOUR 7'!P8+'JOUR 8'!P8+'JOUR 9'!P8+'JOUR 10'!P8+'JOUR 11'!P8+#REF!+#REF!+#REF!+#REF!+#REF!</f>
        <v>#REF!</v>
      </c>
      <c r="Q8" s="17" t="e">
        <f>'JOUR 1'!Q8+'JOUR 2'!Q8+'JOUR 3'!Q8+'JOUR 4'!Q8+'JOUR 5'!Q8+'JOUR 6'!Q8+'JOUR 7'!Q8+'JOUR 8'!Q8+'JOUR 9'!Q8+'JOUR 10'!Q8+'JOUR 11'!Q8+#REF!+#REF!+#REF!+#REF!+#REF!</f>
        <v>#REF!</v>
      </c>
      <c r="R8" s="17" t="e">
        <f>'JOUR 1'!R8+'JOUR 2'!R8+'JOUR 3'!R8+'JOUR 4'!R8+'JOUR 5'!R8+'JOUR 6'!R8+'JOUR 7'!R8+'JOUR 8'!R8+'JOUR 9'!R8+'JOUR 10'!R8+'JOUR 11'!R8+#REF!+#REF!+#REF!+#REF!+#REF!</f>
        <v>#REF!</v>
      </c>
      <c r="S8" s="31" t="e">
        <f>'JOUR 1'!S8+'JOUR 2'!S8+'JOUR 3'!S8+'JOUR 4'!S8+'JOUR 5'!S8+'JOUR 6'!S8+'JOUR 7'!S8+'JOUR 8'!S8+'JOUR 9'!S8+'JOUR 10'!S8+'JOUR 11'!S8+#REF!+#REF!+#REF!+#REF!+#REF!</f>
        <v>#REF!</v>
      </c>
      <c r="T8" s="31" t="e">
        <f>'JOUR 1'!T8+'JOUR 2'!T8+'JOUR 3'!T8+'JOUR 4'!T8+'JOUR 5'!T8+'JOUR 6'!T8+'JOUR 7'!T8+'JOUR 8'!T8+'JOUR 9'!T8+'JOUR 10'!T8+'JOUR 11'!T8+#REF!+#REF!+#REF!+#REF!+#REF!</f>
        <v>#REF!</v>
      </c>
      <c r="U8" s="31" t="e">
        <f>'JOUR 1'!U8+'JOUR 2'!U8+'JOUR 3'!U8+'JOUR 4'!U8+'JOUR 5'!U8+'JOUR 6'!U8+'JOUR 7'!U8+'JOUR 8'!U8+'JOUR 9'!U8+'JOUR 10'!U8+'JOUR 11'!U8+#REF!+#REF!+#REF!+#REF!+#REF!</f>
        <v>#REF!</v>
      </c>
      <c r="V8" s="32" t="e">
        <f>'JOUR 1'!V8+'JOUR 2'!V8+'JOUR 3'!V8+'JOUR 4'!V8+'JOUR 5'!V8+'JOUR 6'!V8+'JOUR 7'!V8+'JOUR 8'!V8+'JOUR 9'!V8+'JOUR 10'!V8+'JOUR 11'!V8+#REF!+#REF!+#REF!+#REF!+#REF!</f>
        <v>#REF!</v>
      </c>
      <c r="W8" s="32" t="e">
        <f>'JOUR 1'!W8+'JOUR 2'!W8+'JOUR 3'!W8+'JOUR 4'!W8+'JOUR 5'!W8+'JOUR 6'!W8+'JOUR 7'!W8+'JOUR 8'!W8+'JOUR 9'!W8+'JOUR 10'!W8+'JOUR 11'!W8+#REF!+#REF!+#REF!+#REF!+#REF!</f>
        <v>#REF!</v>
      </c>
      <c r="X8" s="32" t="e">
        <f>'JOUR 1'!X8+'JOUR 2'!X8+'JOUR 3'!X8+'JOUR 4'!X8+'JOUR 5'!X8+'JOUR 6'!X8+'JOUR 7'!X8+'JOUR 8'!X8+'JOUR 9'!X8+'JOUR 10'!X8+'JOUR 11'!X8+#REF!+#REF!+#REF!+#REF!+#REF!</f>
        <v>#REF!</v>
      </c>
      <c r="Y8" s="73" t="e">
        <f>'JOUR 1'!Y8+'JOUR 2'!Y8+'JOUR 3'!Y8+'JOUR 4'!Y8+'JOUR 5'!Y8+'JOUR 6'!Y8+'JOUR 7'!Y8+'JOUR 8'!Y8+'JOUR 9'!Y8+'JOUR 10'!Y8+'JOUR 11'!Y8+#REF!+#REF!+#REF!+#REF!+#REF!</f>
        <v>#REF!</v>
      </c>
      <c r="Z8" s="33" t="e">
        <f>'JOUR 1'!Z8+'JOUR 2'!Z8+'JOUR 3'!Z8+'JOUR 4'!Z8+'JOUR 5'!Z8+'JOUR 6'!Z8+'JOUR 7'!Z8+'JOUR 8'!Z8+'JOUR 9'!Z8+'JOUR 10'!Z8+'JOUR 11'!Z8+#REF!+#REF!+#REF!+#REF!+#REF!</f>
        <v>#REF!</v>
      </c>
      <c r="AA8" s="34" t="e">
        <f>'JOUR 1'!AA8+'JOUR 2'!AA8+'JOUR 3'!AA8+'JOUR 4'!AA8+'JOUR 5'!AA8+'JOUR 6'!AA8+'JOUR 7'!AA8+'JOUR 8'!AA8+'JOUR 9'!AA8+'JOUR 10'!AA8+'JOUR 11'!AA8+#REF!+#REF!+#REF!+#REF!+#REF!</f>
        <v>#REF!</v>
      </c>
      <c r="AB8" s="34" t="e">
        <f>'JOUR 1'!AB8+'JOUR 2'!AB8+'JOUR 3'!AB8+'JOUR 4'!AB8+'JOUR 5'!AB8+'JOUR 6'!AB8+'JOUR 7'!AB8+'JOUR 8'!AB8+'JOUR 9'!AB8+'JOUR 10'!AB8+'JOUR 11'!AB8+#REF!+#REF!+#REF!+#REF!+#REF!</f>
        <v>#REF!</v>
      </c>
      <c r="AC8" s="34" t="e">
        <f>'JOUR 1'!AC8+'JOUR 2'!AC8+'JOUR 3'!AC8+'JOUR 4'!AC8+'JOUR 5'!AC8+'JOUR 6'!AC8+'JOUR 7'!AC8+'JOUR 8'!AC8+'JOUR 9'!AC8+'JOUR 10'!AC8+'JOUR 11'!AC8+#REF!+#REF!+#REF!+#REF!+#REF!</f>
        <v>#REF!</v>
      </c>
      <c r="AD8" s="35" t="e">
        <f>'JOUR 1'!AD8+'JOUR 2'!AD8+'JOUR 3'!AD8+'JOUR 4'!AD8+'JOUR 5'!AD8+'JOUR 6'!AD8+'JOUR 7'!AD8+'JOUR 8'!AD8+'JOUR 9'!AD8+'JOUR 10'!AD8+'JOUR 11'!AD8+#REF!+#REF!+#REF!+#REF!+#REF!</f>
        <v>#REF!</v>
      </c>
      <c r="AE8" s="34" t="e">
        <f>'JOUR 1'!AE8+'JOUR 2'!AE8+'JOUR 3'!AE8+'JOUR 4'!AE8+'JOUR 5'!AE8+'JOUR 6'!AE8+'JOUR 7'!AE8+'JOUR 8'!AE8+'JOUR 9'!AE8+'JOUR 10'!AE8+'JOUR 11'!AE8+#REF!+#REF!+#REF!+#REF!+#REF!</f>
        <v>#REF!</v>
      </c>
      <c r="AF8" s="34" t="e">
        <f>'JOUR 1'!AF8+'JOUR 2'!AF8+'JOUR 3'!AF8+'JOUR 4'!AF8+'JOUR 5'!AF8+'JOUR 6'!AF8+'JOUR 7'!AF8+'JOUR 8'!AF8+'JOUR 9'!AF8+'JOUR 10'!AF8+'JOUR 11'!AF8+#REF!+#REF!+#REF!+#REF!+#REF!</f>
        <v>#REF!</v>
      </c>
      <c r="AG8" s="34" t="e">
        <f>'JOUR 1'!AG8+'JOUR 2'!AG8+'JOUR 3'!AG8+'JOUR 4'!AG8+'JOUR 5'!AG8+'JOUR 6'!AG8+'JOUR 7'!AG8+'JOUR 8'!AG8+'JOUR 9'!AG8+'JOUR 10'!AG8+'JOUR 11'!AG8+#REF!+#REF!+#REF!+#REF!+#REF!</f>
        <v>#REF!</v>
      </c>
      <c r="AH8" s="21"/>
      <c r="AI8" s="22"/>
      <c r="AK8" s="85" t="e">
        <f t="shared" si="1"/>
        <v>#REF!</v>
      </c>
      <c r="AL8" s="85" t="e">
        <f t="shared" si="1"/>
        <v>#REF!</v>
      </c>
      <c r="AM8" s="85" t="e">
        <f t="shared" si="1"/>
        <v>#REF!</v>
      </c>
      <c r="AN8" s="85" t="e">
        <f t="shared" si="1"/>
        <v>#REF!</v>
      </c>
      <c r="AO8" s="85" t="e">
        <f t="shared" si="1"/>
        <v>#REF!</v>
      </c>
      <c r="AP8" s="85"/>
      <c r="AQ8" s="85"/>
      <c r="AR8" s="85"/>
      <c r="AS8" s="85" t="e">
        <f t="shared" si="2"/>
        <v>#REF!</v>
      </c>
      <c r="AT8" s="85"/>
      <c r="AU8" s="85"/>
      <c r="AV8" s="85"/>
      <c r="AW8" s="85"/>
      <c r="AX8" s="85"/>
      <c r="AY8" s="87"/>
    </row>
    <row r="9" spans="2:51" ht="17.399999999999999" x14ac:dyDescent="0.25">
      <c r="B9" s="16" t="s">
        <v>59</v>
      </c>
      <c r="C9" s="16" t="s">
        <v>64</v>
      </c>
      <c r="D9" s="17" t="e">
        <f>'JOUR 1'!D9+'JOUR 2'!D9+'JOUR 3'!D9+'JOUR 4'!D9+'JOUR 5'!D9+'JOUR 6'!D9+'JOUR 7'!D9+'JOUR 8'!D9+'JOUR 9'!D9+'JOUR 10'!D9+'JOUR 11'!D9+#REF!+#REF!+#REF!+#REF!+#REF!</f>
        <v>#REF!</v>
      </c>
      <c r="E9" s="17" t="e">
        <f>'JOUR 1'!E9+'JOUR 2'!E9+'JOUR 3'!E9+'JOUR 4'!E9+'JOUR 5'!E9+'JOUR 6'!E9+'JOUR 7'!E9+'JOUR 8'!E9+'JOUR 9'!E9+'JOUR 10'!E9+'JOUR 11'!E9+#REF!+#REF!+#REF!+#REF!+#REF!</f>
        <v>#REF!</v>
      </c>
      <c r="F9" s="17" t="e">
        <f>'JOUR 1'!F9+'JOUR 2'!F9+'JOUR 3'!F9+'JOUR 4'!F9+'JOUR 5'!F9+'JOUR 6'!F9+'JOUR 7'!F9+'JOUR 8'!F9+'JOUR 9'!F9+'JOUR 10'!F9+'JOUR 11'!F9+#REF!+#REF!+#REF!+#REF!+#REF!</f>
        <v>#REF!</v>
      </c>
      <c r="G9" s="17" t="e">
        <f>'JOUR 1'!G9+'JOUR 2'!G9+'JOUR 3'!G9+'JOUR 4'!G9+'JOUR 5'!G9+'JOUR 6'!G9+'JOUR 7'!G9+'JOUR 8'!G9+'JOUR 9'!G9+'JOUR 10'!G9+'JOUR 11'!G9+#REF!+#REF!+#REF!+#REF!+#REF!</f>
        <v>#REF!</v>
      </c>
      <c r="H9" s="17" t="e">
        <f>'JOUR 1'!H9+'JOUR 2'!H9+'JOUR 3'!H9+'JOUR 4'!H9+'JOUR 5'!H9+'JOUR 6'!H9+'JOUR 7'!H9+'JOUR 8'!H9+'JOUR 9'!H9+'JOUR 10'!H9+'JOUR 11'!H9+#REF!+#REF!+#REF!+#REF!+#REF!</f>
        <v>#REF!</v>
      </c>
      <c r="I9" s="17" t="e">
        <f>'JOUR 1'!I9+'JOUR 2'!I9+'JOUR 3'!I9+'JOUR 4'!I9+'JOUR 5'!I9+'JOUR 6'!I9+'JOUR 7'!I9+'JOUR 8'!I9+'JOUR 9'!I9+'JOUR 10'!I9+'JOUR 11'!I9+#REF!+#REF!+#REF!+#REF!+#REF!</f>
        <v>#REF!</v>
      </c>
      <c r="J9" s="17" t="e">
        <f>'JOUR 1'!J9+'JOUR 2'!J9+'JOUR 3'!J9+'JOUR 4'!J9+'JOUR 5'!J9+'JOUR 6'!J9+'JOUR 7'!J9+'JOUR 8'!J9+'JOUR 9'!J9+'JOUR 10'!J9+'JOUR 11'!J9+#REF!+#REF!+#REF!+#REF!+#REF!</f>
        <v>#REF!</v>
      </c>
      <c r="K9" s="17" t="e">
        <f>'JOUR 1'!K9+'JOUR 2'!K9+'JOUR 3'!K9+'JOUR 4'!K9+'JOUR 5'!K9+'JOUR 6'!K9+'JOUR 7'!K9+'JOUR 8'!K9+'JOUR 9'!K9+'JOUR 10'!K9+'JOUR 11'!K9+#REF!+#REF!+#REF!+#REF!+#REF!</f>
        <v>#REF!</v>
      </c>
      <c r="L9" s="17" t="e">
        <f>'JOUR 1'!L9+'JOUR 2'!L9+'JOUR 3'!L9+'JOUR 4'!L9+'JOUR 5'!L9+'JOUR 6'!L9+'JOUR 7'!L9+'JOUR 8'!L9+'JOUR 9'!L9+'JOUR 10'!L9+'JOUR 11'!L9+#REF!+#REF!+#REF!+#REF!+#REF!</f>
        <v>#REF!</v>
      </c>
      <c r="M9" s="17" t="e">
        <f>'JOUR 1'!M9+'JOUR 2'!M9+'JOUR 3'!M9+'JOUR 4'!M9+'JOUR 5'!M9+'JOUR 6'!M9+'JOUR 7'!M9+'JOUR 8'!M9+'JOUR 9'!M9+'JOUR 10'!M9+'JOUR 11'!M9+#REF!+#REF!+#REF!+#REF!+#REF!</f>
        <v>#REF!</v>
      </c>
      <c r="N9" s="17" t="e">
        <f>'JOUR 1'!N9+'JOUR 2'!N9+'JOUR 3'!N9+'JOUR 4'!N9+'JOUR 5'!N9+'JOUR 6'!N9+'JOUR 7'!N9+'JOUR 8'!N9+'JOUR 9'!N9+'JOUR 10'!N9+'JOUR 11'!N9+#REF!+#REF!+#REF!+#REF!+#REF!</f>
        <v>#REF!</v>
      </c>
      <c r="O9" s="17" t="e">
        <f>'JOUR 1'!O9+'JOUR 2'!O9+'JOUR 3'!O9+'JOUR 4'!O9+'JOUR 5'!O9+'JOUR 6'!O9+'JOUR 7'!O9+'JOUR 8'!O9+'JOUR 9'!O9+'JOUR 10'!O9+'JOUR 11'!O9+#REF!+#REF!+#REF!+#REF!+#REF!</f>
        <v>#REF!</v>
      </c>
      <c r="P9" s="17" t="e">
        <f>'JOUR 1'!P9+'JOUR 2'!P9+'JOUR 3'!P9+'JOUR 4'!P9+'JOUR 5'!P9+'JOUR 6'!P9+'JOUR 7'!P9+'JOUR 8'!P9+'JOUR 9'!P9+'JOUR 10'!P9+'JOUR 11'!P9+#REF!+#REF!+#REF!+#REF!+#REF!</f>
        <v>#REF!</v>
      </c>
      <c r="Q9" s="17" t="e">
        <f>'JOUR 1'!Q9+'JOUR 2'!Q9+'JOUR 3'!Q9+'JOUR 4'!Q9+'JOUR 5'!Q9+'JOUR 6'!Q9+'JOUR 7'!Q9+'JOUR 8'!Q9+'JOUR 9'!Q9+'JOUR 10'!Q9+'JOUR 11'!Q9+#REF!+#REF!+#REF!+#REF!+#REF!</f>
        <v>#REF!</v>
      </c>
      <c r="R9" s="17" t="e">
        <f>'JOUR 1'!R9+'JOUR 2'!R9+'JOUR 3'!R9+'JOUR 4'!R9+'JOUR 5'!R9+'JOUR 6'!R9+'JOUR 7'!R9+'JOUR 8'!R9+'JOUR 9'!R9+'JOUR 10'!R9+'JOUR 11'!R9+#REF!+#REF!+#REF!+#REF!+#REF!</f>
        <v>#REF!</v>
      </c>
      <c r="S9" s="31" t="e">
        <f>'JOUR 1'!S9+'JOUR 2'!S9+'JOUR 3'!S9+'JOUR 4'!S9+'JOUR 5'!S9+'JOUR 6'!S9+'JOUR 7'!S9+'JOUR 8'!S9+'JOUR 9'!S9+'JOUR 10'!S9+'JOUR 11'!S9+#REF!+#REF!+#REF!+#REF!+#REF!</f>
        <v>#REF!</v>
      </c>
      <c r="T9" s="31" t="e">
        <f>'JOUR 1'!T9+'JOUR 2'!T9+'JOUR 3'!T9+'JOUR 4'!T9+'JOUR 5'!T9+'JOUR 6'!T9+'JOUR 7'!T9+'JOUR 8'!T9+'JOUR 9'!T9+'JOUR 10'!T9+'JOUR 11'!T9+#REF!+#REF!+#REF!+#REF!+#REF!</f>
        <v>#REF!</v>
      </c>
      <c r="U9" s="31" t="e">
        <f>'JOUR 1'!U9+'JOUR 2'!U9+'JOUR 3'!U9+'JOUR 4'!U9+'JOUR 5'!U9+'JOUR 6'!U9+'JOUR 7'!U9+'JOUR 8'!U9+'JOUR 9'!U9+'JOUR 10'!U9+'JOUR 11'!U9+#REF!+#REF!+#REF!+#REF!+#REF!</f>
        <v>#REF!</v>
      </c>
      <c r="V9" s="32" t="e">
        <f>'JOUR 1'!V9+'JOUR 2'!V9+'JOUR 3'!V9+'JOUR 4'!V9+'JOUR 5'!V9+'JOUR 6'!V9+'JOUR 7'!V9+'JOUR 8'!V9+'JOUR 9'!V9+'JOUR 10'!V9+'JOUR 11'!V9+#REF!+#REF!+#REF!+#REF!+#REF!</f>
        <v>#REF!</v>
      </c>
      <c r="W9" s="32" t="e">
        <f>'JOUR 1'!W9+'JOUR 2'!W9+'JOUR 3'!W9+'JOUR 4'!W9+'JOUR 5'!W9+'JOUR 6'!W9+'JOUR 7'!W9+'JOUR 8'!W9+'JOUR 9'!W9+'JOUR 10'!W9+'JOUR 11'!W9+#REF!+#REF!+#REF!+#REF!+#REF!</f>
        <v>#REF!</v>
      </c>
      <c r="X9" s="32" t="e">
        <f>'JOUR 1'!X9+'JOUR 2'!X9+'JOUR 3'!X9+'JOUR 4'!X9+'JOUR 5'!X9+'JOUR 6'!X9+'JOUR 7'!X9+'JOUR 8'!X9+'JOUR 9'!X9+'JOUR 10'!X9+'JOUR 11'!X9+#REF!+#REF!+#REF!+#REF!+#REF!</f>
        <v>#REF!</v>
      </c>
      <c r="Y9" s="73" t="e">
        <f>'JOUR 1'!Y9+'JOUR 2'!Y9+'JOUR 3'!Y9+'JOUR 4'!Y9+'JOUR 5'!Y9+'JOUR 6'!Y9+'JOUR 7'!Y9+'JOUR 8'!Y9+'JOUR 9'!Y9+'JOUR 10'!Y9+'JOUR 11'!Y9+#REF!+#REF!+#REF!+#REF!+#REF!</f>
        <v>#REF!</v>
      </c>
      <c r="Z9" s="33" t="e">
        <f>'JOUR 1'!Z9+'JOUR 2'!Z9+'JOUR 3'!Z9+'JOUR 4'!Z9+'JOUR 5'!Z9+'JOUR 6'!Z9+'JOUR 7'!Z9+'JOUR 8'!Z9+'JOUR 9'!Z9+'JOUR 10'!Z9+'JOUR 11'!Z9+#REF!+#REF!+#REF!+#REF!+#REF!</f>
        <v>#REF!</v>
      </c>
      <c r="AA9" s="34" t="e">
        <f>'JOUR 1'!AA9+'JOUR 2'!AA9+'JOUR 3'!AA9+'JOUR 4'!AA9+'JOUR 5'!AA9+'JOUR 6'!AA9+'JOUR 7'!AA9+'JOUR 8'!AA9+'JOUR 9'!AA9+'JOUR 10'!AA9+'JOUR 11'!AA9+#REF!+#REF!+#REF!+#REF!+#REF!</f>
        <v>#REF!</v>
      </c>
      <c r="AB9" s="34" t="e">
        <f>'JOUR 1'!AB9+'JOUR 2'!AB9+'JOUR 3'!AB9+'JOUR 4'!AB9+'JOUR 5'!AB9+'JOUR 6'!AB9+'JOUR 7'!AB9+'JOUR 8'!AB9+'JOUR 9'!AB9+'JOUR 10'!AB9+'JOUR 11'!AB9+#REF!+#REF!+#REF!+#REF!+#REF!</f>
        <v>#REF!</v>
      </c>
      <c r="AC9" s="34" t="e">
        <f>'JOUR 1'!AC9+'JOUR 2'!AC9+'JOUR 3'!AC9+'JOUR 4'!AC9+'JOUR 5'!AC9+'JOUR 6'!AC9+'JOUR 7'!AC9+'JOUR 8'!AC9+'JOUR 9'!AC9+'JOUR 10'!AC9+'JOUR 11'!AC9+#REF!+#REF!+#REF!+#REF!+#REF!</f>
        <v>#REF!</v>
      </c>
      <c r="AD9" s="35" t="e">
        <f>'JOUR 1'!AD9+'JOUR 2'!AD9+'JOUR 3'!AD9+'JOUR 4'!AD9+'JOUR 5'!AD9+'JOUR 6'!AD9+'JOUR 7'!AD9+'JOUR 8'!AD9+'JOUR 9'!AD9+'JOUR 10'!AD9+'JOUR 11'!AD9+#REF!+#REF!+#REF!+#REF!+#REF!</f>
        <v>#REF!</v>
      </c>
      <c r="AE9" s="34" t="e">
        <f>'JOUR 1'!AE9+'JOUR 2'!AE9+'JOUR 3'!AE9+'JOUR 4'!AE9+'JOUR 5'!AE9+'JOUR 6'!AE9+'JOUR 7'!AE9+'JOUR 8'!AE9+'JOUR 9'!AE9+'JOUR 10'!AE9+'JOUR 11'!AE9+#REF!+#REF!+#REF!+#REF!+#REF!</f>
        <v>#REF!</v>
      </c>
      <c r="AF9" s="34" t="e">
        <f>'JOUR 1'!AF9+'JOUR 2'!AF9+'JOUR 3'!AF9+'JOUR 4'!AF9+'JOUR 5'!AF9+'JOUR 6'!AF9+'JOUR 7'!AF9+'JOUR 8'!AF9+'JOUR 9'!AF9+'JOUR 10'!AF9+'JOUR 11'!AF9+#REF!+#REF!+#REF!+#REF!+#REF!</f>
        <v>#REF!</v>
      </c>
      <c r="AG9" s="34" t="e">
        <f>'JOUR 1'!AG9+'JOUR 2'!AG9+'JOUR 3'!AG9+'JOUR 4'!AG9+'JOUR 5'!AG9+'JOUR 6'!AG9+'JOUR 7'!AG9+'JOUR 8'!AG9+'JOUR 9'!AG9+'JOUR 10'!AG9+'JOUR 11'!AG9+#REF!+#REF!+#REF!+#REF!+#REF!</f>
        <v>#REF!</v>
      </c>
      <c r="AH9" s="21"/>
      <c r="AI9" s="22"/>
      <c r="AK9" s="85" t="e">
        <f t="shared" si="1"/>
        <v>#REF!</v>
      </c>
      <c r="AL9" s="85" t="e">
        <f t="shared" si="1"/>
        <v>#REF!</v>
      </c>
      <c r="AM9" s="85" t="e">
        <f t="shared" si="1"/>
        <v>#REF!</v>
      </c>
      <c r="AN9" s="85" t="e">
        <f t="shared" si="1"/>
        <v>#REF!</v>
      </c>
      <c r="AO9" s="85" t="e">
        <f t="shared" si="1"/>
        <v>#REF!</v>
      </c>
      <c r="AP9" s="85"/>
      <c r="AQ9" s="85"/>
      <c r="AR9" s="85"/>
      <c r="AS9" s="85" t="e">
        <f t="shared" si="2"/>
        <v>#REF!</v>
      </c>
      <c r="AT9" s="85"/>
      <c r="AU9" s="85"/>
      <c r="AV9" s="85"/>
      <c r="AW9" s="85"/>
      <c r="AX9" s="85"/>
      <c r="AY9" s="87"/>
    </row>
    <row r="10" spans="2:51" ht="17.399999999999999" x14ac:dyDescent="0.25">
      <c r="B10" s="16" t="s">
        <v>59</v>
      </c>
      <c r="C10" s="16" t="s">
        <v>65</v>
      </c>
      <c r="D10" s="17" t="e">
        <f>'JOUR 1'!D10+'JOUR 2'!D10+'JOUR 3'!D10+'JOUR 4'!D10+'JOUR 5'!D10+'JOUR 6'!D10+'JOUR 7'!D10+'JOUR 8'!D10+'JOUR 9'!D10+'JOUR 10'!D10+'JOUR 11'!D10+#REF!+#REF!+#REF!+#REF!+#REF!</f>
        <v>#REF!</v>
      </c>
      <c r="E10" s="17" t="e">
        <f>'JOUR 1'!E10+'JOUR 2'!E10+'JOUR 3'!E10+'JOUR 4'!E10+'JOUR 5'!E10+'JOUR 6'!E10+'JOUR 7'!E10+'JOUR 8'!E10+'JOUR 9'!E10+'JOUR 10'!E10+'JOUR 11'!E10+#REF!+#REF!+#REF!+#REF!+#REF!</f>
        <v>#REF!</v>
      </c>
      <c r="F10" s="17" t="e">
        <f>'JOUR 1'!F10+'JOUR 2'!F10+'JOUR 3'!F10+'JOUR 4'!F10+'JOUR 5'!F10+'JOUR 6'!F10+'JOUR 7'!F10+'JOUR 8'!F10+'JOUR 9'!F10+'JOUR 10'!F10+'JOUR 11'!F10+#REF!+#REF!+#REF!+#REF!+#REF!</f>
        <v>#REF!</v>
      </c>
      <c r="G10" s="17" t="e">
        <f>'JOUR 1'!G10+'JOUR 2'!G10+'JOUR 3'!G10+'JOUR 4'!G10+'JOUR 5'!G10+'JOUR 6'!G10+'JOUR 7'!G10+'JOUR 8'!G10+'JOUR 9'!G10+'JOUR 10'!G10+'JOUR 11'!G10+#REF!+#REF!+#REF!+#REF!+#REF!</f>
        <v>#REF!</v>
      </c>
      <c r="H10" s="17" t="e">
        <f>'JOUR 1'!H10+'JOUR 2'!H10+'JOUR 3'!H10+'JOUR 4'!H10+'JOUR 5'!H10+'JOUR 6'!H10+'JOUR 7'!H10+'JOUR 8'!H10+'JOUR 9'!H10+'JOUR 10'!H10+'JOUR 11'!H10+#REF!+#REF!+#REF!+#REF!+#REF!</f>
        <v>#REF!</v>
      </c>
      <c r="I10" s="17" t="e">
        <f>'JOUR 1'!I10+'JOUR 2'!I10+'JOUR 3'!I10+'JOUR 4'!I10+'JOUR 5'!I10+'JOUR 6'!I10+'JOUR 7'!I10+'JOUR 8'!I10+'JOUR 9'!I10+'JOUR 10'!I10+'JOUR 11'!I10+#REF!+#REF!+#REF!+#REF!+#REF!</f>
        <v>#REF!</v>
      </c>
      <c r="J10" s="17" t="e">
        <f>'JOUR 1'!J10+'JOUR 2'!J10+'JOUR 3'!J10+'JOUR 4'!J10+'JOUR 5'!J10+'JOUR 6'!J10+'JOUR 7'!J10+'JOUR 8'!J10+'JOUR 9'!J10+'JOUR 10'!J10+'JOUR 11'!J10+#REF!+#REF!+#REF!+#REF!+#REF!</f>
        <v>#REF!</v>
      </c>
      <c r="K10" s="17" t="e">
        <f>'JOUR 1'!K10+'JOUR 2'!K10+'JOUR 3'!K10+'JOUR 4'!K10+'JOUR 5'!K10+'JOUR 6'!K10+'JOUR 7'!K10+'JOUR 8'!K10+'JOUR 9'!K10+'JOUR 10'!K10+'JOUR 11'!K10+#REF!+#REF!+#REF!+#REF!+#REF!</f>
        <v>#REF!</v>
      </c>
      <c r="L10" s="17" t="e">
        <f>'JOUR 1'!L10+'JOUR 2'!L10+'JOUR 3'!L10+'JOUR 4'!L10+'JOUR 5'!L10+'JOUR 6'!L10+'JOUR 7'!L10+'JOUR 8'!L10+'JOUR 9'!L10+'JOUR 10'!L10+'JOUR 11'!L10+#REF!+#REF!+#REF!+#REF!+#REF!</f>
        <v>#REF!</v>
      </c>
      <c r="M10" s="17" t="e">
        <f>'JOUR 1'!M10+'JOUR 2'!M10+'JOUR 3'!M10+'JOUR 4'!M10+'JOUR 5'!M10+'JOUR 6'!M10+'JOUR 7'!M10+'JOUR 8'!M10+'JOUR 9'!M10+'JOUR 10'!M10+'JOUR 11'!M10+#REF!+#REF!+#REF!+#REF!+#REF!</f>
        <v>#REF!</v>
      </c>
      <c r="N10" s="17" t="e">
        <f>'JOUR 1'!N10+'JOUR 2'!N10+'JOUR 3'!N10+'JOUR 4'!N10+'JOUR 5'!N10+'JOUR 6'!N10+'JOUR 7'!N10+'JOUR 8'!N10+'JOUR 9'!N10+'JOUR 10'!N10+'JOUR 11'!N10+#REF!+#REF!+#REF!+#REF!+#REF!</f>
        <v>#REF!</v>
      </c>
      <c r="O10" s="17" t="e">
        <f>'JOUR 1'!O10+'JOUR 2'!O10+'JOUR 3'!O10+'JOUR 4'!O10+'JOUR 5'!O10+'JOUR 6'!O10+'JOUR 7'!O10+'JOUR 8'!O10+'JOUR 9'!O10+'JOUR 10'!O10+'JOUR 11'!O10+#REF!+#REF!+#REF!+#REF!+#REF!</f>
        <v>#REF!</v>
      </c>
      <c r="P10" s="17" t="e">
        <f>'JOUR 1'!P10+'JOUR 2'!P10+'JOUR 3'!P10+'JOUR 4'!P10+'JOUR 5'!P10+'JOUR 6'!P10+'JOUR 7'!P10+'JOUR 8'!P10+'JOUR 9'!P10+'JOUR 10'!P10+'JOUR 11'!P10+#REF!+#REF!+#REF!+#REF!+#REF!</f>
        <v>#REF!</v>
      </c>
      <c r="Q10" s="17" t="e">
        <f>'JOUR 1'!Q10+'JOUR 2'!Q10+'JOUR 3'!Q10+'JOUR 4'!Q10+'JOUR 5'!Q10+'JOUR 6'!Q10+'JOUR 7'!Q10+'JOUR 8'!Q10+'JOUR 9'!Q10+'JOUR 10'!Q10+'JOUR 11'!Q10+#REF!+#REF!+#REF!+#REF!+#REF!</f>
        <v>#REF!</v>
      </c>
      <c r="R10" s="17" t="e">
        <f>'JOUR 1'!R10+'JOUR 2'!R10+'JOUR 3'!R10+'JOUR 4'!R10+'JOUR 5'!R10+'JOUR 6'!R10+'JOUR 7'!R10+'JOUR 8'!R10+'JOUR 9'!R10+'JOUR 10'!R10+'JOUR 11'!R10+#REF!+#REF!+#REF!+#REF!+#REF!</f>
        <v>#REF!</v>
      </c>
      <c r="S10" s="31" t="e">
        <f>'JOUR 1'!S10+'JOUR 2'!S10+'JOUR 3'!S10+'JOUR 4'!S10+'JOUR 5'!S10+'JOUR 6'!S10+'JOUR 7'!S10+'JOUR 8'!S10+'JOUR 9'!S10+'JOUR 10'!S10+'JOUR 11'!S10+#REF!+#REF!+#REF!+#REF!+#REF!</f>
        <v>#REF!</v>
      </c>
      <c r="T10" s="31" t="e">
        <f>'JOUR 1'!T10+'JOUR 2'!T10+'JOUR 3'!T10+'JOUR 4'!T10+'JOUR 5'!T10+'JOUR 6'!T10+'JOUR 7'!T10+'JOUR 8'!T10+'JOUR 9'!T10+'JOUR 10'!T10+'JOUR 11'!T10+#REF!+#REF!+#REF!+#REF!+#REF!</f>
        <v>#REF!</v>
      </c>
      <c r="U10" s="31" t="e">
        <f>'JOUR 1'!U10+'JOUR 2'!U10+'JOUR 3'!U10+'JOUR 4'!U10+'JOUR 5'!U10+'JOUR 6'!U10+'JOUR 7'!U10+'JOUR 8'!U10+'JOUR 9'!U10+'JOUR 10'!U10+'JOUR 11'!U10+#REF!+#REF!+#REF!+#REF!+#REF!</f>
        <v>#REF!</v>
      </c>
      <c r="V10" s="32" t="e">
        <f>'JOUR 1'!V10+'JOUR 2'!V10+'JOUR 3'!V10+'JOUR 4'!V10+'JOUR 5'!V10+'JOUR 6'!V10+'JOUR 7'!V10+'JOUR 8'!V10+'JOUR 9'!V10+'JOUR 10'!V10+'JOUR 11'!V10+#REF!+#REF!+#REF!+#REF!+#REF!</f>
        <v>#REF!</v>
      </c>
      <c r="W10" s="32" t="e">
        <f>'JOUR 1'!W10+'JOUR 2'!W10+'JOUR 3'!W10+'JOUR 4'!W10+'JOUR 5'!W10+'JOUR 6'!W10+'JOUR 7'!W10+'JOUR 8'!W10+'JOUR 9'!W10+'JOUR 10'!W10+'JOUR 11'!W10+#REF!+#REF!+#REF!+#REF!+#REF!</f>
        <v>#REF!</v>
      </c>
      <c r="X10" s="32" t="e">
        <f>'JOUR 1'!X10+'JOUR 2'!X10+'JOUR 3'!X10+'JOUR 4'!X10+'JOUR 5'!X10+'JOUR 6'!X10+'JOUR 7'!X10+'JOUR 8'!X10+'JOUR 9'!X10+'JOUR 10'!X10+'JOUR 11'!X10+#REF!+#REF!+#REF!+#REF!+#REF!</f>
        <v>#REF!</v>
      </c>
      <c r="Y10" s="73" t="e">
        <f>'JOUR 1'!Y10+'JOUR 2'!Y10+'JOUR 3'!Y10+'JOUR 4'!Y10+'JOUR 5'!Y10+'JOUR 6'!Y10+'JOUR 7'!Y10+'JOUR 8'!Y10+'JOUR 9'!Y10+'JOUR 10'!Y10+'JOUR 11'!Y10+#REF!+#REF!+#REF!+#REF!+#REF!</f>
        <v>#REF!</v>
      </c>
      <c r="Z10" s="33" t="e">
        <f>'JOUR 1'!Z10+'JOUR 2'!Z10+'JOUR 3'!Z10+'JOUR 4'!Z10+'JOUR 5'!Z10+'JOUR 6'!Z10+'JOUR 7'!Z10+'JOUR 8'!Z10+'JOUR 9'!Z10+'JOUR 10'!Z10+'JOUR 11'!Z10+#REF!+#REF!+#REF!+#REF!+#REF!</f>
        <v>#REF!</v>
      </c>
      <c r="AA10" s="34" t="e">
        <f>'JOUR 1'!AA10+'JOUR 2'!AA10+'JOUR 3'!AA10+'JOUR 4'!AA10+'JOUR 5'!AA10+'JOUR 6'!AA10+'JOUR 7'!AA10+'JOUR 8'!AA10+'JOUR 9'!AA10+'JOUR 10'!AA10+'JOUR 11'!AA10+#REF!+#REF!+#REF!+#REF!+#REF!</f>
        <v>#REF!</v>
      </c>
      <c r="AB10" s="34" t="e">
        <f>'JOUR 1'!AB10+'JOUR 2'!AB10+'JOUR 3'!AB10+'JOUR 4'!AB10+'JOUR 5'!AB10+'JOUR 6'!AB10+'JOUR 7'!AB10+'JOUR 8'!AB10+'JOUR 9'!AB10+'JOUR 10'!AB10+'JOUR 11'!AB10+#REF!+#REF!+#REF!+#REF!+#REF!</f>
        <v>#REF!</v>
      </c>
      <c r="AC10" s="34" t="e">
        <f>'JOUR 1'!AC10+'JOUR 2'!AC10+'JOUR 3'!AC10+'JOUR 4'!AC10+'JOUR 5'!AC10+'JOUR 6'!AC10+'JOUR 7'!AC10+'JOUR 8'!AC10+'JOUR 9'!AC10+'JOUR 10'!AC10+'JOUR 11'!AC10+#REF!+#REF!+#REF!+#REF!+#REF!</f>
        <v>#REF!</v>
      </c>
      <c r="AD10" s="35" t="e">
        <f>'JOUR 1'!AD10+'JOUR 2'!AD10+'JOUR 3'!AD10+'JOUR 4'!AD10+'JOUR 5'!AD10+'JOUR 6'!AD10+'JOUR 7'!AD10+'JOUR 8'!AD10+'JOUR 9'!AD10+'JOUR 10'!AD10+'JOUR 11'!AD10+#REF!+#REF!+#REF!+#REF!+#REF!</f>
        <v>#REF!</v>
      </c>
      <c r="AE10" s="34" t="e">
        <f>'JOUR 1'!AE10+'JOUR 2'!AE10+'JOUR 3'!AE10+'JOUR 4'!AE10+'JOUR 5'!AE10+'JOUR 6'!AE10+'JOUR 7'!AE10+'JOUR 8'!AE10+'JOUR 9'!AE10+'JOUR 10'!AE10+'JOUR 11'!AE10+#REF!+#REF!+#REF!+#REF!+#REF!</f>
        <v>#REF!</v>
      </c>
      <c r="AF10" s="34" t="e">
        <f>'JOUR 1'!AF10+'JOUR 2'!AF10+'JOUR 3'!AF10+'JOUR 4'!AF10+'JOUR 5'!AF10+'JOUR 6'!AF10+'JOUR 7'!AF10+'JOUR 8'!AF10+'JOUR 9'!AF10+'JOUR 10'!AF10+'JOUR 11'!AF10+#REF!+#REF!+#REF!+#REF!+#REF!</f>
        <v>#REF!</v>
      </c>
      <c r="AG10" s="34" t="e">
        <f>'JOUR 1'!AG10+'JOUR 2'!AG10+'JOUR 3'!AG10+'JOUR 4'!AG10+'JOUR 5'!AG10+'JOUR 6'!AG10+'JOUR 7'!AG10+'JOUR 8'!AG10+'JOUR 9'!AG10+'JOUR 10'!AG10+'JOUR 11'!AG10+#REF!+#REF!+#REF!+#REF!+#REF!</f>
        <v>#REF!</v>
      </c>
      <c r="AH10" s="21"/>
      <c r="AI10" s="22"/>
      <c r="AK10" s="85" t="e">
        <f t="shared" si="1"/>
        <v>#REF!</v>
      </c>
      <c r="AL10" s="85" t="e">
        <f t="shared" si="1"/>
        <v>#REF!</v>
      </c>
      <c r="AM10" s="85" t="e">
        <f t="shared" si="1"/>
        <v>#REF!</v>
      </c>
      <c r="AN10" s="85" t="e">
        <f t="shared" si="1"/>
        <v>#REF!</v>
      </c>
      <c r="AO10" s="85" t="e">
        <f t="shared" si="1"/>
        <v>#REF!</v>
      </c>
      <c r="AP10" s="85"/>
      <c r="AQ10" s="85"/>
      <c r="AR10" s="85"/>
      <c r="AS10" s="85" t="e">
        <f t="shared" si="2"/>
        <v>#REF!</v>
      </c>
      <c r="AT10" s="85"/>
      <c r="AU10" s="85"/>
      <c r="AV10" s="85"/>
      <c r="AW10" s="85"/>
      <c r="AX10" s="85"/>
      <c r="AY10" s="87"/>
    </row>
    <row r="11" spans="2:51" ht="17.399999999999999" x14ac:dyDescent="0.25">
      <c r="B11" s="16" t="s">
        <v>59</v>
      </c>
      <c r="C11" s="16" t="s">
        <v>66</v>
      </c>
      <c r="D11" s="17" t="e">
        <f>'JOUR 1'!D11+'JOUR 2'!D11+'JOUR 3'!D11+'JOUR 4'!D11+'JOUR 5'!D11+'JOUR 6'!D11+'JOUR 7'!D11+'JOUR 8'!D11+'JOUR 9'!D11+'JOUR 10'!D11+'JOUR 11'!D11+#REF!+#REF!+#REF!+#REF!+#REF!</f>
        <v>#REF!</v>
      </c>
      <c r="E11" s="17" t="e">
        <f>'JOUR 1'!E11+'JOUR 2'!E11+'JOUR 3'!E11+'JOUR 4'!E11+'JOUR 5'!E11+'JOUR 6'!E11+'JOUR 7'!E11+'JOUR 8'!E11+'JOUR 9'!E11+'JOUR 10'!E11+'JOUR 11'!E11+#REF!+#REF!+#REF!+#REF!+#REF!</f>
        <v>#REF!</v>
      </c>
      <c r="F11" s="17" t="e">
        <f>'JOUR 1'!F11+'JOUR 2'!F11+'JOUR 3'!F11+'JOUR 4'!F11+'JOUR 5'!F11+'JOUR 6'!F11+'JOUR 7'!F11+'JOUR 8'!F11+'JOUR 9'!F11+'JOUR 10'!F11+'JOUR 11'!F11+#REF!+#REF!+#REF!+#REF!+#REF!</f>
        <v>#REF!</v>
      </c>
      <c r="G11" s="17" t="e">
        <f>'JOUR 1'!G11+'JOUR 2'!G11+'JOUR 3'!G11+'JOUR 4'!G11+'JOUR 5'!G11+'JOUR 6'!G11+'JOUR 7'!G11+'JOUR 8'!G11+'JOUR 9'!G11+'JOUR 10'!G11+'JOUR 11'!G11+#REF!+#REF!+#REF!+#REF!+#REF!</f>
        <v>#REF!</v>
      </c>
      <c r="H11" s="17" t="e">
        <f>'JOUR 1'!H11+'JOUR 2'!H11+'JOUR 3'!H11+'JOUR 4'!H11+'JOUR 5'!H11+'JOUR 6'!H11+'JOUR 7'!H11+'JOUR 8'!H11+'JOUR 9'!H11+'JOUR 10'!H11+'JOUR 11'!H11+#REF!+#REF!+#REF!+#REF!+#REF!</f>
        <v>#REF!</v>
      </c>
      <c r="I11" s="17" t="e">
        <f>'JOUR 1'!I11+'JOUR 2'!I11+'JOUR 3'!I11+'JOUR 4'!I11+'JOUR 5'!I11+'JOUR 6'!I11+'JOUR 7'!I11+'JOUR 8'!I11+'JOUR 9'!I11+'JOUR 10'!I11+'JOUR 11'!I11+#REF!+#REF!+#REF!+#REF!+#REF!</f>
        <v>#REF!</v>
      </c>
      <c r="J11" s="17" t="e">
        <f>'JOUR 1'!J11+'JOUR 2'!J11+'JOUR 3'!J11+'JOUR 4'!J11+'JOUR 5'!J11+'JOUR 6'!J11+'JOUR 7'!J11+'JOUR 8'!J11+'JOUR 9'!J11+'JOUR 10'!J11+'JOUR 11'!J11+#REF!+#REF!+#REF!+#REF!+#REF!</f>
        <v>#REF!</v>
      </c>
      <c r="K11" s="17" t="e">
        <f>'JOUR 1'!K11+'JOUR 2'!K11+'JOUR 3'!K11+'JOUR 4'!K11+'JOUR 5'!K11+'JOUR 6'!K11+'JOUR 7'!K11+'JOUR 8'!K11+'JOUR 9'!K11+'JOUR 10'!K11+'JOUR 11'!K11+#REF!+#REF!+#REF!+#REF!+#REF!</f>
        <v>#REF!</v>
      </c>
      <c r="L11" s="17" t="e">
        <f>'JOUR 1'!L11+'JOUR 2'!L11+'JOUR 3'!L11+'JOUR 4'!L11+'JOUR 5'!L11+'JOUR 6'!L11+'JOUR 7'!L11+'JOUR 8'!L11+'JOUR 9'!L11+'JOUR 10'!L11+'JOUR 11'!L11+#REF!+#REF!+#REF!+#REF!+#REF!</f>
        <v>#REF!</v>
      </c>
      <c r="M11" s="17" t="e">
        <f>'JOUR 1'!M11+'JOUR 2'!M11+'JOUR 3'!M11+'JOUR 4'!M11+'JOUR 5'!M11+'JOUR 6'!M11+'JOUR 7'!M11+'JOUR 8'!M11+'JOUR 9'!M11+'JOUR 10'!M11+'JOUR 11'!M11+#REF!+#REF!+#REF!+#REF!+#REF!</f>
        <v>#REF!</v>
      </c>
      <c r="N11" s="17" t="e">
        <f>'JOUR 1'!N11+'JOUR 2'!N11+'JOUR 3'!N11+'JOUR 4'!N11+'JOUR 5'!N11+'JOUR 6'!N11+'JOUR 7'!N11+'JOUR 8'!N11+'JOUR 9'!N11+'JOUR 10'!N11+'JOUR 11'!N11+#REF!+#REF!+#REF!+#REF!+#REF!</f>
        <v>#REF!</v>
      </c>
      <c r="O11" s="17" t="e">
        <f>'JOUR 1'!O11+'JOUR 2'!O11+'JOUR 3'!O11+'JOUR 4'!O11+'JOUR 5'!O11+'JOUR 6'!O11+'JOUR 7'!O11+'JOUR 8'!O11+'JOUR 9'!O11+'JOUR 10'!O11+'JOUR 11'!O11+#REF!+#REF!+#REF!+#REF!+#REF!</f>
        <v>#REF!</v>
      </c>
      <c r="P11" s="17" t="e">
        <f>'JOUR 1'!P11+'JOUR 2'!P11+'JOUR 3'!P11+'JOUR 4'!P11+'JOUR 5'!P11+'JOUR 6'!P11+'JOUR 7'!P11+'JOUR 8'!P11+'JOUR 9'!P11+'JOUR 10'!P11+'JOUR 11'!P11+#REF!+#REF!+#REF!+#REF!+#REF!</f>
        <v>#REF!</v>
      </c>
      <c r="Q11" s="17" t="e">
        <f>'JOUR 1'!Q11+'JOUR 2'!Q11+'JOUR 3'!Q11+'JOUR 4'!Q11+'JOUR 5'!Q11+'JOUR 6'!Q11+'JOUR 7'!Q11+'JOUR 8'!Q11+'JOUR 9'!Q11+'JOUR 10'!Q11+'JOUR 11'!Q11+#REF!+#REF!+#REF!+#REF!+#REF!</f>
        <v>#REF!</v>
      </c>
      <c r="R11" s="17" t="e">
        <f>'JOUR 1'!R11+'JOUR 2'!R11+'JOUR 3'!R11+'JOUR 4'!R11+'JOUR 5'!R11+'JOUR 6'!R11+'JOUR 7'!R11+'JOUR 8'!R11+'JOUR 9'!R11+'JOUR 10'!R11+'JOUR 11'!R11+#REF!+#REF!+#REF!+#REF!+#REF!</f>
        <v>#REF!</v>
      </c>
      <c r="S11" s="31" t="e">
        <f>'JOUR 1'!S11+'JOUR 2'!S11+'JOUR 3'!S11+'JOUR 4'!S11+'JOUR 5'!S11+'JOUR 6'!S11+'JOUR 7'!S11+'JOUR 8'!S11+'JOUR 9'!S11+'JOUR 10'!S11+'JOUR 11'!S11+#REF!+#REF!+#REF!+#REF!+#REF!</f>
        <v>#REF!</v>
      </c>
      <c r="T11" s="31" t="e">
        <f>'JOUR 1'!T11+'JOUR 2'!T11+'JOUR 3'!T11+'JOUR 4'!T11+'JOUR 5'!T11+'JOUR 6'!T11+'JOUR 7'!T11+'JOUR 8'!T11+'JOUR 9'!T11+'JOUR 10'!T11+'JOUR 11'!T11+#REF!+#REF!+#REF!+#REF!+#REF!</f>
        <v>#REF!</v>
      </c>
      <c r="U11" s="31" t="e">
        <f>'JOUR 1'!U11+'JOUR 2'!U11+'JOUR 3'!U11+'JOUR 4'!U11+'JOUR 5'!U11+'JOUR 6'!U11+'JOUR 7'!U11+'JOUR 8'!U11+'JOUR 9'!U11+'JOUR 10'!U11+'JOUR 11'!U11+#REF!+#REF!+#REF!+#REF!+#REF!</f>
        <v>#REF!</v>
      </c>
      <c r="V11" s="32" t="e">
        <f>'JOUR 1'!V11+'JOUR 2'!V11+'JOUR 3'!V11+'JOUR 4'!V11+'JOUR 5'!V11+'JOUR 6'!V11+'JOUR 7'!V11+'JOUR 8'!V11+'JOUR 9'!V11+'JOUR 10'!V11+'JOUR 11'!V11+#REF!+#REF!+#REF!+#REF!+#REF!</f>
        <v>#REF!</v>
      </c>
      <c r="W11" s="32" t="e">
        <f>'JOUR 1'!W11+'JOUR 2'!W11+'JOUR 3'!W11+'JOUR 4'!W11+'JOUR 5'!W11+'JOUR 6'!W11+'JOUR 7'!W11+'JOUR 8'!W11+'JOUR 9'!W11+'JOUR 10'!W11+'JOUR 11'!W11+#REF!+#REF!+#REF!+#REF!+#REF!</f>
        <v>#REF!</v>
      </c>
      <c r="X11" s="32" t="e">
        <f>'JOUR 1'!X11+'JOUR 2'!X11+'JOUR 3'!X11+'JOUR 4'!X11+'JOUR 5'!X11+'JOUR 6'!X11+'JOUR 7'!X11+'JOUR 8'!X11+'JOUR 9'!X11+'JOUR 10'!X11+'JOUR 11'!X11+#REF!+#REF!+#REF!+#REF!+#REF!</f>
        <v>#REF!</v>
      </c>
      <c r="Y11" s="73" t="e">
        <f>'JOUR 1'!Y11+'JOUR 2'!Y11+'JOUR 3'!Y11+'JOUR 4'!Y11+'JOUR 5'!Y11+'JOUR 6'!Y11+'JOUR 7'!Y11+'JOUR 8'!Y11+'JOUR 9'!Y11+'JOUR 10'!Y11+'JOUR 11'!Y11+#REF!+#REF!+#REF!+#REF!+#REF!</f>
        <v>#REF!</v>
      </c>
      <c r="Z11" s="33" t="e">
        <f>'JOUR 1'!Z11+'JOUR 2'!Z11+'JOUR 3'!Z11+'JOUR 4'!Z11+'JOUR 5'!Z11+'JOUR 6'!Z11+'JOUR 7'!Z11+'JOUR 8'!Z11+'JOUR 9'!Z11+'JOUR 10'!Z11+'JOUR 11'!Z11+#REF!+#REF!+#REF!+#REF!+#REF!</f>
        <v>#REF!</v>
      </c>
      <c r="AA11" s="34" t="e">
        <f>'JOUR 1'!AA11+'JOUR 2'!AA11+'JOUR 3'!AA11+'JOUR 4'!AA11+'JOUR 5'!AA11+'JOUR 6'!AA11+'JOUR 7'!AA11+'JOUR 8'!AA11+'JOUR 9'!AA11+'JOUR 10'!AA11+'JOUR 11'!AA11+#REF!+#REF!+#REF!+#REF!+#REF!</f>
        <v>#REF!</v>
      </c>
      <c r="AB11" s="34" t="e">
        <f>'JOUR 1'!AB11+'JOUR 2'!AB11+'JOUR 3'!AB11+'JOUR 4'!AB11+'JOUR 5'!AB11+'JOUR 6'!AB11+'JOUR 7'!AB11+'JOUR 8'!AB11+'JOUR 9'!AB11+'JOUR 10'!AB11+'JOUR 11'!AB11+#REF!+#REF!+#REF!+#REF!+#REF!</f>
        <v>#REF!</v>
      </c>
      <c r="AC11" s="34" t="e">
        <f>'JOUR 1'!AC11+'JOUR 2'!AC11+'JOUR 3'!AC11+'JOUR 4'!AC11+'JOUR 5'!AC11+'JOUR 6'!AC11+'JOUR 7'!AC11+'JOUR 8'!AC11+'JOUR 9'!AC11+'JOUR 10'!AC11+'JOUR 11'!AC11+#REF!+#REF!+#REF!+#REF!+#REF!</f>
        <v>#REF!</v>
      </c>
      <c r="AD11" s="35" t="e">
        <f>'JOUR 1'!AD11+'JOUR 2'!AD11+'JOUR 3'!AD11+'JOUR 4'!AD11+'JOUR 5'!AD11+'JOUR 6'!AD11+'JOUR 7'!AD11+'JOUR 8'!AD11+'JOUR 9'!AD11+'JOUR 10'!AD11+'JOUR 11'!AD11+#REF!+#REF!+#REF!+#REF!+#REF!</f>
        <v>#REF!</v>
      </c>
      <c r="AE11" s="34" t="e">
        <f>'JOUR 1'!AE11+'JOUR 2'!AE11+'JOUR 3'!AE11+'JOUR 4'!AE11+'JOUR 5'!AE11+'JOUR 6'!AE11+'JOUR 7'!AE11+'JOUR 8'!AE11+'JOUR 9'!AE11+'JOUR 10'!AE11+'JOUR 11'!AE11+#REF!+#REF!+#REF!+#REF!+#REF!</f>
        <v>#REF!</v>
      </c>
      <c r="AF11" s="34" t="e">
        <f>'JOUR 1'!AF11+'JOUR 2'!AF11+'JOUR 3'!AF11+'JOUR 4'!AF11+'JOUR 5'!AF11+'JOUR 6'!AF11+'JOUR 7'!AF11+'JOUR 8'!AF11+'JOUR 9'!AF11+'JOUR 10'!AF11+'JOUR 11'!AF11+#REF!+#REF!+#REF!+#REF!+#REF!</f>
        <v>#REF!</v>
      </c>
      <c r="AG11" s="34" t="e">
        <f>'JOUR 1'!AG11+'JOUR 2'!AG11+'JOUR 3'!AG11+'JOUR 4'!AG11+'JOUR 5'!AG11+'JOUR 6'!AG11+'JOUR 7'!AG11+'JOUR 8'!AG11+'JOUR 9'!AG11+'JOUR 10'!AG11+'JOUR 11'!AG11+#REF!+#REF!+#REF!+#REF!+#REF!</f>
        <v>#REF!</v>
      </c>
      <c r="AH11" s="21"/>
      <c r="AI11" s="22"/>
      <c r="AK11" s="85" t="e">
        <f t="shared" si="1"/>
        <v>#REF!</v>
      </c>
      <c r="AL11" s="85" t="e">
        <f t="shared" si="1"/>
        <v>#REF!</v>
      </c>
      <c r="AM11" s="85" t="e">
        <f t="shared" si="1"/>
        <v>#REF!</v>
      </c>
      <c r="AN11" s="85" t="e">
        <f t="shared" si="1"/>
        <v>#REF!</v>
      </c>
      <c r="AO11" s="85" t="e">
        <f t="shared" si="1"/>
        <v>#REF!</v>
      </c>
      <c r="AP11" s="85"/>
      <c r="AQ11" s="85"/>
      <c r="AR11" s="85"/>
      <c r="AS11" s="85" t="e">
        <f t="shared" si="2"/>
        <v>#REF!</v>
      </c>
      <c r="AT11" s="85"/>
      <c r="AU11" s="85"/>
      <c r="AV11" s="85"/>
      <c r="AW11" s="85"/>
      <c r="AX11" s="85"/>
      <c r="AY11" s="87"/>
    </row>
    <row r="12" spans="2:51" ht="17.399999999999999" x14ac:dyDescent="0.25">
      <c r="B12" s="16" t="s">
        <v>59</v>
      </c>
      <c r="C12" s="16" t="s">
        <v>67</v>
      </c>
      <c r="D12" s="17" t="e">
        <f>'JOUR 1'!D12+'JOUR 2'!D12+'JOUR 3'!D12+'JOUR 4'!D12+'JOUR 5'!D12+'JOUR 6'!D12+'JOUR 7'!D12+'JOUR 8'!D12+'JOUR 9'!D12+'JOUR 10'!D12+'JOUR 11'!D12+#REF!+#REF!+#REF!+#REF!+#REF!</f>
        <v>#REF!</v>
      </c>
      <c r="E12" s="17" t="e">
        <f>'JOUR 1'!E12+'JOUR 2'!E12+'JOUR 3'!E12+'JOUR 4'!E12+'JOUR 5'!E12+'JOUR 6'!E12+'JOUR 7'!E12+'JOUR 8'!E12+'JOUR 9'!E12+'JOUR 10'!E12+'JOUR 11'!E12+#REF!+#REF!+#REF!+#REF!+#REF!</f>
        <v>#REF!</v>
      </c>
      <c r="F12" s="17" t="e">
        <f>'JOUR 1'!F12+'JOUR 2'!F12+'JOUR 3'!F12+'JOUR 4'!F12+'JOUR 5'!F12+'JOUR 6'!F12+'JOUR 7'!F12+'JOUR 8'!F12+'JOUR 9'!F12+'JOUR 10'!F12+'JOUR 11'!F12+#REF!+#REF!+#REF!+#REF!+#REF!</f>
        <v>#REF!</v>
      </c>
      <c r="G12" s="17" t="e">
        <f>'JOUR 1'!G12+'JOUR 2'!G12+'JOUR 3'!G12+'JOUR 4'!G12+'JOUR 5'!G12+'JOUR 6'!G12+'JOUR 7'!G12+'JOUR 8'!G12+'JOUR 9'!G12+'JOUR 10'!G12+'JOUR 11'!G12+#REF!+#REF!+#REF!+#REF!+#REF!</f>
        <v>#REF!</v>
      </c>
      <c r="H12" s="17" t="e">
        <f>'JOUR 1'!H12+'JOUR 2'!H12+'JOUR 3'!H12+'JOUR 4'!H12+'JOUR 5'!H12+'JOUR 6'!H12+'JOUR 7'!H12+'JOUR 8'!H12+'JOUR 9'!H12+'JOUR 10'!H12+'JOUR 11'!H12+#REF!+#REF!+#REF!+#REF!+#REF!</f>
        <v>#REF!</v>
      </c>
      <c r="I12" s="17" t="e">
        <f>'JOUR 1'!I12+'JOUR 2'!I12+'JOUR 3'!I12+'JOUR 4'!I12+'JOUR 5'!I12+'JOUR 6'!I12+'JOUR 7'!I12+'JOUR 8'!I12+'JOUR 9'!I12+'JOUR 10'!I12+'JOUR 11'!I12+#REF!+#REF!+#REF!+#REF!+#REF!</f>
        <v>#REF!</v>
      </c>
      <c r="J12" s="17" t="e">
        <f>'JOUR 1'!J12+'JOUR 2'!J12+'JOUR 3'!J12+'JOUR 4'!J12+'JOUR 5'!J12+'JOUR 6'!J12+'JOUR 7'!J12+'JOUR 8'!J12+'JOUR 9'!J12+'JOUR 10'!J12+'JOUR 11'!J12+#REF!+#REF!+#REF!+#REF!+#REF!</f>
        <v>#REF!</v>
      </c>
      <c r="K12" s="17" t="e">
        <f>'JOUR 1'!K12+'JOUR 2'!K12+'JOUR 3'!K12+'JOUR 4'!K12+'JOUR 5'!K12+'JOUR 6'!K12+'JOUR 7'!K12+'JOUR 8'!K12+'JOUR 9'!K12+'JOUR 10'!K12+'JOUR 11'!K12+#REF!+#REF!+#REF!+#REF!+#REF!</f>
        <v>#REF!</v>
      </c>
      <c r="L12" s="17" t="e">
        <f>'JOUR 1'!L12+'JOUR 2'!L12+'JOUR 3'!L12+'JOUR 4'!L12+'JOUR 5'!L12+'JOUR 6'!L12+'JOUR 7'!L12+'JOUR 8'!L12+'JOUR 9'!L12+'JOUR 10'!L12+'JOUR 11'!L12+#REF!+#REF!+#REF!+#REF!+#REF!</f>
        <v>#REF!</v>
      </c>
      <c r="M12" s="17" t="e">
        <f>'JOUR 1'!M12+'JOUR 2'!M12+'JOUR 3'!M12+'JOUR 4'!M12+'JOUR 5'!M12+'JOUR 6'!M12+'JOUR 7'!M12+'JOUR 8'!M12+'JOUR 9'!M12+'JOUR 10'!M12+'JOUR 11'!M12+#REF!+#REF!+#REF!+#REF!+#REF!</f>
        <v>#REF!</v>
      </c>
      <c r="N12" s="17" t="e">
        <f>'JOUR 1'!N12+'JOUR 2'!N12+'JOUR 3'!N12+'JOUR 4'!N12+'JOUR 5'!N12+'JOUR 6'!N12+'JOUR 7'!N12+'JOUR 8'!N12+'JOUR 9'!N12+'JOUR 10'!N12+'JOUR 11'!N12+#REF!+#REF!+#REF!+#REF!+#REF!</f>
        <v>#REF!</v>
      </c>
      <c r="O12" s="17" t="e">
        <f>'JOUR 1'!O12+'JOUR 2'!O12+'JOUR 3'!O12+'JOUR 4'!O12+'JOUR 5'!O12+'JOUR 6'!O12+'JOUR 7'!O12+'JOUR 8'!O12+'JOUR 9'!O12+'JOUR 10'!O12+'JOUR 11'!O12+#REF!+#REF!+#REF!+#REF!+#REF!</f>
        <v>#REF!</v>
      </c>
      <c r="P12" s="17" t="e">
        <f>'JOUR 1'!P12+'JOUR 2'!P12+'JOUR 3'!P12+'JOUR 4'!P12+'JOUR 5'!P12+'JOUR 6'!P12+'JOUR 7'!P12+'JOUR 8'!P12+'JOUR 9'!P12+'JOUR 10'!P12+'JOUR 11'!P12+#REF!+#REF!+#REF!+#REF!+#REF!</f>
        <v>#REF!</v>
      </c>
      <c r="Q12" s="17" t="e">
        <f>'JOUR 1'!Q12+'JOUR 2'!Q12+'JOUR 3'!Q12+'JOUR 4'!Q12+'JOUR 5'!Q12+'JOUR 6'!Q12+'JOUR 7'!Q12+'JOUR 8'!Q12+'JOUR 9'!Q12+'JOUR 10'!Q12+'JOUR 11'!Q12+#REF!+#REF!+#REF!+#REF!+#REF!</f>
        <v>#REF!</v>
      </c>
      <c r="R12" s="17" t="e">
        <f>'JOUR 1'!R12+'JOUR 2'!R12+'JOUR 3'!R12+'JOUR 4'!R12+'JOUR 5'!R12+'JOUR 6'!R12+'JOUR 7'!R12+'JOUR 8'!R12+'JOUR 9'!R12+'JOUR 10'!R12+'JOUR 11'!R12+#REF!+#REF!+#REF!+#REF!+#REF!</f>
        <v>#REF!</v>
      </c>
      <c r="S12" s="31" t="e">
        <f>'JOUR 1'!S12+'JOUR 2'!S12+'JOUR 3'!S12+'JOUR 4'!S12+'JOUR 5'!S12+'JOUR 6'!S12+'JOUR 7'!S12+'JOUR 8'!S12+'JOUR 9'!S12+'JOUR 10'!S12+'JOUR 11'!S12+#REF!+#REF!+#REF!+#REF!+#REF!</f>
        <v>#REF!</v>
      </c>
      <c r="T12" s="31" t="e">
        <f>'JOUR 1'!T12+'JOUR 2'!T12+'JOUR 3'!T12+'JOUR 4'!T12+'JOUR 5'!T12+'JOUR 6'!T12+'JOUR 7'!T12+'JOUR 8'!T12+'JOUR 9'!T12+'JOUR 10'!T12+'JOUR 11'!T12+#REF!+#REF!+#REF!+#REF!+#REF!</f>
        <v>#REF!</v>
      </c>
      <c r="U12" s="31" t="e">
        <f>'JOUR 1'!U12+'JOUR 2'!U12+'JOUR 3'!U12+'JOUR 4'!U12+'JOUR 5'!U12+'JOUR 6'!U12+'JOUR 7'!U12+'JOUR 8'!U12+'JOUR 9'!U12+'JOUR 10'!U12+'JOUR 11'!U12+#REF!+#REF!+#REF!+#REF!+#REF!</f>
        <v>#REF!</v>
      </c>
      <c r="V12" s="32" t="e">
        <f>'JOUR 1'!V12+'JOUR 2'!V12+'JOUR 3'!V12+'JOUR 4'!V12+'JOUR 5'!V12+'JOUR 6'!V12+'JOUR 7'!V12+'JOUR 8'!V12+'JOUR 9'!V12+'JOUR 10'!V12+'JOUR 11'!V12+#REF!+#REF!+#REF!+#REF!+#REF!</f>
        <v>#REF!</v>
      </c>
      <c r="W12" s="32" t="e">
        <f>'JOUR 1'!W12+'JOUR 2'!W12+'JOUR 3'!W12+'JOUR 4'!W12+'JOUR 5'!W12+'JOUR 6'!W12+'JOUR 7'!W12+'JOUR 8'!W12+'JOUR 9'!W12+'JOUR 10'!W12+'JOUR 11'!W12+#REF!+#REF!+#REF!+#REF!+#REF!</f>
        <v>#REF!</v>
      </c>
      <c r="X12" s="32" t="e">
        <f>'JOUR 1'!X12+'JOUR 2'!X12+'JOUR 3'!X12+'JOUR 4'!X12+'JOUR 5'!X12+'JOUR 6'!X12+'JOUR 7'!X12+'JOUR 8'!X12+'JOUR 9'!X12+'JOUR 10'!X12+'JOUR 11'!X12+#REF!+#REF!+#REF!+#REF!+#REF!</f>
        <v>#REF!</v>
      </c>
      <c r="Y12" s="73" t="e">
        <f>'JOUR 1'!Y12+'JOUR 2'!Y12+'JOUR 3'!Y12+'JOUR 4'!Y12+'JOUR 5'!Y12+'JOUR 6'!Y12+'JOUR 7'!Y12+'JOUR 8'!Y12+'JOUR 9'!Y12+'JOUR 10'!Y12+'JOUR 11'!Y12+#REF!+#REF!+#REF!+#REF!+#REF!</f>
        <v>#REF!</v>
      </c>
      <c r="Z12" s="33" t="e">
        <f>'JOUR 1'!Z12+'JOUR 2'!Z12+'JOUR 3'!Z12+'JOUR 4'!Z12+'JOUR 5'!Z12+'JOUR 6'!Z12+'JOUR 7'!Z12+'JOUR 8'!Z12+'JOUR 9'!Z12+'JOUR 10'!Z12+'JOUR 11'!Z12+#REF!+#REF!+#REF!+#REF!+#REF!</f>
        <v>#REF!</v>
      </c>
      <c r="AA12" s="34" t="e">
        <f>'JOUR 1'!AA12+'JOUR 2'!AA12+'JOUR 3'!AA12+'JOUR 4'!AA12+'JOUR 5'!AA12+'JOUR 6'!AA12+'JOUR 7'!AA12+'JOUR 8'!AA12+'JOUR 9'!AA12+'JOUR 10'!AA12+'JOUR 11'!AA12+#REF!+#REF!+#REF!+#REF!+#REF!</f>
        <v>#REF!</v>
      </c>
      <c r="AB12" s="34" t="e">
        <f>'JOUR 1'!AB12+'JOUR 2'!AB12+'JOUR 3'!AB12+'JOUR 4'!AB12+'JOUR 5'!AB12+'JOUR 6'!AB12+'JOUR 7'!AB12+'JOUR 8'!AB12+'JOUR 9'!AB12+'JOUR 10'!AB12+'JOUR 11'!AB12+#REF!+#REF!+#REF!+#REF!+#REF!</f>
        <v>#REF!</v>
      </c>
      <c r="AC12" s="34" t="e">
        <f>'JOUR 1'!AC12+'JOUR 2'!AC12+'JOUR 3'!AC12+'JOUR 4'!AC12+'JOUR 5'!AC12+'JOUR 6'!AC12+'JOUR 7'!AC12+'JOUR 8'!AC12+'JOUR 9'!AC12+'JOUR 10'!AC12+'JOUR 11'!AC12+#REF!+#REF!+#REF!+#REF!+#REF!</f>
        <v>#REF!</v>
      </c>
      <c r="AD12" s="35" t="e">
        <f>'JOUR 1'!AD12+'JOUR 2'!AD12+'JOUR 3'!AD12+'JOUR 4'!AD12+'JOUR 5'!AD12+'JOUR 6'!AD12+'JOUR 7'!AD12+'JOUR 8'!AD12+'JOUR 9'!AD12+'JOUR 10'!AD12+'JOUR 11'!AD12+#REF!+#REF!+#REF!+#REF!+#REF!</f>
        <v>#REF!</v>
      </c>
      <c r="AE12" s="34" t="e">
        <f>'JOUR 1'!AE12+'JOUR 2'!AE12+'JOUR 3'!AE12+'JOUR 4'!AE12+'JOUR 5'!AE12+'JOUR 6'!AE12+'JOUR 7'!AE12+'JOUR 8'!AE12+'JOUR 9'!AE12+'JOUR 10'!AE12+'JOUR 11'!AE12+#REF!+#REF!+#REF!+#REF!+#REF!</f>
        <v>#REF!</v>
      </c>
      <c r="AF12" s="34" t="e">
        <f>'JOUR 1'!AF12+'JOUR 2'!AF12+'JOUR 3'!AF12+'JOUR 4'!AF12+'JOUR 5'!AF12+'JOUR 6'!AF12+'JOUR 7'!AF12+'JOUR 8'!AF12+'JOUR 9'!AF12+'JOUR 10'!AF12+'JOUR 11'!AF12+#REF!+#REF!+#REF!+#REF!+#REF!</f>
        <v>#REF!</v>
      </c>
      <c r="AG12" s="34" t="e">
        <f>'JOUR 1'!AG12+'JOUR 2'!AG12+'JOUR 3'!AG12+'JOUR 4'!AG12+'JOUR 5'!AG12+'JOUR 6'!AG12+'JOUR 7'!AG12+'JOUR 8'!AG12+'JOUR 9'!AG12+'JOUR 10'!AG12+'JOUR 11'!AG12+#REF!+#REF!+#REF!+#REF!+#REF!</f>
        <v>#REF!</v>
      </c>
      <c r="AH12" s="21"/>
      <c r="AI12" s="22"/>
      <c r="AK12" s="85" t="e">
        <f t="shared" si="1"/>
        <v>#REF!</v>
      </c>
      <c r="AL12" s="85" t="e">
        <f t="shared" si="1"/>
        <v>#REF!</v>
      </c>
      <c r="AM12" s="85" t="e">
        <f t="shared" si="1"/>
        <v>#REF!</v>
      </c>
      <c r="AN12" s="85" t="e">
        <f t="shared" si="1"/>
        <v>#REF!</v>
      </c>
      <c r="AO12" s="85" t="e">
        <f t="shared" si="1"/>
        <v>#REF!</v>
      </c>
      <c r="AP12" s="85"/>
      <c r="AQ12" s="85"/>
      <c r="AR12" s="85"/>
      <c r="AS12" s="85" t="e">
        <f t="shared" si="2"/>
        <v>#REF!</v>
      </c>
      <c r="AT12" s="85"/>
      <c r="AU12" s="85"/>
      <c r="AV12" s="85"/>
      <c r="AW12" s="85"/>
      <c r="AX12" s="85"/>
      <c r="AY12" s="87"/>
    </row>
    <row r="13" spans="2:51" ht="17.399999999999999" x14ac:dyDescent="0.25">
      <c r="B13" s="16" t="s">
        <v>59</v>
      </c>
      <c r="C13" s="16" t="s">
        <v>68</v>
      </c>
      <c r="D13" s="17" t="e">
        <f>'JOUR 1'!D13+'JOUR 2'!D13+'JOUR 3'!D13+'JOUR 4'!D13+'JOUR 5'!D13+'JOUR 6'!D13+'JOUR 7'!D13+'JOUR 8'!D13+'JOUR 9'!D13+'JOUR 10'!D13+'JOUR 11'!D13+#REF!+#REF!+#REF!+#REF!+#REF!</f>
        <v>#REF!</v>
      </c>
      <c r="E13" s="17" t="e">
        <f>'JOUR 1'!E13+'JOUR 2'!E13+'JOUR 3'!E13+'JOUR 4'!E13+'JOUR 5'!E13+'JOUR 6'!E13+'JOUR 7'!E13+'JOUR 8'!E13+'JOUR 9'!E13+'JOUR 10'!E13+'JOUR 11'!E13+#REF!+#REF!+#REF!+#REF!+#REF!</f>
        <v>#REF!</v>
      </c>
      <c r="F13" s="17" t="e">
        <f>'JOUR 1'!F13+'JOUR 2'!F13+'JOUR 3'!F13+'JOUR 4'!F13+'JOUR 5'!F13+'JOUR 6'!F13+'JOUR 7'!F13+'JOUR 8'!F13+'JOUR 9'!F13+'JOUR 10'!F13+'JOUR 11'!F13+#REF!+#REF!+#REF!+#REF!+#REF!</f>
        <v>#REF!</v>
      </c>
      <c r="G13" s="17" t="e">
        <f>'JOUR 1'!G13+'JOUR 2'!G13+'JOUR 3'!G13+'JOUR 4'!G13+'JOUR 5'!G13+'JOUR 6'!G13+'JOUR 7'!G13+'JOUR 8'!G13+'JOUR 9'!G13+'JOUR 10'!G13+'JOUR 11'!G13+#REF!+#REF!+#REF!+#REF!+#REF!</f>
        <v>#REF!</v>
      </c>
      <c r="H13" s="17" t="e">
        <f>'JOUR 1'!H13+'JOUR 2'!H13+'JOUR 3'!H13+'JOUR 4'!H13+'JOUR 5'!H13+'JOUR 6'!H13+'JOUR 7'!H13+'JOUR 8'!H13+'JOUR 9'!H13+'JOUR 10'!H13+'JOUR 11'!H13+#REF!+#REF!+#REF!+#REF!+#REF!</f>
        <v>#REF!</v>
      </c>
      <c r="I13" s="17" t="e">
        <f>'JOUR 1'!I13+'JOUR 2'!I13+'JOUR 3'!I13+'JOUR 4'!I13+'JOUR 5'!I13+'JOUR 6'!I13+'JOUR 7'!I13+'JOUR 8'!I13+'JOUR 9'!I13+'JOUR 10'!I13+'JOUR 11'!I13+#REF!+#REF!+#REF!+#REF!+#REF!</f>
        <v>#REF!</v>
      </c>
      <c r="J13" s="17" t="e">
        <f>'JOUR 1'!J13+'JOUR 2'!J13+'JOUR 3'!J13+'JOUR 4'!J13+'JOUR 5'!J13+'JOUR 6'!J13+'JOUR 7'!J13+'JOUR 8'!J13+'JOUR 9'!J13+'JOUR 10'!J13+'JOUR 11'!J13+#REF!+#REF!+#REF!+#REF!+#REF!</f>
        <v>#REF!</v>
      </c>
      <c r="K13" s="17" t="e">
        <f>'JOUR 1'!K13+'JOUR 2'!K13+'JOUR 3'!K13+'JOUR 4'!K13+'JOUR 5'!K13+'JOUR 6'!K13+'JOUR 7'!K13+'JOUR 8'!K13+'JOUR 9'!K13+'JOUR 10'!K13+'JOUR 11'!K13+#REF!+#REF!+#REF!+#REF!+#REF!</f>
        <v>#REF!</v>
      </c>
      <c r="L13" s="17" t="e">
        <f>'JOUR 1'!L13+'JOUR 2'!L13+'JOUR 3'!L13+'JOUR 4'!L13+'JOUR 5'!L13+'JOUR 6'!L13+'JOUR 7'!L13+'JOUR 8'!L13+'JOUR 9'!L13+'JOUR 10'!L13+'JOUR 11'!L13+#REF!+#REF!+#REF!+#REF!+#REF!</f>
        <v>#REF!</v>
      </c>
      <c r="M13" s="17" t="e">
        <f>'JOUR 1'!M13+'JOUR 2'!M13+'JOUR 3'!M13+'JOUR 4'!M13+'JOUR 5'!M13+'JOUR 6'!M13+'JOUR 7'!M13+'JOUR 8'!M13+'JOUR 9'!M13+'JOUR 10'!M13+'JOUR 11'!M13+#REF!+#REF!+#REF!+#REF!+#REF!</f>
        <v>#REF!</v>
      </c>
      <c r="N13" s="17" t="e">
        <f>'JOUR 1'!N13+'JOUR 2'!N13+'JOUR 3'!N13+'JOUR 4'!N13+'JOUR 5'!N13+'JOUR 6'!N13+'JOUR 7'!N13+'JOUR 8'!N13+'JOUR 9'!N13+'JOUR 10'!N13+'JOUR 11'!N13+#REF!+#REF!+#REF!+#REF!+#REF!</f>
        <v>#REF!</v>
      </c>
      <c r="O13" s="17" t="e">
        <f>'JOUR 1'!O13+'JOUR 2'!O13+'JOUR 3'!O13+'JOUR 4'!O13+'JOUR 5'!O13+'JOUR 6'!O13+'JOUR 7'!O13+'JOUR 8'!O13+'JOUR 9'!O13+'JOUR 10'!O13+'JOUR 11'!O13+#REF!+#REF!+#REF!+#REF!+#REF!</f>
        <v>#REF!</v>
      </c>
      <c r="P13" s="17" t="e">
        <f>'JOUR 1'!P13+'JOUR 2'!P13+'JOUR 3'!P13+'JOUR 4'!P13+'JOUR 5'!P13+'JOUR 6'!P13+'JOUR 7'!P13+'JOUR 8'!P13+'JOUR 9'!P13+'JOUR 10'!P13+'JOUR 11'!P13+#REF!+#REF!+#REF!+#REF!+#REF!</f>
        <v>#REF!</v>
      </c>
      <c r="Q13" s="17" t="e">
        <f>'JOUR 1'!Q13+'JOUR 2'!Q13+'JOUR 3'!Q13+'JOUR 4'!Q13+'JOUR 5'!Q13+'JOUR 6'!Q13+'JOUR 7'!Q13+'JOUR 8'!Q13+'JOUR 9'!Q13+'JOUR 10'!Q13+'JOUR 11'!Q13+#REF!+#REF!+#REF!+#REF!+#REF!</f>
        <v>#REF!</v>
      </c>
      <c r="R13" s="17" t="e">
        <f>'JOUR 1'!R13+'JOUR 2'!R13+'JOUR 3'!R13+'JOUR 4'!R13+'JOUR 5'!R13+'JOUR 6'!R13+'JOUR 7'!R13+'JOUR 8'!R13+'JOUR 9'!R13+'JOUR 10'!R13+'JOUR 11'!R13+#REF!+#REF!+#REF!+#REF!+#REF!</f>
        <v>#REF!</v>
      </c>
      <c r="S13" s="31" t="e">
        <f>'JOUR 1'!S13+'JOUR 2'!S13+'JOUR 3'!S13+'JOUR 4'!S13+'JOUR 5'!S13+'JOUR 6'!S13+'JOUR 7'!S13+'JOUR 8'!S13+'JOUR 9'!S13+'JOUR 10'!S13+'JOUR 11'!S13+#REF!+#REF!+#REF!+#REF!+#REF!</f>
        <v>#REF!</v>
      </c>
      <c r="T13" s="31" t="e">
        <f>'JOUR 1'!T13+'JOUR 2'!T13+'JOUR 3'!T13+'JOUR 4'!T13+'JOUR 5'!T13+'JOUR 6'!T13+'JOUR 7'!T13+'JOUR 8'!T13+'JOUR 9'!T13+'JOUR 10'!T13+'JOUR 11'!T13+#REF!+#REF!+#REF!+#REF!+#REF!</f>
        <v>#REF!</v>
      </c>
      <c r="U13" s="31" t="e">
        <f>'JOUR 1'!U13+'JOUR 2'!U13+'JOUR 3'!U13+'JOUR 4'!U13+'JOUR 5'!U13+'JOUR 6'!U13+'JOUR 7'!U13+'JOUR 8'!U13+'JOUR 9'!U13+'JOUR 10'!U13+'JOUR 11'!U13+#REF!+#REF!+#REF!+#REF!+#REF!</f>
        <v>#REF!</v>
      </c>
      <c r="V13" s="32" t="e">
        <f>'JOUR 1'!V13+'JOUR 2'!V13+'JOUR 3'!V13+'JOUR 4'!V13+'JOUR 5'!V13+'JOUR 6'!V13+'JOUR 7'!V13+'JOUR 8'!V13+'JOUR 9'!V13+'JOUR 10'!V13+'JOUR 11'!V13+#REF!+#REF!+#REF!+#REF!+#REF!</f>
        <v>#REF!</v>
      </c>
      <c r="W13" s="32" t="e">
        <f>'JOUR 1'!W13+'JOUR 2'!W13+'JOUR 3'!W13+'JOUR 4'!W13+'JOUR 5'!W13+'JOUR 6'!W13+'JOUR 7'!W13+'JOUR 8'!W13+'JOUR 9'!W13+'JOUR 10'!W13+'JOUR 11'!W13+#REF!+#REF!+#REF!+#REF!+#REF!</f>
        <v>#REF!</v>
      </c>
      <c r="X13" s="32" t="e">
        <f>'JOUR 1'!X13+'JOUR 2'!X13+'JOUR 3'!X13+'JOUR 4'!X13+'JOUR 5'!X13+'JOUR 6'!X13+'JOUR 7'!X13+'JOUR 8'!X13+'JOUR 9'!X13+'JOUR 10'!X13+'JOUR 11'!X13+#REF!+#REF!+#REF!+#REF!+#REF!</f>
        <v>#REF!</v>
      </c>
      <c r="Y13" s="73" t="e">
        <f>'JOUR 1'!Y13+'JOUR 2'!Y13+'JOUR 3'!Y13+'JOUR 4'!Y13+'JOUR 5'!Y13+'JOUR 6'!Y13+'JOUR 7'!Y13+'JOUR 8'!Y13+'JOUR 9'!Y13+'JOUR 10'!Y13+'JOUR 11'!Y13+#REF!+#REF!+#REF!+#REF!+#REF!</f>
        <v>#REF!</v>
      </c>
      <c r="Z13" s="33" t="e">
        <f>'JOUR 1'!Z13+'JOUR 2'!Z13+'JOUR 3'!Z13+'JOUR 4'!Z13+'JOUR 5'!Z13+'JOUR 6'!Z13+'JOUR 7'!Z13+'JOUR 8'!Z13+'JOUR 9'!Z13+'JOUR 10'!Z13+'JOUR 11'!Z13+#REF!+#REF!+#REF!+#REF!+#REF!</f>
        <v>#REF!</v>
      </c>
      <c r="AA13" s="34" t="e">
        <f>'JOUR 1'!AA13+'JOUR 2'!AA13+'JOUR 3'!AA13+'JOUR 4'!AA13+'JOUR 5'!AA13+'JOUR 6'!AA13+'JOUR 7'!AA13+'JOUR 8'!AA13+'JOUR 9'!AA13+'JOUR 10'!AA13+'JOUR 11'!AA13+#REF!+#REF!+#REF!+#REF!+#REF!</f>
        <v>#REF!</v>
      </c>
      <c r="AB13" s="34" t="e">
        <f>'JOUR 1'!AB13+'JOUR 2'!AB13+'JOUR 3'!AB13+'JOUR 4'!AB13+'JOUR 5'!AB13+'JOUR 6'!AB13+'JOUR 7'!AB13+'JOUR 8'!AB13+'JOUR 9'!AB13+'JOUR 10'!AB13+'JOUR 11'!AB13+#REF!+#REF!+#REF!+#REF!+#REF!</f>
        <v>#REF!</v>
      </c>
      <c r="AC13" s="34" t="e">
        <f>'JOUR 1'!AC13+'JOUR 2'!AC13+'JOUR 3'!AC13+'JOUR 4'!AC13+'JOUR 5'!AC13+'JOUR 6'!AC13+'JOUR 7'!AC13+'JOUR 8'!AC13+'JOUR 9'!AC13+'JOUR 10'!AC13+'JOUR 11'!AC13+#REF!+#REF!+#REF!+#REF!+#REF!</f>
        <v>#REF!</v>
      </c>
      <c r="AD13" s="35" t="e">
        <f>'JOUR 1'!AD13+'JOUR 2'!AD13+'JOUR 3'!AD13+'JOUR 4'!AD13+'JOUR 5'!AD13+'JOUR 6'!AD13+'JOUR 7'!AD13+'JOUR 8'!AD13+'JOUR 9'!AD13+'JOUR 10'!AD13+'JOUR 11'!AD13+#REF!+#REF!+#REF!+#REF!+#REF!</f>
        <v>#REF!</v>
      </c>
      <c r="AE13" s="34" t="e">
        <f>'JOUR 1'!AE13+'JOUR 2'!AE13+'JOUR 3'!AE13+'JOUR 4'!AE13+'JOUR 5'!AE13+'JOUR 6'!AE13+'JOUR 7'!AE13+'JOUR 8'!AE13+'JOUR 9'!AE13+'JOUR 10'!AE13+'JOUR 11'!AE13+#REF!+#REF!+#REF!+#REF!+#REF!</f>
        <v>#REF!</v>
      </c>
      <c r="AF13" s="34" t="e">
        <f>'JOUR 1'!AF13+'JOUR 2'!AF13+'JOUR 3'!AF13+'JOUR 4'!AF13+'JOUR 5'!AF13+'JOUR 6'!AF13+'JOUR 7'!AF13+'JOUR 8'!AF13+'JOUR 9'!AF13+'JOUR 10'!AF13+'JOUR 11'!AF13+#REF!+#REF!+#REF!+#REF!+#REF!</f>
        <v>#REF!</v>
      </c>
      <c r="AG13" s="34" t="e">
        <f>'JOUR 1'!AG13+'JOUR 2'!AG13+'JOUR 3'!AG13+'JOUR 4'!AG13+'JOUR 5'!AG13+'JOUR 6'!AG13+'JOUR 7'!AG13+'JOUR 8'!AG13+'JOUR 9'!AG13+'JOUR 10'!AG13+'JOUR 11'!AG13+#REF!+#REF!+#REF!+#REF!+#REF!</f>
        <v>#REF!</v>
      </c>
      <c r="AH13" s="21"/>
      <c r="AI13" s="22"/>
      <c r="AK13" s="85" t="e">
        <f t="shared" si="1"/>
        <v>#REF!</v>
      </c>
      <c r="AL13" s="85" t="e">
        <f t="shared" si="1"/>
        <v>#REF!</v>
      </c>
      <c r="AM13" s="85" t="e">
        <f t="shared" si="1"/>
        <v>#REF!</v>
      </c>
      <c r="AN13" s="85" t="e">
        <f t="shared" si="1"/>
        <v>#REF!</v>
      </c>
      <c r="AO13" s="85" t="e">
        <f t="shared" si="1"/>
        <v>#REF!</v>
      </c>
      <c r="AP13" s="85"/>
      <c r="AQ13" s="85"/>
      <c r="AR13" s="85"/>
      <c r="AS13" s="85" t="e">
        <f t="shared" si="2"/>
        <v>#REF!</v>
      </c>
      <c r="AT13" s="85"/>
      <c r="AU13" s="85"/>
      <c r="AV13" s="85"/>
      <c r="AW13" s="85"/>
      <c r="AX13" s="85"/>
      <c r="AY13" s="87"/>
    </row>
    <row r="14" spans="2:51" ht="17.399999999999999" x14ac:dyDescent="0.25">
      <c r="B14" s="16" t="s">
        <v>59</v>
      </c>
      <c r="C14" s="16" t="s">
        <v>69</v>
      </c>
      <c r="D14" s="17" t="e">
        <f>'JOUR 1'!D14+'JOUR 2'!D14+'JOUR 3'!D14+'JOUR 4'!D14+'JOUR 5'!D14+'JOUR 6'!D14+'JOUR 7'!D14+'JOUR 8'!D14+'JOUR 9'!D14+'JOUR 10'!D14+'JOUR 11'!D14+#REF!+#REF!+#REF!+#REF!+#REF!</f>
        <v>#REF!</v>
      </c>
      <c r="E14" s="17" t="e">
        <f>'JOUR 1'!E14+'JOUR 2'!E14+'JOUR 3'!E14+'JOUR 4'!E14+'JOUR 5'!E14+'JOUR 6'!E14+'JOUR 7'!E14+'JOUR 8'!E14+'JOUR 9'!E14+'JOUR 10'!E14+'JOUR 11'!E14+#REF!+#REF!+#REF!+#REF!+#REF!</f>
        <v>#REF!</v>
      </c>
      <c r="F14" s="17" t="e">
        <f>'JOUR 1'!F14+'JOUR 2'!F14+'JOUR 3'!F14+'JOUR 4'!F14+'JOUR 5'!F14+'JOUR 6'!F14+'JOUR 7'!F14+'JOUR 8'!F14+'JOUR 9'!F14+'JOUR 10'!F14+'JOUR 11'!F14+#REF!+#REF!+#REF!+#REF!+#REF!</f>
        <v>#REF!</v>
      </c>
      <c r="G14" s="17" t="e">
        <f>'JOUR 1'!G14+'JOUR 2'!G14+'JOUR 3'!G14+'JOUR 4'!G14+'JOUR 5'!G14+'JOUR 6'!G14+'JOUR 7'!G14+'JOUR 8'!G14+'JOUR 9'!G14+'JOUR 10'!G14+'JOUR 11'!G14+#REF!+#REF!+#REF!+#REF!+#REF!</f>
        <v>#REF!</v>
      </c>
      <c r="H14" s="17" t="e">
        <f>'JOUR 1'!H14+'JOUR 2'!H14+'JOUR 3'!H14+'JOUR 4'!H14+'JOUR 5'!H14+'JOUR 6'!H14+'JOUR 7'!H14+'JOUR 8'!H14+'JOUR 9'!H14+'JOUR 10'!H14+'JOUR 11'!H14+#REF!+#REF!+#REF!+#REF!+#REF!</f>
        <v>#REF!</v>
      </c>
      <c r="I14" s="17" t="e">
        <f>'JOUR 1'!I14+'JOUR 2'!I14+'JOUR 3'!I14+'JOUR 4'!I14+'JOUR 5'!I14+'JOUR 6'!I14+'JOUR 7'!I14+'JOUR 8'!I14+'JOUR 9'!I14+'JOUR 10'!I14+'JOUR 11'!I14+#REF!+#REF!+#REF!+#REF!+#REF!</f>
        <v>#REF!</v>
      </c>
      <c r="J14" s="17" t="e">
        <f>'JOUR 1'!J14+'JOUR 2'!J14+'JOUR 3'!J14+'JOUR 4'!J14+'JOUR 5'!J14+'JOUR 6'!J14+'JOUR 7'!J14+'JOUR 8'!J14+'JOUR 9'!J14+'JOUR 10'!J14+'JOUR 11'!J14+#REF!+#REF!+#REF!+#REF!+#REF!</f>
        <v>#REF!</v>
      </c>
      <c r="K14" s="17" t="e">
        <f>'JOUR 1'!K14+'JOUR 2'!K14+'JOUR 3'!K14+'JOUR 4'!K14+'JOUR 5'!K14+'JOUR 6'!K14+'JOUR 7'!K14+'JOUR 8'!K14+'JOUR 9'!K14+'JOUR 10'!K14+'JOUR 11'!K14+#REF!+#REF!+#REF!+#REF!+#REF!</f>
        <v>#REF!</v>
      </c>
      <c r="L14" s="17" t="e">
        <f>'JOUR 1'!L14+'JOUR 2'!L14+'JOUR 3'!L14+'JOUR 4'!L14+'JOUR 5'!L14+'JOUR 6'!L14+'JOUR 7'!L14+'JOUR 8'!L14+'JOUR 9'!L14+'JOUR 10'!L14+'JOUR 11'!L14+#REF!+#REF!+#REF!+#REF!+#REF!</f>
        <v>#REF!</v>
      </c>
      <c r="M14" s="17" t="e">
        <f>'JOUR 1'!M14+'JOUR 2'!M14+'JOUR 3'!M14+'JOUR 4'!M14+'JOUR 5'!M14+'JOUR 6'!M14+'JOUR 7'!M14+'JOUR 8'!M14+'JOUR 9'!M14+'JOUR 10'!M14+'JOUR 11'!M14+#REF!+#REF!+#REF!+#REF!+#REF!</f>
        <v>#REF!</v>
      </c>
      <c r="N14" s="17" t="e">
        <f>'JOUR 1'!N14+'JOUR 2'!N14+'JOUR 3'!N14+'JOUR 4'!N14+'JOUR 5'!N14+'JOUR 6'!N14+'JOUR 7'!N14+'JOUR 8'!N14+'JOUR 9'!N14+'JOUR 10'!N14+'JOUR 11'!N14+#REF!+#REF!+#REF!+#REF!+#REF!</f>
        <v>#REF!</v>
      </c>
      <c r="O14" s="17" t="e">
        <f>'JOUR 1'!O14+'JOUR 2'!O14+'JOUR 3'!O14+'JOUR 4'!O14+'JOUR 5'!O14+'JOUR 6'!O14+'JOUR 7'!O14+'JOUR 8'!O14+'JOUR 9'!O14+'JOUR 10'!O14+'JOUR 11'!O14+#REF!+#REF!+#REF!+#REF!+#REF!</f>
        <v>#REF!</v>
      </c>
      <c r="P14" s="17" t="e">
        <f>'JOUR 1'!P14+'JOUR 2'!P14+'JOUR 3'!P14+'JOUR 4'!P14+'JOUR 5'!P14+'JOUR 6'!P14+'JOUR 7'!P14+'JOUR 8'!P14+'JOUR 9'!P14+'JOUR 10'!P14+'JOUR 11'!P14+#REF!+#REF!+#REF!+#REF!+#REF!</f>
        <v>#REF!</v>
      </c>
      <c r="Q14" s="17" t="e">
        <f>'JOUR 1'!Q14+'JOUR 2'!Q14+'JOUR 3'!Q14+'JOUR 4'!Q14+'JOUR 5'!Q14+'JOUR 6'!Q14+'JOUR 7'!Q14+'JOUR 8'!Q14+'JOUR 9'!Q14+'JOUR 10'!Q14+'JOUR 11'!Q14+#REF!+#REF!+#REF!+#REF!+#REF!</f>
        <v>#REF!</v>
      </c>
      <c r="R14" s="17" t="e">
        <f>'JOUR 1'!R14+'JOUR 2'!R14+'JOUR 3'!R14+'JOUR 4'!R14+'JOUR 5'!R14+'JOUR 6'!R14+'JOUR 7'!R14+'JOUR 8'!R14+'JOUR 9'!R14+'JOUR 10'!R14+'JOUR 11'!R14+#REF!+#REF!+#REF!+#REF!+#REF!</f>
        <v>#REF!</v>
      </c>
      <c r="S14" s="31" t="e">
        <f>'JOUR 1'!S14+'JOUR 2'!S14+'JOUR 3'!S14+'JOUR 4'!S14+'JOUR 5'!S14+'JOUR 6'!S14+'JOUR 7'!S14+'JOUR 8'!S14+'JOUR 9'!S14+'JOUR 10'!S14+'JOUR 11'!S14+#REF!+#REF!+#REF!+#REF!+#REF!</f>
        <v>#REF!</v>
      </c>
      <c r="T14" s="31" t="e">
        <f>'JOUR 1'!T14+'JOUR 2'!T14+'JOUR 3'!T14+'JOUR 4'!T14+'JOUR 5'!T14+'JOUR 6'!T14+'JOUR 7'!T14+'JOUR 8'!T14+'JOUR 9'!T14+'JOUR 10'!T14+'JOUR 11'!T14+#REF!+#REF!+#REF!+#REF!+#REF!</f>
        <v>#REF!</v>
      </c>
      <c r="U14" s="31" t="e">
        <f>'JOUR 1'!U14+'JOUR 2'!U14+'JOUR 3'!U14+'JOUR 4'!U14+'JOUR 5'!U14+'JOUR 6'!U14+'JOUR 7'!U14+'JOUR 8'!U14+'JOUR 9'!U14+'JOUR 10'!U14+'JOUR 11'!U14+#REF!+#REF!+#REF!+#REF!+#REF!</f>
        <v>#REF!</v>
      </c>
      <c r="V14" s="32" t="e">
        <f>'JOUR 1'!V14+'JOUR 2'!V14+'JOUR 3'!V14+'JOUR 4'!V14+'JOUR 5'!V14+'JOUR 6'!V14+'JOUR 7'!V14+'JOUR 8'!V14+'JOUR 9'!V14+'JOUR 10'!V14+'JOUR 11'!V14+#REF!+#REF!+#REF!+#REF!+#REF!</f>
        <v>#REF!</v>
      </c>
      <c r="W14" s="32" t="e">
        <f>'JOUR 1'!W14+'JOUR 2'!W14+'JOUR 3'!W14+'JOUR 4'!W14+'JOUR 5'!W14+'JOUR 6'!W14+'JOUR 7'!W14+'JOUR 8'!W14+'JOUR 9'!W14+'JOUR 10'!W14+'JOUR 11'!W14+#REF!+#REF!+#REF!+#REF!+#REF!</f>
        <v>#REF!</v>
      </c>
      <c r="X14" s="32" t="e">
        <f>'JOUR 1'!X14+'JOUR 2'!X14+'JOUR 3'!X14+'JOUR 4'!X14+'JOUR 5'!X14+'JOUR 6'!X14+'JOUR 7'!X14+'JOUR 8'!X14+'JOUR 9'!X14+'JOUR 10'!X14+'JOUR 11'!X14+#REF!+#REF!+#REF!+#REF!+#REF!</f>
        <v>#REF!</v>
      </c>
      <c r="Y14" s="73" t="e">
        <f>'JOUR 1'!Y14+'JOUR 2'!Y14+'JOUR 3'!Y14+'JOUR 4'!Y14+'JOUR 5'!Y14+'JOUR 6'!Y14+'JOUR 7'!Y14+'JOUR 8'!Y14+'JOUR 9'!Y14+'JOUR 10'!Y14+'JOUR 11'!Y14+#REF!+#REF!+#REF!+#REF!+#REF!</f>
        <v>#REF!</v>
      </c>
      <c r="Z14" s="33" t="e">
        <f>'JOUR 1'!Z14+'JOUR 2'!Z14+'JOUR 3'!Z14+'JOUR 4'!Z14+'JOUR 5'!Z14+'JOUR 6'!Z14+'JOUR 7'!Z14+'JOUR 8'!Z14+'JOUR 9'!Z14+'JOUR 10'!Z14+'JOUR 11'!Z14+#REF!+#REF!+#REF!+#REF!+#REF!</f>
        <v>#REF!</v>
      </c>
      <c r="AA14" s="34" t="e">
        <f>'JOUR 1'!AA14+'JOUR 2'!AA14+'JOUR 3'!AA14+'JOUR 4'!AA14+'JOUR 5'!AA14+'JOUR 6'!AA14+'JOUR 7'!AA14+'JOUR 8'!AA14+'JOUR 9'!AA14+'JOUR 10'!AA14+'JOUR 11'!AA14+#REF!+#REF!+#REF!+#REF!+#REF!</f>
        <v>#REF!</v>
      </c>
      <c r="AB14" s="34" t="e">
        <f>'JOUR 1'!AB14+'JOUR 2'!AB14+'JOUR 3'!AB14+'JOUR 4'!AB14+'JOUR 5'!AB14+'JOUR 6'!AB14+'JOUR 7'!AB14+'JOUR 8'!AB14+'JOUR 9'!AB14+'JOUR 10'!AB14+'JOUR 11'!AB14+#REF!+#REF!+#REF!+#REF!+#REF!</f>
        <v>#REF!</v>
      </c>
      <c r="AC14" s="34" t="e">
        <f>'JOUR 1'!AC14+'JOUR 2'!AC14+'JOUR 3'!AC14+'JOUR 4'!AC14+'JOUR 5'!AC14+'JOUR 6'!AC14+'JOUR 7'!AC14+'JOUR 8'!AC14+'JOUR 9'!AC14+'JOUR 10'!AC14+'JOUR 11'!AC14+#REF!+#REF!+#REF!+#REF!+#REF!</f>
        <v>#REF!</v>
      </c>
      <c r="AD14" s="35" t="e">
        <f>'JOUR 1'!AD14+'JOUR 2'!AD14+'JOUR 3'!AD14+'JOUR 4'!AD14+'JOUR 5'!AD14+'JOUR 6'!AD14+'JOUR 7'!AD14+'JOUR 8'!AD14+'JOUR 9'!AD14+'JOUR 10'!AD14+'JOUR 11'!AD14+#REF!+#REF!+#REF!+#REF!+#REF!</f>
        <v>#REF!</v>
      </c>
      <c r="AE14" s="34" t="e">
        <f>'JOUR 1'!AE14+'JOUR 2'!AE14+'JOUR 3'!AE14+'JOUR 4'!AE14+'JOUR 5'!AE14+'JOUR 6'!AE14+'JOUR 7'!AE14+'JOUR 8'!AE14+'JOUR 9'!AE14+'JOUR 10'!AE14+'JOUR 11'!AE14+#REF!+#REF!+#REF!+#REF!+#REF!</f>
        <v>#REF!</v>
      </c>
      <c r="AF14" s="34" t="e">
        <f>'JOUR 1'!AF14+'JOUR 2'!AF14+'JOUR 3'!AF14+'JOUR 4'!AF14+'JOUR 5'!AF14+'JOUR 6'!AF14+'JOUR 7'!AF14+'JOUR 8'!AF14+'JOUR 9'!AF14+'JOUR 10'!AF14+'JOUR 11'!AF14+#REF!+#REF!+#REF!+#REF!+#REF!</f>
        <v>#REF!</v>
      </c>
      <c r="AG14" s="34" t="e">
        <f>'JOUR 1'!AG14+'JOUR 2'!AG14+'JOUR 3'!AG14+'JOUR 4'!AG14+'JOUR 5'!AG14+'JOUR 6'!AG14+'JOUR 7'!AG14+'JOUR 8'!AG14+'JOUR 9'!AG14+'JOUR 10'!AG14+'JOUR 11'!AG14+#REF!+#REF!+#REF!+#REF!+#REF!</f>
        <v>#REF!</v>
      </c>
      <c r="AH14" s="21"/>
      <c r="AI14" s="22"/>
      <c r="AK14" s="85" t="e">
        <f t="shared" si="1"/>
        <v>#REF!</v>
      </c>
      <c r="AL14" s="85" t="e">
        <f t="shared" si="1"/>
        <v>#REF!</v>
      </c>
      <c r="AM14" s="85" t="e">
        <f t="shared" si="1"/>
        <v>#REF!</v>
      </c>
      <c r="AN14" s="85" t="e">
        <f t="shared" si="1"/>
        <v>#REF!</v>
      </c>
      <c r="AO14" s="85" t="e">
        <f t="shared" si="1"/>
        <v>#REF!</v>
      </c>
      <c r="AP14" s="85"/>
      <c r="AQ14" s="85"/>
      <c r="AR14" s="85"/>
      <c r="AS14" s="85" t="e">
        <f t="shared" si="2"/>
        <v>#REF!</v>
      </c>
      <c r="AT14" s="85"/>
      <c r="AU14" s="85"/>
      <c r="AV14" s="85"/>
      <c r="AW14" s="85"/>
      <c r="AX14" s="85"/>
      <c r="AY14" s="87"/>
    </row>
    <row r="15" spans="2:51" ht="17.399999999999999" x14ac:dyDescent="0.25">
      <c r="B15" s="16" t="s">
        <v>59</v>
      </c>
      <c r="C15" s="16" t="s">
        <v>70</v>
      </c>
      <c r="D15" s="17" t="e">
        <f>'JOUR 1'!D15+'JOUR 2'!D15+'JOUR 3'!D15+'JOUR 4'!D15+'JOUR 5'!D15+'JOUR 6'!D15+'JOUR 7'!D15+'JOUR 8'!D15+'JOUR 9'!D15+'JOUR 10'!D15+'JOUR 11'!D15+#REF!+#REF!+#REF!+#REF!+#REF!</f>
        <v>#REF!</v>
      </c>
      <c r="E15" s="17" t="e">
        <f>'JOUR 1'!E15+'JOUR 2'!E15+'JOUR 3'!E15+'JOUR 4'!E15+'JOUR 5'!E15+'JOUR 6'!E15+'JOUR 7'!E15+'JOUR 8'!E15+'JOUR 9'!E15+'JOUR 10'!E15+'JOUR 11'!E15+#REF!+#REF!+#REF!+#REF!+#REF!</f>
        <v>#REF!</v>
      </c>
      <c r="F15" s="17" t="e">
        <f>'JOUR 1'!F15+'JOUR 2'!F15+'JOUR 3'!F15+'JOUR 4'!F15+'JOUR 5'!F15+'JOUR 6'!F15+'JOUR 7'!F15+'JOUR 8'!F15+'JOUR 9'!F15+'JOUR 10'!F15+'JOUR 11'!F15+#REF!+#REF!+#REF!+#REF!+#REF!</f>
        <v>#REF!</v>
      </c>
      <c r="G15" s="17" t="e">
        <f>'JOUR 1'!G15+'JOUR 2'!G15+'JOUR 3'!G15+'JOUR 4'!G15+'JOUR 5'!G15+'JOUR 6'!G15+'JOUR 7'!G15+'JOUR 8'!G15+'JOUR 9'!G15+'JOUR 10'!G15+'JOUR 11'!G15+#REF!+#REF!+#REF!+#REF!+#REF!</f>
        <v>#REF!</v>
      </c>
      <c r="H15" s="17" t="e">
        <f>'JOUR 1'!H15+'JOUR 2'!H15+'JOUR 3'!H15+'JOUR 4'!H15+'JOUR 5'!H15+'JOUR 6'!H15+'JOUR 7'!H15+'JOUR 8'!H15+'JOUR 9'!H15+'JOUR 10'!H15+'JOUR 11'!H15+#REF!+#REF!+#REF!+#REF!+#REF!</f>
        <v>#REF!</v>
      </c>
      <c r="I15" s="17" t="e">
        <f>'JOUR 1'!I15+'JOUR 2'!I15+'JOUR 3'!I15+'JOUR 4'!I15+'JOUR 5'!I15+'JOUR 6'!I15+'JOUR 7'!I15+'JOUR 8'!I15+'JOUR 9'!I15+'JOUR 10'!I15+'JOUR 11'!I15+#REF!+#REF!+#REF!+#REF!+#REF!</f>
        <v>#REF!</v>
      </c>
      <c r="J15" s="17" t="e">
        <f>'JOUR 1'!J15+'JOUR 2'!J15+'JOUR 3'!J15+'JOUR 4'!J15+'JOUR 5'!J15+'JOUR 6'!J15+'JOUR 7'!J15+'JOUR 8'!J15+'JOUR 9'!J15+'JOUR 10'!J15+'JOUR 11'!J15+#REF!+#REF!+#REF!+#REF!+#REF!</f>
        <v>#REF!</v>
      </c>
      <c r="K15" s="17" t="e">
        <f>'JOUR 1'!K15+'JOUR 2'!K15+'JOUR 3'!K15+'JOUR 4'!K15+'JOUR 5'!K15+'JOUR 6'!K15+'JOUR 7'!K15+'JOUR 8'!K15+'JOUR 9'!K15+'JOUR 10'!K15+'JOUR 11'!K15+#REF!+#REF!+#REF!+#REF!+#REF!</f>
        <v>#REF!</v>
      </c>
      <c r="L15" s="17" t="e">
        <f>'JOUR 1'!L15+'JOUR 2'!L15+'JOUR 3'!L15+'JOUR 4'!L15+'JOUR 5'!L15+'JOUR 6'!L15+'JOUR 7'!L15+'JOUR 8'!L15+'JOUR 9'!L15+'JOUR 10'!L15+'JOUR 11'!L15+#REF!+#REF!+#REF!+#REF!+#REF!</f>
        <v>#REF!</v>
      </c>
      <c r="M15" s="17" t="e">
        <f>'JOUR 1'!M15+'JOUR 2'!M15+'JOUR 3'!M15+'JOUR 4'!M15+'JOUR 5'!M15+'JOUR 6'!M15+'JOUR 7'!M15+'JOUR 8'!M15+'JOUR 9'!M15+'JOUR 10'!M15+'JOUR 11'!M15+#REF!+#REF!+#REF!+#REF!+#REF!</f>
        <v>#REF!</v>
      </c>
      <c r="N15" s="17" t="e">
        <f>'JOUR 1'!N15+'JOUR 2'!N15+'JOUR 3'!N15+'JOUR 4'!N15+'JOUR 5'!N15+'JOUR 6'!N15+'JOUR 7'!N15+'JOUR 8'!N15+'JOUR 9'!N15+'JOUR 10'!N15+'JOUR 11'!N15+#REF!+#REF!+#REF!+#REF!+#REF!</f>
        <v>#REF!</v>
      </c>
      <c r="O15" s="17" t="e">
        <f>'JOUR 1'!O15+'JOUR 2'!O15+'JOUR 3'!O15+'JOUR 4'!O15+'JOUR 5'!O15+'JOUR 6'!O15+'JOUR 7'!O15+'JOUR 8'!O15+'JOUR 9'!O15+'JOUR 10'!O15+'JOUR 11'!O15+#REF!+#REF!+#REF!+#REF!+#REF!</f>
        <v>#REF!</v>
      </c>
      <c r="P15" s="17" t="e">
        <f>'JOUR 1'!P15+'JOUR 2'!P15+'JOUR 3'!P15+'JOUR 4'!P15+'JOUR 5'!P15+'JOUR 6'!P15+'JOUR 7'!P15+'JOUR 8'!P15+'JOUR 9'!P15+'JOUR 10'!P15+'JOUR 11'!P15+#REF!+#REF!+#REF!+#REF!+#REF!</f>
        <v>#REF!</v>
      </c>
      <c r="Q15" s="17" t="e">
        <f>'JOUR 1'!Q15+'JOUR 2'!Q15+'JOUR 3'!Q15+'JOUR 4'!Q15+'JOUR 5'!Q15+'JOUR 6'!Q15+'JOUR 7'!Q15+'JOUR 8'!Q15+'JOUR 9'!Q15+'JOUR 10'!Q15+'JOUR 11'!Q15+#REF!+#REF!+#REF!+#REF!+#REF!</f>
        <v>#REF!</v>
      </c>
      <c r="R15" s="17" t="e">
        <f>'JOUR 1'!R15+'JOUR 2'!R15+'JOUR 3'!R15+'JOUR 4'!R15+'JOUR 5'!R15+'JOUR 6'!R15+'JOUR 7'!R15+'JOUR 8'!R15+'JOUR 9'!R15+'JOUR 10'!R15+'JOUR 11'!R15+#REF!+#REF!+#REF!+#REF!+#REF!</f>
        <v>#REF!</v>
      </c>
      <c r="S15" s="31" t="e">
        <f>'JOUR 1'!S15+'JOUR 2'!S15+'JOUR 3'!S15+'JOUR 4'!S15+'JOUR 5'!S15+'JOUR 6'!S15+'JOUR 7'!S15+'JOUR 8'!S15+'JOUR 9'!S15+'JOUR 10'!S15+'JOUR 11'!S15+#REF!+#REF!+#REF!+#REF!+#REF!</f>
        <v>#REF!</v>
      </c>
      <c r="T15" s="31" t="e">
        <f>'JOUR 1'!T15+'JOUR 2'!T15+'JOUR 3'!T15+'JOUR 4'!T15+'JOUR 5'!T15+'JOUR 6'!T15+'JOUR 7'!T15+'JOUR 8'!T15+'JOUR 9'!T15+'JOUR 10'!T15+'JOUR 11'!T15+#REF!+#REF!+#REF!+#REF!+#REF!</f>
        <v>#REF!</v>
      </c>
      <c r="U15" s="31" t="e">
        <f>'JOUR 1'!U15+'JOUR 2'!U15+'JOUR 3'!U15+'JOUR 4'!U15+'JOUR 5'!U15+'JOUR 6'!U15+'JOUR 7'!U15+'JOUR 8'!U15+'JOUR 9'!U15+'JOUR 10'!U15+'JOUR 11'!U15+#REF!+#REF!+#REF!+#REF!+#REF!</f>
        <v>#REF!</v>
      </c>
      <c r="V15" s="32" t="e">
        <f>'JOUR 1'!V15+'JOUR 2'!V15+'JOUR 3'!V15+'JOUR 4'!V15+'JOUR 5'!V15+'JOUR 6'!V15+'JOUR 7'!V15+'JOUR 8'!V15+'JOUR 9'!V15+'JOUR 10'!V15+'JOUR 11'!V15+#REF!+#REF!+#REF!+#REF!+#REF!</f>
        <v>#REF!</v>
      </c>
      <c r="W15" s="32" t="e">
        <f>'JOUR 1'!W15+'JOUR 2'!W15+'JOUR 3'!W15+'JOUR 4'!W15+'JOUR 5'!W15+'JOUR 6'!W15+'JOUR 7'!W15+'JOUR 8'!W15+'JOUR 9'!W15+'JOUR 10'!W15+'JOUR 11'!W15+#REF!+#REF!+#REF!+#REF!+#REF!</f>
        <v>#REF!</v>
      </c>
      <c r="X15" s="32" t="e">
        <f>'JOUR 1'!X15+'JOUR 2'!X15+'JOUR 3'!X15+'JOUR 4'!X15+'JOUR 5'!X15+'JOUR 6'!X15+'JOUR 7'!X15+'JOUR 8'!X15+'JOUR 9'!X15+'JOUR 10'!X15+'JOUR 11'!X15+#REF!+#REF!+#REF!+#REF!+#REF!</f>
        <v>#REF!</v>
      </c>
      <c r="Y15" s="73" t="e">
        <f>'JOUR 1'!Y15+'JOUR 2'!Y15+'JOUR 3'!Y15+'JOUR 4'!Y15+'JOUR 5'!Y15+'JOUR 6'!Y15+'JOUR 7'!Y15+'JOUR 8'!Y15+'JOUR 9'!Y15+'JOUR 10'!Y15+'JOUR 11'!Y15+#REF!+#REF!+#REF!+#REF!+#REF!</f>
        <v>#REF!</v>
      </c>
      <c r="Z15" s="33" t="e">
        <f>'JOUR 1'!Z15+'JOUR 2'!Z15+'JOUR 3'!Z15+'JOUR 4'!Z15+'JOUR 5'!Z15+'JOUR 6'!Z15+'JOUR 7'!Z15+'JOUR 8'!Z15+'JOUR 9'!Z15+'JOUR 10'!Z15+'JOUR 11'!Z15+#REF!+#REF!+#REF!+#REF!+#REF!</f>
        <v>#REF!</v>
      </c>
      <c r="AA15" s="34" t="e">
        <f>'JOUR 1'!AA15+'JOUR 2'!AA15+'JOUR 3'!AA15+'JOUR 4'!AA15+'JOUR 5'!AA15+'JOUR 6'!AA15+'JOUR 7'!AA15+'JOUR 8'!AA15+'JOUR 9'!AA15+'JOUR 10'!AA15+'JOUR 11'!AA15+#REF!+#REF!+#REF!+#REF!+#REF!</f>
        <v>#REF!</v>
      </c>
      <c r="AB15" s="34" t="e">
        <f>'JOUR 1'!AB15+'JOUR 2'!AB15+'JOUR 3'!AB15+'JOUR 4'!AB15+'JOUR 5'!AB15+'JOUR 6'!AB15+'JOUR 7'!AB15+'JOUR 8'!AB15+'JOUR 9'!AB15+'JOUR 10'!AB15+'JOUR 11'!AB15+#REF!+#REF!+#REF!+#REF!+#REF!</f>
        <v>#REF!</v>
      </c>
      <c r="AC15" s="34" t="e">
        <f>'JOUR 1'!AC15+'JOUR 2'!AC15+'JOUR 3'!AC15+'JOUR 4'!AC15+'JOUR 5'!AC15+'JOUR 6'!AC15+'JOUR 7'!AC15+'JOUR 8'!AC15+'JOUR 9'!AC15+'JOUR 10'!AC15+'JOUR 11'!AC15+#REF!+#REF!+#REF!+#REF!+#REF!</f>
        <v>#REF!</v>
      </c>
      <c r="AD15" s="35" t="e">
        <f>'JOUR 1'!AD15+'JOUR 2'!AD15+'JOUR 3'!AD15+'JOUR 4'!AD15+'JOUR 5'!AD15+'JOUR 6'!AD15+'JOUR 7'!AD15+'JOUR 8'!AD15+'JOUR 9'!AD15+'JOUR 10'!AD15+'JOUR 11'!AD15+#REF!+#REF!+#REF!+#REF!+#REF!</f>
        <v>#REF!</v>
      </c>
      <c r="AE15" s="34" t="e">
        <f>'JOUR 1'!AE15+'JOUR 2'!AE15+'JOUR 3'!AE15+'JOUR 4'!AE15+'JOUR 5'!AE15+'JOUR 6'!AE15+'JOUR 7'!AE15+'JOUR 8'!AE15+'JOUR 9'!AE15+'JOUR 10'!AE15+'JOUR 11'!AE15+#REF!+#REF!+#REF!+#REF!+#REF!</f>
        <v>#REF!</v>
      </c>
      <c r="AF15" s="34" t="e">
        <f>'JOUR 1'!AF15+'JOUR 2'!AF15+'JOUR 3'!AF15+'JOUR 4'!AF15+'JOUR 5'!AF15+'JOUR 6'!AF15+'JOUR 7'!AF15+'JOUR 8'!AF15+'JOUR 9'!AF15+'JOUR 10'!AF15+'JOUR 11'!AF15+#REF!+#REF!+#REF!+#REF!+#REF!</f>
        <v>#REF!</v>
      </c>
      <c r="AG15" s="34" t="e">
        <f>'JOUR 1'!AG15+'JOUR 2'!AG15+'JOUR 3'!AG15+'JOUR 4'!AG15+'JOUR 5'!AG15+'JOUR 6'!AG15+'JOUR 7'!AG15+'JOUR 8'!AG15+'JOUR 9'!AG15+'JOUR 10'!AG15+'JOUR 11'!AG15+#REF!+#REF!+#REF!+#REF!+#REF!</f>
        <v>#REF!</v>
      </c>
      <c r="AH15" s="21"/>
      <c r="AI15" s="22"/>
      <c r="AK15" s="85" t="e">
        <f t="shared" si="1"/>
        <v>#REF!</v>
      </c>
      <c r="AL15" s="85" t="e">
        <f t="shared" si="1"/>
        <v>#REF!</v>
      </c>
      <c r="AM15" s="85" t="e">
        <f t="shared" si="1"/>
        <v>#REF!</v>
      </c>
      <c r="AN15" s="85" t="e">
        <f t="shared" si="1"/>
        <v>#REF!</v>
      </c>
      <c r="AO15" s="85" t="e">
        <f t="shared" si="1"/>
        <v>#REF!</v>
      </c>
      <c r="AP15" s="85"/>
      <c r="AQ15" s="85"/>
      <c r="AR15" s="85"/>
      <c r="AS15" s="85" t="e">
        <f t="shared" si="2"/>
        <v>#REF!</v>
      </c>
      <c r="AT15" s="85"/>
      <c r="AU15" s="85"/>
      <c r="AV15" s="85"/>
      <c r="AW15" s="85"/>
      <c r="AX15" s="85"/>
      <c r="AY15" s="87"/>
    </row>
    <row r="16" spans="2:51" ht="17.399999999999999" x14ac:dyDescent="0.25">
      <c r="B16" s="16" t="s">
        <v>59</v>
      </c>
      <c r="C16" s="16" t="s">
        <v>71</v>
      </c>
      <c r="D16" s="17" t="e">
        <f>'JOUR 1'!D16+'JOUR 2'!D16+'JOUR 3'!D16+'JOUR 4'!D16+'JOUR 5'!D16+'JOUR 6'!D16+'JOUR 7'!D16+'JOUR 8'!D16+'JOUR 9'!D16+'JOUR 10'!D16+'JOUR 11'!D16+#REF!+#REF!+#REF!+#REF!+#REF!</f>
        <v>#REF!</v>
      </c>
      <c r="E16" s="17" t="e">
        <f>'JOUR 1'!E16+'JOUR 2'!E16+'JOUR 3'!E16+'JOUR 4'!E16+'JOUR 5'!E16+'JOUR 6'!E16+'JOUR 7'!E16+'JOUR 8'!E16+'JOUR 9'!E16+'JOUR 10'!E16+'JOUR 11'!E16+#REF!+#REF!+#REF!+#REF!+#REF!</f>
        <v>#REF!</v>
      </c>
      <c r="F16" s="17" t="e">
        <f>'JOUR 1'!F16+'JOUR 2'!F16+'JOUR 3'!F16+'JOUR 4'!F16+'JOUR 5'!F16+'JOUR 6'!F16+'JOUR 7'!F16+'JOUR 8'!F16+'JOUR 9'!F16+'JOUR 10'!F16+'JOUR 11'!F16+#REF!+#REF!+#REF!+#REF!+#REF!</f>
        <v>#REF!</v>
      </c>
      <c r="G16" s="17" t="e">
        <f>'JOUR 1'!G16+'JOUR 2'!G16+'JOUR 3'!G16+'JOUR 4'!G16+'JOUR 5'!G16+'JOUR 6'!G16+'JOUR 7'!G16+'JOUR 8'!G16+'JOUR 9'!G16+'JOUR 10'!G16+'JOUR 11'!G16+#REF!+#REF!+#REF!+#REF!+#REF!</f>
        <v>#REF!</v>
      </c>
      <c r="H16" s="17" t="e">
        <f>'JOUR 1'!H16+'JOUR 2'!H16+'JOUR 3'!H16+'JOUR 4'!H16+'JOUR 5'!H16+'JOUR 6'!H16+'JOUR 7'!H16+'JOUR 8'!H16+'JOUR 9'!H16+'JOUR 10'!H16+'JOUR 11'!H16+#REF!+#REF!+#REF!+#REF!+#REF!</f>
        <v>#REF!</v>
      </c>
      <c r="I16" s="17" t="e">
        <f>'JOUR 1'!I16+'JOUR 2'!I16+'JOUR 3'!I16+'JOUR 4'!I16+'JOUR 5'!I16+'JOUR 6'!I16+'JOUR 7'!I16+'JOUR 8'!I16+'JOUR 9'!I16+'JOUR 10'!I16+'JOUR 11'!I16+#REF!+#REF!+#REF!+#REF!+#REF!</f>
        <v>#REF!</v>
      </c>
      <c r="J16" s="17" t="e">
        <f>'JOUR 1'!J16+'JOUR 2'!J16+'JOUR 3'!J16+'JOUR 4'!J16+'JOUR 5'!J16+'JOUR 6'!J16+'JOUR 7'!J16+'JOUR 8'!J16+'JOUR 9'!J16+'JOUR 10'!J16+'JOUR 11'!J16+#REF!+#REF!+#REF!+#REF!+#REF!</f>
        <v>#REF!</v>
      </c>
      <c r="K16" s="17" t="e">
        <f>'JOUR 1'!K16+'JOUR 2'!K16+'JOUR 3'!K16+'JOUR 4'!K16+'JOUR 5'!K16+'JOUR 6'!K16+'JOUR 7'!K16+'JOUR 8'!K16+'JOUR 9'!K16+'JOUR 10'!K16+'JOUR 11'!K16+#REF!+#REF!+#REF!+#REF!+#REF!</f>
        <v>#REF!</v>
      </c>
      <c r="L16" s="17" t="e">
        <f>'JOUR 1'!L16+'JOUR 2'!L16+'JOUR 3'!L16+'JOUR 4'!L16+'JOUR 5'!L16+'JOUR 6'!L16+'JOUR 7'!L16+'JOUR 8'!L16+'JOUR 9'!L16+'JOUR 10'!L16+'JOUR 11'!L16+#REF!+#REF!+#REF!+#REF!+#REF!</f>
        <v>#REF!</v>
      </c>
      <c r="M16" s="17" t="e">
        <f>'JOUR 1'!M16+'JOUR 2'!M16+'JOUR 3'!M16+'JOUR 4'!M16+'JOUR 5'!M16+'JOUR 6'!M16+'JOUR 7'!M16+'JOUR 8'!M16+'JOUR 9'!M16+'JOUR 10'!M16+'JOUR 11'!M16+#REF!+#REF!+#REF!+#REF!+#REF!</f>
        <v>#REF!</v>
      </c>
      <c r="N16" s="17" t="e">
        <f>'JOUR 1'!N16+'JOUR 2'!N16+'JOUR 3'!N16+'JOUR 4'!N16+'JOUR 5'!N16+'JOUR 6'!N16+'JOUR 7'!N16+'JOUR 8'!N16+'JOUR 9'!N16+'JOUR 10'!N16+'JOUR 11'!N16+#REF!+#REF!+#REF!+#REF!+#REF!</f>
        <v>#REF!</v>
      </c>
      <c r="O16" s="17" t="e">
        <f>'JOUR 1'!O16+'JOUR 2'!O16+'JOUR 3'!O16+'JOUR 4'!O16+'JOUR 5'!O16+'JOUR 6'!O16+'JOUR 7'!O16+'JOUR 8'!O16+'JOUR 9'!O16+'JOUR 10'!O16+'JOUR 11'!O16+#REF!+#REF!+#REF!+#REF!+#REF!</f>
        <v>#REF!</v>
      </c>
      <c r="P16" s="17" t="e">
        <f>'JOUR 1'!P16+'JOUR 2'!P16+'JOUR 3'!P16+'JOUR 4'!P16+'JOUR 5'!P16+'JOUR 6'!P16+'JOUR 7'!P16+'JOUR 8'!P16+'JOUR 9'!P16+'JOUR 10'!P16+'JOUR 11'!P16+#REF!+#REF!+#REF!+#REF!+#REF!</f>
        <v>#REF!</v>
      </c>
      <c r="Q16" s="17" t="e">
        <f>'JOUR 1'!Q16+'JOUR 2'!Q16+'JOUR 3'!Q16+'JOUR 4'!Q16+'JOUR 5'!Q16+'JOUR 6'!Q16+'JOUR 7'!Q16+'JOUR 8'!Q16+'JOUR 9'!Q16+'JOUR 10'!Q16+'JOUR 11'!Q16+#REF!+#REF!+#REF!+#REF!+#REF!</f>
        <v>#REF!</v>
      </c>
      <c r="R16" s="17" t="e">
        <f>'JOUR 1'!R16+'JOUR 2'!R16+'JOUR 3'!R16+'JOUR 4'!R16+'JOUR 5'!R16+'JOUR 6'!R16+'JOUR 7'!R16+'JOUR 8'!R16+'JOUR 9'!R16+'JOUR 10'!R16+'JOUR 11'!R16+#REF!+#REF!+#REF!+#REF!+#REF!</f>
        <v>#REF!</v>
      </c>
      <c r="S16" s="31" t="e">
        <f>'JOUR 1'!S16+'JOUR 2'!S16+'JOUR 3'!S16+'JOUR 4'!S16+'JOUR 5'!S16+'JOUR 6'!S16+'JOUR 7'!S16+'JOUR 8'!S16+'JOUR 9'!S16+'JOUR 10'!S16+'JOUR 11'!S16+#REF!+#REF!+#REF!+#REF!+#REF!</f>
        <v>#REF!</v>
      </c>
      <c r="T16" s="31" t="e">
        <f>'JOUR 1'!T16+'JOUR 2'!T16+'JOUR 3'!T16+'JOUR 4'!T16+'JOUR 5'!T16+'JOUR 6'!T16+'JOUR 7'!T16+'JOUR 8'!T16+'JOUR 9'!T16+'JOUR 10'!T16+'JOUR 11'!T16+#REF!+#REF!+#REF!+#REF!+#REF!</f>
        <v>#REF!</v>
      </c>
      <c r="U16" s="31" t="e">
        <f>'JOUR 1'!U16+'JOUR 2'!U16+'JOUR 3'!U16+'JOUR 4'!U16+'JOUR 5'!U16+'JOUR 6'!U16+'JOUR 7'!U16+'JOUR 8'!U16+'JOUR 9'!U16+'JOUR 10'!U16+'JOUR 11'!U16+#REF!+#REF!+#REF!+#REF!+#REF!</f>
        <v>#REF!</v>
      </c>
      <c r="V16" s="32" t="e">
        <f>'JOUR 1'!V16+'JOUR 2'!V16+'JOUR 3'!V16+'JOUR 4'!V16+'JOUR 5'!V16+'JOUR 6'!V16+'JOUR 7'!V16+'JOUR 8'!V16+'JOUR 9'!V16+'JOUR 10'!V16+'JOUR 11'!V16+#REF!+#REF!+#REF!+#REF!+#REF!</f>
        <v>#REF!</v>
      </c>
      <c r="W16" s="32" t="e">
        <f>'JOUR 1'!W16+'JOUR 2'!W16+'JOUR 3'!W16+'JOUR 4'!W16+'JOUR 5'!W16+'JOUR 6'!W16+'JOUR 7'!W16+'JOUR 8'!W16+'JOUR 9'!W16+'JOUR 10'!W16+'JOUR 11'!W16+#REF!+#REF!+#REF!+#REF!+#REF!</f>
        <v>#REF!</v>
      </c>
      <c r="X16" s="32" t="e">
        <f>'JOUR 1'!X16+'JOUR 2'!X16+'JOUR 3'!X16+'JOUR 4'!X16+'JOUR 5'!X16+'JOUR 6'!X16+'JOUR 7'!X16+'JOUR 8'!X16+'JOUR 9'!X16+'JOUR 10'!X16+'JOUR 11'!X16+#REF!+#REF!+#REF!+#REF!+#REF!</f>
        <v>#REF!</v>
      </c>
      <c r="Y16" s="73" t="e">
        <f>'JOUR 1'!Y16+'JOUR 2'!Y16+'JOUR 3'!Y16+'JOUR 4'!Y16+'JOUR 5'!Y16+'JOUR 6'!Y16+'JOUR 7'!Y16+'JOUR 8'!Y16+'JOUR 9'!Y16+'JOUR 10'!Y16+'JOUR 11'!Y16+#REF!+#REF!+#REF!+#REF!+#REF!</f>
        <v>#REF!</v>
      </c>
      <c r="Z16" s="33" t="e">
        <f>'JOUR 1'!Z16+'JOUR 2'!Z16+'JOUR 3'!Z16+'JOUR 4'!Z16+'JOUR 5'!Z16+'JOUR 6'!Z16+'JOUR 7'!Z16+'JOUR 8'!Z16+'JOUR 9'!Z16+'JOUR 10'!Z16+'JOUR 11'!Z16+#REF!+#REF!+#REF!+#REF!+#REF!</f>
        <v>#REF!</v>
      </c>
      <c r="AA16" s="34" t="e">
        <f>'JOUR 1'!AA16+'JOUR 2'!AA16+'JOUR 3'!AA16+'JOUR 4'!AA16+'JOUR 5'!AA16+'JOUR 6'!AA16+'JOUR 7'!AA16+'JOUR 8'!AA16+'JOUR 9'!AA16+'JOUR 10'!AA16+'JOUR 11'!AA16+#REF!+#REF!+#REF!+#REF!+#REF!</f>
        <v>#REF!</v>
      </c>
      <c r="AB16" s="34" t="e">
        <f>'JOUR 1'!AB16+'JOUR 2'!AB16+'JOUR 3'!AB16+'JOUR 4'!AB16+'JOUR 5'!AB16+'JOUR 6'!AB16+'JOUR 7'!AB16+'JOUR 8'!AB16+'JOUR 9'!AB16+'JOUR 10'!AB16+'JOUR 11'!AB16+#REF!+#REF!+#REF!+#REF!+#REF!</f>
        <v>#REF!</v>
      </c>
      <c r="AC16" s="34" t="e">
        <f>'JOUR 1'!AC16+'JOUR 2'!AC16+'JOUR 3'!AC16+'JOUR 4'!AC16+'JOUR 5'!AC16+'JOUR 6'!AC16+'JOUR 7'!AC16+'JOUR 8'!AC16+'JOUR 9'!AC16+'JOUR 10'!AC16+'JOUR 11'!AC16+#REF!+#REF!+#REF!+#REF!+#REF!</f>
        <v>#REF!</v>
      </c>
      <c r="AD16" s="35" t="e">
        <f>'JOUR 1'!AD16+'JOUR 2'!AD16+'JOUR 3'!AD16+'JOUR 4'!AD16+'JOUR 5'!AD16+'JOUR 6'!AD16+'JOUR 7'!AD16+'JOUR 8'!AD16+'JOUR 9'!AD16+'JOUR 10'!AD16+'JOUR 11'!AD16+#REF!+#REF!+#REF!+#REF!+#REF!</f>
        <v>#REF!</v>
      </c>
      <c r="AE16" s="34" t="e">
        <f>'JOUR 1'!AE16+'JOUR 2'!AE16+'JOUR 3'!AE16+'JOUR 4'!AE16+'JOUR 5'!AE16+'JOUR 6'!AE16+'JOUR 7'!AE16+'JOUR 8'!AE16+'JOUR 9'!AE16+'JOUR 10'!AE16+'JOUR 11'!AE16+#REF!+#REF!+#REF!+#REF!+#REF!</f>
        <v>#REF!</v>
      </c>
      <c r="AF16" s="34" t="e">
        <f>'JOUR 1'!AF16+'JOUR 2'!AF16+'JOUR 3'!AF16+'JOUR 4'!AF16+'JOUR 5'!AF16+'JOUR 6'!AF16+'JOUR 7'!AF16+'JOUR 8'!AF16+'JOUR 9'!AF16+'JOUR 10'!AF16+'JOUR 11'!AF16+#REF!+#REF!+#REF!+#REF!+#REF!</f>
        <v>#REF!</v>
      </c>
      <c r="AG16" s="34" t="e">
        <f>'JOUR 1'!AG16+'JOUR 2'!AG16+'JOUR 3'!AG16+'JOUR 4'!AG16+'JOUR 5'!AG16+'JOUR 6'!AG16+'JOUR 7'!AG16+'JOUR 8'!AG16+'JOUR 9'!AG16+'JOUR 10'!AG16+'JOUR 11'!AG16+#REF!+#REF!+#REF!+#REF!+#REF!</f>
        <v>#REF!</v>
      </c>
      <c r="AH16" s="21"/>
      <c r="AI16" s="22"/>
      <c r="AK16" s="85" t="e">
        <f t="shared" si="1"/>
        <v>#REF!</v>
      </c>
      <c r="AL16" s="85" t="e">
        <f t="shared" si="1"/>
        <v>#REF!</v>
      </c>
      <c r="AM16" s="85" t="e">
        <f t="shared" si="1"/>
        <v>#REF!</v>
      </c>
      <c r="AN16" s="85" t="e">
        <f t="shared" si="1"/>
        <v>#REF!</v>
      </c>
      <c r="AO16" s="85" t="e">
        <f t="shared" si="1"/>
        <v>#REF!</v>
      </c>
      <c r="AP16" s="85"/>
      <c r="AQ16" s="85"/>
      <c r="AR16" s="85"/>
      <c r="AS16" s="85" t="e">
        <f t="shared" si="2"/>
        <v>#REF!</v>
      </c>
      <c r="AT16" s="85"/>
      <c r="AU16" s="85"/>
      <c r="AV16" s="85"/>
      <c r="AW16" s="85"/>
      <c r="AX16" s="85"/>
      <c r="AY16" s="87"/>
    </row>
    <row r="17" spans="1:51" ht="17.399999999999999" x14ac:dyDescent="0.25">
      <c r="B17" s="16" t="s">
        <v>59</v>
      </c>
      <c r="C17" s="16" t="s">
        <v>72</v>
      </c>
      <c r="D17" s="17" t="e">
        <f>'JOUR 1'!D17+'JOUR 2'!D17+'JOUR 3'!D17+'JOUR 4'!D17+'JOUR 5'!D17+'JOUR 6'!D17+'JOUR 7'!D17+'JOUR 8'!D17+'JOUR 9'!D17+'JOUR 10'!D17+'JOUR 11'!D17+#REF!+#REF!+#REF!+#REF!+#REF!</f>
        <v>#REF!</v>
      </c>
      <c r="E17" s="17" t="e">
        <f>'JOUR 1'!E17+'JOUR 2'!E17+'JOUR 3'!E17+'JOUR 4'!E17+'JOUR 5'!E17+'JOUR 6'!E17+'JOUR 7'!E17+'JOUR 8'!E17+'JOUR 9'!E17+'JOUR 10'!E17+'JOUR 11'!E17+#REF!+#REF!+#REF!+#REF!+#REF!</f>
        <v>#REF!</v>
      </c>
      <c r="F17" s="17" t="e">
        <f>'JOUR 1'!F17+'JOUR 2'!F17+'JOUR 3'!F17+'JOUR 4'!F17+'JOUR 5'!F17+'JOUR 6'!F17+'JOUR 7'!F17+'JOUR 8'!F17+'JOUR 9'!F17+'JOUR 10'!F17+'JOUR 11'!F17+#REF!+#REF!+#REF!+#REF!+#REF!</f>
        <v>#REF!</v>
      </c>
      <c r="G17" s="17" t="e">
        <f>'JOUR 1'!G17+'JOUR 2'!G17+'JOUR 3'!G17+'JOUR 4'!G17+'JOUR 5'!G17+'JOUR 6'!G17+'JOUR 7'!G17+'JOUR 8'!G17+'JOUR 9'!G17+'JOUR 10'!G17+'JOUR 11'!G17+#REF!+#REF!+#REF!+#REF!+#REF!</f>
        <v>#REF!</v>
      </c>
      <c r="H17" s="17" t="e">
        <f>'JOUR 1'!H17+'JOUR 2'!H17+'JOUR 3'!H17+'JOUR 4'!H17+'JOUR 5'!H17+'JOUR 6'!H17+'JOUR 7'!H17+'JOUR 8'!H17+'JOUR 9'!H17+'JOUR 10'!H17+'JOUR 11'!H17+#REF!+#REF!+#REF!+#REF!+#REF!</f>
        <v>#REF!</v>
      </c>
      <c r="I17" s="17" t="e">
        <f>'JOUR 1'!I17+'JOUR 2'!I17+'JOUR 3'!I17+'JOUR 4'!I17+'JOUR 5'!I17+'JOUR 6'!I17+'JOUR 7'!I17+'JOUR 8'!I17+'JOUR 9'!I17+'JOUR 10'!I17+'JOUR 11'!I17+#REF!+#REF!+#REF!+#REF!+#REF!</f>
        <v>#REF!</v>
      </c>
      <c r="J17" s="17" t="e">
        <f>'JOUR 1'!J17+'JOUR 2'!J17+'JOUR 3'!J17+'JOUR 4'!J17+'JOUR 5'!J17+'JOUR 6'!J17+'JOUR 7'!J17+'JOUR 8'!J17+'JOUR 9'!J17+'JOUR 10'!J17+'JOUR 11'!J17+#REF!+#REF!+#REF!+#REF!+#REF!</f>
        <v>#REF!</v>
      </c>
      <c r="K17" s="17" t="e">
        <f>'JOUR 1'!K17+'JOUR 2'!K17+'JOUR 3'!K17+'JOUR 4'!K17+'JOUR 5'!K17+'JOUR 6'!K17+'JOUR 7'!K17+'JOUR 8'!K17+'JOUR 9'!K17+'JOUR 10'!K17+'JOUR 11'!K17+#REF!+#REF!+#REF!+#REF!+#REF!</f>
        <v>#REF!</v>
      </c>
      <c r="L17" s="17" t="e">
        <f>'JOUR 1'!L17+'JOUR 2'!L17+'JOUR 3'!L17+'JOUR 4'!L17+'JOUR 5'!L17+'JOUR 6'!L17+'JOUR 7'!L17+'JOUR 8'!L17+'JOUR 9'!L17+'JOUR 10'!L17+'JOUR 11'!L17+#REF!+#REF!+#REF!+#REF!+#REF!</f>
        <v>#REF!</v>
      </c>
      <c r="M17" s="17" t="e">
        <f>'JOUR 1'!M17+'JOUR 2'!M17+'JOUR 3'!M17+'JOUR 4'!M17+'JOUR 5'!M17+'JOUR 6'!M17+'JOUR 7'!M17+'JOUR 8'!M17+'JOUR 9'!M17+'JOUR 10'!M17+'JOUR 11'!M17+#REF!+#REF!+#REF!+#REF!+#REF!</f>
        <v>#REF!</v>
      </c>
      <c r="N17" s="17" t="e">
        <f>'JOUR 1'!N17+'JOUR 2'!N17+'JOUR 3'!N17+'JOUR 4'!N17+'JOUR 5'!N17+'JOUR 6'!N17+'JOUR 7'!N17+'JOUR 8'!N17+'JOUR 9'!N17+'JOUR 10'!N17+'JOUR 11'!N17+#REF!+#REF!+#REF!+#REF!+#REF!</f>
        <v>#REF!</v>
      </c>
      <c r="O17" s="17" t="e">
        <f>'JOUR 1'!O17+'JOUR 2'!O17+'JOUR 3'!O17+'JOUR 4'!O17+'JOUR 5'!O17+'JOUR 6'!O17+'JOUR 7'!O17+'JOUR 8'!O17+'JOUR 9'!O17+'JOUR 10'!O17+'JOUR 11'!O17+#REF!+#REF!+#REF!+#REF!+#REF!</f>
        <v>#REF!</v>
      </c>
      <c r="P17" s="17" t="e">
        <f>'JOUR 1'!P17+'JOUR 2'!P17+'JOUR 3'!P17+'JOUR 4'!P17+'JOUR 5'!P17+'JOUR 6'!P17+'JOUR 7'!P17+'JOUR 8'!P17+'JOUR 9'!P17+'JOUR 10'!P17+'JOUR 11'!P17+#REF!+#REF!+#REF!+#REF!+#REF!</f>
        <v>#REF!</v>
      </c>
      <c r="Q17" s="17" t="e">
        <f>'JOUR 1'!Q17+'JOUR 2'!Q17+'JOUR 3'!Q17+'JOUR 4'!Q17+'JOUR 5'!Q17+'JOUR 6'!Q17+'JOUR 7'!Q17+'JOUR 8'!Q17+'JOUR 9'!Q17+'JOUR 10'!Q17+'JOUR 11'!Q17+#REF!+#REF!+#REF!+#REF!+#REF!</f>
        <v>#REF!</v>
      </c>
      <c r="R17" s="17" t="e">
        <f>'JOUR 1'!R17+'JOUR 2'!R17+'JOUR 3'!R17+'JOUR 4'!R17+'JOUR 5'!R17+'JOUR 6'!R17+'JOUR 7'!R17+'JOUR 8'!R17+'JOUR 9'!R17+'JOUR 10'!R17+'JOUR 11'!R17+#REF!+#REF!+#REF!+#REF!+#REF!</f>
        <v>#REF!</v>
      </c>
      <c r="S17" s="31" t="e">
        <f>'JOUR 1'!S17+'JOUR 2'!S17+'JOUR 3'!S17+'JOUR 4'!S17+'JOUR 5'!S17+'JOUR 6'!S17+'JOUR 7'!S17+'JOUR 8'!S17+'JOUR 9'!S17+'JOUR 10'!S17+'JOUR 11'!S17+#REF!+#REF!+#REF!+#REF!+#REF!</f>
        <v>#REF!</v>
      </c>
      <c r="T17" s="31" t="e">
        <f>'JOUR 1'!T17+'JOUR 2'!T17+'JOUR 3'!T17+'JOUR 4'!T17+'JOUR 5'!T17+'JOUR 6'!T17+'JOUR 7'!T17+'JOUR 8'!T17+'JOUR 9'!T17+'JOUR 10'!T17+'JOUR 11'!T17+#REF!+#REF!+#REF!+#REF!+#REF!</f>
        <v>#REF!</v>
      </c>
      <c r="U17" s="31" t="e">
        <f>'JOUR 1'!U17+'JOUR 2'!U17+'JOUR 3'!U17+'JOUR 4'!U17+'JOUR 5'!U17+'JOUR 6'!U17+'JOUR 7'!U17+'JOUR 8'!U17+'JOUR 9'!U17+'JOUR 10'!U17+'JOUR 11'!U17+#REF!+#REF!+#REF!+#REF!+#REF!</f>
        <v>#REF!</v>
      </c>
      <c r="V17" s="32" t="e">
        <f>'JOUR 1'!V17+'JOUR 2'!V17+'JOUR 3'!V17+'JOUR 4'!V17+'JOUR 5'!V17+'JOUR 6'!V17+'JOUR 7'!V17+'JOUR 8'!V17+'JOUR 9'!V17+'JOUR 10'!V17+'JOUR 11'!V17+#REF!+#REF!+#REF!+#REF!+#REF!</f>
        <v>#REF!</v>
      </c>
      <c r="W17" s="32" t="e">
        <f>'JOUR 1'!W17+'JOUR 2'!W17+'JOUR 3'!W17+'JOUR 4'!W17+'JOUR 5'!W17+'JOUR 6'!W17+'JOUR 7'!W17+'JOUR 8'!W17+'JOUR 9'!W17+'JOUR 10'!W17+'JOUR 11'!W17+#REF!+#REF!+#REF!+#REF!+#REF!</f>
        <v>#REF!</v>
      </c>
      <c r="X17" s="32" t="e">
        <f>'JOUR 1'!X17+'JOUR 2'!X17+'JOUR 3'!X17+'JOUR 4'!X17+'JOUR 5'!X17+'JOUR 6'!X17+'JOUR 7'!X17+'JOUR 8'!X17+'JOUR 9'!X17+'JOUR 10'!X17+'JOUR 11'!X17+#REF!+#REF!+#REF!+#REF!+#REF!</f>
        <v>#REF!</v>
      </c>
      <c r="Y17" s="73" t="e">
        <f>'JOUR 1'!Y17+'JOUR 2'!Y17+'JOUR 3'!Y17+'JOUR 4'!Y17+'JOUR 5'!Y17+'JOUR 6'!Y17+'JOUR 7'!Y17+'JOUR 8'!Y17+'JOUR 9'!Y17+'JOUR 10'!Y17+'JOUR 11'!Y17+#REF!+#REF!+#REF!+#REF!+#REF!</f>
        <v>#REF!</v>
      </c>
      <c r="Z17" s="33" t="e">
        <f>'JOUR 1'!Z17+'JOUR 2'!Z17+'JOUR 3'!Z17+'JOUR 4'!Z17+'JOUR 5'!Z17+'JOUR 6'!Z17+'JOUR 7'!Z17+'JOUR 8'!Z17+'JOUR 9'!Z17+'JOUR 10'!Z17+'JOUR 11'!Z17+#REF!+#REF!+#REF!+#REF!+#REF!</f>
        <v>#REF!</v>
      </c>
      <c r="AA17" s="34" t="e">
        <f>'JOUR 1'!AA17+'JOUR 2'!AA17+'JOUR 3'!AA17+'JOUR 4'!AA17+'JOUR 5'!AA17+'JOUR 6'!AA17+'JOUR 7'!AA17+'JOUR 8'!AA17+'JOUR 9'!AA17+'JOUR 10'!AA17+'JOUR 11'!AA17+#REF!+#REF!+#REF!+#REF!+#REF!</f>
        <v>#REF!</v>
      </c>
      <c r="AB17" s="34" t="e">
        <f>'JOUR 1'!AB17+'JOUR 2'!AB17+'JOUR 3'!AB17+'JOUR 4'!AB17+'JOUR 5'!AB17+'JOUR 6'!AB17+'JOUR 7'!AB17+'JOUR 8'!AB17+'JOUR 9'!AB17+'JOUR 10'!AB17+'JOUR 11'!AB17+#REF!+#REF!+#REF!+#REF!+#REF!</f>
        <v>#REF!</v>
      </c>
      <c r="AC17" s="34" t="e">
        <f>'JOUR 1'!AC17+'JOUR 2'!AC17+'JOUR 3'!AC17+'JOUR 4'!AC17+'JOUR 5'!AC17+'JOUR 6'!AC17+'JOUR 7'!AC17+'JOUR 8'!AC17+'JOUR 9'!AC17+'JOUR 10'!AC17+'JOUR 11'!AC17+#REF!+#REF!+#REF!+#REF!+#REF!</f>
        <v>#REF!</v>
      </c>
      <c r="AD17" s="35" t="e">
        <f>'JOUR 1'!AD17+'JOUR 2'!AD17+'JOUR 3'!AD17+'JOUR 4'!AD17+'JOUR 5'!AD17+'JOUR 6'!AD17+'JOUR 7'!AD17+'JOUR 8'!AD17+'JOUR 9'!AD17+'JOUR 10'!AD17+'JOUR 11'!AD17+#REF!+#REF!+#REF!+#REF!+#REF!</f>
        <v>#REF!</v>
      </c>
      <c r="AE17" s="34" t="e">
        <f>'JOUR 1'!AE17+'JOUR 2'!AE17+'JOUR 3'!AE17+'JOUR 4'!AE17+'JOUR 5'!AE17+'JOUR 6'!AE17+'JOUR 7'!AE17+'JOUR 8'!AE17+'JOUR 9'!AE17+'JOUR 10'!AE17+'JOUR 11'!AE17+#REF!+#REF!+#REF!+#REF!+#REF!</f>
        <v>#REF!</v>
      </c>
      <c r="AF17" s="34" t="e">
        <f>'JOUR 1'!AF17+'JOUR 2'!AF17+'JOUR 3'!AF17+'JOUR 4'!AF17+'JOUR 5'!AF17+'JOUR 6'!AF17+'JOUR 7'!AF17+'JOUR 8'!AF17+'JOUR 9'!AF17+'JOUR 10'!AF17+'JOUR 11'!AF17+#REF!+#REF!+#REF!+#REF!+#REF!</f>
        <v>#REF!</v>
      </c>
      <c r="AG17" s="34" t="e">
        <f>'JOUR 1'!AG17+'JOUR 2'!AG17+'JOUR 3'!AG17+'JOUR 4'!AG17+'JOUR 5'!AG17+'JOUR 6'!AG17+'JOUR 7'!AG17+'JOUR 8'!AG17+'JOUR 9'!AG17+'JOUR 10'!AG17+'JOUR 11'!AG17+#REF!+#REF!+#REF!+#REF!+#REF!</f>
        <v>#REF!</v>
      </c>
      <c r="AH17" s="21"/>
      <c r="AI17" s="22"/>
      <c r="AK17" s="85" t="e">
        <f t="shared" si="1"/>
        <v>#REF!</v>
      </c>
      <c r="AL17" s="85" t="e">
        <f t="shared" si="1"/>
        <v>#REF!</v>
      </c>
      <c r="AM17" s="85" t="e">
        <f t="shared" si="1"/>
        <v>#REF!</v>
      </c>
      <c r="AN17" s="85" t="e">
        <f t="shared" si="1"/>
        <v>#REF!</v>
      </c>
      <c r="AO17" s="85" t="e">
        <f t="shared" si="1"/>
        <v>#REF!</v>
      </c>
      <c r="AP17" s="85"/>
      <c r="AQ17" s="85"/>
      <c r="AR17" s="85"/>
      <c r="AS17" s="85" t="e">
        <f t="shared" si="2"/>
        <v>#REF!</v>
      </c>
      <c r="AT17" s="85"/>
      <c r="AU17" s="85"/>
      <c r="AV17" s="85"/>
      <c r="AW17" s="85"/>
      <c r="AX17" s="85"/>
      <c r="AY17" s="87"/>
    </row>
    <row r="18" spans="1:51" ht="17.399999999999999" x14ac:dyDescent="0.25">
      <c r="B18" s="16"/>
      <c r="C18" s="16"/>
      <c r="D18" s="17" t="e">
        <f>'JOUR 1'!D18+'JOUR 2'!D18+'JOUR 3'!D18+'JOUR 4'!D18+'JOUR 5'!D18+'JOUR 6'!D18+'JOUR 7'!D18+'JOUR 8'!D18+'JOUR 9'!D18+'JOUR 10'!D18+'JOUR 11'!D18+#REF!+#REF!+#REF!+#REF!+#REF!</f>
        <v>#VALUE!</v>
      </c>
      <c r="E18" s="17" t="e">
        <f>'JOUR 1'!E18+'JOUR 2'!E18+'JOUR 3'!E18+'JOUR 4'!E18+'JOUR 5'!E18+'JOUR 6'!E18+'JOUR 7'!E18+'JOUR 8'!E18+'JOUR 9'!E18+'JOUR 10'!E18+'JOUR 11'!E18+#REF!+#REF!+#REF!+#REF!+#REF!</f>
        <v>#REF!</v>
      </c>
      <c r="F18" s="17" t="e">
        <f>'JOUR 1'!F18+'JOUR 2'!F18+'JOUR 3'!F18+'JOUR 4'!F18+'JOUR 5'!F18+'JOUR 6'!F18+'JOUR 7'!F18+'JOUR 8'!F18+'JOUR 9'!F18+'JOUR 10'!F18+'JOUR 11'!F18+#REF!+#REF!+#REF!+#REF!+#REF!</f>
        <v>#REF!</v>
      </c>
      <c r="G18" s="17" t="e">
        <f>'JOUR 1'!G18+'JOUR 2'!G18+'JOUR 3'!G18+'JOUR 4'!G18+'JOUR 5'!G18+'JOUR 6'!G18+'JOUR 7'!G18+'JOUR 8'!G18+'JOUR 9'!G18+'JOUR 10'!G18+'JOUR 11'!G18+#REF!+#REF!+#REF!+#REF!+#REF!</f>
        <v>#REF!</v>
      </c>
      <c r="H18" s="17" t="e">
        <f>'JOUR 1'!H18+'JOUR 2'!H18+'JOUR 3'!H18+'JOUR 4'!H18+'JOUR 5'!H18+'JOUR 6'!H18+'JOUR 7'!H18+'JOUR 8'!H18+'JOUR 9'!H18+'JOUR 10'!H18+'JOUR 11'!H18+#REF!+#REF!+#REF!+#REF!+#REF!</f>
        <v>#REF!</v>
      </c>
      <c r="I18" s="17" t="e">
        <f>'JOUR 1'!I18+'JOUR 2'!I18+'JOUR 3'!I18+'JOUR 4'!I18+'JOUR 5'!I18+'JOUR 6'!I18+'JOUR 7'!I18+'JOUR 8'!I18+'JOUR 9'!I18+'JOUR 10'!I18+'JOUR 11'!I18+#REF!+#REF!+#REF!+#REF!+#REF!</f>
        <v>#REF!</v>
      </c>
      <c r="J18" s="17" t="e">
        <f>'JOUR 1'!J18+'JOUR 2'!J18+'JOUR 3'!J18+'JOUR 4'!J18+'JOUR 5'!J18+'JOUR 6'!J18+'JOUR 7'!J18+'JOUR 8'!J18+'JOUR 9'!J18+'JOUR 10'!J18+'JOUR 11'!J18+#REF!+#REF!+#REF!+#REF!+#REF!</f>
        <v>#REF!</v>
      </c>
      <c r="K18" s="17" t="e">
        <f>'JOUR 1'!K18+'JOUR 2'!K18+'JOUR 3'!K18+'JOUR 4'!K18+'JOUR 5'!K18+'JOUR 6'!K18+'JOUR 7'!K18+'JOUR 8'!K18+'JOUR 9'!K18+'JOUR 10'!K18+'JOUR 11'!K18+#REF!+#REF!+#REF!+#REF!+#REF!</f>
        <v>#REF!</v>
      </c>
      <c r="L18" s="17" t="e">
        <f>'JOUR 1'!L18+'JOUR 2'!L18+'JOUR 3'!L18+'JOUR 4'!L18+'JOUR 5'!L18+'JOUR 6'!L18+'JOUR 7'!L18+'JOUR 8'!L18+'JOUR 9'!L18+'JOUR 10'!L18+'JOUR 11'!L18+#REF!+#REF!+#REF!+#REF!+#REF!</f>
        <v>#REF!</v>
      </c>
      <c r="M18" s="17" t="e">
        <f>'JOUR 1'!M18+'JOUR 2'!M18+'JOUR 3'!M18+'JOUR 4'!M18+'JOUR 5'!M18+'JOUR 6'!M18+'JOUR 7'!M18+'JOUR 8'!M18+'JOUR 9'!M18+'JOUR 10'!M18+'JOUR 11'!M18+#REF!+#REF!+#REF!+#REF!+#REF!</f>
        <v>#REF!</v>
      </c>
      <c r="N18" s="17" t="e">
        <f>'JOUR 1'!N18+'JOUR 2'!N18+'JOUR 3'!N18+'JOUR 4'!N18+'JOUR 5'!N18+'JOUR 6'!N18+'JOUR 7'!N18+'JOUR 8'!N18+'JOUR 9'!N18+'JOUR 10'!N18+'JOUR 11'!N18+#REF!+#REF!+#REF!+#REF!+#REF!</f>
        <v>#REF!</v>
      </c>
      <c r="O18" s="17" t="e">
        <f>'JOUR 1'!O18+'JOUR 2'!O18+'JOUR 3'!O18+'JOUR 4'!O18+'JOUR 5'!O18+'JOUR 6'!O18+'JOUR 7'!O18+'JOUR 8'!O18+'JOUR 9'!O18+'JOUR 10'!O18+'JOUR 11'!O18+#REF!+#REF!+#REF!+#REF!+#REF!</f>
        <v>#REF!</v>
      </c>
      <c r="P18" s="17" t="e">
        <f>'JOUR 1'!P18+'JOUR 2'!P18+'JOUR 3'!P18+'JOUR 4'!P18+'JOUR 5'!P18+'JOUR 6'!P18+'JOUR 7'!P18+'JOUR 8'!P18+'JOUR 9'!P18+'JOUR 10'!P18+'JOUR 11'!P18+#REF!+#REF!+#REF!+#REF!+#REF!</f>
        <v>#REF!</v>
      </c>
      <c r="Q18" s="17" t="e">
        <f>'JOUR 1'!Q18+'JOUR 2'!Q18+'JOUR 3'!Q18+'JOUR 4'!Q18+'JOUR 5'!Q18+'JOUR 6'!Q18+'JOUR 7'!Q18+'JOUR 8'!Q18+'JOUR 9'!Q18+'JOUR 10'!Q18+'JOUR 11'!Q18+#REF!+#REF!+#REF!+#REF!+#REF!</f>
        <v>#REF!</v>
      </c>
      <c r="R18" s="17" t="e">
        <f>'JOUR 1'!R18+'JOUR 2'!R18+'JOUR 3'!R18+'JOUR 4'!R18+'JOUR 5'!R18+'JOUR 6'!R18+'JOUR 7'!R18+'JOUR 8'!R18+'JOUR 9'!R18+'JOUR 10'!R18+'JOUR 11'!R18+#REF!+#REF!+#REF!+#REF!+#REF!</f>
        <v>#REF!</v>
      </c>
      <c r="S18" s="31" t="e">
        <f>'JOUR 1'!S18+'JOUR 2'!S18+'JOUR 3'!S18+'JOUR 4'!S18+'JOUR 5'!S18+'JOUR 6'!S18+'JOUR 7'!S18+'JOUR 8'!S18+'JOUR 9'!S18+'JOUR 10'!S18+'JOUR 11'!S18+#REF!+#REF!+#REF!+#REF!+#REF!</f>
        <v>#REF!</v>
      </c>
      <c r="T18" s="31" t="e">
        <f>'JOUR 1'!T18+'JOUR 2'!T18+'JOUR 3'!T18+'JOUR 4'!T18+'JOUR 5'!T18+'JOUR 6'!T18+'JOUR 7'!T18+'JOUR 8'!T18+'JOUR 9'!T18+'JOUR 10'!T18+'JOUR 11'!T18+#REF!+#REF!+#REF!+#REF!+#REF!</f>
        <v>#REF!</v>
      </c>
      <c r="U18" s="31" t="e">
        <f>'JOUR 1'!U18+'JOUR 2'!U18+'JOUR 3'!U18+'JOUR 4'!U18+'JOUR 5'!U18+'JOUR 6'!U18+'JOUR 7'!U18+'JOUR 8'!U18+'JOUR 9'!U18+'JOUR 10'!U18+'JOUR 11'!U18+#REF!+#REF!+#REF!+#REF!+#REF!</f>
        <v>#REF!</v>
      </c>
      <c r="V18" s="32" t="e">
        <f>'JOUR 1'!V18+'JOUR 2'!V18+'JOUR 3'!V18+'JOUR 4'!V18+'JOUR 5'!V18+'JOUR 6'!V18+'JOUR 7'!V18+'JOUR 8'!V18+'JOUR 9'!V18+'JOUR 10'!V18+'JOUR 11'!V18+#REF!+#REF!+#REF!+#REF!+#REF!</f>
        <v>#REF!</v>
      </c>
      <c r="W18" s="32" t="e">
        <f>'JOUR 1'!W18+'JOUR 2'!W18+'JOUR 3'!W18+'JOUR 4'!W18+'JOUR 5'!W18+'JOUR 6'!W18+'JOUR 7'!W18+'JOUR 8'!W18+'JOUR 9'!W18+'JOUR 10'!W18+'JOUR 11'!W18+#REF!+#REF!+#REF!+#REF!+#REF!</f>
        <v>#REF!</v>
      </c>
      <c r="X18" s="32" t="e">
        <f>'JOUR 1'!X18+'JOUR 2'!X18+'JOUR 3'!X18+'JOUR 4'!X18+'JOUR 5'!X18+'JOUR 6'!X18+'JOUR 7'!X18+'JOUR 8'!X18+'JOUR 9'!X18+'JOUR 10'!X18+'JOUR 11'!X18+#REF!+#REF!+#REF!+#REF!+#REF!</f>
        <v>#REF!</v>
      </c>
      <c r="Y18" s="73" t="e">
        <f>'JOUR 1'!Y18+'JOUR 2'!Y18+'JOUR 3'!Y18+'JOUR 4'!Y18+'JOUR 5'!Y18+'JOUR 6'!Y18+'JOUR 7'!Y18+'JOUR 8'!Y18+'JOUR 9'!Y18+'JOUR 10'!Y18+'JOUR 11'!Y18+#REF!+#REF!+#REF!+#REF!+#REF!</f>
        <v>#REF!</v>
      </c>
      <c r="Z18" s="33" t="e">
        <f>'JOUR 1'!Z18+'JOUR 2'!Z18+'JOUR 3'!Z18+'JOUR 4'!Z18+'JOUR 5'!Z18+'JOUR 6'!Z18+'JOUR 7'!Z18+'JOUR 8'!Z18+'JOUR 9'!Z18+'JOUR 10'!Z18+'JOUR 11'!Z18+#REF!+#REF!+#REF!+#REF!+#REF!</f>
        <v>#REF!</v>
      </c>
      <c r="AA18" s="34" t="e">
        <f>'JOUR 1'!AA18+'JOUR 2'!AA18+'JOUR 3'!AA18+'JOUR 4'!AA18+'JOUR 5'!AA18+'JOUR 6'!AA18+'JOUR 7'!AA18+'JOUR 8'!AA18+'JOUR 9'!AA18+'JOUR 10'!AA18+'JOUR 11'!AA18+#REF!+#REF!+#REF!+#REF!+#REF!</f>
        <v>#REF!</v>
      </c>
      <c r="AB18" s="34" t="e">
        <f>'JOUR 1'!AB18+'JOUR 2'!AB18+'JOUR 3'!AB18+'JOUR 4'!AB18+'JOUR 5'!AB18+'JOUR 6'!AB18+'JOUR 7'!AB18+'JOUR 8'!AB18+'JOUR 9'!AB18+'JOUR 10'!AB18+'JOUR 11'!AB18+#REF!+#REF!+#REF!+#REF!+#REF!</f>
        <v>#REF!</v>
      </c>
      <c r="AC18" s="34" t="e">
        <f>'JOUR 1'!AC18+'JOUR 2'!AC18+'JOUR 3'!AC18+'JOUR 4'!AC18+'JOUR 5'!AC18+'JOUR 6'!AC18+'JOUR 7'!AC18+'JOUR 8'!AC18+'JOUR 9'!AC18+'JOUR 10'!AC18+'JOUR 11'!AC18+#REF!+#REF!+#REF!+#REF!+#REF!</f>
        <v>#REF!</v>
      </c>
      <c r="AD18" s="35" t="e">
        <f>'JOUR 1'!AD18+'JOUR 2'!AD18+'JOUR 3'!AD18+'JOUR 4'!AD18+'JOUR 5'!AD18+'JOUR 6'!AD18+'JOUR 7'!AD18+'JOUR 8'!AD18+'JOUR 9'!AD18+'JOUR 10'!AD18+'JOUR 11'!AD18+#REF!+#REF!+#REF!+#REF!+#REF!</f>
        <v>#REF!</v>
      </c>
      <c r="AE18" s="34" t="e">
        <f>'JOUR 1'!AE18+'JOUR 2'!AE18+'JOUR 3'!AE18+'JOUR 4'!AE18+'JOUR 5'!AE18+'JOUR 6'!AE18+'JOUR 7'!AE18+'JOUR 8'!AE18+'JOUR 9'!AE18+'JOUR 10'!AE18+'JOUR 11'!AE18+#REF!+#REF!+#REF!+#REF!+#REF!</f>
        <v>#REF!</v>
      </c>
      <c r="AF18" s="34" t="e">
        <f>'JOUR 1'!AF18+'JOUR 2'!AF18+'JOUR 3'!AF18+'JOUR 4'!AF18+'JOUR 5'!AF18+'JOUR 6'!AF18+'JOUR 7'!AF18+'JOUR 8'!AF18+'JOUR 9'!AF18+'JOUR 10'!AF18+'JOUR 11'!AF18+#REF!+#REF!+#REF!+#REF!+#REF!</f>
        <v>#REF!</v>
      </c>
      <c r="AG18" s="34" t="e">
        <f>'JOUR 1'!AG18+'JOUR 2'!AG18+'JOUR 3'!AG18+'JOUR 4'!AG18+'JOUR 5'!AG18+'JOUR 6'!AG18+'JOUR 7'!AG18+'JOUR 8'!AG18+'JOUR 9'!AG18+'JOUR 10'!AG18+'JOUR 11'!AG18+#REF!+#REF!+#REF!+#REF!+#REF!</f>
        <v>#REF!</v>
      </c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7"/>
    </row>
    <row r="19" spans="1:51" ht="17.399999999999999" x14ac:dyDescent="0.25">
      <c r="B19" s="16"/>
      <c r="C19" s="16"/>
      <c r="D19" s="17" t="e">
        <f>'JOUR 1'!D19+'JOUR 2'!D19+'JOUR 3'!D19+'JOUR 4'!D19+'JOUR 5'!D19+'JOUR 6'!D19+'JOUR 7'!D19+'JOUR 8'!D19+'JOUR 9'!D19+'JOUR 10'!D19+'JOUR 11'!D19+#REF!+#REF!+#REF!+#REF!+#REF!</f>
        <v>#REF!</v>
      </c>
      <c r="E19" s="17" t="e">
        <f>'JOUR 1'!E19+'JOUR 2'!E19+'JOUR 3'!E19+'JOUR 4'!E19+'JOUR 5'!E19+'JOUR 6'!E19+'JOUR 7'!E19+'JOUR 8'!E19+'JOUR 9'!E19+'JOUR 10'!E19+'JOUR 11'!E19+#REF!+#REF!+#REF!+#REF!+#REF!</f>
        <v>#REF!</v>
      </c>
      <c r="F19" s="17" t="e">
        <f>'JOUR 1'!F19+'JOUR 2'!F19+'JOUR 3'!F19+'JOUR 4'!F19+'JOUR 5'!F19+'JOUR 6'!F19+'JOUR 7'!F19+'JOUR 8'!F19+'JOUR 9'!F19+'JOUR 10'!F19+'JOUR 11'!F19+#REF!+#REF!+#REF!+#REF!+#REF!</f>
        <v>#REF!</v>
      </c>
      <c r="G19" s="17" t="e">
        <f>'JOUR 1'!G19+'JOUR 2'!G19+'JOUR 3'!G19+'JOUR 4'!G19+'JOUR 5'!G19+'JOUR 6'!G19+'JOUR 7'!G19+'JOUR 8'!G19+'JOUR 9'!G19+'JOUR 10'!G19+'JOUR 11'!G19+#REF!+#REF!+#REF!+#REF!+#REF!</f>
        <v>#REF!</v>
      </c>
      <c r="H19" s="17" t="e">
        <f>'JOUR 1'!H19+'JOUR 2'!H19+'JOUR 3'!H19+'JOUR 4'!H19+'JOUR 5'!H19+'JOUR 6'!H19+'JOUR 7'!H19+'JOUR 8'!H19+'JOUR 9'!H19+'JOUR 10'!H19+'JOUR 11'!H19+#REF!+#REF!+#REF!+#REF!+#REF!</f>
        <v>#REF!</v>
      </c>
      <c r="I19" s="17" t="e">
        <f>'JOUR 1'!I19+'JOUR 2'!I19+'JOUR 3'!I19+'JOUR 4'!I19+'JOUR 5'!I19+'JOUR 6'!I19+'JOUR 7'!I19+'JOUR 8'!I19+'JOUR 9'!I19+'JOUR 10'!I19+'JOUR 11'!I19+#REF!+#REF!+#REF!+#REF!+#REF!</f>
        <v>#REF!</v>
      </c>
      <c r="J19" s="17" t="e">
        <f>'JOUR 1'!J19+'JOUR 2'!J19+'JOUR 3'!J19+'JOUR 4'!J19+'JOUR 5'!J19+'JOUR 6'!J19+'JOUR 7'!J19+'JOUR 8'!J19+'JOUR 9'!J19+'JOUR 10'!J19+'JOUR 11'!J19+#REF!+#REF!+#REF!+#REF!+#REF!</f>
        <v>#REF!</v>
      </c>
      <c r="K19" s="17" t="e">
        <f>'JOUR 1'!K19+'JOUR 2'!K19+'JOUR 3'!K19+'JOUR 4'!K19+'JOUR 5'!K19+'JOUR 6'!K19+'JOUR 7'!K19+'JOUR 8'!K19+'JOUR 9'!K19+'JOUR 10'!K19+'JOUR 11'!K19+#REF!+#REF!+#REF!+#REF!+#REF!</f>
        <v>#REF!</v>
      </c>
      <c r="L19" s="17" t="e">
        <f>'JOUR 1'!L19+'JOUR 2'!L19+'JOUR 3'!L19+'JOUR 4'!L19+'JOUR 5'!L19+'JOUR 6'!L19+'JOUR 7'!L19+'JOUR 8'!L19+'JOUR 9'!L19+'JOUR 10'!L19+'JOUR 11'!L19+#REF!+#REF!+#REF!+#REF!+#REF!</f>
        <v>#REF!</v>
      </c>
      <c r="M19" s="17" t="e">
        <f>'JOUR 1'!M19+'JOUR 2'!M19+'JOUR 3'!M19+'JOUR 4'!M19+'JOUR 5'!M19+'JOUR 6'!M19+'JOUR 7'!M19+'JOUR 8'!M19+'JOUR 9'!M19+'JOUR 10'!M19+'JOUR 11'!M19+#REF!+#REF!+#REF!+#REF!+#REF!</f>
        <v>#REF!</v>
      </c>
      <c r="N19" s="17" t="e">
        <f>'JOUR 1'!N19+'JOUR 2'!N19+'JOUR 3'!N19+'JOUR 4'!N19+'JOUR 5'!N19+'JOUR 6'!N19+'JOUR 7'!N19+'JOUR 8'!N19+'JOUR 9'!N19+'JOUR 10'!N19+'JOUR 11'!N19+#REF!+#REF!+#REF!+#REF!+#REF!</f>
        <v>#REF!</v>
      </c>
      <c r="O19" s="17" t="e">
        <f>'JOUR 1'!O19+'JOUR 2'!O19+'JOUR 3'!O19+'JOUR 4'!O19+'JOUR 5'!O19+'JOUR 6'!O19+'JOUR 7'!O19+'JOUR 8'!O19+'JOUR 9'!O19+'JOUR 10'!O19+'JOUR 11'!O19+#REF!+#REF!+#REF!+#REF!+#REF!</f>
        <v>#REF!</v>
      </c>
      <c r="P19" s="17" t="e">
        <f>'JOUR 1'!P19+'JOUR 2'!P19+'JOUR 3'!P19+'JOUR 4'!P19+'JOUR 5'!P19+'JOUR 6'!P19+'JOUR 7'!P19+'JOUR 8'!P19+'JOUR 9'!P19+'JOUR 10'!P19+'JOUR 11'!P19+#REF!+#REF!+#REF!+#REF!+#REF!</f>
        <v>#REF!</v>
      </c>
      <c r="Q19" s="17" t="e">
        <f>'JOUR 1'!Q19+'JOUR 2'!Q19+'JOUR 3'!Q19+'JOUR 4'!Q19+'JOUR 5'!Q19+'JOUR 6'!Q19+'JOUR 7'!Q19+'JOUR 8'!Q19+'JOUR 9'!Q19+'JOUR 10'!Q19+'JOUR 11'!Q19+#REF!+#REF!+#REF!+#REF!+#REF!</f>
        <v>#REF!</v>
      </c>
      <c r="R19" s="17" t="e">
        <f>'JOUR 1'!R19+'JOUR 2'!R19+'JOUR 3'!R19+'JOUR 4'!R19+'JOUR 5'!R19+'JOUR 6'!R19+'JOUR 7'!R19+'JOUR 8'!R19+'JOUR 9'!R19+'JOUR 10'!R19+'JOUR 11'!R19+#REF!+#REF!+#REF!+#REF!+#REF!</f>
        <v>#REF!</v>
      </c>
      <c r="S19" s="31" t="e">
        <f>'JOUR 1'!S19+'JOUR 2'!S19+'JOUR 3'!S19+'JOUR 4'!S19+'JOUR 5'!S19+'JOUR 6'!S19+'JOUR 7'!S19+'JOUR 8'!S19+'JOUR 9'!S19+'JOUR 10'!S19+'JOUR 11'!S19+#REF!+#REF!+#REF!+#REF!+#REF!</f>
        <v>#REF!</v>
      </c>
      <c r="T19" s="31" t="e">
        <f>'JOUR 1'!T19+'JOUR 2'!T19+'JOUR 3'!T19+'JOUR 4'!T19+'JOUR 5'!T19+'JOUR 6'!T19+'JOUR 7'!T19+'JOUR 8'!T19+'JOUR 9'!T19+'JOUR 10'!T19+'JOUR 11'!T19+#REF!+#REF!+#REF!+#REF!+#REF!</f>
        <v>#REF!</v>
      </c>
      <c r="U19" s="31" t="e">
        <f>'JOUR 1'!U19+'JOUR 2'!U19+'JOUR 3'!U19+'JOUR 4'!U19+'JOUR 5'!U19+'JOUR 6'!U19+'JOUR 7'!U19+'JOUR 8'!U19+'JOUR 9'!U19+'JOUR 10'!U19+'JOUR 11'!U19+#REF!+#REF!+#REF!+#REF!+#REF!</f>
        <v>#REF!</v>
      </c>
      <c r="V19" s="32" t="e">
        <f>'JOUR 1'!V19+'JOUR 2'!V19+'JOUR 3'!V19+'JOUR 4'!V19+'JOUR 5'!V19+'JOUR 6'!V19+'JOUR 7'!V19+'JOUR 8'!V19+'JOUR 9'!V19+'JOUR 10'!V19+'JOUR 11'!V19+#REF!+#REF!+#REF!+#REF!+#REF!</f>
        <v>#REF!</v>
      </c>
      <c r="W19" s="32" t="e">
        <f>'JOUR 1'!W19+'JOUR 2'!W19+'JOUR 3'!W19+'JOUR 4'!W19+'JOUR 5'!W19+'JOUR 6'!W19+'JOUR 7'!W19+'JOUR 8'!W19+'JOUR 9'!W19+'JOUR 10'!W19+'JOUR 11'!W19+#REF!+#REF!+#REF!+#REF!+#REF!</f>
        <v>#REF!</v>
      </c>
      <c r="X19" s="32" t="e">
        <f>'JOUR 1'!X19+'JOUR 2'!X19+'JOUR 3'!X19+'JOUR 4'!X19+'JOUR 5'!X19+'JOUR 6'!X19+'JOUR 7'!X19+'JOUR 8'!X19+'JOUR 9'!X19+'JOUR 10'!X19+'JOUR 11'!X19+#REF!+#REF!+#REF!+#REF!+#REF!</f>
        <v>#REF!</v>
      </c>
      <c r="Y19" s="73" t="e">
        <f>'JOUR 1'!Y19+'JOUR 2'!Y19+'JOUR 3'!Y19+'JOUR 4'!Y19+'JOUR 5'!Y19+'JOUR 6'!Y19+'JOUR 7'!Y19+'JOUR 8'!Y19+'JOUR 9'!Y19+'JOUR 10'!Y19+'JOUR 11'!Y19+#REF!+#REF!+#REF!+#REF!+#REF!</f>
        <v>#REF!</v>
      </c>
      <c r="Z19" s="33" t="e">
        <f>'JOUR 1'!Z19+'JOUR 2'!Z19+'JOUR 3'!Z19+'JOUR 4'!Z19+'JOUR 5'!Z19+'JOUR 6'!Z19+'JOUR 7'!Z19+'JOUR 8'!Z19+'JOUR 9'!Z19+'JOUR 10'!Z19+'JOUR 11'!Z19+#REF!+#REF!+#REF!+#REF!+#REF!</f>
        <v>#REF!</v>
      </c>
      <c r="AA19" s="34" t="e">
        <f>'JOUR 1'!AA19+'JOUR 2'!AA19+'JOUR 3'!AA19+'JOUR 4'!AA19+'JOUR 5'!AA19+'JOUR 6'!AA19+'JOUR 7'!AA19+'JOUR 8'!AA19+'JOUR 9'!AA19+'JOUR 10'!AA19+'JOUR 11'!AA19+#REF!+#REF!+#REF!+#REF!+#REF!</f>
        <v>#REF!</v>
      </c>
      <c r="AB19" s="34" t="e">
        <f>'JOUR 1'!AB19+'JOUR 2'!AB19+'JOUR 3'!AB19+'JOUR 4'!AB19+'JOUR 5'!AB19+'JOUR 6'!AB19+'JOUR 7'!AB19+'JOUR 8'!AB19+'JOUR 9'!AB19+'JOUR 10'!AB19+'JOUR 11'!AB19+#REF!+#REF!+#REF!+#REF!+#REF!</f>
        <v>#REF!</v>
      </c>
      <c r="AC19" s="34" t="e">
        <f>'JOUR 1'!AC19+'JOUR 2'!AC19+'JOUR 3'!AC19+'JOUR 4'!AC19+'JOUR 5'!AC19+'JOUR 6'!AC19+'JOUR 7'!AC19+'JOUR 8'!AC19+'JOUR 9'!AC19+'JOUR 10'!AC19+'JOUR 11'!AC19+#REF!+#REF!+#REF!+#REF!+#REF!</f>
        <v>#REF!</v>
      </c>
      <c r="AD19" s="35" t="e">
        <f>'JOUR 1'!AD19+'JOUR 2'!AD19+'JOUR 3'!AD19+'JOUR 4'!AD19+'JOUR 5'!AD19+'JOUR 6'!AD19+'JOUR 7'!AD19+'JOUR 8'!AD19+'JOUR 9'!AD19+'JOUR 10'!AD19+'JOUR 11'!AD19+#REF!+#REF!+#REF!+#REF!+#REF!</f>
        <v>#REF!</v>
      </c>
      <c r="AE19" s="34" t="e">
        <f>'JOUR 1'!AE19+'JOUR 2'!AE19+'JOUR 3'!AE19+'JOUR 4'!AE19+'JOUR 5'!AE19+'JOUR 6'!AE19+'JOUR 7'!AE19+'JOUR 8'!AE19+'JOUR 9'!AE19+'JOUR 10'!AE19+'JOUR 11'!AE19+#REF!+#REF!+#REF!+#REF!+#REF!</f>
        <v>#REF!</v>
      </c>
      <c r="AF19" s="34" t="e">
        <f>'JOUR 1'!AF19+'JOUR 2'!AF19+'JOUR 3'!AF19+'JOUR 4'!AF19+'JOUR 5'!AF19+'JOUR 6'!AF19+'JOUR 7'!AF19+'JOUR 8'!AF19+'JOUR 9'!AF19+'JOUR 10'!AF19+'JOUR 11'!AF19+#REF!+#REF!+#REF!+#REF!+#REF!</f>
        <v>#REF!</v>
      </c>
      <c r="AG19" s="34" t="e">
        <f>'JOUR 1'!AG19+'JOUR 2'!AG19+'JOUR 3'!AG19+'JOUR 4'!AG19+'JOUR 5'!AG19+'JOUR 6'!AG19+'JOUR 7'!AG19+'JOUR 8'!AG19+'JOUR 9'!AG19+'JOUR 10'!AG19+'JOUR 11'!AG19+#REF!+#REF!+#REF!+#REF!+#REF!</f>
        <v>#REF!</v>
      </c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7"/>
    </row>
    <row r="20" spans="1:51" ht="17.399999999999999" x14ac:dyDescent="0.25">
      <c r="B20" s="16"/>
      <c r="C20" s="16"/>
      <c r="D20" s="17" t="e">
        <f>'JOUR 1'!D20+'JOUR 2'!D20+'JOUR 3'!D20+'JOUR 4'!D20+'JOUR 5'!D20+'JOUR 6'!D20+'JOUR 7'!D20+'JOUR 8'!D20+'JOUR 9'!D20+'JOUR 10'!D20+'JOUR 11'!D20+#REF!+#REF!+#REF!+#REF!+#REF!</f>
        <v>#REF!</v>
      </c>
      <c r="E20" s="17" t="e">
        <f>'JOUR 1'!E20+'JOUR 2'!E20+'JOUR 3'!E20+'JOUR 4'!E20+'JOUR 5'!E20+'JOUR 6'!E20+'JOUR 7'!E20+'JOUR 8'!E20+'JOUR 9'!E20+'JOUR 10'!E20+'JOUR 11'!E20+#REF!+#REF!+#REF!+#REF!+#REF!</f>
        <v>#REF!</v>
      </c>
      <c r="F20" s="17" t="e">
        <f>'JOUR 1'!F20+'JOUR 2'!F20+'JOUR 3'!F20+'JOUR 4'!F20+'JOUR 5'!F20+'JOUR 6'!F20+'JOUR 7'!F20+'JOUR 8'!F20+'JOUR 9'!F20+'JOUR 10'!F20+'JOUR 11'!F20+#REF!+#REF!+#REF!+#REF!+#REF!</f>
        <v>#REF!</v>
      </c>
      <c r="G20" s="17" t="e">
        <f>'JOUR 1'!G20+'JOUR 2'!G20+'JOUR 3'!G20+'JOUR 4'!G20+'JOUR 5'!G20+'JOUR 6'!G20+'JOUR 7'!G20+'JOUR 8'!G20+'JOUR 9'!G20+'JOUR 10'!G20+'JOUR 11'!G20+#REF!+#REF!+#REF!+#REF!+#REF!</f>
        <v>#REF!</v>
      </c>
      <c r="H20" s="17" t="e">
        <f>'JOUR 1'!H20+'JOUR 2'!H20+'JOUR 3'!H20+'JOUR 4'!H20+'JOUR 5'!H20+'JOUR 6'!H20+'JOUR 7'!H20+'JOUR 8'!H20+'JOUR 9'!H20+'JOUR 10'!H20+'JOUR 11'!H20+#REF!+#REF!+#REF!+#REF!+#REF!</f>
        <v>#REF!</v>
      </c>
      <c r="I20" s="17" t="e">
        <f>'JOUR 1'!I20+'JOUR 2'!I20+'JOUR 3'!I20+'JOUR 4'!I20+'JOUR 5'!I20+'JOUR 6'!I20+'JOUR 7'!I20+'JOUR 8'!I20+'JOUR 9'!I20+'JOUR 10'!I20+'JOUR 11'!I20+#REF!+#REF!+#REF!+#REF!+#REF!</f>
        <v>#REF!</v>
      </c>
      <c r="J20" s="17" t="e">
        <f>'JOUR 1'!J20+'JOUR 2'!J20+'JOUR 3'!J20+'JOUR 4'!J20+'JOUR 5'!J20+'JOUR 6'!J20+'JOUR 7'!J20+'JOUR 8'!J20+'JOUR 9'!J20+'JOUR 10'!J20+'JOUR 11'!J20+#REF!+#REF!+#REF!+#REF!+#REF!</f>
        <v>#REF!</v>
      </c>
      <c r="K20" s="17" t="e">
        <f>'JOUR 1'!K20+'JOUR 2'!K20+'JOUR 3'!K20+'JOUR 4'!K20+'JOUR 5'!K20+'JOUR 6'!K20+'JOUR 7'!K20+'JOUR 8'!K20+'JOUR 9'!K20+'JOUR 10'!K20+'JOUR 11'!K20+#REF!+#REF!+#REF!+#REF!+#REF!</f>
        <v>#REF!</v>
      </c>
      <c r="L20" s="17" t="e">
        <f>'JOUR 1'!L20+'JOUR 2'!L20+'JOUR 3'!L20+'JOUR 4'!L20+'JOUR 5'!L20+'JOUR 6'!L20+'JOUR 7'!L20+'JOUR 8'!L20+'JOUR 9'!L20+'JOUR 10'!L20+'JOUR 11'!L20+#REF!+#REF!+#REF!+#REF!+#REF!</f>
        <v>#REF!</v>
      </c>
      <c r="M20" s="17" t="e">
        <f>'JOUR 1'!M20+'JOUR 2'!M20+'JOUR 3'!M20+'JOUR 4'!M20+'JOUR 5'!M20+'JOUR 6'!M20+'JOUR 7'!M20+'JOUR 8'!M20+'JOUR 9'!M20+'JOUR 10'!M20+'JOUR 11'!M20+#REF!+#REF!+#REF!+#REF!+#REF!</f>
        <v>#REF!</v>
      </c>
      <c r="N20" s="17" t="e">
        <f>'JOUR 1'!N20+'JOUR 2'!N20+'JOUR 3'!N20+'JOUR 4'!N20+'JOUR 5'!N20+'JOUR 6'!N20+'JOUR 7'!N20+'JOUR 8'!N20+'JOUR 9'!N20+'JOUR 10'!N20+'JOUR 11'!N20+#REF!+#REF!+#REF!+#REF!+#REF!</f>
        <v>#REF!</v>
      </c>
      <c r="O20" s="17" t="e">
        <f>'JOUR 1'!O20+'JOUR 2'!O20+'JOUR 3'!O20+'JOUR 4'!O20+'JOUR 5'!O20+'JOUR 6'!O20+'JOUR 7'!O20+'JOUR 8'!O20+'JOUR 9'!O20+'JOUR 10'!O20+'JOUR 11'!O20+#REF!+#REF!+#REF!+#REF!+#REF!</f>
        <v>#REF!</v>
      </c>
      <c r="P20" s="17" t="e">
        <f>'JOUR 1'!P20+'JOUR 2'!P20+'JOUR 3'!P20+'JOUR 4'!P20+'JOUR 5'!P20+'JOUR 6'!P20+'JOUR 7'!P20+'JOUR 8'!P20+'JOUR 9'!P20+'JOUR 10'!P20+'JOUR 11'!P20+#REF!+#REF!+#REF!+#REF!+#REF!</f>
        <v>#REF!</v>
      </c>
      <c r="Q20" s="17" t="e">
        <f>'JOUR 1'!Q20+'JOUR 2'!Q20+'JOUR 3'!Q20+'JOUR 4'!Q20+'JOUR 5'!Q20+'JOUR 6'!Q20+'JOUR 7'!Q20+'JOUR 8'!Q20+'JOUR 9'!Q20+'JOUR 10'!Q20+'JOUR 11'!Q20+#REF!+#REF!+#REF!+#REF!+#REF!</f>
        <v>#REF!</v>
      </c>
      <c r="R20" s="17" t="e">
        <f>'JOUR 1'!R20+'JOUR 2'!R20+'JOUR 3'!R20+'JOUR 4'!R20+'JOUR 5'!R20+'JOUR 6'!R20+'JOUR 7'!R20+'JOUR 8'!R20+'JOUR 9'!R20+'JOUR 10'!R20+'JOUR 11'!R20+#REF!+#REF!+#REF!+#REF!+#REF!</f>
        <v>#REF!</v>
      </c>
      <c r="S20" s="31" t="e">
        <f>'JOUR 1'!S20+'JOUR 2'!S20+'JOUR 3'!S20+'JOUR 4'!S20+'JOUR 5'!S20+'JOUR 6'!S20+'JOUR 7'!S20+'JOUR 8'!S20+'JOUR 9'!S20+'JOUR 10'!S20+'JOUR 11'!S20+#REF!+#REF!+#REF!+#REF!+#REF!</f>
        <v>#REF!</v>
      </c>
      <c r="T20" s="31" t="e">
        <f>'JOUR 1'!T20+'JOUR 2'!T20+'JOUR 3'!T20+'JOUR 4'!T20+'JOUR 5'!T20+'JOUR 6'!T20+'JOUR 7'!T20+'JOUR 8'!T20+'JOUR 9'!T20+'JOUR 10'!T20+'JOUR 11'!T20+#REF!+#REF!+#REF!+#REF!+#REF!</f>
        <v>#REF!</v>
      </c>
      <c r="U20" s="31" t="e">
        <f>'JOUR 1'!U20+'JOUR 2'!U20+'JOUR 3'!U20+'JOUR 4'!U20+'JOUR 5'!U20+'JOUR 6'!U20+'JOUR 7'!U20+'JOUR 8'!U20+'JOUR 9'!U20+'JOUR 10'!U20+'JOUR 11'!U20+#REF!+#REF!+#REF!+#REF!+#REF!</f>
        <v>#REF!</v>
      </c>
      <c r="V20" s="32" t="e">
        <f>'JOUR 1'!V20+'JOUR 2'!V20+'JOUR 3'!V20+'JOUR 4'!V20+'JOUR 5'!V20+'JOUR 6'!V20+'JOUR 7'!V20+'JOUR 8'!V20+'JOUR 9'!V20+'JOUR 10'!V20+'JOUR 11'!V20+#REF!+#REF!+#REF!+#REF!+#REF!</f>
        <v>#REF!</v>
      </c>
      <c r="W20" s="32" t="e">
        <f>'JOUR 1'!W20+'JOUR 2'!W20+'JOUR 3'!W20+'JOUR 4'!W20+'JOUR 5'!W20+'JOUR 6'!W20+'JOUR 7'!W20+'JOUR 8'!W20+'JOUR 9'!W20+'JOUR 10'!W20+'JOUR 11'!W20+#REF!+#REF!+#REF!+#REF!+#REF!</f>
        <v>#REF!</v>
      </c>
      <c r="X20" s="32" t="e">
        <f>'JOUR 1'!X20+'JOUR 2'!X20+'JOUR 3'!X20+'JOUR 4'!X20+'JOUR 5'!X20+'JOUR 6'!X20+'JOUR 7'!X20+'JOUR 8'!X20+'JOUR 9'!X20+'JOUR 10'!X20+'JOUR 11'!X20+#REF!+#REF!+#REF!+#REF!+#REF!</f>
        <v>#REF!</v>
      </c>
      <c r="Y20" s="73" t="e">
        <f>'JOUR 1'!Y20+'JOUR 2'!Y20+'JOUR 3'!Y20+'JOUR 4'!Y20+'JOUR 5'!Y20+'JOUR 6'!Y20+'JOUR 7'!Y20+'JOUR 8'!Y20+'JOUR 9'!Y20+'JOUR 10'!Y20+'JOUR 11'!Y20+#REF!+#REF!+#REF!+#REF!+#REF!</f>
        <v>#REF!</v>
      </c>
      <c r="Z20" s="33" t="e">
        <f>'JOUR 1'!Z20+'JOUR 2'!Z20+'JOUR 3'!Z20+'JOUR 4'!Z20+'JOUR 5'!Z20+'JOUR 6'!Z20+'JOUR 7'!Z20+'JOUR 8'!Z20+'JOUR 9'!Z20+'JOUR 10'!Z20+'JOUR 11'!Z20+#REF!+#REF!+#REF!+#REF!+#REF!</f>
        <v>#REF!</v>
      </c>
      <c r="AA20" s="34" t="e">
        <f>'JOUR 1'!AA20+'JOUR 2'!AA20+'JOUR 3'!AA20+'JOUR 4'!AA20+'JOUR 5'!AA20+'JOUR 6'!AA20+'JOUR 7'!AA20+'JOUR 8'!AA20+'JOUR 9'!AA20+'JOUR 10'!AA20+'JOUR 11'!AA20+#REF!+#REF!+#REF!+#REF!+#REF!</f>
        <v>#REF!</v>
      </c>
      <c r="AB20" s="34" t="e">
        <f>'JOUR 1'!AB20+'JOUR 2'!AB20+'JOUR 3'!AB20+'JOUR 4'!AB20+'JOUR 5'!AB20+'JOUR 6'!AB20+'JOUR 7'!AB20+'JOUR 8'!AB20+'JOUR 9'!AB20+'JOUR 10'!AB20+'JOUR 11'!AB20+#REF!+#REF!+#REF!+#REF!+#REF!</f>
        <v>#REF!</v>
      </c>
      <c r="AC20" s="34" t="e">
        <f>'JOUR 1'!AC20+'JOUR 2'!AC20+'JOUR 3'!AC20+'JOUR 4'!AC20+'JOUR 5'!AC20+'JOUR 6'!AC20+'JOUR 7'!AC20+'JOUR 8'!AC20+'JOUR 9'!AC20+'JOUR 10'!AC20+'JOUR 11'!AC20+#REF!+#REF!+#REF!+#REF!+#REF!</f>
        <v>#REF!</v>
      </c>
      <c r="AD20" s="35" t="e">
        <f>'JOUR 1'!AD20+'JOUR 2'!AD20+'JOUR 3'!AD20+'JOUR 4'!AD20+'JOUR 5'!AD20+'JOUR 6'!AD20+'JOUR 7'!AD20+'JOUR 8'!AD20+'JOUR 9'!AD20+'JOUR 10'!AD20+'JOUR 11'!AD20+#REF!+#REF!+#REF!+#REF!+#REF!</f>
        <v>#REF!</v>
      </c>
      <c r="AE20" s="34" t="e">
        <f>'JOUR 1'!AE20+'JOUR 2'!AE20+'JOUR 3'!AE20+'JOUR 4'!AE20+'JOUR 5'!AE20+'JOUR 6'!AE20+'JOUR 7'!AE20+'JOUR 8'!AE20+'JOUR 9'!AE20+'JOUR 10'!AE20+'JOUR 11'!AE20+#REF!+#REF!+#REF!+#REF!+#REF!</f>
        <v>#REF!</v>
      </c>
      <c r="AF20" s="34" t="e">
        <f>'JOUR 1'!AF20+'JOUR 2'!AF20+'JOUR 3'!AF20+'JOUR 4'!AF20+'JOUR 5'!AF20+'JOUR 6'!AF20+'JOUR 7'!AF20+'JOUR 8'!AF20+'JOUR 9'!AF20+'JOUR 10'!AF20+'JOUR 11'!AF20+#REF!+#REF!+#REF!+#REF!+#REF!</f>
        <v>#REF!</v>
      </c>
      <c r="AG20" s="34" t="e">
        <f>'JOUR 1'!AG20+'JOUR 2'!AG20+'JOUR 3'!AG20+'JOUR 4'!AG20+'JOUR 5'!AG20+'JOUR 6'!AG20+'JOUR 7'!AG20+'JOUR 8'!AG20+'JOUR 9'!AG20+'JOUR 10'!AG20+'JOUR 11'!AG20+#REF!+#REF!+#REF!+#REF!+#REF!</f>
        <v>#REF!</v>
      </c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7"/>
    </row>
    <row r="21" spans="1:51" ht="17.399999999999999" x14ac:dyDescent="0.25">
      <c r="B21" s="16"/>
      <c r="C21" s="16"/>
      <c r="D21" s="17" t="e">
        <f>'JOUR 1'!D21+'JOUR 2'!D21+'JOUR 3'!D21+'JOUR 4'!D21+'JOUR 5'!D21+'JOUR 6'!D21+'JOUR 7'!D21+'JOUR 8'!D21+'JOUR 9'!D21+'JOUR 10'!D21+'JOUR 11'!D21+#REF!+#REF!+#REF!+#REF!+#REF!</f>
        <v>#REF!</v>
      </c>
      <c r="E21" s="17" t="e">
        <f>'JOUR 1'!E21+'JOUR 2'!E21+'JOUR 3'!E21+'JOUR 4'!E21+'JOUR 5'!E21+'JOUR 6'!E21+'JOUR 7'!E21+'JOUR 8'!E21+'JOUR 9'!E21+'JOUR 10'!E21+'JOUR 11'!E21+#REF!+#REF!+#REF!+#REF!+#REF!</f>
        <v>#REF!</v>
      </c>
      <c r="F21" s="17" t="e">
        <f>'JOUR 1'!F21+'JOUR 2'!F21+'JOUR 3'!F21+'JOUR 4'!F21+'JOUR 5'!F21+'JOUR 6'!F21+'JOUR 7'!F21+'JOUR 8'!F21+'JOUR 9'!F21+'JOUR 10'!F21+'JOUR 11'!F21+#REF!+#REF!+#REF!+#REF!+#REF!</f>
        <v>#REF!</v>
      </c>
      <c r="G21" s="17" t="e">
        <f>'JOUR 1'!G21+'JOUR 2'!G21+'JOUR 3'!G21+'JOUR 4'!G21+'JOUR 5'!G21+'JOUR 6'!G21+'JOUR 7'!G21+'JOUR 8'!G21+'JOUR 9'!G21+'JOUR 10'!G21+'JOUR 11'!G21+#REF!+#REF!+#REF!+#REF!+#REF!</f>
        <v>#REF!</v>
      </c>
      <c r="H21" s="17" t="e">
        <f>'JOUR 1'!H21+'JOUR 2'!H21+'JOUR 3'!H21+'JOUR 4'!H21+'JOUR 5'!H21+'JOUR 6'!H21+'JOUR 7'!H21+'JOUR 8'!H21+'JOUR 9'!H21+'JOUR 10'!H21+'JOUR 11'!H21+#REF!+#REF!+#REF!+#REF!+#REF!</f>
        <v>#REF!</v>
      </c>
      <c r="I21" s="17" t="e">
        <f>'JOUR 1'!I21+'JOUR 2'!I21+'JOUR 3'!I21+'JOUR 4'!I21+'JOUR 5'!I21+'JOUR 6'!I21+'JOUR 7'!I21+'JOUR 8'!I21+'JOUR 9'!I21+'JOUR 10'!I21+'JOUR 11'!I21+#REF!+#REF!+#REF!+#REF!+#REF!</f>
        <v>#REF!</v>
      </c>
      <c r="J21" s="17" t="e">
        <f>'JOUR 1'!J21+'JOUR 2'!J21+'JOUR 3'!J21+'JOUR 4'!J21+'JOUR 5'!J21+'JOUR 6'!J21+'JOUR 7'!J21+'JOUR 8'!J21+'JOUR 9'!J21+'JOUR 10'!J21+'JOUR 11'!J21+#REF!+#REF!+#REF!+#REF!+#REF!</f>
        <v>#REF!</v>
      </c>
      <c r="K21" s="17" t="e">
        <f>'JOUR 1'!K21+'JOUR 2'!K21+'JOUR 3'!K21+'JOUR 4'!K21+'JOUR 5'!K21+'JOUR 6'!K21+'JOUR 7'!K21+'JOUR 8'!K21+'JOUR 9'!K21+'JOUR 10'!K21+'JOUR 11'!K21+#REF!+#REF!+#REF!+#REF!+#REF!</f>
        <v>#REF!</v>
      </c>
      <c r="L21" s="17" t="e">
        <f>'JOUR 1'!L21+'JOUR 2'!L21+'JOUR 3'!L21+'JOUR 4'!L21+'JOUR 5'!L21+'JOUR 6'!L21+'JOUR 7'!L21+'JOUR 8'!L21+'JOUR 9'!L21+'JOUR 10'!L21+'JOUR 11'!L21+#REF!+#REF!+#REF!+#REF!+#REF!</f>
        <v>#REF!</v>
      </c>
      <c r="M21" s="17" t="e">
        <f>'JOUR 1'!M21+'JOUR 2'!M21+'JOUR 3'!M21+'JOUR 4'!M21+'JOUR 5'!M21+'JOUR 6'!M21+'JOUR 7'!M21+'JOUR 8'!M21+'JOUR 9'!M21+'JOUR 10'!M21+'JOUR 11'!M21+#REF!+#REF!+#REF!+#REF!+#REF!</f>
        <v>#REF!</v>
      </c>
      <c r="N21" s="17" t="e">
        <f>'JOUR 1'!N21+'JOUR 2'!N21+'JOUR 3'!N21+'JOUR 4'!N21+'JOUR 5'!N21+'JOUR 6'!N21+'JOUR 7'!N21+'JOUR 8'!N21+'JOUR 9'!N21+'JOUR 10'!N21+'JOUR 11'!N21+#REF!+#REF!+#REF!+#REF!+#REF!</f>
        <v>#REF!</v>
      </c>
      <c r="O21" s="17" t="e">
        <f>'JOUR 1'!O21+'JOUR 2'!O21+'JOUR 3'!O21+'JOUR 4'!O21+'JOUR 5'!O21+'JOUR 6'!O21+'JOUR 7'!O21+'JOUR 8'!O21+'JOUR 9'!O21+'JOUR 10'!O21+'JOUR 11'!O21+#REF!+#REF!+#REF!+#REF!+#REF!</f>
        <v>#REF!</v>
      </c>
      <c r="P21" s="17" t="e">
        <f>'JOUR 1'!P21+'JOUR 2'!P21+'JOUR 3'!P21+'JOUR 4'!P21+'JOUR 5'!P21+'JOUR 6'!P21+'JOUR 7'!P21+'JOUR 8'!P21+'JOUR 9'!P21+'JOUR 10'!P21+'JOUR 11'!P21+#REF!+#REF!+#REF!+#REF!+#REF!</f>
        <v>#REF!</v>
      </c>
      <c r="Q21" s="17" t="e">
        <f>'JOUR 1'!Q21+'JOUR 2'!Q21+'JOUR 3'!Q21+'JOUR 4'!Q21+'JOUR 5'!Q21+'JOUR 6'!Q21+'JOUR 7'!Q21+'JOUR 8'!Q21+'JOUR 9'!Q21+'JOUR 10'!Q21+'JOUR 11'!Q21+#REF!+#REF!+#REF!+#REF!+#REF!</f>
        <v>#REF!</v>
      </c>
      <c r="R21" s="17" t="e">
        <f>'JOUR 1'!R21+'JOUR 2'!R21+'JOUR 3'!R21+'JOUR 4'!R21+'JOUR 5'!R21+'JOUR 6'!R21+'JOUR 7'!R21+'JOUR 8'!R21+'JOUR 9'!R21+'JOUR 10'!R21+'JOUR 11'!R21+#REF!+#REF!+#REF!+#REF!+#REF!</f>
        <v>#REF!</v>
      </c>
      <c r="S21" s="31" t="e">
        <f>'JOUR 1'!S21+'JOUR 2'!S21+'JOUR 3'!S21+'JOUR 4'!S21+'JOUR 5'!S21+'JOUR 6'!S21+'JOUR 7'!S21+'JOUR 8'!S21+'JOUR 9'!S21+'JOUR 10'!S21+'JOUR 11'!S21+#REF!+#REF!+#REF!+#REF!+#REF!</f>
        <v>#REF!</v>
      </c>
      <c r="T21" s="31" t="e">
        <f>'JOUR 1'!T21+'JOUR 2'!T21+'JOUR 3'!T21+'JOUR 4'!T21+'JOUR 5'!T21+'JOUR 6'!T21+'JOUR 7'!T21+'JOUR 8'!T21+'JOUR 9'!T21+'JOUR 10'!T21+'JOUR 11'!T21+#REF!+#REF!+#REF!+#REF!+#REF!</f>
        <v>#REF!</v>
      </c>
      <c r="U21" s="31" t="e">
        <f>'JOUR 1'!U21+'JOUR 2'!U21+'JOUR 3'!U21+'JOUR 4'!U21+'JOUR 5'!U21+'JOUR 6'!U21+'JOUR 7'!U21+'JOUR 8'!U21+'JOUR 9'!U21+'JOUR 10'!U21+'JOUR 11'!U21+#REF!+#REF!+#REF!+#REF!+#REF!</f>
        <v>#REF!</v>
      </c>
      <c r="V21" s="32" t="e">
        <f>'JOUR 1'!V21+'JOUR 2'!V21+'JOUR 3'!V21+'JOUR 4'!V21+'JOUR 5'!V21+'JOUR 6'!V21+'JOUR 7'!V21+'JOUR 8'!V21+'JOUR 9'!V21+'JOUR 10'!V21+'JOUR 11'!V21+#REF!+#REF!+#REF!+#REF!+#REF!</f>
        <v>#REF!</v>
      </c>
      <c r="W21" s="32" t="e">
        <f>'JOUR 1'!W21+'JOUR 2'!W21+'JOUR 3'!W21+'JOUR 4'!W21+'JOUR 5'!W21+'JOUR 6'!W21+'JOUR 7'!W21+'JOUR 8'!W21+'JOUR 9'!W21+'JOUR 10'!W21+'JOUR 11'!W21+#REF!+#REF!+#REF!+#REF!+#REF!</f>
        <v>#REF!</v>
      </c>
      <c r="X21" s="32" t="e">
        <f>'JOUR 1'!X21+'JOUR 2'!X21+'JOUR 3'!X21+'JOUR 4'!X21+'JOUR 5'!X21+'JOUR 6'!X21+'JOUR 7'!X21+'JOUR 8'!X21+'JOUR 9'!X21+'JOUR 10'!X21+'JOUR 11'!X21+#REF!+#REF!+#REF!+#REF!+#REF!</f>
        <v>#REF!</v>
      </c>
      <c r="Y21" s="73" t="e">
        <f>'JOUR 1'!Y21+'JOUR 2'!Y21+'JOUR 3'!Y21+'JOUR 4'!Y21+'JOUR 5'!Y21+'JOUR 6'!Y21+'JOUR 7'!Y21+'JOUR 8'!Y21+'JOUR 9'!Y21+'JOUR 10'!Y21+'JOUR 11'!Y21+#REF!+#REF!+#REF!+#REF!+#REF!</f>
        <v>#REF!</v>
      </c>
      <c r="Z21" s="33" t="e">
        <f>'JOUR 1'!Z21+'JOUR 2'!Z21+'JOUR 3'!Z21+'JOUR 4'!Z21+'JOUR 5'!Z21+'JOUR 6'!Z21+'JOUR 7'!Z21+'JOUR 8'!Z21+'JOUR 9'!Z21+'JOUR 10'!Z21+'JOUR 11'!Z21+#REF!+#REF!+#REF!+#REF!+#REF!</f>
        <v>#REF!</v>
      </c>
      <c r="AA21" s="34" t="e">
        <f>'JOUR 1'!AA21+'JOUR 2'!AA21+'JOUR 3'!AA21+'JOUR 4'!AA21+'JOUR 5'!AA21+'JOUR 6'!AA21+'JOUR 7'!AA21+'JOUR 8'!AA21+'JOUR 9'!AA21+'JOUR 10'!AA21+'JOUR 11'!AA21+#REF!+#REF!+#REF!+#REF!+#REF!</f>
        <v>#REF!</v>
      </c>
      <c r="AB21" s="34" t="e">
        <f>'JOUR 1'!AB21+'JOUR 2'!AB21+'JOUR 3'!AB21+'JOUR 4'!AB21+'JOUR 5'!AB21+'JOUR 6'!AB21+'JOUR 7'!AB21+'JOUR 8'!AB21+'JOUR 9'!AB21+'JOUR 10'!AB21+'JOUR 11'!AB21+#REF!+#REF!+#REF!+#REF!+#REF!</f>
        <v>#REF!</v>
      </c>
      <c r="AC21" s="34" t="e">
        <f>'JOUR 1'!AC21+'JOUR 2'!AC21+'JOUR 3'!AC21+'JOUR 4'!AC21+'JOUR 5'!AC21+'JOUR 6'!AC21+'JOUR 7'!AC21+'JOUR 8'!AC21+'JOUR 9'!AC21+'JOUR 10'!AC21+'JOUR 11'!AC21+#REF!+#REF!+#REF!+#REF!+#REF!</f>
        <v>#REF!</v>
      </c>
      <c r="AD21" s="35" t="e">
        <f>'JOUR 1'!AD21+'JOUR 2'!AD21+'JOUR 3'!AD21+'JOUR 4'!AD21+'JOUR 5'!AD21+'JOUR 6'!AD21+'JOUR 7'!AD21+'JOUR 8'!AD21+'JOUR 9'!AD21+'JOUR 10'!AD21+'JOUR 11'!AD21+#REF!+#REF!+#REF!+#REF!+#REF!</f>
        <v>#REF!</v>
      </c>
      <c r="AE21" s="34" t="e">
        <f>'JOUR 1'!AE21+'JOUR 2'!AE21+'JOUR 3'!AE21+'JOUR 4'!AE21+'JOUR 5'!AE21+'JOUR 6'!AE21+'JOUR 7'!AE21+'JOUR 8'!AE21+'JOUR 9'!AE21+'JOUR 10'!AE21+'JOUR 11'!AE21+#REF!+#REF!+#REF!+#REF!+#REF!</f>
        <v>#REF!</v>
      </c>
      <c r="AF21" s="34" t="e">
        <f>'JOUR 1'!AF21+'JOUR 2'!AF21+'JOUR 3'!AF21+'JOUR 4'!AF21+'JOUR 5'!AF21+'JOUR 6'!AF21+'JOUR 7'!AF21+'JOUR 8'!AF21+'JOUR 9'!AF21+'JOUR 10'!AF21+'JOUR 11'!AF21+#REF!+#REF!+#REF!+#REF!+#REF!</f>
        <v>#REF!</v>
      </c>
      <c r="AG21" s="34" t="e">
        <f>'JOUR 1'!AG21+'JOUR 2'!AG21+'JOUR 3'!AG21+'JOUR 4'!AG21+'JOUR 5'!AG21+'JOUR 6'!AG21+'JOUR 7'!AG21+'JOUR 8'!AG21+'JOUR 9'!AG21+'JOUR 10'!AG21+'JOUR 11'!AG21+#REF!+#REF!+#REF!+#REF!+#REF!</f>
        <v>#REF!</v>
      </c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7"/>
    </row>
    <row r="22" spans="1:51" ht="17.399999999999999" x14ac:dyDescent="0.25">
      <c r="B22" s="16"/>
      <c r="C22" s="16"/>
      <c r="D22" s="17" t="e">
        <f>'JOUR 1'!D22+'JOUR 2'!D22+'JOUR 3'!D22+'JOUR 4'!D22+'JOUR 5'!D22+'JOUR 6'!D22+'JOUR 7'!D22+'JOUR 8'!D22+'JOUR 9'!D22+'JOUR 10'!D22+'JOUR 11'!D22+#REF!+#REF!+#REF!+#REF!+#REF!</f>
        <v>#REF!</v>
      </c>
      <c r="E22" s="17" t="e">
        <f>'JOUR 1'!E22+'JOUR 2'!E22+'JOUR 3'!E22+'JOUR 4'!E22+'JOUR 5'!E22+'JOUR 6'!E22+'JOUR 7'!E22+'JOUR 8'!E22+'JOUR 9'!E22+'JOUR 10'!E22+'JOUR 11'!E22+#REF!+#REF!+#REF!+#REF!+#REF!</f>
        <v>#REF!</v>
      </c>
      <c r="F22" s="17" t="e">
        <f>'JOUR 1'!F22+'JOUR 2'!F22+'JOUR 3'!F22+'JOUR 4'!F22+'JOUR 5'!F22+'JOUR 6'!F22+'JOUR 7'!F22+'JOUR 8'!F22+'JOUR 9'!F22+'JOUR 10'!F22+'JOUR 11'!F22+#REF!+#REF!+#REF!+#REF!+#REF!</f>
        <v>#REF!</v>
      </c>
      <c r="G22" s="17" t="e">
        <f>'JOUR 1'!G22+'JOUR 2'!G22+'JOUR 3'!G22+'JOUR 4'!G22+'JOUR 5'!G22+'JOUR 6'!G22+'JOUR 7'!G22+'JOUR 8'!G22+'JOUR 9'!G22+'JOUR 10'!G22+'JOUR 11'!G22+#REF!+#REF!+#REF!+#REF!+#REF!</f>
        <v>#REF!</v>
      </c>
      <c r="H22" s="17" t="e">
        <f>'JOUR 1'!H22+'JOUR 2'!H22+'JOUR 3'!H22+'JOUR 4'!H22+'JOUR 5'!H22+'JOUR 6'!H22+'JOUR 7'!H22+'JOUR 8'!H22+'JOUR 9'!H22+'JOUR 10'!H22+'JOUR 11'!H22+#REF!+#REF!+#REF!+#REF!+#REF!</f>
        <v>#REF!</v>
      </c>
      <c r="I22" s="17" t="e">
        <f>'JOUR 1'!I22+'JOUR 2'!I22+'JOUR 3'!I22+'JOUR 4'!I22+'JOUR 5'!I22+'JOUR 6'!I22+'JOUR 7'!I22+'JOUR 8'!I22+'JOUR 9'!I22+'JOUR 10'!I22+'JOUR 11'!I22+#REF!+#REF!+#REF!+#REF!+#REF!</f>
        <v>#REF!</v>
      </c>
      <c r="J22" s="17" t="e">
        <f>'JOUR 1'!J22+'JOUR 2'!J22+'JOUR 3'!J22+'JOUR 4'!J22+'JOUR 5'!J22+'JOUR 6'!J22+'JOUR 7'!J22+'JOUR 8'!J22+'JOUR 9'!J22+'JOUR 10'!J22+'JOUR 11'!J22+#REF!+#REF!+#REF!+#REF!+#REF!</f>
        <v>#REF!</v>
      </c>
      <c r="K22" s="17" t="e">
        <f>'JOUR 1'!K22+'JOUR 2'!K22+'JOUR 3'!K22+'JOUR 4'!K22+'JOUR 5'!K22+'JOUR 6'!K22+'JOUR 7'!K22+'JOUR 8'!K22+'JOUR 9'!K22+'JOUR 10'!K22+'JOUR 11'!K22+#REF!+#REF!+#REF!+#REF!+#REF!</f>
        <v>#REF!</v>
      </c>
      <c r="L22" s="17" t="e">
        <f>'JOUR 1'!L22+'JOUR 2'!L22+'JOUR 3'!L22+'JOUR 4'!L22+'JOUR 5'!L22+'JOUR 6'!L22+'JOUR 7'!L22+'JOUR 8'!L22+'JOUR 9'!L22+'JOUR 10'!L22+'JOUR 11'!L22+#REF!+#REF!+#REF!+#REF!+#REF!</f>
        <v>#REF!</v>
      </c>
      <c r="M22" s="17" t="e">
        <f>'JOUR 1'!M22+'JOUR 2'!M22+'JOUR 3'!M22+'JOUR 4'!M22+'JOUR 5'!M22+'JOUR 6'!M22+'JOUR 7'!M22+'JOUR 8'!M22+'JOUR 9'!M22+'JOUR 10'!M22+'JOUR 11'!M22+#REF!+#REF!+#REF!+#REF!+#REF!</f>
        <v>#REF!</v>
      </c>
      <c r="N22" s="17" t="e">
        <f>'JOUR 1'!N22+'JOUR 2'!N22+'JOUR 3'!N22+'JOUR 4'!N22+'JOUR 5'!N22+'JOUR 6'!N22+'JOUR 7'!N22+'JOUR 8'!N22+'JOUR 9'!N22+'JOUR 10'!N22+'JOUR 11'!N22+#REF!+#REF!+#REF!+#REF!+#REF!</f>
        <v>#REF!</v>
      </c>
      <c r="O22" s="17" t="e">
        <f>'JOUR 1'!O22+'JOUR 2'!O22+'JOUR 3'!O22+'JOUR 4'!O22+'JOUR 5'!O22+'JOUR 6'!O22+'JOUR 7'!O22+'JOUR 8'!O22+'JOUR 9'!O22+'JOUR 10'!O22+'JOUR 11'!O22+#REF!+#REF!+#REF!+#REF!+#REF!</f>
        <v>#REF!</v>
      </c>
      <c r="P22" s="17" t="e">
        <f>'JOUR 1'!P22+'JOUR 2'!P22+'JOUR 3'!P22+'JOUR 4'!P22+'JOUR 5'!P22+'JOUR 6'!P22+'JOUR 7'!P22+'JOUR 8'!P22+'JOUR 9'!P22+'JOUR 10'!P22+'JOUR 11'!P22+#REF!+#REF!+#REF!+#REF!+#REF!</f>
        <v>#REF!</v>
      </c>
      <c r="Q22" s="17" t="e">
        <f>'JOUR 1'!Q22+'JOUR 2'!Q22+'JOUR 3'!Q22+'JOUR 4'!Q22+'JOUR 5'!Q22+'JOUR 6'!Q22+'JOUR 7'!Q22+'JOUR 8'!Q22+'JOUR 9'!Q22+'JOUR 10'!Q22+'JOUR 11'!Q22+#REF!+#REF!+#REF!+#REF!+#REF!</f>
        <v>#REF!</v>
      </c>
      <c r="R22" s="17" t="e">
        <f>'JOUR 1'!R22+'JOUR 2'!R22+'JOUR 3'!R22+'JOUR 4'!R22+'JOUR 5'!R22+'JOUR 6'!R22+'JOUR 7'!R22+'JOUR 8'!R22+'JOUR 9'!R22+'JOUR 10'!R22+'JOUR 11'!R22+#REF!+#REF!+#REF!+#REF!+#REF!</f>
        <v>#REF!</v>
      </c>
      <c r="S22" s="31" t="e">
        <f>'JOUR 1'!S22+'JOUR 2'!S22+'JOUR 3'!S22+'JOUR 4'!S22+'JOUR 5'!S22+'JOUR 6'!S22+'JOUR 7'!S22+'JOUR 8'!S22+'JOUR 9'!S22+'JOUR 10'!S22+'JOUR 11'!S22+#REF!+#REF!+#REF!+#REF!+#REF!</f>
        <v>#REF!</v>
      </c>
      <c r="T22" s="31" t="e">
        <f>'JOUR 1'!T22+'JOUR 2'!T22+'JOUR 3'!T22+'JOUR 4'!T22+'JOUR 5'!T22+'JOUR 6'!T22+'JOUR 7'!T22+'JOUR 8'!T22+'JOUR 9'!T22+'JOUR 10'!T22+'JOUR 11'!T22+#REF!+#REF!+#REF!+#REF!+#REF!</f>
        <v>#REF!</v>
      </c>
      <c r="U22" s="31" t="e">
        <f>'JOUR 1'!U22+'JOUR 2'!U22+'JOUR 3'!U22+'JOUR 4'!U22+'JOUR 5'!U22+'JOUR 6'!U22+'JOUR 7'!U22+'JOUR 8'!U22+'JOUR 9'!U22+'JOUR 10'!U22+'JOUR 11'!U22+#REF!+#REF!+#REF!+#REF!+#REF!</f>
        <v>#REF!</v>
      </c>
      <c r="V22" s="32" t="e">
        <f>'JOUR 1'!V22+'JOUR 2'!V22+'JOUR 3'!V22+'JOUR 4'!V22+'JOUR 5'!V22+'JOUR 6'!V22+'JOUR 7'!V22+'JOUR 8'!V22+'JOUR 9'!V22+'JOUR 10'!V22+'JOUR 11'!V22+#REF!+#REF!+#REF!+#REF!+#REF!</f>
        <v>#REF!</v>
      </c>
      <c r="W22" s="32" t="e">
        <f>'JOUR 1'!W22+'JOUR 2'!W22+'JOUR 3'!W22+'JOUR 4'!W22+'JOUR 5'!W22+'JOUR 6'!W22+'JOUR 7'!W22+'JOUR 8'!W22+'JOUR 9'!W22+'JOUR 10'!W22+'JOUR 11'!W22+#REF!+#REF!+#REF!+#REF!+#REF!</f>
        <v>#REF!</v>
      </c>
      <c r="X22" s="32" t="e">
        <f>'JOUR 1'!X22+'JOUR 2'!X22+'JOUR 3'!X22+'JOUR 4'!X22+'JOUR 5'!X22+'JOUR 6'!X22+'JOUR 7'!X22+'JOUR 8'!X22+'JOUR 9'!X22+'JOUR 10'!X22+'JOUR 11'!X22+#REF!+#REF!+#REF!+#REF!+#REF!</f>
        <v>#REF!</v>
      </c>
      <c r="Y22" s="73" t="e">
        <f>'JOUR 1'!Y22+'JOUR 2'!Y22+'JOUR 3'!Y22+'JOUR 4'!Y22+'JOUR 5'!Y22+'JOUR 6'!Y22+'JOUR 7'!Y22+'JOUR 8'!Y22+'JOUR 9'!Y22+'JOUR 10'!Y22+'JOUR 11'!Y22+#REF!+#REF!+#REF!+#REF!+#REF!</f>
        <v>#REF!</v>
      </c>
      <c r="Z22" s="33" t="e">
        <f>'JOUR 1'!Z22+'JOUR 2'!Z22+'JOUR 3'!Z22+'JOUR 4'!Z22+'JOUR 5'!Z22+'JOUR 6'!Z22+'JOUR 7'!Z22+'JOUR 8'!Z22+'JOUR 9'!Z22+'JOUR 10'!Z22+'JOUR 11'!Z22+#REF!+#REF!+#REF!+#REF!+#REF!</f>
        <v>#REF!</v>
      </c>
      <c r="AA22" s="34" t="e">
        <f>'JOUR 1'!AA22+'JOUR 2'!AA22+'JOUR 3'!AA22+'JOUR 4'!AA22+'JOUR 5'!AA22+'JOUR 6'!AA22+'JOUR 7'!AA22+'JOUR 8'!AA22+'JOUR 9'!AA22+'JOUR 10'!AA22+'JOUR 11'!AA22+#REF!+#REF!+#REF!+#REF!+#REF!</f>
        <v>#REF!</v>
      </c>
      <c r="AB22" s="34" t="e">
        <f>'JOUR 1'!AB22+'JOUR 2'!AB22+'JOUR 3'!AB22+'JOUR 4'!AB22+'JOUR 5'!AB22+'JOUR 6'!AB22+'JOUR 7'!AB22+'JOUR 8'!AB22+'JOUR 9'!AB22+'JOUR 10'!AB22+'JOUR 11'!AB22+#REF!+#REF!+#REF!+#REF!+#REF!</f>
        <v>#REF!</v>
      </c>
      <c r="AC22" s="34" t="e">
        <f>'JOUR 1'!AC22+'JOUR 2'!AC22+'JOUR 3'!AC22+'JOUR 4'!AC22+'JOUR 5'!AC22+'JOUR 6'!AC22+'JOUR 7'!AC22+'JOUR 8'!AC22+'JOUR 9'!AC22+'JOUR 10'!AC22+'JOUR 11'!AC22+#REF!+#REF!+#REF!+#REF!+#REF!</f>
        <v>#REF!</v>
      </c>
      <c r="AD22" s="35" t="e">
        <f>'JOUR 1'!AD22+'JOUR 2'!AD22+'JOUR 3'!AD22+'JOUR 4'!AD22+'JOUR 5'!AD22+'JOUR 6'!AD22+'JOUR 7'!AD22+'JOUR 8'!AD22+'JOUR 9'!AD22+'JOUR 10'!AD22+'JOUR 11'!AD22+#REF!+#REF!+#REF!+#REF!+#REF!</f>
        <v>#REF!</v>
      </c>
      <c r="AE22" s="34" t="e">
        <f>'JOUR 1'!AE22+'JOUR 2'!AE22+'JOUR 3'!AE22+'JOUR 4'!AE22+'JOUR 5'!AE22+'JOUR 6'!AE22+'JOUR 7'!AE22+'JOUR 8'!AE22+'JOUR 9'!AE22+'JOUR 10'!AE22+'JOUR 11'!AE22+#REF!+#REF!+#REF!+#REF!+#REF!</f>
        <v>#REF!</v>
      </c>
      <c r="AF22" s="34" t="e">
        <f>'JOUR 1'!AF22+'JOUR 2'!AF22+'JOUR 3'!AF22+'JOUR 4'!AF22+'JOUR 5'!AF22+'JOUR 6'!AF22+'JOUR 7'!AF22+'JOUR 8'!AF22+'JOUR 9'!AF22+'JOUR 10'!AF22+'JOUR 11'!AF22+#REF!+#REF!+#REF!+#REF!+#REF!</f>
        <v>#REF!</v>
      </c>
      <c r="AG22" s="34" t="e">
        <f>'JOUR 1'!AG22+'JOUR 2'!AG22+'JOUR 3'!AG22+'JOUR 4'!AG22+'JOUR 5'!AG22+'JOUR 6'!AG22+'JOUR 7'!AG22+'JOUR 8'!AG22+'JOUR 9'!AG22+'JOUR 10'!AG22+'JOUR 11'!AG22+#REF!+#REF!+#REF!+#REF!+#REF!</f>
        <v>#REF!</v>
      </c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7"/>
    </row>
    <row r="23" spans="1:51" ht="17.399999999999999" x14ac:dyDescent="0.25">
      <c r="B23" s="16"/>
      <c r="C23" s="16"/>
      <c r="D23" s="17" t="e">
        <f>'JOUR 1'!D23+'JOUR 2'!D23+'JOUR 3'!D23+'JOUR 4'!D23+'JOUR 5'!D23+'JOUR 6'!D23+'JOUR 7'!D23+'JOUR 8'!D23+'JOUR 9'!D23+'JOUR 10'!D23+'JOUR 11'!D23+#REF!+#REF!+#REF!+#REF!+#REF!</f>
        <v>#REF!</v>
      </c>
      <c r="E23" s="17" t="e">
        <f>'JOUR 1'!E23+'JOUR 2'!E23+'JOUR 3'!E23+'JOUR 4'!E23+'JOUR 5'!E23+'JOUR 6'!E23+'JOUR 7'!E23+'JOUR 8'!E23+'JOUR 9'!E23+'JOUR 10'!E23+'JOUR 11'!E23+#REF!+#REF!+#REF!+#REF!+#REF!</f>
        <v>#REF!</v>
      </c>
      <c r="F23" s="17" t="e">
        <f>'JOUR 1'!F23+'JOUR 2'!F23+'JOUR 3'!F23+'JOUR 4'!F23+'JOUR 5'!F23+'JOUR 6'!F23+'JOUR 7'!F23+'JOUR 8'!F23+'JOUR 9'!F23+'JOUR 10'!F23+'JOUR 11'!F23+#REF!+#REF!+#REF!+#REF!+#REF!</f>
        <v>#REF!</v>
      </c>
      <c r="G23" s="17" t="e">
        <f>'JOUR 1'!G23+'JOUR 2'!G23+'JOUR 3'!G23+'JOUR 4'!G23+'JOUR 5'!G23+'JOUR 6'!G23+'JOUR 7'!G23+'JOUR 8'!G23+'JOUR 9'!G23+'JOUR 10'!G23+'JOUR 11'!G23+#REF!+#REF!+#REF!+#REF!+#REF!</f>
        <v>#REF!</v>
      </c>
      <c r="H23" s="17" t="e">
        <f>'JOUR 1'!H23+'JOUR 2'!H23+'JOUR 3'!H23+'JOUR 4'!H23+'JOUR 5'!H23+'JOUR 6'!H23+'JOUR 7'!H23+'JOUR 8'!H23+'JOUR 9'!H23+'JOUR 10'!H23+'JOUR 11'!H23+#REF!+#REF!+#REF!+#REF!+#REF!</f>
        <v>#REF!</v>
      </c>
      <c r="I23" s="17" t="e">
        <f>'JOUR 1'!I23+'JOUR 2'!I23+'JOUR 3'!I23+'JOUR 4'!I23+'JOUR 5'!I23+'JOUR 6'!I23+'JOUR 7'!I23+'JOUR 8'!I23+'JOUR 9'!I23+'JOUR 10'!I23+'JOUR 11'!I23+#REF!+#REF!+#REF!+#REF!+#REF!</f>
        <v>#REF!</v>
      </c>
      <c r="J23" s="17" t="e">
        <f>'JOUR 1'!J23+'JOUR 2'!J23+'JOUR 3'!J23+'JOUR 4'!J23+'JOUR 5'!J23+'JOUR 6'!J23+'JOUR 7'!J23+'JOUR 8'!J23+'JOUR 9'!J23+'JOUR 10'!J23+'JOUR 11'!J23+#REF!+#REF!+#REF!+#REF!+#REF!</f>
        <v>#REF!</v>
      </c>
      <c r="K23" s="17" t="e">
        <f>'JOUR 1'!K23+'JOUR 2'!K23+'JOUR 3'!K23+'JOUR 4'!K23+'JOUR 5'!K23+'JOUR 6'!K23+'JOUR 7'!K23+'JOUR 8'!K23+'JOUR 9'!K23+'JOUR 10'!K23+'JOUR 11'!K23+#REF!+#REF!+#REF!+#REF!+#REF!</f>
        <v>#REF!</v>
      </c>
      <c r="L23" s="17" t="e">
        <f>'JOUR 1'!L23+'JOUR 2'!L23+'JOUR 3'!L23+'JOUR 4'!L23+'JOUR 5'!L23+'JOUR 6'!L23+'JOUR 7'!L23+'JOUR 8'!L23+'JOUR 9'!L23+'JOUR 10'!L23+'JOUR 11'!L23+#REF!+#REF!+#REF!+#REF!+#REF!</f>
        <v>#REF!</v>
      </c>
      <c r="M23" s="17" t="e">
        <f>'JOUR 1'!M23+'JOUR 2'!M23+'JOUR 3'!M23+'JOUR 4'!M23+'JOUR 5'!M23+'JOUR 6'!M23+'JOUR 7'!M23+'JOUR 8'!M23+'JOUR 9'!M23+'JOUR 10'!M23+'JOUR 11'!M23+#REF!+#REF!+#REF!+#REF!+#REF!</f>
        <v>#REF!</v>
      </c>
      <c r="N23" s="17" t="e">
        <f>'JOUR 1'!N23+'JOUR 2'!N23+'JOUR 3'!N23+'JOUR 4'!N23+'JOUR 5'!N23+'JOUR 6'!N23+'JOUR 7'!N23+'JOUR 8'!N23+'JOUR 9'!N23+'JOUR 10'!N23+'JOUR 11'!N23+#REF!+#REF!+#REF!+#REF!+#REF!</f>
        <v>#REF!</v>
      </c>
      <c r="O23" s="17" t="e">
        <f>'JOUR 1'!O23+'JOUR 2'!O23+'JOUR 3'!O23+'JOUR 4'!O23+'JOUR 5'!O23+'JOUR 6'!O23+'JOUR 7'!O23+'JOUR 8'!O23+'JOUR 9'!O23+'JOUR 10'!O23+'JOUR 11'!O23+#REF!+#REF!+#REF!+#REF!+#REF!</f>
        <v>#REF!</v>
      </c>
      <c r="P23" s="17" t="e">
        <f>'JOUR 1'!P23+'JOUR 2'!P23+'JOUR 3'!P23+'JOUR 4'!P23+'JOUR 5'!P23+'JOUR 6'!P23+'JOUR 7'!P23+'JOUR 8'!P23+'JOUR 9'!P23+'JOUR 10'!P23+'JOUR 11'!P23+#REF!+#REF!+#REF!+#REF!+#REF!</f>
        <v>#REF!</v>
      </c>
      <c r="Q23" s="17" t="e">
        <f>'JOUR 1'!Q23+'JOUR 2'!Q23+'JOUR 3'!Q23+'JOUR 4'!Q23+'JOUR 5'!Q23+'JOUR 6'!Q23+'JOUR 7'!Q23+'JOUR 8'!Q23+'JOUR 9'!Q23+'JOUR 10'!Q23+'JOUR 11'!Q23+#REF!+#REF!+#REF!+#REF!+#REF!</f>
        <v>#REF!</v>
      </c>
      <c r="R23" s="17" t="e">
        <f>'JOUR 1'!R23+'JOUR 2'!R23+'JOUR 3'!R23+'JOUR 4'!R23+'JOUR 5'!R23+'JOUR 6'!R23+'JOUR 7'!R23+'JOUR 8'!R23+'JOUR 9'!R23+'JOUR 10'!R23+'JOUR 11'!R23+#REF!+#REF!+#REF!+#REF!+#REF!</f>
        <v>#REF!</v>
      </c>
      <c r="S23" s="31" t="e">
        <f>'JOUR 1'!S23+'JOUR 2'!S23+'JOUR 3'!S23+'JOUR 4'!S23+'JOUR 5'!S23+'JOUR 6'!S23+'JOUR 7'!S23+'JOUR 8'!S23+'JOUR 9'!S23+'JOUR 10'!S23+'JOUR 11'!S23+#REF!+#REF!+#REF!+#REF!+#REF!</f>
        <v>#REF!</v>
      </c>
      <c r="T23" s="31" t="e">
        <f>'JOUR 1'!T23+'JOUR 2'!T23+'JOUR 3'!T23+'JOUR 4'!T23+'JOUR 5'!T23+'JOUR 6'!T23+'JOUR 7'!T23+'JOUR 8'!T23+'JOUR 9'!T23+'JOUR 10'!T23+'JOUR 11'!T23+#REF!+#REF!+#REF!+#REF!+#REF!</f>
        <v>#REF!</v>
      </c>
      <c r="U23" s="31" t="e">
        <f>'JOUR 1'!U23+'JOUR 2'!U23+'JOUR 3'!U23+'JOUR 4'!U23+'JOUR 5'!U23+'JOUR 6'!U23+'JOUR 7'!U23+'JOUR 8'!U23+'JOUR 9'!U23+'JOUR 10'!U23+'JOUR 11'!U23+#REF!+#REF!+#REF!+#REF!+#REF!</f>
        <v>#REF!</v>
      </c>
      <c r="V23" s="32" t="e">
        <f>'JOUR 1'!V23+'JOUR 2'!V23+'JOUR 3'!V23+'JOUR 4'!V23+'JOUR 5'!V23+'JOUR 6'!V23+'JOUR 7'!V23+'JOUR 8'!V23+'JOUR 9'!V23+'JOUR 10'!V23+'JOUR 11'!V23+#REF!+#REF!+#REF!+#REF!+#REF!</f>
        <v>#REF!</v>
      </c>
      <c r="W23" s="32" t="e">
        <f>'JOUR 1'!W23+'JOUR 2'!W23+'JOUR 3'!W23+'JOUR 4'!W23+'JOUR 5'!W23+'JOUR 6'!W23+'JOUR 7'!W23+'JOUR 8'!W23+'JOUR 9'!W23+'JOUR 10'!W23+'JOUR 11'!W23+#REF!+#REF!+#REF!+#REF!+#REF!</f>
        <v>#REF!</v>
      </c>
      <c r="X23" s="32" t="e">
        <f>'JOUR 1'!X23+'JOUR 2'!X23+'JOUR 3'!X23+'JOUR 4'!X23+'JOUR 5'!X23+'JOUR 6'!X23+'JOUR 7'!X23+'JOUR 8'!X23+'JOUR 9'!X23+'JOUR 10'!X23+'JOUR 11'!X23+#REF!+#REF!+#REF!+#REF!+#REF!</f>
        <v>#REF!</v>
      </c>
      <c r="Y23" s="73" t="e">
        <f>'JOUR 1'!Y23+'JOUR 2'!Y23+'JOUR 3'!Y23+'JOUR 4'!Y23+'JOUR 5'!Y23+'JOUR 6'!Y23+'JOUR 7'!Y23+'JOUR 8'!Y23+'JOUR 9'!Y23+'JOUR 10'!Y23+'JOUR 11'!Y23+#REF!+#REF!+#REF!+#REF!+#REF!</f>
        <v>#REF!</v>
      </c>
      <c r="Z23" s="33" t="e">
        <f>'JOUR 1'!Z23+'JOUR 2'!Z23+'JOUR 3'!Z23+'JOUR 4'!Z23+'JOUR 5'!Z23+'JOUR 6'!Z23+'JOUR 7'!Z23+'JOUR 8'!Z23+'JOUR 9'!Z23+'JOUR 10'!Z23+'JOUR 11'!Z23+#REF!+#REF!+#REF!+#REF!+#REF!</f>
        <v>#REF!</v>
      </c>
      <c r="AA23" s="34" t="e">
        <f>'JOUR 1'!AA23+'JOUR 2'!AA23+'JOUR 3'!AA23+'JOUR 4'!AA23+'JOUR 5'!AA23+'JOUR 6'!AA23+'JOUR 7'!AA23+'JOUR 8'!AA23+'JOUR 9'!AA23+'JOUR 10'!AA23+'JOUR 11'!AA23+#REF!+#REF!+#REF!+#REF!+#REF!</f>
        <v>#REF!</v>
      </c>
      <c r="AB23" s="34" t="e">
        <f>'JOUR 1'!AB23+'JOUR 2'!AB23+'JOUR 3'!AB23+'JOUR 4'!AB23+'JOUR 5'!AB23+'JOUR 6'!AB23+'JOUR 7'!AB23+'JOUR 8'!AB23+'JOUR 9'!AB23+'JOUR 10'!AB23+'JOUR 11'!AB23+#REF!+#REF!+#REF!+#REF!+#REF!</f>
        <v>#REF!</v>
      </c>
      <c r="AC23" s="34" t="e">
        <f>'JOUR 1'!AC23+'JOUR 2'!AC23+'JOUR 3'!AC23+'JOUR 4'!AC23+'JOUR 5'!AC23+'JOUR 6'!AC23+'JOUR 7'!AC23+'JOUR 8'!AC23+'JOUR 9'!AC23+'JOUR 10'!AC23+'JOUR 11'!AC23+#REF!+#REF!+#REF!+#REF!+#REF!</f>
        <v>#REF!</v>
      </c>
      <c r="AD23" s="35" t="e">
        <f>'JOUR 1'!AD23+'JOUR 2'!AD23+'JOUR 3'!AD23+'JOUR 4'!AD23+'JOUR 5'!AD23+'JOUR 6'!AD23+'JOUR 7'!AD23+'JOUR 8'!AD23+'JOUR 9'!AD23+'JOUR 10'!AD23+'JOUR 11'!AD23+#REF!+#REF!+#REF!+#REF!+#REF!</f>
        <v>#REF!</v>
      </c>
      <c r="AE23" s="34" t="e">
        <f>'JOUR 1'!AE23+'JOUR 2'!AE23+'JOUR 3'!AE23+'JOUR 4'!AE23+'JOUR 5'!AE23+'JOUR 6'!AE23+'JOUR 7'!AE23+'JOUR 8'!AE23+'JOUR 9'!AE23+'JOUR 10'!AE23+'JOUR 11'!AE23+#REF!+#REF!+#REF!+#REF!+#REF!</f>
        <v>#REF!</v>
      </c>
      <c r="AF23" s="34" t="e">
        <f>'JOUR 1'!AF23+'JOUR 2'!AF23+'JOUR 3'!AF23+'JOUR 4'!AF23+'JOUR 5'!AF23+'JOUR 6'!AF23+'JOUR 7'!AF23+'JOUR 8'!AF23+'JOUR 9'!AF23+'JOUR 10'!AF23+'JOUR 11'!AF23+#REF!+#REF!+#REF!+#REF!+#REF!</f>
        <v>#REF!</v>
      </c>
      <c r="AG23" s="34" t="e">
        <f>'JOUR 1'!AG23+'JOUR 2'!AG23+'JOUR 3'!AG23+'JOUR 4'!AG23+'JOUR 5'!AG23+'JOUR 6'!AG23+'JOUR 7'!AG23+'JOUR 8'!AG23+'JOUR 9'!AG23+'JOUR 10'!AG23+'JOUR 11'!AG23+#REF!+#REF!+#REF!+#REF!+#REF!</f>
        <v>#REF!</v>
      </c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7"/>
    </row>
    <row r="24" spans="1:51" ht="17.399999999999999" x14ac:dyDescent="0.25">
      <c r="B24" s="16"/>
      <c r="C24" s="16"/>
      <c r="D24" s="17" t="e">
        <f>'JOUR 1'!D24+'JOUR 2'!D24+'JOUR 3'!D24+'JOUR 4'!D24+'JOUR 5'!D24+'JOUR 6'!D24+'JOUR 7'!D24+'JOUR 8'!D24+'JOUR 9'!D24+'JOUR 10'!D24+'JOUR 11'!D24+#REF!+#REF!+#REF!+#REF!+#REF!</f>
        <v>#REF!</v>
      </c>
      <c r="E24" s="17" t="e">
        <f>'JOUR 1'!E24+'JOUR 2'!E24+'JOUR 3'!E24+'JOUR 4'!E24+'JOUR 5'!E24+'JOUR 6'!E24+'JOUR 7'!E24+'JOUR 8'!E24+'JOUR 9'!E24+'JOUR 10'!E24+'JOUR 11'!E24+#REF!+#REF!+#REF!+#REF!+#REF!</f>
        <v>#REF!</v>
      </c>
      <c r="F24" s="17" t="e">
        <f>'JOUR 1'!F24+'JOUR 2'!F24+'JOUR 3'!F24+'JOUR 4'!F24+'JOUR 5'!F24+'JOUR 6'!F24+'JOUR 7'!F24+'JOUR 8'!F24+'JOUR 9'!F24+'JOUR 10'!F24+'JOUR 11'!F24+#REF!+#REF!+#REF!+#REF!+#REF!</f>
        <v>#REF!</v>
      </c>
      <c r="G24" s="17" t="e">
        <f>'JOUR 1'!G24+'JOUR 2'!G24+'JOUR 3'!G24+'JOUR 4'!G24+'JOUR 5'!G24+'JOUR 6'!G24+'JOUR 7'!G24+'JOUR 8'!G24+'JOUR 9'!G24+'JOUR 10'!G24+'JOUR 11'!G24+#REF!+#REF!+#REF!+#REF!+#REF!</f>
        <v>#REF!</v>
      </c>
      <c r="H24" s="17" t="e">
        <f>'JOUR 1'!H24+'JOUR 2'!H24+'JOUR 3'!H24+'JOUR 4'!H24+'JOUR 5'!H24+'JOUR 6'!H24+'JOUR 7'!H24+'JOUR 8'!H24+'JOUR 9'!H24+'JOUR 10'!H24+'JOUR 11'!H24+#REF!+#REF!+#REF!+#REF!+#REF!</f>
        <v>#REF!</v>
      </c>
      <c r="I24" s="17" t="e">
        <f>'JOUR 1'!I24+'JOUR 2'!I24+'JOUR 3'!I24+'JOUR 4'!I24+'JOUR 5'!I24+'JOUR 6'!I24+'JOUR 7'!I24+'JOUR 8'!I24+'JOUR 9'!I24+'JOUR 10'!I24+'JOUR 11'!I24+#REF!+#REF!+#REF!+#REF!+#REF!</f>
        <v>#REF!</v>
      </c>
      <c r="J24" s="17" t="e">
        <f>'JOUR 1'!J24+'JOUR 2'!J24+'JOUR 3'!J24+'JOUR 4'!J24+'JOUR 5'!J24+'JOUR 6'!J24+'JOUR 7'!J24+'JOUR 8'!J24+'JOUR 9'!J24+'JOUR 10'!J24+'JOUR 11'!J24+#REF!+#REF!+#REF!+#REF!+#REF!</f>
        <v>#REF!</v>
      </c>
      <c r="K24" s="17" t="e">
        <f>'JOUR 1'!K24+'JOUR 2'!K24+'JOUR 3'!K24+'JOUR 4'!K24+'JOUR 5'!K24+'JOUR 6'!K24+'JOUR 7'!K24+'JOUR 8'!K24+'JOUR 9'!K24+'JOUR 10'!K24+'JOUR 11'!K24+#REF!+#REF!+#REF!+#REF!+#REF!</f>
        <v>#REF!</v>
      </c>
      <c r="L24" s="17" t="e">
        <f>'JOUR 1'!L24+'JOUR 2'!L24+'JOUR 3'!L24+'JOUR 4'!L24+'JOUR 5'!L24+'JOUR 6'!L24+'JOUR 7'!L24+'JOUR 8'!L24+'JOUR 9'!L24+'JOUR 10'!L24+'JOUR 11'!L24+#REF!+#REF!+#REF!+#REF!+#REF!</f>
        <v>#REF!</v>
      </c>
      <c r="M24" s="17" t="e">
        <f>'JOUR 1'!M24+'JOUR 2'!M24+'JOUR 3'!M24+'JOUR 4'!M24+'JOUR 5'!M24+'JOUR 6'!M24+'JOUR 7'!M24+'JOUR 8'!M24+'JOUR 9'!M24+'JOUR 10'!M24+'JOUR 11'!M24+#REF!+#REF!+#REF!+#REF!+#REF!</f>
        <v>#REF!</v>
      </c>
      <c r="N24" s="17" t="e">
        <f>'JOUR 1'!N24+'JOUR 2'!N24+'JOUR 3'!N24+'JOUR 4'!N24+'JOUR 5'!N24+'JOUR 6'!N24+'JOUR 7'!N24+'JOUR 8'!N24+'JOUR 9'!N24+'JOUR 10'!N24+'JOUR 11'!N24+#REF!+#REF!+#REF!+#REF!+#REF!</f>
        <v>#REF!</v>
      </c>
      <c r="O24" s="17" t="e">
        <f>'JOUR 1'!O24+'JOUR 2'!O24+'JOUR 3'!O24+'JOUR 4'!O24+'JOUR 5'!O24+'JOUR 6'!O24+'JOUR 7'!O24+'JOUR 8'!O24+'JOUR 9'!O24+'JOUR 10'!O24+'JOUR 11'!O24+#REF!+#REF!+#REF!+#REF!+#REF!</f>
        <v>#REF!</v>
      </c>
      <c r="P24" s="17" t="e">
        <f>'JOUR 1'!P24+'JOUR 2'!P24+'JOUR 3'!P24+'JOUR 4'!P24+'JOUR 5'!P24+'JOUR 6'!P24+'JOUR 7'!P24+'JOUR 8'!P24+'JOUR 9'!P24+'JOUR 10'!P24+'JOUR 11'!P24+#REF!+#REF!+#REF!+#REF!+#REF!</f>
        <v>#REF!</v>
      </c>
      <c r="Q24" s="17" t="e">
        <f>'JOUR 1'!Q24+'JOUR 2'!Q24+'JOUR 3'!Q24+'JOUR 4'!Q24+'JOUR 5'!Q24+'JOUR 6'!Q24+'JOUR 7'!Q24+'JOUR 8'!Q24+'JOUR 9'!Q24+'JOUR 10'!Q24+'JOUR 11'!Q24+#REF!+#REF!+#REF!+#REF!+#REF!</f>
        <v>#REF!</v>
      </c>
      <c r="R24" s="17" t="e">
        <f>'JOUR 1'!R24+'JOUR 2'!R24+'JOUR 3'!R24+'JOUR 4'!R24+'JOUR 5'!R24+'JOUR 6'!R24+'JOUR 7'!R24+'JOUR 8'!R24+'JOUR 9'!R24+'JOUR 10'!R24+'JOUR 11'!R24+#REF!+#REF!+#REF!+#REF!+#REF!</f>
        <v>#REF!</v>
      </c>
      <c r="S24" s="31" t="e">
        <f>'JOUR 1'!S24+'JOUR 2'!S24+'JOUR 3'!S24+'JOUR 4'!S24+'JOUR 5'!S24+'JOUR 6'!S24+'JOUR 7'!S24+'JOUR 8'!S24+'JOUR 9'!S24+'JOUR 10'!S24+'JOUR 11'!S24+#REF!+#REF!+#REF!+#REF!+#REF!</f>
        <v>#REF!</v>
      </c>
      <c r="T24" s="31" t="e">
        <f>'JOUR 1'!T24+'JOUR 2'!T24+'JOUR 3'!T24+'JOUR 4'!T24+'JOUR 5'!T24+'JOUR 6'!T24+'JOUR 7'!T24+'JOUR 8'!T24+'JOUR 9'!T24+'JOUR 10'!T24+'JOUR 11'!T24+#REF!+#REF!+#REF!+#REF!+#REF!</f>
        <v>#REF!</v>
      </c>
      <c r="U24" s="31" t="e">
        <f>'JOUR 1'!U24+'JOUR 2'!U24+'JOUR 3'!U24+'JOUR 4'!U24+'JOUR 5'!U24+'JOUR 6'!U24+'JOUR 7'!U24+'JOUR 8'!U24+'JOUR 9'!U24+'JOUR 10'!U24+'JOUR 11'!U24+#REF!+#REF!+#REF!+#REF!+#REF!</f>
        <v>#REF!</v>
      </c>
      <c r="V24" s="32" t="e">
        <f>'JOUR 1'!V24+'JOUR 2'!V24+'JOUR 3'!V24+'JOUR 4'!V24+'JOUR 5'!V24+'JOUR 6'!V24+'JOUR 7'!V24+'JOUR 8'!V24+'JOUR 9'!V24+'JOUR 10'!V24+'JOUR 11'!V24+#REF!+#REF!+#REF!+#REF!+#REF!</f>
        <v>#REF!</v>
      </c>
      <c r="W24" s="32" t="e">
        <f>'JOUR 1'!W24+'JOUR 2'!W24+'JOUR 3'!W24+'JOUR 4'!W24+'JOUR 5'!W24+'JOUR 6'!W24+'JOUR 7'!W24+'JOUR 8'!W24+'JOUR 9'!W24+'JOUR 10'!W24+'JOUR 11'!W24+#REF!+#REF!+#REF!+#REF!+#REF!</f>
        <v>#REF!</v>
      </c>
      <c r="X24" s="32" t="e">
        <f>'JOUR 1'!X24+'JOUR 2'!X24+'JOUR 3'!X24+'JOUR 4'!X24+'JOUR 5'!X24+'JOUR 6'!X24+'JOUR 7'!X24+'JOUR 8'!X24+'JOUR 9'!X24+'JOUR 10'!X24+'JOUR 11'!X24+#REF!+#REF!+#REF!+#REF!+#REF!</f>
        <v>#REF!</v>
      </c>
      <c r="Y24" s="73" t="e">
        <f>'JOUR 1'!Y24+'JOUR 2'!Y24+'JOUR 3'!Y24+'JOUR 4'!Y24+'JOUR 5'!Y24+'JOUR 6'!Y24+'JOUR 7'!Y24+'JOUR 8'!Y24+'JOUR 9'!Y24+'JOUR 10'!Y24+'JOUR 11'!Y24+#REF!+#REF!+#REF!+#REF!+#REF!</f>
        <v>#REF!</v>
      </c>
      <c r="Z24" s="33" t="e">
        <f>'JOUR 1'!Z24+'JOUR 2'!Z24+'JOUR 3'!Z24+'JOUR 4'!Z24+'JOUR 5'!Z24+'JOUR 6'!Z24+'JOUR 7'!Z24+'JOUR 8'!Z24+'JOUR 9'!Z24+'JOUR 10'!Z24+'JOUR 11'!Z24+#REF!+#REF!+#REF!+#REF!+#REF!</f>
        <v>#REF!</v>
      </c>
      <c r="AA24" s="34" t="e">
        <f>'JOUR 1'!AA24+'JOUR 2'!AA24+'JOUR 3'!AA24+'JOUR 4'!AA24+'JOUR 5'!AA24+'JOUR 6'!AA24+'JOUR 7'!AA24+'JOUR 8'!AA24+'JOUR 9'!AA24+'JOUR 10'!AA24+'JOUR 11'!AA24+#REF!+#REF!+#REF!+#REF!+#REF!</f>
        <v>#REF!</v>
      </c>
      <c r="AB24" s="34" t="e">
        <f>'JOUR 1'!AB24+'JOUR 2'!AB24+'JOUR 3'!AB24+'JOUR 4'!AB24+'JOUR 5'!AB24+'JOUR 6'!AB24+'JOUR 7'!AB24+'JOUR 8'!AB24+'JOUR 9'!AB24+'JOUR 10'!AB24+'JOUR 11'!AB24+#REF!+#REF!+#REF!+#REF!+#REF!</f>
        <v>#REF!</v>
      </c>
      <c r="AC24" s="34" t="e">
        <f>'JOUR 1'!AC24+'JOUR 2'!AC24+'JOUR 3'!AC24+'JOUR 4'!AC24+'JOUR 5'!AC24+'JOUR 6'!AC24+'JOUR 7'!AC24+'JOUR 8'!AC24+'JOUR 9'!AC24+'JOUR 10'!AC24+'JOUR 11'!AC24+#REF!+#REF!+#REF!+#REF!+#REF!</f>
        <v>#REF!</v>
      </c>
      <c r="AD24" s="35" t="e">
        <f>'JOUR 1'!AD24+'JOUR 2'!AD24+'JOUR 3'!AD24+'JOUR 4'!AD24+'JOUR 5'!AD24+'JOUR 6'!AD24+'JOUR 7'!AD24+'JOUR 8'!AD24+'JOUR 9'!AD24+'JOUR 10'!AD24+'JOUR 11'!AD24+#REF!+#REF!+#REF!+#REF!+#REF!</f>
        <v>#REF!</v>
      </c>
      <c r="AE24" s="34" t="e">
        <f>'JOUR 1'!AE24+'JOUR 2'!AE24+'JOUR 3'!AE24+'JOUR 4'!AE24+'JOUR 5'!AE24+'JOUR 6'!AE24+'JOUR 7'!AE24+'JOUR 8'!AE24+'JOUR 9'!AE24+'JOUR 10'!AE24+'JOUR 11'!AE24+#REF!+#REF!+#REF!+#REF!+#REF!</f>
        <v>#REF!</v>
      </c>
      <c r="AF24" s="34" t="e">
        <f>'JOUR 1'!AF24+'JOUR 2'!AF24+'JOUR 3'!AF24+'JOUR 4'!AF24+'JOUR 5'!AF24+'JOUR 6'!AF24+'JOUR 7'!AF24+'JOUR 8'!AF24+'JOUR 9'!AF24+'JOUR 10'!AF24+'JOUR 11'!AF24+#REF!+#REF!+#REF!+#REF!+#REF!</f>
        <v>#REF!</v>
      </c>
      <c r="AG24" s="34" t="e">
        <f>'JOUR 1'!AG24+'JOUR 2'!AG24+'JOUR 3'!AG24+'JOUR 4'!AG24+'JOUR 5'!AG24+'JOUR 6'!AG24+'JOUR 7'!AG24+'JOUR 8'!AG24+'JOUR 9'!AG24+'JOUR 10'!AG24+'JOUR 11'!AG24+#REF!+#REF!+#REF!+#REF!+#REF!</f>
        <v>#REF!</v>
      </c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7"/>
    </row>
    <row r="25" spans="1:51" s="51" customFormat="1" ht="18" thickBot="1" x14ac:dyDescent="0.3">
      <c r="A25" s="51">
        <v>2</v>
      </c>
      <c r="B25" s="16" t="s">
        <v>17</v>
      </c>
      <c r="C25" s="16"/>
      <c r="D25" s="61" t="e">
        <f>'JOUR 1'!D25+'JOUR 2'!D25+'JOUR 3'!D25+'JOUR 4'!D25+'JOUR 5'!D25+'JOUR 6'!D25+'JOUR 7'!D25+'JOUR 8'!D25+'JOUR 9'!D25+'JOUR 10'!D25+'JOUR 11'!D25+#REF!+#REF!+#REF!+#REF!+#REF!</f>
        <v>#REF!</v>
      </c>
      <c r="E25" s="61" t="e">
        <f>'JOUR 1'!E25+'JOUR 2'!E25+'JOUR 3'!E25+'JOUR 4'!E25+'JOUR 5'!E25+'JOUR 6'!E25+'JOUR 7'!E25+'JOUR 8'!E25+'JOUR 9'!E25+'JOUR 10'!E25+'JOUR 11'!E25+#REF!+#REF!+#REF!+#REF!+#REF!</f>
        <v>#REF!</v>
      </c>
      <c r="F25" s="61" t="e">
        <f>'JOUR 1'!F25+'JOUR 2'!F25+'JOUR 3'!F25+'JOUR 4'!F25+'JOUR 5'!F25+'JOUR 6'!F25+'JOUR 7'!F25+'JOUR 8'!F25+'JOUR 9'!F25+'JOUR 10'!F25+'JOUR 11'!F25+#REF!+#REF!+#REF!+#REF!+#REF!</f>
        <v>#REF!</v>
      </c>
      <c r="G25" s="61" t="e">
        <f>'JOUR 1'!G25+'JOUR 2'!G25+'JOUR 3'!G25+'JOUR 4'!G25+'JOUR 5'!G25+'JOUR 6'!G25+'JOUR 7'!G25+'JOUR 8'!G25+'JOUR 9'!G25+'JOUR 10'!G25+'JOUR 11'!G25+#REF!+#REF!+#REF!+#REF!+#REF!</f>
        <v>#REF!</v>
      </c>
      <c r="H25" s="61" t="e">
        <f>'JOUR 1'!H25+'JOUR 2'!H25+'JOUR 3'!H25+'JOUR 4'!H25+'JOUR 5'!H25+'JOUR 6'!H25+'JOUR 7'!H25+'JOUR 8'!H25+'JOUR 9'!H25+'JOUR 10'!H25+'JOUR 11'!H25+#REF!+#REF!+#REF!+#REF!+#REF!</f>
        <v>#REF!</v>
      </c>
      <c r="I25" s="61" t="e">
        <f>'JOUR 1'!I25+'JOUR 2'!I25+'JOUR 3'!I25+'JOUR 4'!I25+'JOUR 5'!I25+'JOUR 6'!I25+'JOUR 7'!I25+'JOUR 8'!I25+'JOUR 9'!I25+'JOUR 10'!I25+'JOUR 11'!I25+#REF!+#REF!+#REF!+#REF!+#REF!</f>
        <v>#REF!</v>
      </c>
      <c r="J25" s="61" t="e">
        <f>'JOUR 1'!J25+'JOUR 2'!J25+'JOUR 3'!J25+'JOUR 4'!J25+'JOUR 5'!J25+'JOUR 6'!J25+'JOUR 7'!J25+'JOUR 8'!J25+'JOUR 9'!J25+'JOUR 10'!J25+'JOUR 11'!J25+#REF!+#REF!+#REF!+#REF!+#REF!</f>
        <v>#REF!</v>
      </c>
      <c r="K25" s="61" t="e">
        <f>'JOUR 1'!K25+'JOUR 2'!K25+'JOUR 3'!K25+'JOUR 4'!K25+'JOUR 5'!K25+'JOUR 6'!K25+'JOUR 7'!K25+'JOUR 8'!K25+'JOUR 9'!K25+'JOUR 10'!K25+'JOUR 11'!K25+#REF!+#REF!+#REF!+#REF!+#REF!</f>
        <v>#REF!</v>
      </c>
      <c r="L25" s="61" t="e">
        <f>'JOUR 1'!L25+'JOUR 2'!L25+'JOUR 3'!L25+'JOUR 4'!L25+'JOUR 5'!L25+'JOUR 6'!L25+'JOUR 7'!L25+'JOUR 8'!L25+'JOUR 9'!L25+'JOUR 10'!L25+'JOUR 11'!L25+#REF!+#REF!+#REF!+#REF!+#REF!</f>
        <v>#REF!</v>
      </c>
      <c r="M25" s="61" t="e">
        <f>'JOUR 1'!M25+'JOUR 2'!M25+'JOUR 3'!M25+'JOUR 4'!M25+'JOUR 5'!M25+'JOUR 6'!M25+'JOUR 7'!M25+'JOUR 8'!M25+'JOUR 9'!M25+'JOUR 10'!M25+'JOUR 11'!M25+#REF!+#REF!+#REF!+#REF!+#REF!</f>
        <v>#REF!</v>
      </c>
      <c r="N25" s="61" t="e">
        <f>'JOUR 1'!N25+'JOUR 2'!N25+'JOUR 3'!N25+'JOUR 4'!N25+'JOUR 5'!N25+'JOUR 6'!N25+'JOUR 7'!N25+'JOUR 8'!N25+'JOUR 9'!N25+'JOUR 10'!N25+'JOUR 11'!N25+#REF!+#REF!+#REF!+#REF!+#REF!</f>
        <v>#REF!</v>
      </c>
      <c r="O25" s="61" t="e">
        <f>'JOUR 1'!O25+'JOUR 2'!O25+'JOUR 3'!O25+'JOUR 4'!O25+'JOUR 5'!O25+'JOUR 6'!O25+'JOUR 7'!O25+'JOUR 8'!O25+'JOUR 9'!O25+'JOUR 10'!O25+'JOUR 11'!O25+#REF!+#REF!+#REF!+#REF!+#REF!</f>
        <v>#REF!</v>
      </c>
      <c r="P25" s="61" t="e">
        <f>'JOUR 1'!P25+'JOUR 2'!P25+'JOUR 3'!P25+'JOUR 4'!P25+'JOUR 5'!P25+'JOUR 6'!P25+'JOUR 7'!P25+'JOUR 8'!P25+'JOUR 9'!P25+'JOUR 10'!P25+'JOUR 11'!P25+#REF!+#REF!+#REF!+#REF!+#REF!</f>
        <v>#REF!</v>
      </c>
      <c r="Q25" s="61" t="e">
        <f>'JOUR 1'!Q25+'JOUR 2'!Q25+'JOUR 3'!Q25+'JOUR 4'!Q25+'JOUR 5'!Q25+'JOUR 6'!Q25+'JOUR 7'!Q25+'JOUR 8'!Q25+'JOUR 9'!Q25+'JOUR 10'!Q25+'JOUR 11'!Q25+#REF!+#REF!+#REF!+#REF!+#REF!</f>
        <v>#REF!</v>
      </c>
      <c r="R25" s="61" t="e">
        <f>'JOUR 1'!R25+'JOUR 2'!R25+'JOUR 3'!R25+'JOUR 4'!R25+'JOUR 5'!R25+'JOUR 6'!R25+'JOUR 7'!R25+'JOUR 8'!R25+'JOUR 9'!R25+'JOUR 10'!R25+'JOUR 11'!R25+#REF!+#REF!+#REF!+#REF!+#REF!</f>
        <v>#REF!</v>
      </c>
      <c r="S25" s="61" t="e">
        <f>'JOUR 1'!S25+'JOUR 2'!S25+'JOUR 3'!S25+'JOUR 4'!S25+'JOUR 5'!S25+'JOUR 6'!S25+'JOUR 7'!S25+'JOUR 8'!S25+'JOUR 9'!S25+'JOUR 10'!S25+'JOUR 11'!S25+#REF!+#REF!+#REF!+#REF!+#REF!</f>
        <v>#REF!</v>
      </c>
      <c r="T25" s="61" t="e">
        <f>'JOUR 1'!T25+'JOUR 2'!T25+'JOUR 3'!T25+'JOUR 4'!T25+'JOUR 5'!T25+'JOUR 6'!T25+'JOUR 7'!T25+'JOUR 8'!T25+'JOUR 9'!T25+'JOUR 10'!T25+'JOUR 11'!T25+#REF!+#REF!+#REF!+#REF!+#REF!</f>
        <v>#REF!</v>
      </c>
      <c r="U25" s="61" t="e">
        <f>'JOUR 1'!U25+'JOUR 2'!U25+'JOUR 3'!U25+'JOUR 4'!U25+'JOUR 5'!U25+'JOUR 6'!U25+'JOUR 7'!U25+'JOUR 8'!U25+'JOUR 9'!U25+'JOUR 10'!U25+'JOUR 11'!U25+#REF!+#REF!+#REF!+#REF!+#REF!</f>
        <v>#REF!</v>
      </c>
      <c r="V25" s="61" t="e">
        <f>'JOUR 1'!V25+'JOUR 2'!V25+'JOUR 3'!V25+'JOUR 4'!V25+'JOUR 5'!V25+'JOUR 6'!V25+'JOUR 7'!V25+'JOUR 8'!V25+'JOUR 9'!V25+'JOUR 10'!V25+'JOUR 11'!V25+#REF!+#REF!+#REF!+#REF!+#REF!</f>
        <v>#REF!</v>
      </c>
      <c r="W25" s="61" t="e">
        <f>'JOUR 1'!W25+'JOUR 2'!W25+'JOUR 3'!W25+'JOUR 4'!W25+'JOUR 5'!W25+'JOUR 6'!W25+'JOUR 7'!W25+'JOUR 8'!W25+'JOUR 9'!W25+'JOUR 10'!W25+'JOUR 11'!W25+#REF!+#REF!+#REF!+#REF!+#REF!</f>
        <v>#REF!</v>
      </c>
      <c r="X25" s="61" t="e">
        <f>'JOUR 1'!X25+'JOUR 2'!X25+'JOUR 3'!X25+'JOUR 4'!X25+'JOUR 5'!X25+'JOUR 6'!X25+'JOUR 7'!X25+'JOUR 8'!X25+'JOUR 9'!X25+'JOUR 10'!X25+'JOUR 11'!X25+#REF!+#REF!+#REF!+#REF!+#REF!</f>
        <v>#REF!</v>
      </c>
      <c r="Y25" s="61" t="e">
        <f>'JOUR 1'!Y25+'JOUR 2'!Y25+'JOUR 3'!Y25+'JOUR 4'!Y25+'JOUR 5'!Y25+'JOUR 6'!Y25+'JOUR 7'!Y25+'JOUR 8'!Y25+'JOUR 9'!Y25+'JOUR 10'!Y25+'JOUR 11'!Y25+#REF!+#REF!+#REF!+#REF!+#REF!</f>
        <v>#REF!</v>
      </c>
      <c r="Z25" s="61" t="e">
        <f>'JOUR 1'!Z25+'JOUR 2'!Z25+'JOUR 3'!Z25+'JOUR 4'!Z25+'JOUR 5'!Z25+'JOUR 6'!Z25+'JOUR 7'!Z25+'JOUR 8'!Z25+'JOUR 9'!Z25+'JOUR 10'!Z25+'JOUR 11'!Z25+#REF!+#REF!+#REF!+#REF!+#REF!</f>
        <v>#REF!</v>
      </c>
      <c r="AA25" s="61" t="e">
        <f>'JOUR 1'!AA25+'JOUR 2'!AA25+'JOUR 3'!AA25+'JOUR 4'!AA25+'JOUR 5'!AA25+'JOUR 6'!AA25+'JOUR 7'!AA25+'JOUR 8'!AA25+'JOUR 9'!AA25+'JOUR 10'!AA25+'JOUR 11'!AA25+#REF!+#REF!+#REF!+#REF!+#REF!</f>
        <v>#REF!</v>
      </c>
      <c r="AB25" s="61" t="e">
        <f>'JOUR 1'!AB25+'JOUR 2'!AB25+'JOUR 3'!AB25+'JOUR 4'!AB25+'JOUR 5'!AB25+'JOUR 6'!AB25+'JOUR 7'!AB25+'JOUR 8'!AB25+'JOUR 9'!AB25+'JOUR 10'!AB25+'JOUR 11'!AB25+#REF!+#REF!+#REF!+#REF!+#REF!</f>
        <v>#REF!</v>
      </c>
      <c r="AC25" s="61" t="e">
        <f>'JOUR 1'!AC25+'JOUR 2'!AC25+'JOUR 3'!AC25+'JOUR 4'!AC25+'JOUR 5'!AC25+'JOUR 6'!AC25+'JOUR 7'!AC25+'JOUR 8'!AC25+'JOUR 9'!AC25+'JOUR 10'!AC25+'JOUR 11'!AC25+#REF!+#REF!+#REF!+#REF!+#REF!</f>
        <v>#REF!</v>
      </c>
      <c r="AD25" s="61" t="e">
        <f>'JOUR 1'!AD25+'JOUR 2'!AD25+'JOUR 3'!AD25+'JOUR 4'!AD25+'JOUR 5'!AD25+'JOUR 6'!AD25+'JOUR 7'!AD25+'JOUR 8'!AD25+'JOUR 9'!AD25+'JOUR 10'!AD25+'JOUR 11'!AD25+#REF!+#REF!+#REF!+#REF!+#REF!</f>
        <v>#REF!</v>
      </c>
      <c r="AE25" s="61" t="e">
        <f>'JOUR 1'!AE25+'JOUR 2'!AE25+'JOUR 3'!AE25+'JOUR 4'!AE25+'JOUR 5'!AE25+'JOUR 6'!AE25+'JOUR 7'!AE25+'JOUR 8'!AE25+'JOUR 9'!AE25+'JOUR 10'!AE25+'JOUR 11'!AE25+#REF!+#REF!+#REF!+#REF!+#REF!</f>
        <v>#REF!</v>
      </c>
      <c r="AF25" s="61" t="e">
        <f>'JOUR 1'!AF25+'JOUR 2'!AF25+'JOUR 3'!AF25+'JOUR 4'!AF25+'JOUR 5'!AF25+'JOUR 6'!AF25+'JOUR 7'!AF25+'JOUR 8'!AF25+'JOUR 9'!AF25+'JOUR 10'!AF25+'JOUR 11'!AF25+#REF!+#REF!+#REF!+#REF!+#REF!</f>
        <v>#REF!</v>
      </c>
      <c r="AG25" s="61" t="e">
        <f>'JOUR 1'!AG25+'JOUR 2'!AG25+'JOUR 3'!AG25+'JOUR 4'!AG25+'JOUR 5'!AG25+'JOUR 6'!AG25+'JOUR 7'!AG25+'JOUR 8'!AG25+'JOUR 9'!AG25+'JOUR 10'!AG25+'JOUR 11'!AG25+#REF!+#REF!+#REF!+#REF!+#REF!</f>
        <v>#REF!</v>
      </c>
      <c r="AH25" s="36">
        <f>SUM(AH5:AH5)</f>
        <v>0</v>
      </c>
      <c r="AI25" s="62">
        <f>SUM(AI5:AI5)</f>
        <v>0</v>
      </c>
      <c r="AK25" s="93" t="e">
        <f t="shared" si="1"/>
        <v>#REF!</v>
      </c>
      <c r="AL25" s="93" t="e">
        <f t="shared" si="1"/>
        <v>#REF!</v>
      </c>
      <c r="AM25" s="93" t="e">
        <f t="shared" si="1"/>
        <v>#REF!</v>
      </c>
      <c r="AN25" s="93" t="e">
        <f t="shared" si="1"/>
        <v>#REF!</v>
      </c>
      <c r="AO25" s="93" t="e">
        <f t="shared" si="1"/>
        <v>#REF!</v>
      </c>
      <c r="AP25" s="93"/>
      <c r="AQ25" s="93"/>
      <c r="AR25" s="93"/>
      <c r="AS25" s="93" t="e">
        <f t="shared" si="2"/>
        <v>#REF!</v>
      </c>
      <c r="AT25" s="93"/>
      <c r="AU25" s="93"/>
      <c r="AV25" s="93"/>
      <c r="AW25" s="93"/>
      <c r="AX25" s="93"/>
      <c r="AY25" s="94"/>
    </row>
    <row r="26" spans="1:51" ht="18" thickBot="1" x14ac:dyDescent="0.3">
      <c r="D26" s="17" t="e">
        <f>'JOUR 1'!D26+'JOUR 2'!D26+'JOUR 3'!D26+'JOUR 4'!D26+'JOUR 5'!D26+'JOUR 6'!D26+'JOUR 7'!D26+'JOUR 8'!D26+'JOUR 9'!D26+'JOUR 10'!D26+'JOUR 11'!D26+#REF!+#REF!+#REF!+#REF!+#REF!</f>
        <v>#REF!</v>
      </c>
      <c r="E26" s="17" t="e">
        <f>'JOUR 1'!E26+'JOUR 2'!E26+'JOUR 3'!E26+'JOUR 4'!E26+'JOUR 5'!E26+'JOUR 6'!E26+'JOUR 7'!E26+'JOUR 8'!E26+'JOUR 9'!E26+'JOUR 10'!E26+'JOUR 11'!E26+#REF!+#REF!+#REF!+#REF!+#REF!</f>
        <v>#REF!</v>
      </c>
      <c r="F26" s="17" t="e">
        <f>'JOUR 1'!F26+'JOUR 2'!F26+'JOUR 3'!F26+'JOUR 4'!F26+'JOUR 5'!F26+'JOUR 6'!F26+'JOUR 7'!F26+'JOUR 8'!F26+'JOUR 9'!F26+'JOUR 10'!F26+'JOUR 11'!F26+#REF!+#REF!+#REF!+#REF!+#REF!</f>
        <v>#REF!</v>
      </c>
      <c r="G26" s="17" t="e">
        <f>'JOUR 1'!G26+'JOUR 2'!G26+'JOUR 3'!G26+'JOUR 4'!G26+'JOUR 5'!G26+'JOUR 6'!G26+'JOUR 7'!G26+'JOUR 8'!G26+'JOUR 9'!G26+'JOUR 10'!G26+'JOUR 11'!G26+#REF!+#REF!+#REF!+#REF!+#REF!</f>
        <v>#REF!</v>
      </c>
      <c r="H26" s="17" t="e">
        <f>'JOUR 1'!H26+'JOUR 2'!H26+'JOUR 3'!H26+'JOUR 4'!H26+'JOUR 5'!H26+'JOUR 6'!H26+'JOUR 7'!H26+'JOUR 8'!H26+'JOUR 9'!H26+'JOUR 10'!H26+'JOUR 11'!H26+#REF!+#REF!+#REF!+#REF!+#REF!</f>
        <v>#REF!</v>
      </c>
      <c r="I26" s="17" t="e">
        <f>'JOUR 1'!I26+'JOUR 2'!I26+'JOUR 3'!I26+'JOUR 4'!I26+'JOUR 5'!I26+'JOUR 6'!I26+'JOUR 7'!I26+'JOUR 8'!I26+'JOUR 9'!I26+'JOUR 10'!I26+'JOUR 11'!I26+#REF!+#REF!+#REF!+#REF!+#REF!</f>
        <v>#REF!</v>
      </c>
      <c r="J26" s="17" t="e">
        <f>'JOUR 1'!J26+'JOUR 2'!J26+'JOUR 3'!J26+'JOUR 4'!J26+'JOUR 5'!J26+'JOUR 6'!J26+'JOUR 7'!J26+'JOUR 8'!J26+'JOUR 9'!J26+'JOUR 10'!J26+'JOUR 11'!J26+#REF!+#REF!+#REF!+#REF!+#REF!</f>
        <v>#REF!</v>
      </c>
      <c r="K26" s="17" t="e">
        <f>'JOUR 1'!K26+'JOUR 2'!K26+'JOUR 3'!K26+'JOUR 4'!K26+'JOUR 5'!K26+'JOUR 6'!K26+'JOUR 7'!K26+'JOUR 8'!K26+'JOUR 9'!K26+'JOUR 10'!K26+'JOUR 11'!K26+#REF!+#REF!+#REF!+#REF!+#REF!</f>
        <v>#REF!</v>
      </c>
      <c r="L26" s="17" t="e">
        <f>'JOUR 1'!L26+'JOUR 2'!L26+'JOUR 3'!L26+'JOUR 4'!L26+'JOUR 5'!L26+'JOUR 6'!L26+'JOUR 7'!L26+'JOUR 8'!L26+'JOUR 9'!L26+'JOUR 10'!L26+'JOUR 11'!L26+#REF!+#REF!+#REF!+#REF!+#REF!</f>
        <v>#REF!</v>
      </c>
      <c r="M26" s="17" t="e">
        <f>'JOUR 1'!M26+'JOUR 2'!M26+'JOUR 3'!M26+'JOUR 4'!M26+'JOUR 5'!M26+'JOUR 6'!M26+'JOUR 7'!M26+'JOUR 8'!M26+'JOUR 9'!M26+'JOUR 10'!M26+'JOUR 11'!M26+#REF!+#REF!+#REF!+#REF!+#REF!</f>
        <v>#REF!</v>
      </c>
      <c r="N26" s="17" t="e">
        <f>'JOUR 1'!N26+'JOUR 2'!N26+'JOUR 3'!N26+'JOUR 4'!N26+'JOUR 5'!N26+'JOUR 6'!N26+'JOUR 7'!N26+'JOUR 8'!N26+'JOUR 9'!N26+'JOUR 10'!N26+'JOUR 11'!N26+#REF!+#REF!+#REF!+#REF!+#REF!</f>
        <v>#REF!</v>
      </c>
      <c r="O26" s="17" t="e">
        <f>'JOUR 1'!O26+'JOUR 2'!O26+'JOUR 3'!O26+'JOUR 4'!O26+'JOUR 5'!O26+'JOUR 6'!O26+'JOUR 7'!O26+'JOUR 8'!O26+'JOUR 9'!O26+'JOUR 10'!O26+'JOUR 11'!O26+#REF!+#REF!+#REF!+#REF!+#REF!</f>
        <v>#REF!</v>
      </c>
      <c r="P26" s="17" t="e">
        <f>'JOUR 1'!P26+'JOUR 2'!P26+'JOUR 3'!P26+'JOUR 4'!P26+'JOUR 5'!P26+'JOUR 6'!P26+'JOUR 7'!P26+'JOUR 8'!P26+'JOUR 9'!P26+'JOUR 10'!P26+'JOUR 11'!P26+#REF!+#REF!+#REF!+#REF!+#REF!</f>
        <v>#REF!</v>
      </c>
      <c r="Q26" s="17" t="e">
        <f>'JOUR 1'!Q26+'JOUR 2'!Q26+'JOUR 3'!Q26+'JOUR 4'!Q26+'JOUR 5'!Q26+'JOUR 6'!Q26+'JOUR 7'!Q26+'JOUR 8'!Q26+'JOUR 9'!Q26+'JOUR 10'!Q26+'JOUR 11'!Q26+#REF!+#REF!+#REF!+#REF!+#REF!</f>
        <v>#REF!</v>
      </c>
      <c r="R26" s="17" t="e">
        <f>'JOUR 1'!R26+'JOUR 2'!R26+'JOUR 3'!R26+'JOUR 4'!R26+'JOUR 5'!R26+'JOUR 6'!R26+'JOUR 7'!R26+'JOUR 8'!R26+'JOUR 9'!R26+'JOUR 10'!R26+'JOUR 11'!R26+#REF!+#REF!+#REF!+#REF!+#REF!</f>
        <v>#REF!</v>
      </c>
      <c r="S26" s="3" t="e">
        <f>'JOUR 1'!S26+'JOUR 2'!S26+'JOUR 3'!S26+'JOUR 4'!S26+'JOUR 5'!S26+'JOUR 6'!S26+'JOUR 7'!S26+'JOUR 8'!S26+'JOUR 9'!S26+'JOUR 10'!S26+'JOUR 11'!S26+#REF!+#REF!+#REF!+#REF!+#REF!</f>
        <v>#REF!</v>
      </c>
      <c r="T26" s="3" t="e">
        <f>'JOUR 1'!T26+'JOUR 2'!T26+'JOUR 3'!T26+'JOUR 4'!T26+'JOUR 5'!T26+'JOUR 6'!T26+'JOUR 7'!T26+'JOUR 8'!T26+'JOUR 9'!T26+'JOUR 10'!T26+'JOUR 11'!T26+#REF!+#REF!+#REF!+#REF!+#REF!</f>
        <v>#REF!</v>
      </c>
      <c r="U26" s="3" t="e">
        <f>'JOUR 1'!U26+'JOUR 2'!U26+'JOUR 3'!U26+'JOUR 4'!U26+'JOUR 5'!U26+'JOUR 6'!U26+'JOUR 7'!U26+'JOUR 8'!U26+'JOUR 9'!U26+'JOUR 10'!U26+'JOUR 11'!U26+#REF!+#REF!+#REF!+#REF!+#REF!</f>
        <v>#REF!</v>
      </c>
      <c r="V26" s="3" t="e">
        <f>'JOUR 1'!V26+'JOUR 2'!V26+'JOUR 3'!V26+'JOUR 4'!V26+'JOUR 5'!V26+'JOUR 6'!V26+'JOUR 7'!V26+'JOUR 8'!V26+'JOUR 9'!V26+'JOUR 10'!V26+'JOUR 11'!V26+#REF!+#REF!+#REF!+#REF!+#REF!</f>
        <v>#REF!</v>
      </c>
      <c r="W26" s="3" t="e">
        <f>'JOUR 1'!W26+'JOUR 2'!W26+'JOUR 3'!W26+'JOUR 4'!W26+'JOUR 5'!W26+'JOUR 6'!W26+'JOUR 7'!W26+'JOUR 8'!W26+'JOUR 9'!W26+'JOUR 10'!W26+'JOUR 11'!W26+#REF!+#REF!+#REF!+#REF!+#REF!</f>
        <v>#REF!</v>
      </c>
      <c r="X26" s="3" t="e">
        <f>'JOUR 1'!X26+'JOUR 2'!X26+'JOUR 3'!X26+'JOUR 4'!X26+'JOUR 5'!X26+'JOUR 6'!X26+'JOUR 7'!X26+'JOUR 8'!X26+'JOUR 9'!X26+'JOUR 10'!X26+'JOUR 11'!X26+#REF!+#REF!+#REF!+#REF!+#REF!</f>
        <v>#REF!</v>
      </c>
      <c r="Y26" s="3" t="e">
        <f>'JOUR 1'!Y26+'JOUR 2'!Y26+'JOUR 3'!Y26+'JOUR 4'!Y26+'JOUR 5'!Y26+'JOUR 6'!Y26+'JOUR 7'!Y26+'JOUR 8'!Y26+'JOUR 9'!Y26+'JOUR 10'!Y26+'JOUR 11'!Y26+#REF!+#REF!+#REF!+#REF!+#REF!</f>
        <v>#REF!</v>
      </c>
      <c r="Z26" s="3" t="e">
        <f>'JOUR 1'!Z26+'JOUR 2'!Z26+'JOUR 3'!Z26+'JOUR 4'!Z26+'JOUR 5'!Z26+'JOUR 6'!Z26+'JOUR 7'!Z26+'JOUR 8'!Z26+'JOUR 9'!Z26+'JOUR 10'!Z26+'JOUR 11'!Z26+#REF!+#REF!+#REF!+#REF!+#REF!</f>
        <v>#REF!</v>
      </c>
      <c r="AA26" s="3" t="e">
        <f>'JOUR 1'!AA26+'JOUR 2'!AA26+'JOUR 3'!AA26+'JOUR 4'!AA26+'JOUR 5'!AA26+'JOUR 6'!AA26+'JOUR 7'!AA26+'JOUR 8'!AA26+'JOUR 9'!AA26+'JOUR 10'!AA26+'JOUR 11'!AA26+#REF!+#REF!+#REF!+#REF!+#REF!</f>
        <v>#REF!</v>
      </c>
      <c r="AB26" s="3" t="e">
        <f>'JOUR 1'!AB26+'JOUR 2'!AB26+'JOUR 3'!AB26+'JOUR 4'!AB26+'JOUR 5'!AB26+'JOUR 6'!AB26+'JOUR 7'!AB26+'JOUR 8'!AB26+'JOUR 9'!AB26+'JOUR 10'!AB26+'JOUR 11'!AB26+#REF!+#REF!+#REF!+#REF!+#REF!</f>
        <v>#REF!</v>
      </c>
      <c r="AC26" s="3" t="e">
        <f>'JOUR 1'!AC26+'JOUR 2'!AC26+'JOUR 3'!AC26+'JOUR 4'!AC26+'JOUR 5'!AC26+'JOUR 6'!AC26+'JOUR 7'!AC26+'JOUR 8'!AC26+'JOUR 9'!AC26+'JOUR 10'!AC26+'JOUR 11'!AC26+#REF!+#REF!+#REF!+#REF!+#REF!</f>
        <v>#REF!</v>
      </c>
      <c r="AD26" s="3" t="e">
        <f>'JOUR 1'!AD26+'JOUR 2'!AD26+'JOUR 3'!AD26+'JOUR 4'!AD26+'JOUR 5'!AD26+'JOUR 6'!AD26+'JOUR 7'!AD26+'JOUR 8'!AD26+'JOUR 9'!AD26+'JOUR 10'!AD26+'JOUR 11'!AD26+#REF!+#REF!+#REF!+#REF!+#REF!</f>
        <v>#REF!</v>
      </c>
      <c r="AE26" s="3" t="e">
        <f>'JOUR 1'!AE26+'JOUR 2'!AE26+'JOUR 3'!AE26+'JOUR 4'!AE26+'JOUR 5'!AE26+'JOUR 6'!AE26+'JOUR 7'!AE26+'JOUR 8'!AE26+'JOUR 9'!AE26+'JOUR 10'!AE26+'JOUR 11'!AE26+#REF!+#REF!+#REF!+#REF!+#REF!</f>
        <v>#REF!</v>
      </c>
      <c r="AF26" s="3" t="e">
        <f>'JOUR 1'!AF26+'JOUR 2'!AF26+'JOUR 3'!AF26+'JOUR 4'!AF26+'JOUR 5'!AF26+'JOUR 6'!AF26+'JOUR 7'!AF26+'JOUR 8'!AF26+'JOUR 9'!AF26+'JOUR 10'!AF26+'JOUR 11'!AF26+#REF!+#REF!+#REF!+#REF!+#REF!</f>
        <v>#REF!</v>
      </c>
      <c r="AG26" s="3" t="e">
        <f>'JOUR 1'!AG26+'JOUR 2'!AG26+'JOUR 3'!AG26+'JOUR 4'!AG26+'JOUR 5'!AG26+'JOUR 6'!AG26+'JOUR 7'!AG26+'JOUR 8'!AG26+'JOUR 9'!AG26+'JOUR 10'!AG26+'JOUR 11'!AG26+#REF!+#REF!+#REF!+#REF!+#REF!</f>
        <v>#REF!</v>
      </c>
    </row>
    <row r="27" spans="1:51" s="51" customFormat="1" ht="20.399999999999999" thickBot="1" x14ac:dyDescent="0.3">
      <c r="B27" s="121" t="s">
        <v>18</v>
      </c>
      <c r="C27" s="122"/>
      <c r="D27" s="95" t="e">
        <f>D25</f>
        <v>#REF!</v>
      </c>
      <c r="E27" s="95" t="e">
        <f>E25</f>
        <v>#REF!</v>
      </c>
      <c r="F27" s="96" t="e">
        <f>F25/120</f>
        <v>#REF!</v>
      </c>
      <c r="G27" s="97" t="e">
        <f>G25/6</f>
        <v>#REF!</v>
      </c>
      <c r="H27" s="97" t="e">
        <f>H25/10</f>
        <v>#REF!</v>
      </c>
      <c r="I27" s="97" t="e">
        <f>I25/100</f>
        <v>#REF!</v>
      </c>
      <c r="J27" s="98" t="e">
        <f>J25/10</f>
        <v>#REF!</v>
      </c>
      <c r="K27" s="99" t="e">
        <f>K25/60</f>
        <v>#REF!</v>
      </c>
      <c r="L27" s="99" t="e">
        <f>L25/120</f>
        <v>#REF!</v>
      </c>
      <c r="M27" s="99" t="e">
        <f>M25/100</f>
        <v>#REF!</v>
      </c>
      <c r="N27" s="99" t="e">
        <f>N25/60</f>
        <v>#REF!</v>
      </c>
      <c r="O27" s="100" t="e">
        <f>O25</f>
        <v>#REF!</v>
      </c>
      <c r="P27" s="100" t="e">
        <f t="shared" ref="P27:R27" si="3">P25</f>
        <v>#REF!</v>
      </c>
      <c r="Q27" s="100" t="e">
        <f t="shared" si="3"/>
        <v>#REF!</v>
      </c>
      <c r="R27" s="100" t="e">
        <f t="shared" si="3"/>
        <v>#REF!</v>
      </c>
      <c r="S27" s="101" t="e">
        <f>S25</f>
        <v>#REF!</v>
      </c>
      <c r="T27" s="101" t="e">
        <f>T25</f>
        <v>#REF!</v>
      </c>
      <c r="U27" s="101" t="e">
        <f>U25/120</f>
        <v>#REF!</v>
      </c>
      <c r="V27" s="102" t="e">
        <f>V25/6</f>
        <v>#REF!</v>
      </c>
      <c r="W27" s="102" t="e">
        <f>W25/10</f>
        <v>#REF!</v>
      </c>
      <c r="X27" s="102" t="e">
        <f>X25/100</f>
        <v>#REF!</v>
      </c>
      <c r="Y27" s="103" t="e">
        <f>Y25/20</f>
        <v>#REF!</v>
      </c>
      <c r="Z27" s="104" t="e">
        <f>Z25/60</f>
        <v>#REF!</v>
      </c>
      <c r="AA27" s="100" t="e">
        <f>AA25/120</f>
        <v>#REF!</v>
      </c>
      <c r="AB27" s="100" t="e">
        <f>AB25/100</f>
        <v>#REF!</v>
      </c>
      <c r="AC27" s="100" t="e">
        <f>AC25/60</f>
        <v>#REF!</v>
      </c>
      <c r="AD27" s="100" t="e">
        <f>AD25</f>
        <v>#REF!</v>
      </c>
      <c r="AE27" s="100" t="e">
        <f t="shared" ref="AE27:AG27" si="4">AE25</f>
        <v>#REF!</v>
      </c>
      <c r="AF27" s="100" t="e">
        <f t="shared" si="4"/>
        <v>#REF!</v>
      </c>
      <c r="AG27" s="100" t="e">
        <f t="shared" si="4"/>
        <v>#REF!</v>
      </c>
      <c r="AH27" s="95"/>
      <c r="AI27" s="105"/>
      <c r="AK27" s="101"/>
      <c r="AL27" s="95"/>
      <c r="AM27" s="101"/>
      <c r="AN27" s="102"/>
      <c r="AO27" s="102"/>
      <c r="AP27" s="102"/>
      <c r="AQ27" s="103"/>
      <c r="AR27" s="104"/>
      <c r="AS27" s="100"/>
      <c r="AT27" s="100"/>
      <c r="AU27" s="100"/>
      <c r="AV27" s="100"/>
      <c r="AW27" s="100"/>
      <c r="AX27" s="100"/>
      <c r="AY27" s="100"/>
    </row>
    <row r="29" spans="1:51" x14ac:dyDescent="0.25">
      <c r="L29" s="86"/>
    </row>
    <row r="30" spans="1:51" x14ac:dyDescent="0.25">
      <c r="L30" s="86"/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CDF7-BE2A-4A94-AB0F-7B9157456BF5}">
  <dimension ref="A1:AY27"/>
  <sheetViews>
    <sheetView topLeftCell="B1" zoomScale="60" zoomScaleNormal="60" workbookViewId="0">
      <pane xSplit="2" ySplit="4" topLeftCell="D7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46107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20.2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34.799999999999997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45</v>
      </c>
      <c r="T5" s="31">
        <v>35</v>
      </c>
      <c r="U5" s="31">
        <v>83</v>
      </c>
      <c r="V5" s="32">
        <v>0</v>
      </c>
      <c r="W5" s="32">
        <v>1</v>
      </c>
      <c r="X5" s="32">
        <v>20</v>
      </c>
      <c r="Y5" s="73">
        <v>5</v>
      </c>
      <c r="Z5" s="33">
        <v>0</v>
      </c>
      <c r="AA5" s="34">
        <v>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 t="s">
        <v>81</v>
      </c>
      <c r="AK5" s="85">
        <f t="shared" ref="AK5:AK25" si="1">S5/D5</f>
        <v>1.125</v>
      </c>
      <c r="AL5" s="85">
        <f t="shared" ref="AL5:AL25" si="2">T5/E5</f>
        <v>1.75</v>
      </c>
      <c r="AM5" s="85">
        <f t="shared" ref="AM5:AM25" si="3">U5/F5</f>
        <v>0.69166666666666665</v>
      </c>
      <c r="AN5" s="85">
        <f t="shared" ref="AN5:AN25" si="4">V5/G5</f>
        <v>0</v>
      </c>
      <c r="AO5" s="85">
        <f t="shared" ref="AO5:AO25" si="5">W5/H5</f>
        <v>0.25</v>
      </c>
      <c r="AP5" s="85"/>
      <c r="AQ5" s="85"/>
      <c r="AR5" s="85"/>
      <c r="AS5" s="85">
        <f t="shared" ref="AS5:AS25" si="6">AA5/L5</f>
        <v>0</v>
      </c>
      <c r="AT5" s="85"/>
      <c r="AU5" s="85"/>
      <c r="AV5" s="85"/>
      <c r="AW5" s="85"/>
      <c r="AX5" s="85"/>
      <c r="AY5" s="85"/>
    </row>
    <row r="6" spans="2:51" ht="34.799999999999997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25</v>
      </c>
      <c r="T6" s="31">
        <v>12</v>
      </c>
      <c r="U6" s="31">
        <v>80</v>
      </c>
      <c r="V6" s="32">
        <v>10</v>
      </c>
      <c r="W6" s="32">
        <v>4</v>
      </c>
      <c r="X6" s="32">
        <v>100</v>
      </c>
      <c r="Y6" s="73">
        <v>9</v>
      </c>
      <c r="Z6" s="33">
        <v>0</v>
      </c>
      <c r="AA6" s="34">
        <v>50</v>
      </c>
      <c r="AB6" s="34">
        <v>20</v>
      </c>
      <c r="AC6" s="34">
        <v>0</v>
      </c>
      <c r="AD6" s="35">
        <v>0</v>
      </c>
      <c r="AE6" s="34">
        <v>0</v>
      </c>
      <c r="AF6" s="34">
        <v>5</v>
      </c>
      <c r="AG6" s="34">
        <v>0</v>
      </c>
      <c r="AH6" s="21"/>
      <c r="AI6" s="22" t="s">
        <v>86</v>
      </c>
      <c r="AK6" s="85">
        <f t="shared" si="1"/>
        <v>0.625</v>
      </c>
      <c r="AL6" s="85">
        <f t="shared" si="2"/>
        <v>0.6</v>
      </c>
      <c r="AM6" s="85">
        <f t="shared" si="3"/>
        <v>0.66666666666666663</v>
      </c>
      <c r="AN6" s="85">
        <f t="shared" si="4"/>
        <v>1.4285714285714286</v>
      </c>
      <c r="AO6" s="85">
        <f t="shared" si="5"/>
        <v>1</v>
      </c>
      <c r="AP6" s="85"/>
      <c r="AQ6" s="85"/>
      <c r="AR6" s="85"/>
      <c r="AS6" s="85">
        <f t="shared" si="6"/>
        <v>0.2857142857142857</v>
      </c>
      <c r="AT6" s="85"/>
      <c r="AU6" s="85"/>
      <c r="AV6" s="85"/>
      <c r="AW6" s="85"/>
      <c r="AX6" s="85"/>
      <c r="AY6" s="85"/>
    </row>
    <row r="7" spans="2:51" ht="34.799999999999997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39</v>
      </c>
      <c r="T7" s="31">
        <v>34</v>
      </c>
      <c r="U7" s="31">
        <v>190</v>
      </c>
      <c r="V7" s="32">
        <v>3</v>
      </c>
      <c r="W7" s="32">
        <v>2</v>
      </c>
      <c r="X7" s="32">
        <v>25</v>
      </c>
      <c r="Y7" s="73">
        <v>6</v>
      </c>
      <c r="Z7" s="33">
        <v>0</v>
      </c>
      <c r="AA7" s="34">
        <v>15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 t="s">
        <v>87</v>
      </c>
      <c r="AK7" s="85">
        <f t="shared" si="1"/>
        <v>0.97499999999999998</v>
      </c>
      <c r="AL7" s="85">
        <f t="shared" si="2"/>
        <v>1.7</v>
      </c>
      <c r="AM7" s="85">
        <f t="shared" si="3"/>
        <v>1.5833333333333333</v>
      </c>
      <c r="AN7" s="85">
        <f t="shared" si="4"/>
        <v>0.42857142857142855</v>
      </c>
      <c r="AO7" s="85">
        <f t="shared" si="5"/>
        <v>0.5</v>
      </c>
      <c r="AP7" s="85"/>
      <c r="AQ7" s="85"/>
      <c r="AR7" s="85"/>
      <c r="AS7" s="85">
        <f t="shared" si="6"/>
        <v>8.5714285714285715E-2</v>
      </c>
      <c r="AT7" s="85"/>
      <c r="AU7" s="85"/>
      <c r="AV7" s="85"/>
      <c r="AW7" s="85"/>
      <c r="AX7" s="85"/>
      <c r="AY7" s="85"/>
    </row>
    <row r="8" spans="2:51" ht="34.799999999999997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35</v>
      </c>
      <c r="T8" s="31">
        <v>20</v>
      </c>
      <c r="U8" s="31">
        <v>40</v>
      </c>
      <c r="V8" s="32">
        <v>2</v>
      </c>
      <c r="W8" s="32">
        <v>0</v>
      </c>
      <c r="X8" s="32">
        <v>10</v>
      </c>
      <c r="Y8" s="73">
        <v>10</v>
      </c>
      <c r="Z8" s="33">
        <v>0</v>
      </c>
      <c r="AA8" s="34">
        <v>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 t="s">
        <v>78</v>
      </c>
      <c r="AK8" s="85">
        <f t="shared" si="1"/>
        <v>0.875</v>
      </c>
      <c r="AL8" s="85">
        <f t="shared" si="2"/>
        <v>1</v>
      </c>
      <c r="AM8" s="85">
        <f t="shared" si="3"/>
        <v>0.33333333333333331</v>
      </c>
      <c r="AN8" s="85">
        <f t="shared" si="4"/>
        <v>0.2857142857142857</v>
      </c>
      <c r="AO8" s="85">
        <f t="shared" si="5"/>
        <v>0</v>
      </c>
      <c r="AP8" s="85"/>
      <c r="AQ8" s="85"/>
      <c r="AR8" s="85"/>
      <c r="AS8" s="85">
        <f t="shared" si="6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31</v>
      </c>
      <c r="T9" s="31">
        <v>11</v>
      </c>
      <c r="U9" s="31">
        <v>90</v>
      </c>
      <c r="V9" s="32">
        <v>5</v>
      </c>
      <c r="W9" s="32">
        <v>2</v>
      </c>
      <c r="X9" s="32">
        <v>35</v>
      </c>
      <c r="Y9" s="73">
        <v>11</v>
      </c>
      <c r="Z9" s="33">
        <v>0</v>
      </c>
      <c r="AA9" s="34">
        <v>19</v>
      </c>
      <c r="AB9" s="34">
        <v>0</v>
      </c>
      <c r="AC9" s="34">
        <v>0</v>
      </c>
      <c r="AD9" s="35">
        <v>0</v>
      </c>
      <c r="AE9" s="34">
        <v>0</v>
      </c>
      <c r="AF9" s="34">
        <v>0</v>
      </c>
      <c r="AG9" s="34">
        <v>0</v>
      </c>
      <c r="AH9" s="21"/>
      <c r="AI9" s="22" t="s">
        <v>79</v>
      </c>
      <c r="AK9" s="85">
        <f t="shared" si="1"/>
        <v>0.77500000000000002</v>
      </c>
      <c r="AL9" s="85">
        <f t="shared" si="2"/>
        <v>0.55000000000000004</v>
      </c>
      <c r="AM9" s="85">
        <f t="shared" si="3"/>
        <v>0.75</v>
      </c>
      <c r="AN9" s="85">
        <f t="shared" si="4"/>
        <v>0.7142857142857143</v>
      </c>
      <c r="AO9" s="85">
        <f t="shared" si="5"/>
        <v>0.5</v>
      </c>
      <c r="AP9" s="85"/>
      <c r="AQ9" s="85"/>
      <c r="AR9" s="85"/>
      <c r="AS9" s="85">
        <f t="shared" si="6"/>
        <v>0.10857142857142857</v>
      </c>
      <c r="AT9" s="85"/>
      <c r="AU9" s="85"/>
      <c r="AV9" s="85"/>
      <c r="AW9" s="85"/>
      <c r="AX9" s="85"/>
      <c r="AY9" s="85"/>
    </row>
    <row r="10" spans="2:51" ht="34.799999999999997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28</v>
      </c>
      <c r="U10" s="31">
        <v>91</v>
      </c>
      <c r="V10" s="32">
        <v>3</v>
      </c>
      <c r="W10" s="32">
        <v>3</v>
      </c>
      <c r="X10" s="32">
        <v>10</v>
      </c>
      <c r="Y10" s="73">
        <v>9</v>
      </c>
      <c r="Z10" s="33">
        <v>0</v>
      </c>
      <c r="AA10" s="34">
        <v>15</v>
      </c>
      <c r="AB10" s="34">
        <v>15</v>
      </c>
      <c r="AC10" s="34">
        <v>0</v>
      </c>
      <c r="AD10" s="35">
        <v>1</v>
      </c>
      <c r="AE10" s="34">
        <v>0</v>
      </c>
      <c r="AF10" s="34">
        <v>1</v>
      </c>
      <c r="AG10" s="34">
        <v>0</v>
      </c>
      <c r="AH10" s="21"/>
      <c r="AI10" s="22" t="s">
        <v>80</v>
      </c>
      <c r="AK10" s="85">
        <f t="shared" si="1"/>
        <v>0.875</v>
      </c>
      <c r="AL10" s="85">
        <f t="shared" si="2"/>
        <v>1.4</v>
      </c>
      <c r="AM10" s="85">
        <f t="shared" si="3"/>
        <v>0.7583333333333333</v>
      </c>
      <c r="AN10" s="85">
        <f t="shared" si="4"/>
        <v>0.42857142857142855</v>
      </c>
      <c r="AO10" s="85">
        <f t="shared" si="5"/>
        <v>0.75</v>
      </c>
      <c r="AP10" s="85"/>
      <c r="AQ10" s="85"/>
      <c r="AR10" s="85"/>
      <c r="AS10" s="85">
        <f t="shared" si="6"/>
        <v>8.5714285714285715E-2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25</v>
      </c>
      <c r="U11" s="31">
        <v>80</v>
      </c>
      <c r="V11" s="32">
        <v>0</v>
      </c>
      <c r="W11" s="32">
        <v>3</v>
      </c>
      <c r="X11" s="32">
        <v>20</v>
      </c>
      <c r="Y11" s="73">
        <v>15</v>
      </c>
      <c r="Z11" s="33"/>
      <c r="AA11" s="34">
        <v>20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0.75</v>
      </c>
      <c r="AL11" s="85">
        <f t="shared" si="2"/>
        <v>1.25</v>
      </c>
      <c r="AM11" s="85">
        <f t="shared" si="3"/>
        <v>0.66666666666666663</v>
      </c>
      <c r="AN11" s="85">
        <f t="shared" si="4"/>
        <v>0</v>
      </c>
      <c r="AO11" s="85">
        <f t="shared" si="5"/>
        <v>0.75</v>
      </c>
      <c r="AP11" s="85"/>
      <c r="AQ11" s="85"/>
      <c r="AR11" s="85"/>
      <c r="AS11" s="85">
        <f t="shared" si="6"/>
        <v>0.11428571428571428</v>
      </c>
      <c r="AT11" s="85"/>
      <c r="AU11" s="85"/>
      <c r="AV11" s="85"/>
      <c r="AW11" s="85"/>
      <c r="AX11" s="85"/>
      <c r="AY11" s="85"/>
    </row>
    <row r="12" spans="2:51" ht="34.799999999999997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55</v>
      </c>
      <c r="T12" s="31">
        <v>40</v>
      </c>
      <c r="U12" s="31">
        <v>71</v>
      </c>
      <c r="V12" s="32">
        <v>2</v>
      </c>
      <c r="W12" s="32">
        <v>45</v>
      </c>
      <c r="X12" s="32">
        <v>40</v>
      </c>
      <c r="Y12" s="73">
        <v>0</v>
      </c>
      <c r="Z12" s="33">
        <v>0</v>
      </c>
      <c r="AA12" s="34">
        <v>37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 t="s">
        <v>77</v>
      </c>
      <c r="AK12" s="85">
        <f t="shared" si="1"/>
        <v>1.375</v>
      </c>
      <c r="AL12" s="85">
        <f t="shared" si="2"/>
        <v>2</v>
      </c>
      <c r="AM12" s="85">
        <f t="shared" si="3"/>
        <v>0.59166666666666667</v>
      </c>
      <c r="AN12" s="85">
        <f t="shared" si="4"/>
        <v>0.2857142857142857</v>
      </c>
      <c r="AO12" s="85">
        <f t="shared" si="5"/>
        <v>11.25</v>
      </c>
      <c r="AP12" s="85"/>
      <c r="AQ12" s="85"/>
      <c r="AR12" s="85"/>
      <c r="AS12" s="85">
        <f t="shared" si="6"/>
        <v>0.21142857142857144</v>
      </c>
      <c r="AT12" s="85"/>
      <c r="AU12" s="85"/>
      <c r="AV12" s="85"/>
      <c r="AW12" s="85"/>
      <c r="AX12" s="85"/>
      <c r="AY12" s="85"/>
    </row>
    <row r="13" spans="2:51" ht="34.799999999999997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10</v>
      </c>
      <c r="U13" s="31">
        <v>10</v>
      </c>
      <c r="V13" s="32">
        <v>5</v>
      </c>
      <c r="W13" s="32">
        <v>3</v>
      </c>
      <c r="X13" s="32">
        <v>20</v>
      </c>
      <c r="Y13" s="73">
        <v>7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 t="s">
        <v>81</v>
      </c>
      <c r="AK13" s="85">
        <f t="shared" si="1"/>
        <v>0.75</v>
      </c>
      <c r="AL13" s="85">
        <f t="shared" si="2"/>
        <v>0.5</v>
      </c>
      <c r="AM13" s="85">
        <f t="shared" si="3"/>
        <v>8.3333333333333329E-2</v>
      </c>
      <c r="AN13" s="85">
        <f t="shared" si="4"/>
        <v>0.7142857142857143</v>
      </c>
      <c r="AO13" s="85">
        <f t="shared" si="5"/>
        <v>0.75</v>
      </c>
      <c r="AP13" s="85"/>
      <c r="AQ13" s="85"/>
      <c r="AR13" s="85"/>
      <c r="AS13" s="85">
        <f t="shared" si="6"/>
        <v>0</v>
      </c>
      <c r="AT13" s="85"/>
      <c r="AU13" s="85"/>
      <c r="AV13" s="85"/>
      <c r="AW13" s="85"/>
      <c r="AX13" s="85"/>
      <c r="AY13" s="85"/>
    </row>
    <row r="14" spans="2:51" ht="34.799999999999997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50</v>
      </c>
      <c r="T14" s="31">
        <v>45</v>
      </c>
      <c r="U14" s="31">
        <v>70</v>
      </c>
      <c r="V14" s="32">
        <v>4</v>
      </c>
      <c r="W14" s="32">
        <v>2</v>
      </c>
      <c r="X14" s="32">
        <v>40</v>
      </c>
      <c r="Y14" s="73">
        <v>10</v>
      </c>
      <c r="Z14" s="33"/>
      <c r="AA14" s="34">
        <v>35</v>
      </c>
      <c r="AB14" s="34">
        <v>10</v>
      </c>
      <c r="AC14" s="34">
        <v>0</v>
      </c>
      <c r="AD14" s="35">
        <v>0</v>
      </c>
      <c r="AE14" s="34">
        <v>0</v>
      </c>
      <c r="AF14" s="34">
        <v>3</v>
      </c>
      <c r="AG14" s="34">
        <v>0</v>
      </c>
      <c r="AH14" s="21"/>
      <c r="AI14" s="22" t="s">
        <v>82</v>
      </c>
      <c r="AK14" s="85">
        <f t="shared" si="1"/>
        <v>1.25</v>
      </c>
      <c r="AL14" s="85">
        <f t="shared" si="2"/>
        <v>2.25</v>
      </c>
      <c r="AM14" s="85">
        <f t="shared" si="3"/>
        <v>0.58333333333333337</v>
      </c>
      <c r="AN14" s="85">
        <f t="shared" si="4"/>
        <v>0.5714285714285714</v>
      </c>
      <c r="AO14" s="85">
        <f t="shared" si="5"/>
        <v>0.5</v>
      </c>
      <c r="AP14" s="85"/>
      <c r="AQ14" s="85"/>
      <c r="AR14" s="85"/>
      <c r="AS14" s="85">
        <f t="shared" si="6"/>
        <v>0.2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50</v>
      </c>
      <c r="T15" s="31">
        <v>35</v>
      </c>
      <c r="U15" s="31">
        <v>72</v>
      </c>
      <c r="V15" s="32">
        <v>0</v>
      </c>
      <c r="W15" s="32">
        <v>0</v>
      </c>
      <c r="X15" s="32">
        <v>20</v>
      </c>
      <c r="Y15" s="73">
        <v>4</v>
      </c>
      <c r="Z15" s="33">
        <v>0</v>
      </c>
      <c r="AA15" s="34">
        <v>12</v>
      </c>
      <c r="AB15" s="34">
        <v>0</v>
      </c>
      <c r="AC15" s="34">
        <v>0</v>
      </c>
      <c r="AD15" s="35">
        <v>0</v>
      </c>
      <c r="AE15" s="34">
        <v>0</v>
      </c>
      <c r="AF15" s="34">
        <v>1</v>
      </c>
      <c r="AG15" s="34">
        <v>0</v>
      </c>
      <c r="AH15" s="21"/>
      <c r="AI15" s="22" t="s">
        <v>83</v>
      </c>
      <c r="AK15" s="85">
        <f t="shared" si="1"/>
        <v>1.25</v>
      </c>
      <c r="AL15" s="85">
        <f t="shared" si="2"/>
        <v>1.75</v>
      </c>
      <c r="AM15" s="85">
        <f t="shared" si="3"/>
        <v>0.6</v>
      </c>
      <c r="AN15" s="85">
        <f t="shared" si="4"/>
        <v>0</v>
      </c>
      <c r="AO15" s="85">
        <f t="shared" si="5"/>
        <v>0</v>
      </c>
      <c r="AP15" s="85"/>
      <c r="AQ15" s="85"/>
      <c r="AR15" s="85"/>
      <c r="AS15" s="85">
        <f t="shared" si="6"/>
        <v>6.8571428571428575E-2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37</v>
      </c>
      <c r="T16" s="31">
        <v>30</v>
      </c>
      <c r="U16" s="31">
        <v>202</v>
      </c>
      <c r="V16" s="32">
        <v>3</v>
      </c>
      <c r="W16" s="32">
        <v>0</v>
      </c>
      <c r="X16" s="32">
        <v>5</v>
      </c>
      <c r="Y16" s="73">
        <v>4</v>
      </c>
      <c r="Z16" s="33">
        <v>0</v>
      </c>
      <c r="AA16" s="34">
        <v>0</v>
      </c>
      <c r="AB16" s="34">
        <v>2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85</v>
      </c>
      <c r="AI16" s="22"/>
      <c r="AK16" s="85">
        <f>S16/D16</f>
        <v>0.92500000000000004</v>
      </c>
      <c r="AL16" s="85">
        <f t="shared" si="2"/>
        <v>1.5</v>
      </c>
      <c r="AM16" s="85">
        <f t="shared" si="3"/>
        <v>1.6833333333333333</v>
      </c>
      <c r="AN16" s="85">
        <f t="shared" si="4"/>
        <v>0.42857142857142855</v>
      </c>
      <c r="AO16" s="85">
        <f t="shared" si="5"/>
        <v>0</v>
      </c>
      <c r="AP16" s="85"/>
      <c r="AQ16" s="85"/>
      <c r="AR16" s="85"/>
      <c r="AS16" s="85">
        <f t="shared" si="6"/>
        <v>0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50</v>
      </c>
      <c r="T17" s="31">
        <v>45</v>
      </c>
      <c r="U17" s="31">
        <v>304</v>
      </c>
      <c r="V17" s="32">
        <v>62</v>
      </c>
      <c r="W17" s="32">
        <v>7</v>
      </c>
      <c r="X17" s="32">
        <v>209</v>
      </c>
      <c r="Y17" s="73">
        <v>87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10</v>
      </c>
      <c r="AG17" s="34">
        <v>0</v>
      </c>
      <c r="AH17" s="21"/>
      <c r="AI17" s="22" t="s">
        <v>84</v>
      </c>
      <c r="AK17" s="85">
        <f t="shared" si="1"/>
        <v>1.25</v>
      </c>
      <c r="AL17" s="85">
        <f t="shared" si="2"/>
        <v>2.25</v>
      </c>
      <c r="AM17" s="85">
        <f t="shared" si="3"/>
        <v>2.5333333333333332</v>
      </c>
      <c r="AN17" s="85">
        <f t="shared" si="4"/>
        <v>8.8571428571428577</v>
      </c>
      <c r="AO17" s="85">
        <f t="shared" si="5"/>
        <v>1.75</v>
      </c>
      <c r="AP17" s="85"/>
      <c r="AQ17" s="85"/>
      <c r="AR17" s="85"/>
      <c r="AS17" s="85">
        <f t="shared" si="6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R25" si="7">SUM(I5:I24)</f>
        <v>0</v>
      </c>
      <c r="J25" s="61">
        <f t="shared" si="7"/>
        <v>0</v>
      </c>
      <c r="K25" s="61">
        <f t="shared" si="7"/>
        <v>0</v>
      </c>
      <c r="L25" s="61">
        <f t="shared" si="7"/>
        <v>2275</v>
      </c>
      <c r="M25" s="61">
        <f t="shared" si="7"/>
        <v>0</v>
      </c>
      <c r="N25" s="61">
        <f t="shared" si="7"/>
        <v>0</v>
      </c>
      <c r="O25" s="61">
        <f t="shared" si="7"/>
        <v>0</v>
      </c>
      <c r="P25" s="61">
        <f t="shared" si="7"/>
        <v>0</v>
      </c>
      <c r="Q25" s="61">
        <f t="shared" si="7"/>
        <v>0</v>
      </c>
      <c r="R25" s="61">
        <f t="shared" si="7"/>
        <v>0</v>
      </c>
      <c r="S25" s="61">
        <f t="shared" ref="S25" si="8">SUM(S5:S24)</f>
        <v>512</v>
      </c>
      <c r="T25" s="61">
        <f t="shared" ref="T25" si="9">SUM(T5:T24)</f>
        <v>370</v>
      </c>
      <c r="U25" s="61">
        <f t="shared" ref="U25" si="10">SUM(U5:U24)</f>
        <v>1383</v>
      </c>
      <c r="V25" s="61">
        <f t="shared" ref="V25" si="11">SUM(V5:V24)</f>
        <v>99</v>
      </c>
      <c r="W25" s="61">
        <f t="shared" ref="W25" si="12">SUM(W5:W24)</f>
        <v>72</v>
      </c>
      <c r="X25" s="61">
        <f t="shared" ref="X25" si="13">SUM(X5:X24)</f>
        <v>554</v>
      </c>
      <c r="Y25" s="61">
        <f t="shared" ref="Y25" si="14">SUM(Y5:Y24)</f>
        <v>177</v>
      </c>
      <c r="Z25" s="61">
        <f t="shared" ref="Z25" si="15">SUM(Z5:Z24)</f>
        <v>0</v>
      </c>
      <c r="AA25" s="61">
        <f t="shared" ref="AA25" si="16">SUM(AA5:AA24)</f>
        <v>203</v>
      </c>
      <c r="AB25" s="61">
        <f t="shared" ref="AB25" si="17">SUM(AB5:AB24)</f>
        <v>47</v>
      </c>
      <c r="AC25" s="61">
        <f t="shared" ref="AC25" si="18">SUM(AC5:AC24)</f>
        <v>0</v>
      </c>
      <c r="AD25" s="61">
        <f t="shared" ref="AD25" si="19">SUM(AD5:AD24)</f>
        <v>1</v>
      </c>
      <c r="AE25" s="61">
        <f t="shared" ref="AE25" si="20">SUM(AE5:AE24)</f>
        <v>0</v>
      </c>
      <c r="AF25" s="61">
        <f t="shared" ref="AF25" si="21">SUM(AF5:AF24)</f>
        <v>20</v>
      </c>
      <c r="AG25" s="61">
        <f t="shared" ref="AG25" si="22">SUM(AG5:AG24)</f>
        <v>0</v>
      </c>
      <c r="AH25" s="36"/>
      <c r="AI25" s="62"/>
      <c r="AK25" s="85">
        <f t="shared" si="1"/>
        <v>0.98461538461538467</v>
      </c>
      <c r="AL25" s="85">
        <f t="shared" si="2"/>
        <v>1.4230769230769231</v>
      </c>
      <c r="AM25" s="85">
        <f t="shared" si="3"/>
        <v>0.8865384615384615</v>
      </c>
      <c r="AN25" s="85">
        <f t="shared" si="4"/>
        <v>1.0879120879120878</v>
      </c>
      <c r="AO25" s="85">
        <f t="shared" si="5"/>
        <v>1.3846153846153846</v>
      </c>
      <c r="AP25" s="85"/>
      <c r="AQ25" s="85"/>
      <c r="AR25" s="85"/>
      <c r="AS25" s="85">
        <f t="shared" si="6"/>
        <v>8.9230769230769225E-2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23">P25</f>
        <v>0</v>
      </c>
      <c r="Q27" s="27">
        <f t="shared" si="23"/>
        <v>0</v>
      </c>
      <c r="R27" s="27">
        <f t="shared" si="23"/>
        <v>0</v>
      </c>
      <c r="S27" s="24">
        <f>S25</f>
        <v>512</v>
      </c>
      <c r="T27" s="24">
        <f>T25</f>
        <v>370</v>
      </c>
      <c r="U27" s="24">
        <f>U25/120</f>
        <v>11.525</v>
      </c>
      <c r="V27" s="25">
        <f>V25/6</f>
        <v>16.5</v>
      </c>
      <c r="W27" s="25">
        <f>W25/10</f>
        <v>7.2</v>
      </c>
      <c r="X27" s="25">
        <f>X25/100</f>
        <v>5.54</v>
      </c>
      <c r="Y27" s="74">
        <f>Y25/20</f>
        <v>8.85</v>
      </c>
      <c r="Z27" s="26">
        <f>Z25/60</f>
        <v>0</v>
      </c>
      <c r="AA27" s="27">
        <f>AA25/120</f>
        <v>1.6916666666666667</v>
      </c>
      <c r="AB27" s="27">
        <f>AB25/100</f>
        <v>0.47</v>
      </c>
      <c r="AC27" s="27">
        <f>AC25/60</f>
        <v>0</v>
      </c>
      <c r="AD27" s="27">
        <f>AD25</f>
        <v>1</v>
      </c>
      <c r="AE27" s="27">
        <f t="shared" ref="AE27:AG27" si="24">AE25</f>
        <v>0</v>
      </c>
      <c r="AF27" s="27">
        <f t="shared" si="24"/>
        <v>20</v>
      </c>
      <c r="AG27" s="27">
        <f t="shared" si="24"/>
        <v>0</v>
      </c>
      <c r="AH27" s="23"/>
      <c r="AI27" s="28"/>
      <c r="AK27" s="24"/>
      <c r="AL27" s="23"/>
      <c r="AM27" s="24">
        <f>AM25/120</f>
        <v>7.3878205128205124E-3</v>
      </c>
      <c r="AN27" s="25">
        <f>AN25/6</f>
        <v>0.18131868131868131</v>
      </c>
      <c r="AO27" s="25">
        <f>AO25/20</f>
        <v>6.9230769230769235E-2</v>
      </c>
      <c r="AP27" s="25">
        <f>AP25/100</f>
        <v>0</v>
      </c>
      <c r="AQ27" s="74"/>
      <c r="AR27" s="26">
        <f>AR25/20</f>
        <v>0</v>
      </c>
      <c r="AS27" s="27">
        <f>AS25/120</f>
        <v>7.435897435897435E-4</v>
      </c>
      <c r="AT27" s="27"/>
      <c r="AU27" s="27">
        <f>AU25/100</f>
        <v>0</v>
      </c>
      <c r="AV27" s="27">
        <f t="shared" ref="AV27:AY27" si="25">AV25/100</f>
        <v>0</v>
      </c>
      <c r="AW27" s="27">
        <f t="shared" si="25"/>
        <v>0</v>
      </c>
      <c r="AX27" s="27">
        <f t="shared" si="25"/>
        <v>0</v>
      </c>
      <c r="AY27" s="27">
        <f t="shared" si="25"/>
        <v>0</v>
      </c>
    </row>
  </sheetData>
  <mergeCells count="16">
    <mergeCell ref="B27:C27"/>
    <mergeCell ref="AD3:AG3"/>
    <mergeCell ref="AK2:AY2"/>
    <mergeCell ref="S2:AI2"/>
    <mergeCell ref="B3:B4"/>
    <mergeCell ref="C3:C4"/>
    <mergeCell ref="F3:J3"/>
    <mergeCell ref="L3:N3"/>
    <mergeCell ref="U3:Z3"/>
    <mergeCell ref="AA3:AC3"/>
    <mergeCell ref="AH3:AH4"/>
    <mergeCell ref="AI3:AI4"/>
    <mergeCell ref="D2:R2"/>
    <mergeCell ref="AM3:AR3"/>
    <mergeCell ref="AS3:AU3"/>
    <mergeCell ref="AV3:A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EC3A-5E9E-4BE6-B967-495F3085FA79}">
  <dimension ref="A1:AY27"/>
  <sheetViews>
    <sheetView topLeftCell="B1" zoomScale="49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46108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12.4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69.599999999999994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50</v>
      </c>
      <c r="T5" s="31">
        <v>29</v>
      </c>
      <c r="U5" s="31">
        <v>112</v>
      </c>
      <c r="V5" s="32">
        <v>3</v>
      </c>
      <c r="W5" s="32">
        <v>0</v>
      </c>
      <c r="X5" s="32">
        <v>12</v>
      </c>
      <c r="Y5" s="73">
        <v>6</v>
      </c>
      <c r="Z5" s="33">
        <v>0</v>
      </c>
      <c r="AA5" s="34">
        <v>6</v>
      </c>
      <c r="AB5" s="34">
        <v>0</v>
      </c>
      <c r="AC5" s="34">
        <v>0</v>
      </c>
      <c r="AD5" s="35">
        <v>0</v>
      </c>
      <c r="AE5" s="34">
        <v>0</v>
      </c>
      <c r="AF5" s="34">
        <v>4</v>
      </c>
      <c r="AG5" s="34">
        <v>0</v>
      </c>
      <c r="AH5" s="21"/>
      <c r="AI5" s="22" t="s">
        <v>91</v>
      </c>
      <c r="AK5" s="85">
        <f t="shared" ref="AK5:AO17" si="1">S5/D5</f>
        <v>1.25</v>
      </c>
      <c r="AL5" s="85">
        <f t="shared" si="1"/>
        <v>1.45</v>
      </c>
      <c r="AM5" s="85">
        <f t="shared" si="1"/>
        <v>0.93333333333333335</v>
      </c>
      <c r="AN5" s="85">
        <f t="shared" si="1"/>
        <v>0.42857142857142855</v>
      </c>
      <c r="AO5" s="85">
        <f t="shared" si="1"/>
        <v>0</v>
      </c>
      <c r="AP5" s="85"/>
      <c r="AQ5" s="85"/>
      <c r="AR5" s="85"/>
      <c r="AS5" s="85">
        <f t="shared" ref="AS5:AS17" si="2">AA5/L5</f>
        <v>3.4285714285714287E-2</v>
      </c>
      <c r="AT5" s="85"/>
      <c r="AU5" s="85"/>
      <c r="AV5" s="85"/>
      <c r="AW5" s="85"/>
      <c r="AX5" s="85"/>
      <c r="AY5" s="85"/>
    </row>
    <row r="6" spans="2:51" ht="34.799999999999997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20</v>
      </c>
      <c r="T6" s="31">
        <v>15</v>
      </c>
      <c r="U6" s="31">
        <v>100</v>
      </c>
      <c r="V6" s="32">
        <v>6</v>
      </c>
      <c r="W6" s="32">
        <v>2</v>
      </c>
      <c r="X6" s="32">
        <v>60</v>
      </c>
      <c r="Y6" s="73">
        <v>11</v>
      </c>
      <c r="Z6" s="33">
        <v>0</v>
      </c>
      <c r="AA6" s="34">
        <v>60</v>
      </c>
      <c r="AB6" s="34">
        <v>10</v>
      </c>
      <c r="AC6" s="34">
        <v>0</v>
      </c>
      <c r="AD6" s="35">
        <v>0</v>
      </c>
      <c r="AE6" s="34">
        <v>0</v>
      </c>
      <c r="AF6" s="34">
        <v>4</v>
      </c>
      <c r="AG6" s="34">
        <v>0</v>
      </c>
      <c r="AH6" s="21" t="s">
        <v>100</v>
      </c>
      <c r="AI6" s="22" t="s">
        <v>99</v>
      </c>
      <c r="AK6" s="85">
        <f t="shared" si="1"/>
        <v>0.5</v>
      </c>
      <c r="AL6" s="85">
        <f t="shared" si="1"/>
        <v>0.75</v>
      </c>
      <c r="AM6" s="85">
        <f t="shared" si="1"/>
        <v>0.83333333333333337</v>
      </c>
      <c r="AN6" s="85">
        <f t="shared" si="1"/>
        <v>0.8571428571428571</v>
      </c>
      <c r="AO6" s="85">
        <f t="shared" si="1"/>
        <v>0.5</v>
      </c>
      <c r="AP6" s="85"/>
      <c r="AQ6" s="85"/>
      <c r="AR6" s="85"/>
      <c r="AS6" s="85">
        <f t="shared" si="2"/>
        <v>0.34285714285714286</v>
      </c>
      <c r="AT6" s="85"/>
      <c r="AU6" s="85"/>
      <c r="AV6" s="85"/>
      <c r="AW6" s="85"/>
      <c r="AX6" s="85"/>
      <c r="AY6" s="85"/>
    </row>
    <row r="7" spans="2:51" ht="52.2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30</v>
      </c>
      <c r="T7" s="31">
        <v>28</v>
      </c>
      <c r="U7" s="31">
        <v>158</v>
      </c>
      <c r="V7" s="32">
        <v>4</v>
      </c>
      <c r="W7" s="32">
        <v>4</v>
      </c>
      <c r="X7" s="32">
        <v>20</v>
      </c>
      <c r="Y7" s="73">
        <v>4</v>
      </c>
      <c r="Z7" s="33">
        <v>0</v>
      </c>
      <c r="AA7" s="34">
        <v>25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 t="s">
        <v>102</v>
      </c>
      <c r="AK7" s="85">
        <f t="shared" si="1"/>
        <v>0.75</v>
      </c>
      <c r="AL7" s="85">
        <f t="shared" si="1"/>
        <v>1.4</v>
      </c>
      <c r="AM7" s="85">
        <f t="shared" si="1"/>
        <v>1.3166666666666667</v>
      </c>
      <c r="AN7" s="85">
        <f t="shared" si="1"/>
        <v>0.5714285714285714</v>
      </c>
      <c r="AO7" s="85">
        <f t="shared" si="1"/>
        <v>1</v>
      </c>
      <c r="AP7" s="85"/>
      <c r="AQ7" s="85"/>
      <c r="AR7" s="85"/>
      <c r="AS7" s="85">
        <f t="shared" si="2"/>
        <v>0.14285714285714285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25</v>
      </c>
      <c r="T8" s="31">
        <v>19</v>
      </c>
      <c r="U8" s="31">
        <v>20</v>
      </c>
      <c r="V8" s="32">
        <v>0</v>
      </c>
      <c r="W8" s="32">
        <v>0</v>
      </c>
      <c r="X8" s="32">
        <v>10</v>
      </c>
      <c r="Y8" s="73">
        <v>10</v>
      </c>
      <c r="Z8" s="33">
        <v>0</v>
      </c>
      <c r="AA8" s="34">
        <v>7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1"/>
        <v>0.625</v>
      </c>
      <c r="AL8" s="85">
        <f t="shared" si="1"/>
        <v>0.95</v>
      </c>
      <c r="AM8" s="85">
        <f t="shared" si="1"/>
        <v>0.16666666666666666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0.04</v>
      </c>
      <c r="AT8" s="85"/>
      <c r="AU8" s="85"/>
      <c r="AV8" s="85"/>
      <c r="AW8" s="85"/>
      <c r="AX8" s="85"/>
      <c r="AY8" s="85"/>
    </row>
    <row r="9" spans="2:51" ht="34.799999999999997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25</v>
      </c>
      <c r="T9" s="31">
        <v>20</v>
      </c>
      <c r="U9" s="31">
        <v>102</v>
      </c>
      <c r="V9" s="32">
        <v>9</v>
      </c>
      <c r="W9" s="32">
        <v>4</v>
      </c>
      <c r="X9" s="32">
        <v>50</v>
      </c>
      <c r="Y9" s="73">
        <v>8</v>
      </c>
      <c r="Z9" s="33">
        <v>0</v>
      </c>
      <c r="AA9" s="34">
        <v>34</v>
      </c>
      <c r="AB9" s="34">
        <v>0</v>
      </c>
      <c r="AC9" s="34">
        <v>0</v>
      </c>
      <c r="AD9" s="35">
        <v>0</v>
      </c>
      <c r="AE9" s="34">
        <v>0</v>
      </c>
      <c r="AF9" s="34">
        <v>2</v>
      </c>
      <c r="AG9" s="34">
        <v>0</v>
      </c>
      <c r="AH9" s="21"/>
      <c r="AI9" s="22" t="s">
        <v>95</v>
      </c>
      <c r="AK9" s="85">
        <f t="shared" si="1"/>
        <v>0.625</v>
      </c>
      <c r="AL9" s="85">
        <f t="shared" si="1"/>
        <v>1</v>
      </c>
      <c r="AM9" s="85">
        <f t="shared" si="1"/>
        <v>0.85</v>
      </c>
      <c r="AN9" s="85">
        <f t="shared" si="1"/>
        <v>1.2857142857142858</v>
      </c>
      <c r="AO9" s="85">
        <f t="shared" si="1"/>
        <v>1</v>
      </c>
      <c r="AP9" s="85"/>
      <c r="AQ9" s="85"/>
      <c r="AR9" s="85"/>
      <c r="AS9" s="85">
        <f t="shared" si="2"/>
        <v>0.19428571428571428</v>
      </c>
      <c r="AT9" s="85"/>
      <c r="AU9" s="85"/>
      <c r="AV9" s="85"/>
      <c r="AW9" s="85"/>
      <c r="AX9" s="85"/>
      <c r="AY9" s="85"/>
    </row>
    <row r="10" spans="2:51" ht="52.2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40</v>
      </c>
      <c r="T10" s="31">
        <v>38</v>
      </c>
      <c r="U10" s="31">
        <v>106</v>
      </c>
      <c r="V10" s="32">
        <v>4</v>
      </c>
      <c r="W10" s="32">
        <v>7</v>
      </c>
      <c r="X10" s="32">
        <v>23</v>
      </c>
      <c r="Y10" s="73">
        <v>29</v>
      </c>
      <c r="Z10" s="33">
        <v>0</v>
      </c>
      <c r="AA10" s="34">
        <v>45</v>
      </c>
      <c r="AB10" s="34">
        <v>0</v>
      </c>
      <c r="AC10" s="34">
        <v>0</v>
      </c>
      <c r="AD10" s="35">
        <v>1</v>
      </c>
      <c r="AE10" s="34">
        <v>4</v>
      </c>
      <c r="AF10" s="34">
        <v>5</v>
      </c>
      <c r="AG10" s="34">
        <v>0</v>
      </c>
      <c r="AH10" s="21"/>
      <c r="AI10" s="22" t="s">
        <v>98</v>
      </c>
      <c r="AK10" s="85">
        <f t="shared" si="1"/>
        <v>1</v>
      </c>
      <c r="AL10" s="85">
        <f t="shared" si="1"/>
        <v>1.9</v>
      </c>
      <c r="AM10" s="85">
        <f t="shared" si="1"/>
        <v>0.8833333333333333</v>
      </c>
      <c r="AN10" s="85">
        <f t="shared" si="1"/>
        <v>0.5714285714285714</v>
      </c>
      <c r="AO10" s="85">
        <f t="shared" si="1"/>
        <v>1.75</v>
      </c>
      <c r="AP10" s="85"/>
      <c r="AQ10" s="85"/>
      <c r="AR10" s="85"/>
      <c r="AS10" s="85">
        <f t="shared" si="2"/>
        <v>0.25714285714285712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29</v>
      </c>
      <c r="T11" s="31">
        <v>24</v>
      </c>
      <c r="U11" s="31">
        <v>320</v>
      </c>
      <c r="V11" s="32">
        <v>4</v>
      </c>
      <c r="W11" s="32">
        <v>7</v>
      </c>
      <c r="X11" s="32">
        <v>25</v>
      </c>
      <c r="Y11" s="73">
        <v>10</v>
      </c>
      <c r="Z11" s="33">
        <v>0</v>
      </c>
      <c r="AA11" s="34">
        <v>60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 t="s">
        <v>96</v>
      </c>
      <c r="AI11" s="22" t="s">
        <v>97</v>
      </c>
      <c r="AK11" s="85">
        <f t="shared" si="1"/>
        <v>0.72499999999999998</v>
      </c>
      <c r="AL11" s="85">
        <f t="shared" si="1"/>
        <v>1.2</v>
      </c>
      <c r="AM11" s="85">
        <f t="shared" si="1"/>
        <v>2.6666666666666665</v>
      </c>
      <c r="AN11" s="85">
        <f t="shared" si="1"/>
        <v>0.5714285714285714</v>
      </c>
      <c r="AO11" s="85">
        <f t="shared" si="1"/>
        <v>1.75</v>
      </c>
      <c r="AP11" s="85"/>
      <c r="AQ11" s="85"/>
      <c r="AR11" s="85"/>
      <c r="AS11" s="85">
        <f t="shared" si="2"/>
        <v>0.34285714285714286</v>
      </c>
      <c r="AT11" s="85"/>
      <c r="AU11" s="85"/>
      <c r="AV11" s="85"/>
      <c r="AW11" s="85"/>
      <c r="AX11" s="85"/>
      <c r="AY11" s="85"/>
    </row>
    <row r="12" spans="2:51" ht="34.799999999999997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50</v>
      </c>
      <c r="T12" s="31">
        <v>40</v>
      </c>
      <c r="U12" s="31">
        <v>69</v>
      </c>
      <c r="V12" s="32">
        <v>1</v>
      </c>
      <c r="W12" s="32">
        <v>44</v>
      </c>
      <c r="X12" s="32">
        <v>41</v>
      </c>
      <c r="Y12" s="73">
        <v>0</v>
      </c>
      <c r="Z12" s="33">
        <v>0</v>
      </c>
      <c r="AA12" s="34">
        <v>34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 t="s">
        <v>101</v>
      </c>
      <c r="AK12" s="85">
        <f t="shared" si="1"/>
        <v>1.25</v>
      </c>
      <c r="AL12" s="85">
        <f t="shared" si="1"/>
        <v>2</v>
      </c>
      <c r="AM12" s="85">
        <f t="shared" si="1"/>
        <v>0.57499999999999996</v>
      </c>
      <c r="AN12" s="85">
        <f t="shared" si="1"/>
        <v>0.14285714285714285</v>
      </c>
      <c r="AO12" s="85">
        <f t="shared" si="1"/>
        <v>11</v>
      </c>
      <c r="AP12" s="85"/>
      <c r="AQ12" s="85"/>
      <c r="AR12" s="85"/>
      <c r="AS12" s="85">
        <f t="shared" si="2"/>
        <v>0.19428571428571428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14</v>
      </c>
      <c r="U13" s="31">
        <v>140</v>
      </c>
      <c r="V13" s="32">
        <v>16</v>
      </c>
      <c r="W13" s="32">
        <v>4</v>
      </c>
      <c r="X13" s="32">
        <v>50</v>
      </c>
      <c r="Y13" s="73">
        <v>20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 t="s">
        <v>92</v>
      </c>
      <c r="AI13" s="22" t="s">
        <v>93</v>
      </c>
      <c r="AK13" s="85">
        <f t="shared" si="1"/>
        <v>0.75</v>
      </c>
      <c r="AL13" s="85">
        <f t="shared" si="1"/>
        <v>0.7</v>
      </c>
      <c r="AM13" s="85">
        <f t="shared" si="1"/>
        <v>1.1666666666666667</v>
      </c>
      <c r="AN13" s="85">
        <f t="shared" si="1"/>
        <v>2.2857142857142856</v>
      </c>
      <c r="AO13" s="85">
        <f t="shared" si="1"/>
        <v>1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52.2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50</v>
      </c>
      <c r="T14" s="31">
        <v>30</v>
      </c>
      <c r="U14" s="31">
        <v>40</v>
      </c>
      <c r="V14" s="32">
        <v>2</v>
      </c>
      <c r="W14" s="32">
        <v>4</v>
      </c>
      <c r="X14" s="32">
        <v>25</v>
      </c>
      <c r="Y14" s="73">
        <v>13</v>
      </c>
      <c r="Z14" s="33">
        <v>0</v>
      </c>
      <c r="AA14" s="34">
        <v>20</v>
      </c>
      <c r="AB14" s="34">
        <v>0</v>
      </c>
      <c r="AC14" s="34">
        <v>0</v>
      </c>
      <c r="AD14" s="35">
        <v>0</v>
      </c>
      <c r="AE14" s="34">
        <v>0</v>
      </c>
      <c r="AF14" s="34">
        <v>5</v>
      </c>
      <c r="AG14" s="34">
        <v>0</v>
      </c>
      <c r="AH14" s="21"/>
      <c r="AI14" s="22" t="s">
        <v>90</v>
      </c>
      <c r="AK14" s="85">
        <f t="shared" si="1"/>
        <v>1.25</v>
      </c>
      <c r="AL14" s="85">
        <f t="shared" si="1"/>
        <v>1.5</v>
      </c>
      <c r="AM14" s="85">
        <f t="shared" si="1"/>
        <v>0.33333333333333331</v>
      </c>
      <c r="AN14" s="85">
        <f t="shared" si="1"/>
        <v>0.2857142857142857</v>
      </c>
      <c r="AO14" s="85">
        <f t="shared" si="1"/>
        <v>1</v>
      </c>
      <c r="AP14" s="85"/>
      <c r="AQ14" s="85"/>
      <c r="AR14" s="85"/>
      <c r="AS14" s="85">
        <f t="shared" si="2"/>
        <v>0.11428571428571428</v>
      </c>
      <c r="AT14" s="85"/>
      <c r="AU14" s="85"/>
      <c r="AV14" s="85"/>
      <c r="AW14" s="85"/>
      <c r="AX14" s="85"/>
      <c r="AY14" s="85"/>
    </row>
    <row r="15" spans="2:51" ht="52.2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35</v>
      </c>
      <c r="T15" s="31">
        <v>30</v>
      </c>
      <c r="U15" s="31">
        <v>209</v>
      </c>
      <c r="V15" s="32">
        <v>4</v>
      </c>
      <c r="W15" s="32">
        <v>0</v>
      </c>
      <c r="X15" s="32">
        <v>90</v>
      </c>
      <c r="Y15" s="73">
        <v>11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5</v>
      </c>
      <c r="AG15" s="34">
        <v>0</v>
      </c>
      <c r="AH15" s="21"/>
      <c r="AI15" s="22" t="s">
        <v>94</v>
      </c>
      <c r="AK15" s="85">
        <f t="shared" si="1"/>
        <v>0.875</v>
      </c>
      <c r="AL15" s="85">
        <f t="shared" si="1"/>
        <v>1.5</v>
      </c>
      <c r="AM15" s="85">
        <f t="shared" si="1"/>
        <v>1.7416666666666667</v>
      </c>
      <c r="AN15" s="85">
        <f t="shared" si="1"/>
        <v>0.5714285714285714</v>
      </c>
      <c r="AO15" s="85">
        <f t="shared" si="1"/>
        <v>0</v>
      </c>
      <c r="AP15" s="85"/>
      <c r="AQ15" s="85"/>
      <c r="AR15" s="85"/>
      <c r="AS15" s="85">
        <f t="shared" si="2"/>
        <v>0.11428571428571428</v>
      </c>
      <c r="AT15" s="85"/>
      <c r="AU15" s="85"/>
      <c r="AV15" s="85"/>
      <c r="AW15" s="85"/>
      <c r="AX15" s="85"/>
      <c r="AY15" s="85"/>
    </row>
    <row r="16" spans="2:51" ht="34.799999999999997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25</v>
      </c>
      <c r="U16" s="31">
        <v>250</v>
      </c>
      <c r="V16" s="32">
        <v>4</v>
      </c>
      <c r="W16" s="32">
        <v>0</v>
      </c>
      <c r="X16" s="32">
        <v>60</v>
      </c>
      <c r="Y16" s="73">
        <v>8</v>
      </c>
      <c r="Z16" s="33">
        <v>3</v>
      </c>
      <c r="AA16" s="34">
        <v>250</v>
      </c>
      <c r="AB16" s="34">
        <v>60</v>
      </c>
      <c r="AC16" s="34">
        <v>3</v>
      </c>
      <c r="AD16" s="35">
        <v>0</v>
      </c>
      <c r="AE16" s="34">
        <v>0</v>
      </c>
      <c r="AF16" s="34">
        <v>0</v>
      </c>
      <c r="AG16" s="34">
        <v>0</v>
      </c>
      <c r="AH16" s="21" t="s">
        <v>89</v>
      </c>
      <c r="AI16" s="22" t="s">
        <v>88</v>
      </c>
      <c r="AK16" s="85">
        <f t="shared" si="1"/>
        <v>1.25</v>
      </c>
      <c r="AL16" s="85">
        <f t="shared" si="1"/>
        <v>1.25</v>
      </c>
      <c r="AM16" s="85">
        <f t="shared" si="1"/>
        <v>2.0833333333333335</v>
      </c>
      <c r="AN16" s="85">
        <f t="shared" si="1"/>
        <v>0.5714285714285714</v>
      </c>
      <c r="AO16" s="85">
        <f t="shared" si="1"/>
        <v>0</v>
      </c>
      <c r="AP16" s="85"/>
      <c r="AQ16" s="85"/>
      <c r="AR16" s="85"/>
      <c r="AS16" s="85">
        <f t="shared" si="2"/>
        <v>1.4285714285714286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55</v>
      </c>
      <c r="T17" s="31">
        <v>40</v>
      </c>
      <c r="U17" s="31">
        <v>310</v>
      </c>
      <c r="V17" s="32">
        <v>59</v>
      </c>
      <c r="W17" s="32">
        <v>20</v>
      </c>
      <c r="X17" s="32">
        <v>300</v>
      </c>
      <c r="Y17" s="73">
        <v>67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13</v>
      </c>
      <c r="AG17" s="34">
        <v>0</v>
      </c>
      <c r="AH17" s="21"/>
      <c r="AI17" s="22"/>
      <c r="AK17" s="85">
        <f t="shared" si="1"/>
        <v>1.375</v>
      </c>
      <c r="AL17" s="85">
        <f t="shared" si="1"/>
        <v>2</v>
      </c>
      <c r="AM17" s="85">
        <f t="shared" si="1"/>
        <v>2.5833333333333335</v>
      </c>
      <c r="AN17" s="85">
        <f t="shared" si="1"/>
        <v>8.4285714285714288</v>
      </c>
      <c r="AO17" s="85">
        <f t="shared" si="1"/>
        <v>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489</v>
      </c>
      <c r="T25" s="61">
        <f t="shared" si="3"/>
        <v>352</v>
      </c>
      <c r="U25" s="61">
        <f t="shared" si="3"/>
        <v>1936</v>
      </c>
      <c r="V25" s="61">
        <f t="shared" si="3"/>
        <v>116</v>
      </c>
      <c r="W25" s="61">
        <f t="shared" si="3"/>
        <v>96</v>
      </c>
      <c r="X25" s="61">
        <f t="shared" si="3"/>
        <v>766</v>
      </c>
      <c r="Y25" s="61">
        <f t="shared" si="3"/>
        <v>197</v>
      </c>
      <c r="Z25" s="61">
        <f t="shared" si="3"/>
        <v>3</v>
      </c>
      <c r="AA25" s="61">
        <f t="shared" si="3"/>
        <v>561</v>
      </c>
      <c r="AB25" s="61">
        <f t="shared" si="3"/>
        <v>70</v>
      </c>
      <c r="AC25" s="61">
        <f t="shared" si="3"/>
        <v>3</v>
      </c>
      <c r="AD25" s="61">
        <f t="shared" si="3"/>
        <v>1</v>
      </c>
      <c r="AE25" s="61">
        <f t="shared" si="3"/>
        <v>4</v>
      </c>
      <c r="AF25" s="61">
        <f t="shared" si="3"/>
        <v>38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0.94038461538461537</v>
      </c>
      <c r="AL25" s="85">
        <f t="shared" si="4"/>
        <v>1.3538461538461539</v>
      </c>
      <c r="AM25" s="85">
        <f t="shared" si="4"/>
        <v>1.2410256410256411</v>
      </c>
      <c r="AN25" s="85">
        <f t="shared" si="4"/>
        <v>1.2747252747252746</v>
      </c>
      <c r="AO25" s="85">
        <f t="shared" si="4"/>
        <v>1.8461538461538463</v>
      </c>
      <c r="AP25" s="85"/>
      <c r="AQ25" s="85"/>
      <c r="AR25" s="85"/>
      <c r="AS25" s="85">
        <f t="shared" ref="AS25" si="5">AA25/L25</f>
        <v>0.24659340659340659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489</v>
      </c>
      <c r="T27" s="24">
        <f>T25</f>
        <v>352</v>
      </c>
      <c r="U27" s="24">
        <f>U25/120</f>
        <v>16.133333333333333</v>
      </c>
      <c r="V27" s="25">
        <f>V25/6</f>
        <v>19.333333333333332</v>
      </c>
      <c r="W27" s="25">
        <f>W25/10</f>
        <v>9.6</v>
      </c>
      <c r="X27" s="25">
        <f>X25/100</f>
        <v>7.66</v>
      </c>
      <c r="Y27" s="74">
        <f>Y25/20</f>
        <v>9.85</v>
      </c>
      <c r="Z27" s="26">
        <f>Z25/60</f>
        <v>0.05</v>
      </c>
      <c r="AA27" s="27">
        <f>AA25/120</f>
        <v>4.6749999999999998</v>
      </c>
      <c r="AB27" s="27">
        <f>AB25/100</f>
        <v>0.7</v>
      </c>
      <c r="AC27" s="27">
        <f>AC25/60</f>
        <v>0.05</v>
      </c>
      <c r="AD27" s="27">
        <f>AD25</f>
        <v>1</v>
      </c>
      <c r="AE27" s="27">
        <f t="shared" ref="AE27:AG27" si="7">AE25</f>
        <v>4</v>
      </c>
      <c r="AF27" s="27">
        <f t="shared" si="7"/>
        <v>38</v>
      </c>
      <c r="AG27" s="27">
        <f t="shared" si="7"/>
        <v>0</v>
      </c>
      <c r="AH27" s="23"/>
      <c r="AI27" s="28"/>
      <c r="AK27" s="24"/>
      <c r="AL27" s="23"/>
      <c r="AM27" s="24">
        <f>AM25/120</f>
        <v>1.0341880341880343E-2</v>
      </c>
      <c r="AN27" s="25">
        <f>AN25/6</f>
        <v>0.21245421245421245</v>
      </c>
      <c r="AO27" s="25">
        <f>AO25/20</f>
        <v>9.2307692307692313E-2</v>
      </c>
      <c r="AP27" s="25">
        <f>AP25/100</f>
        <v>0</v>
      </c>
      <c r="AQ27" s="74"/>
      <c r="AR27" s="26">
        <f>AR25/20</f>
        <v>0</v>
      </c>
      <c r="AS27" s="27">
        <f>AS25/120</f>
        <v>2.0549450549450549E-3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147-F32D-411B-891B-D457911430AE}">
  <dimension ref="A1:AY27"/>
  <sheetViews>
    <sheetView topLeftCell="B1" zoomScale="49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46109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12.4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20</v>
      </c>
      <c r="U5" s="31">
        <v>150</v>
      </c>
      <c r="V5" s="32">
        <v>3</v>
      </c>
      <c r="W5" s="32">
        <v>3</v>
      </c>
      <c r="X5" s="32">
        <v>60</v>
      </c>
      <c r="Y5" s="73">
        <v>7</v>
      </c>
      <c r="Z5" s="33">
        <v>0</v>
      </c>
      <c r="AA5" s="34">
        <v>18</v>
      </c>
      <c r="AB5" s="34">
        <v>15</v>
      </c>
      <c r="AC5" s="34">
        <v>0</v>
      </c>
      <c r="AD5" s="35">
        <v>0</v>
      </c>
      <c r="AE5" s="34">
        <v>2</v>
      </c>
      <c r="AF5" s="34">
        <v>0</v>
      </c>
      <c r="AG5" s="34">
        <v>0</v>
      </c>
      <c r="AH5" s="21"/>
      <c r="AI5" s="22"/>
      <c r="AK5" s="85">
        <f t="shared" ref="AK5:AO17" si="1">S5/D5</f>
        <v>0.75</v>
      </c>
      <c r="AL5" s="85">
        <f t="shared" si="1"/>
        <v>1</v>
      </c>
      <c r="AM5" s="85">
        <f t="shared" si="1"/>
        <v>1.25</v>
      </c>
      <c r="AN5" s="85">
        <f t="shared" si="1"/>
        <v>0.42857142857142855</v>
      </c>
      <c r="AO5" s="85">
        <f t="shared" si="1"/>
        <v>0.75</v>
      </c>
      <c r="AP5" s="85"/>
      <c r="AQ5" s="85"/>
      <c r="AR5" s="85"/>
      <c r="AS5" s="85">
        <f t="shared" ref="AS5:AS17" si="2">AA5/L5</f>
        <v>0.10285714285714286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36</v>
      </c>
      <c r="T6" s="31">
        <v>25</v>
      </c>
      <c r="U6" s="31">
        <v>120</v>
      </c>
      <c r="V6" s="32">
        <v>5</v>
      </c>
      <c r="W6" s="32">
        <v>2</v>
      </c>
      <c r="X6" s="32">
        <v>50</v>
      </c>
      <c r="Y6" s="73">
        <v>14</v>
      </c>
      <c r="Z6" s="33">
        <v>0</v>
      </c>
      <c r="AA6" s="34">
        <v>55</v>
      </c>
      <c r="AB6" s="34">
        <v>0</v>
      </c>
      <c r="AC6" s="34">
        <v>0</v>
      </c>
      <c r="AD6" s="35">
        <v>0</v>
      </c>
      <c r="AE6" s="34">
        <v>0</v>
      </c>
      <c r="AF6" s="34">
        <v>2</v>
      </c>
      <c r="AG6" s="34">
        <v>0</v>
      </c>
      <c r="AH6" s="21"/>
      <c r="AI6" s="22"/>
      <c r="AK6" s="85">
        <f t="shared" si="1"/>
        <v>0.9</v>
      </c>
      <c r="AL6" s="85">
        <f t="shared" si="1"/>
        <v>1.25</v>
      </c>
      <c r="AM6" s="85">
        <f t="shared" si="1"/>
        <v>1</v>
      </c>
      <c r="AN6" s="85">
        <f t="shared" si="1"/>
        <v>0.7142857142857143</v>
      </c>
      <c r="AO6" s="85">
        <f t="shared" si="1"/>
        <v>0.5</v>
      </c>
      <c r="AP6" s="85"/>
      <c r="AQ6" s="85"/>
      <c r="AR6" s="85"/>
      <c r="AS6" s="85">
        <f t="shared" si="2"/>
        <v>0.31428571428571428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50</v>
      </c>
      <c r="T7" s="31">
        <v>28</v>
      </c>
      <c r="U7" s="31">
        <v>186</v>
      </c>
      <c r="V7" s="32">
        <v>5</v>
      </c>
      <c r="W7" s="32">
        <v>3</v>
      </c>
      <c r="X7" s="32">
        <v>20</v>
      </c>
      <c r="Y7" s="73">
        <v>6</v>
      </c>
      <c r="Z7" s="33">
        <v>0</v>
      </c>
      <c r="AA7" s="34">
        <v>30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1.25</v>
      </c>
      <c r="AL7" s="85">
        <f t="shared" si="1"/>
        <v>1.4</v>
      </c>
      <c r="AM7" s="85">
        <f t="shared" si="1"/>
        <v>1.55</v>
      </c>
      <c r="AN7" s="85">
        <f t="shared" si="1"/>
        <v>0.7142857142857143</v>
      </c>
      <c r="AO7" s="85">
        <f t="shared" si="1"/>
        <v>0.75</v>
      </c>
      <c r="AP7" s="85"/>
      <c r="AQ7" s="85"/>
      <c r="AR7" s="85"/>
      <c r="AS7" s="85">
        <f t="shared" si="2"/>
        <v>0.17142857142857143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50</v>
      </c>
      <c r="T8" s="31">
        <v>40</v>
      </c>
      <c r="U8" s="31">
        <v>50</v>
      </c>
      <c r="V8" s="32">
        <v>0</v>
      </c>
      <c r="W8" s="32">
        <v>0</v>
      </c>
      <c r="X8" s="32">
        <v>20</v>
      </c>
      <c r="Y8" s="73">
        <v>20</v>
      </c>
      <c r="Z8" s="33">
        <v>0</v>
      </c>
      <c r="AA8" s="34">
        <v>10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1"/>
        <v>1.25</v>
      </c>
      <c r="AL8" s="85">
        <f t="shared" si="1"/>
        <v>2</v>
      </c>
      <c r="AM8" s="85">
        <f t="shared" si="1"/>
        <v>0.41666666666666669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5.7142857142857141E-2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35</v>
      </c>
      <c r="T9" s="31">
        <v>20</v>
      </c>
      <c r="U9" s="31">
        <v>122</v>
      </c>
      <c r="V9" s="32">
        <v>3</v>
      </c>
      <c r="W9" s="32">
        <v>7</v>
      </c>
      <c r="X9" s="32">
        <v>50</v>
      </c>
      <c r="Y9" s="73">
        <v>11</v>
      </c>
      <c r="Z9" s="33">
        <v>0</v>
      </c>
      <c r="AA9" s="34">
        <v>28</v>
      </c>
      <c r="AB9" s="34">
        <v>0</v>
      </c>
      <c r="AC9" s="34">
        <v>0</v>
      </c>
      <c r="AD9" s="35">
        <v>0</v>
      </c>
      <c r="AE9" s="34">
        <v>0</v>
      </c>
      <c r="AF9" s="34">
        <v>2</v>
      </c>
      <c r="AG9" s="34">
        <v>0</v>
      </c>
      <c r="AH9" s="21"/>
      <c r="AI9" s="22"/>
      <c r="AK9" s="85">
        <f t="shared" si="1"/>
        <v>0.875</v>
      </c>
      <c r="AL9" s="85">
        <f t="shared" si="1"/>
        <v>1</v>
      </c>
      <c r="AM9" s="85">
        <f t="shared" si="1"/>
        <v>1.0166666666666666</v>
      </c>
      <c r="AN9" s="85">
        <f t="shared" si="1"/>
        <v>0.42857142857142855</v>
      </c>
      <c r="AO9" s="85">
        <f t="shared" si="1"/>
        <v>1.75</v>
      </c>
      <c r="AP9" s="85"/>
      <c r="AQ9" s="85"/>
      <c r="AR9" s="85"/>
      <c r="AS9" s="85">
        <f t="shared" si="2"/>
        <v>0.16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40</v>
      </c>
      <c r="T10" s="31">
        <v>25</v>
      </c>
      <c r="U10" s="31">
        <v>170</v>
      </c>
      <c r="V10" s="32">
        <v>9</v>
      </c>
      <c r="W10" s="32">
        <v>15</v>
      </c>
      <c r="X10" s="32">
        <v>20</v>
      </c>
      <c r="Y10" s="73">
        <v>25</v>
      </c>
      <c r="Z10" s="33">
        <v>0</v>
      </c>
      <c r="AA10" s="34">
        <v>40</v>
      </c>
      <c r="AB10" s="34">
        <v>0</v>
      </c>
      <c r="AC10" s="34">
        <v>0</v>
      </c>
      <c r="AD10" s="35">
        <v>5</v>
      </c>
      <c r="AE10" s="34">
        <v>2</v>
      </c>
      <c r="AF10" s="34">
        <v>5</v>
      </c>
      <c r="AG10" s="34">
        <v>0</v>
      </c>
      <c r="AH10" s="21"/>
      <c r="AI10" s="22"/>
      <c r="AK10" s="85">
        <f t="shared" si="1"/>
        <v>1</v>
      </c>
      <c r="AL10" s="85">
        <f t="shared" si="1"/>
        <v>1.25</v>
      </c>
      <c r="AM10" s="85">
        <f t="shared" si="1"/>
        <v>1.4166666666666667</v>
      </c>
      <c r="AN10" s="85">
        <f t="shared" si="1"/>
        <v>1.2857142857142858</v>
      </c>
      <c r="AO10" s="85">
        <f t="shared" si="1"/>
        <v>3.75</v>
      </c>
      <c r="AP10" s="85"/>
      <c r="AQ10" s="85"/>
      <c r="AR10" s="85"/>
      <c r="AS10" s="85">
        <f t="shared" si="2"/>
        <v>0.22857142857142856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35</v>
      </c>
      <c r="T11" s="31">
        <v>20</v>
      </c>
      <c r="U11" s="31">
        <v>210</v>
      </c>
      <c r="V11" s="32">
        <v>2</v>
      </c>
      <c r="W11" s="32">
        <v>8</v>
      </c>
      <c r="X11" s="32">
        <v>20</v>
      </c>
      <c r="Y11" s="73">
        <v>15</v>
      </c>
      <c r="Z11" s="33">
        <v>0</v>
      </c>
      <c r="AA11" s="34">
        <v>40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0.875</v>
      </c>
      <c r="AL11" s="85">
        <f t="shared" si="1"/>
        <v>1</v>
      </c>
      <c r="AM11" s="85">
        <f t="shared" si="1"/>
        <v>1.75</v>
      </c>
      <c r="AN11" s="85">
        <f t="shared" si="1"/>
        <v>0.2857142857142857</v>
      </c>
      <c r="AO11" s="85">
        <f t="shared" si="1"/>
        <v>2</v>
      </c>
      <c r="AP11" s="85"/>
      <c r="AQ11" s="85"/>
      <c r="AR11" s="85"/>
      <c r="AS11" s="85">
        <f t="shared" si="2"/>
        <v>0.22857142857142856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38</v>
      </c>
      <c r="T12" s="31">
        <v>18</v>
      </c>
      <c r="U12" s="31">
        <v>69</v>
      </c>
      <c r="V12" s="32">
        <v>0</v>
      </c>
      <c r="W12" s="32">
        <v>0</v>
      </c>
      <c r="X12" s="32">
        <v>0</v>
      </c>
      <c r="Y12" s="73">
        <v>26</v>
      </c>
      <c r="Z12" s="33">
        <v>0</v>
      </c>
      <c r="AA12" s="34">
        <v>40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5">
        <f t="shared" si="1"/>
        <v>0.95</v>
      </c>
      <c r="AL12" s="85">
        <f t="shared" si="1"/>
        <v>0.9</v>
      </c>
      <c r="AM12" s="85">
        <f t="shared" si="1"/>
        <v>0.57499999999999996</v>
      </c>
      <c r="AN12" s="85">
        <f t="shared" si="1"/>
        <v>0</v>
      </c>
      <c r="AO12" s="85">
        <f t="shared" si="1"/>
        <v>0</v>
      </c>
      <c r="AP12" s="85"/>
      <c r="AQ12" s="85"/>
      <c r="AR12" s="85"/>
      <c r="AS12" s="85">
        <f t="shared" si="2"/>
        <v>0.22857142857142856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14</v>
      </c>
      <c r="U13" s="31">
        <v>180</v>
      </c>
      <c r="V13" s="32">
        <v>12</v>
      </c>
      <c r="W13" s="32">
        <v>9</v>
      </c>
      <c r="X13" s="32">
        <v>40</v>
      </c>
      <c r="Y13" s="73">
        <v>14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0.75</v>
      </c>
      <c r="AL13" s="85">
        <f t="shared" si="1"/>
        <v>0.7</v>
      </c>
      <c r="AM13" s="85">
        <f t="shared" si="1"/>
        <v>1.5</v>
      </c>
      <c r="AN13" s="85">
        <f t="shared" si="1"/>
        <v>1.7142857142857142</v>
      </c>
      <c r="AO13" s="85">
        <f t="shared" si="1"/>
        <v>2.25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70</v>
      </c>
      <c r="T14" s="31">
        <v>50</v>
      </c>
      <c r="U14" s="31">
        <v>45</v>
      </c>
      <c r="V14" s="32">
        <v>5</v>
      </c>
      <c r="W14" s="32">
        <v>8</v>
      </c>
      <c r="X14" s="32">
        <v>20</v>
      </c>
      <c r="Y14" s="73">
        <v>10</v>
      </c>
      <c r="Z14" s="33">
        <v>0</v>
      </c>
      <c r="AA14" s="34">
        <v>30</v>
      </c>
      <c r="AB14" s="34">
        <v>0</v>
      </c>
      <c r="AC14" s="34">
        <v>0</v>
      </c>
      <c r="AD14" s="35">
        <v>0</v>
      </c>
      <c r="AE14" s="34">
        <v>0</v>
      </c>
      <c r="AF14" s="34">
        <v>7</v>
      </c>
      <c r="AG14" s="34">
        <v>0</v>
      </c>
      <c r="AH14" s="21"/>
      <c r="AI14" s="22"/>
      <c r="AK14" s="85">
        <f t="shared" si="1"/>
        <v>1.75</v>
      </c>
      <c r="AL14" s="85">
        <f t="shared" si="1"/>
        <v>2.5</v>
      </c>
      <c r="AM14" s="85">
        <f t="shared" si="1"/>
        <v>0.375</v>
      </c>
      <c r="AN14" s="85">
        <f t="shared" si="1"/>
        <v>0.7142857142857143</v>
      </c>
      <c r="AO14" s="85">
        <f t="shared" si="1"/>
        <v>2</v>
      </c>
      <c r="AP14" s="85"/>
      <c r="AQ14" s="85"/>
      <c r="AR14" s="85"/>
      <c r="AS14" s="85">
        <f t="shared" si="2"/>
        <v>0.17142857142857143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65</v>
      </c>
      <c r="T15" s="31">
        <v>30</v>
      </c>
      <c r="U15" s="31">
        <v>113</v>
      </c>
      <c r="V15" s="32">
        <v>1</v>
      </c>
      <c r="W15" s="32">
        <v>1</v>
      </c>
      <c r="X15" s="32">
        <v>40</v>
      </c>
      <c r="Y15" s="73">
        <v>10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11</v>
      </c>
      <c r="AG15" s="34">
        <v>0</v>
      </c>
      <c r="AH15" s="21"/>
      <c r="AI15" s="22"/>
      <c r="AK15" s="85">
        <f t="shared" si="1"/>
        <v>1.625</v>
      </c>
      <c r="AL15" s="85">
        <f t="shared" si="1"/>
        <v>1.5</v>
      </c>
      <c r="AM15" s="85">
        <f t="shared" si="1"/>
        <v>0.94166666666666665</v>
      </c>
      <c r="AN15" s="85">
        <f t="shared" si="1"/>
        <v>0.14285714285714285</v>
      </c>
      <c r="AO15" s="85">
        <f t="shared" si="1"/>
        <v>0.25</v>
      </c>
      <c r="AP15" s="85"/>
      <c r="AQ15" s="85"/>
      <c r="AR15" s="85"/>
      <c r="AS15" s="85">
        <f t="shared" si="2"/>
        <v>0.11428571428571428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44</v>
      </c>
      <c r="T16" s="31">
        <v>35</v>
      </c>
      <c r="U16" s="31">
        <v>286</v>
      </c>
      <c r="V16" s="32">
        <v>9</v>
      </c>
      <c r="W16" s="32">
        <v>0</v>
      </c>
      <c r="X16" s="32">
        <v>74</v>
      </c>
      <c r="Y16" s="73">
        <v>18</v>
      </c>
      <c r="Z16" s="33">
        <v>7</v>
      </c>
      <c r="AA16" s="34">
        <v>286</v>
      </c>
      <c r="AB16" s="34">
        <v>74</v>
      </c>
      <c r="AC16" s="34">
        <v>7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5">
        <f t="shared" si="1"/>
        <v>1.1000000000000001</v>
      </c>
      <c r="AL16" s="85">
        <f t="shared" si="1"/>
        <v>1.75</v>
      </c>
      <c r="AM16" s="85">
        <f t="shared" si="1"/>
        <v>2.3833333333333333</v>
      </c>
      <c r="AN16" s="85">
        <f t="shared" si="1"/>
        <v>1.2857142857142858</v>
      </c>
      <c r="AO16" s="85">
        <f t="shared" si="1"/>
        <v>0</v>
      </c>
      <c r="AP16" s="85"/>
      <c r="AQ16" s="85"/>
      <c r="AR16" s="85"/>
      <c r="AS16" s="85">
        <f t="shared" si="2"/>
        <v>1.6342857142857143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42</v>
      </c>
      <c r="T17" s="31">
        <v>38</v>
      </c>
      <c r="U17" s="31">
        <v>330</v>
      </c>
      <c r="V17" s="32">
        <v>100</v>
      </c>
      <c r="W17" s="32">
        <v>30</v>
      </c>
      <c r="X17" s="32">
        <v>303</v>
      </c>
      <c r="Y17" s="73">
        <v>117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20</v>
      </c>
      <c r="AG17" s="34">
        <v>0</v>
      </c>
      <c r="AH17" s="21"/>
      <c r="AI17" s="22"/>
      <c r="AK17" s="85">
        <f t="shared" si="1"/>
        <v>1.05</v>
      </c>
      <c r="AL17" s="85">
        <f t="shared" si="1"/>
        <v>1.9</v>
      </c>
      <c r="AM17" s="85">
        <f t="shared" si="1"/>
        <v>2.75</v>
      </c>
      <c r="AN17" s="85">
        <f t="shared" si="1"/>
        <v>14.285714285714286</v>
      </c>
      <c r="AO17" s="85">
        <f t="shared" si="1"/>
        <v>7.5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565</v>
      </c>
      <c r="T25" s="61">
        <f t="shared" si="3"/>
        <v>363</v>
      </c>
      <c r="U25" s="61">
        <f t="shared" si="3"/>
        <v>2031</v>
      </c>
      <c r="V25" s="61">
        <f t="shared" si="3"/>
        <v>154</v>
      </c>
      <c r="W25" s="61">
        <f t="shared" si="3"/>
        <v>86</v>
      </c>
      <c r="X25" s="61">
        <f t="shared" si="3"/>
        <v>717</v>
      </c>
      <c r="Y25" s="61">
        <f t="shared" si="3"/>
        <v>293</v>
      </c>
      <c r="Z25" s="61">
        <f t="shared" si="3"/>
        <v>7</v>
      </c>
      <c r="AA25" s="61">
        <f t="shared" si="3"/>
        <v>597</v>
      </c>
      <c r="AB25" s="61">
        <f t="shared" si="3"/>
        <v>89</v>
      </c>
      <c r="AC25" s="61">
        <f t="shared" si="3"/>
        <v>7</v>
      </c>
      <c r="AD25" s="61">
        <f t="shared" si="3"/>
        <v>5</v>
      </c>
      <c r="AE25" s="61">
        <f t="shared" si="3"/>
        <v>4</v>
      </c>
      <c r="AF25" s="61">
        <f t="shared" si="3"/>
        <v>47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1.0865384615384615</v>
      </c>
      <c r="AL25" s="85">
        <f t="shared" si="4"/>
        <v>1.3961538461538461</v>
      </c>
      <c r="AM25" s="85">
        <f t="shared" si="4"/>
        <v>1.301923076923077</v>
      </c>
      <c r="AN25" s="85">
        <f t="shared" si="4"/>
        <v>1.6923076923076923</v>
      </c>
      <c r="AO25" s="85">
        <f t="shared" si="4"/>
        <v>1.6538461538461537</v>
      </c>
      <c r="AP25" s="85"/>
      <c r="AQ25" s="85"/>
      <c r="AR25" s="85"/>
      <c r="AS25" s="85">
        <f t="shared" ref="AS25" si="5">AA25/L25</f>
        <v>0.2624175824175824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565</v>
      </c>
      <c r="T27" s="24">
        <f>T25</f>
        <v>363</v>
      </c>
      <c r="U27" s="24">
        <f>U25/120</f>
        <v>16.925000000000001</v>
      </c>
      <c r="V27" s="25">
        <f>V25/6</f>
        <v>25.666666666666668</v>
      </c>
      <c r="W27" s="25">
        <f>W25/10</f>
        <v>8.6</v>
      </c>
      <c r="X27" s="25">
        <f>X25/100</f>
        <v>7.17</v>
      </c>
      <c r="Y27" s="74">
        <f>Y25/20</f>
        <v>14.65</v>
      </c>
      <c r="Z27" s="26">
        <f>Z25/60</f>
        <v>0.11666666666666667</v>
      </c>
      <c r="AA27" s="27">
        <f>AA25/120</f>
        <v>4.9749999999999996</v>
      </c>
      <c r="AB27" s="27">
        <f>AB25/100</f>
        <v>0.89</v>
      </c>
      <c r="AC27" s="27">
        <f>AC25/60</f>
        <v>0.11666666666666667</v>
      </c>
      <c r="AD27" s="27">
        <f>AD25</f>
        <v>5</v>
      </c>
      <c r="AE27" s="27">
        <f t="shared" ref="AE27:AG27" si="7">AE25</f>
        <v>4</v>
      </c>
      <c r="AF27" s="27">
        <f t="shared" si="7"/>
        <v>47</v>
      </c>
      <c r="AG27" s="27">
        <f t="shared" si="7"/>
        <v>0</v>
      </c>
      <c r="AH27" s="23"/>
      <c r="AI27" s="28"/>
      <c r="AK27" s="24"/>
      <c r="AL27" s="23"/>
      <c r="AM27" s="24">
        <f>AM25/120</f>
        <v>1.0849358974358975E-2</v>
      </c>
      <c r="AN27" s="25">
        <f>AN25/6</f>
        <v>0.28205128205128205</v>
      </c>
      <c r="AO27" s="25">
        <f>AO25/20</f>
        <v>8.269230769230769E-2</v>
      </c>
      <c r="AP27" s="25">
        <f>AP25/100</f>
        <v>0</v>
      </c>
      <c r="AQ27" s="74"/>
      <c r="AR27" s="26">
        <f>AR25/20</f>
        <v>0</v>
      </c>
      <c r="AS27" s="27">
        <f>AS25/120</f>
        <v>2.1868131868131866E-3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BED-F7C5-4F45-8E97-8E46034E2EF1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46111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05.2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39</v>
      </c>
      <c r="T5" s="31">
        <v>20</v>
      </c>
      <c r="U5" s="31">
        <v>110</v>
      </c>
      <c r="V5" s="32">
        <v>1</v>
      </c>
      <c r="W5" s="32">
        <v>4</v>
      </c>
      <c r="X5" s="32">
        <v>42</v>
      </c>
      <c r="Y5" s="73">
        <v>10</v>
      </c>
      <c r="Z5" s="33">
        <v>0</v>
      </c>
      <c r="AA5" s="34">
        <v>10</v>
      </c>
      <c r="AB5" s="34">
        <v>8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0.97499999999999998</v>
      </c>
      <c r="AL5" s="85">
        <f t="shared" si="1"/>
        <v>1</v>
      </c>
      <c r="AM5" s="85">
        <f t="shared" si="1"/>
        <v>0.91666666666666663</v>
      </c>
      <c r="AN5" s="85">
        <f t="shared" si="1"/>
        <v>0.14285714285714285</v>
      </c>
      <c r="AO5" s="85">
        <f t="shared" si="1"/>
        <v>1</v>
      </c>
      <c r="AP5" s="85"/>
      <c r="AQ5" s="85"/>
      <c r="AR5" s="85"/>
      <c r="AS5" s="85">
        <f t="shared" ref="AS5:AS17" si="2">AA5/L5</f>
        <v>5.7142857142857141E-2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57</v>
      </c>
      <c r="T6" s="31">
        <v>30</v>
      </c>
      <c r="U6" s="31">
        <v>163</v>
      </c>
      <c r="V6" s="32">
        <v>5</v>
      </c>
      <c r="W6" s="32">
        <v>0</v>
      </c>
      <c r="X6" s="32">
        <v>50</v>
      </c>
      <c r="Y6" s="73">
        <v>13</v>
      </c>
      <c r="Z6" s="33">
        <v>0</v>
      </c>
      <c r="AA6" s="34">
        <v>35</v>
      </c>
      <c r="AB6" s="34">
        <v>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5">
        <f t="shared" si="1"/>
        <v>1.425</v>
      </c>
      <c r="AL6" s="85">
        <f t="shared" si="1"/>
        <v>1.5</v>
      </c>
      <c r="AM6" s="85">
        <f t="shared" si="1"/>
        <v>1.3583333333333334</v>
      </c>
      <c r="AN6" s="85">
        <f t="shared" si="1"/>
        <v>0.7142857142857143</v>
      </c>
      <c r="AO6" s="85">
        <f t="shared" si="1"/>
        <v>0</v>
      </c>
      <c r="AP6" s="85"/>
      <c r="AQ6" s="85"/>
      <c r="AR6" s="85"/>
      <c r="AS6" s="85">
        <f t="shared" si="2"/>
        <v>0.2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38</v>
      </c>
      <c r="T7" s="31">
        <v>25</v>
      </c>
      <c r="U7" s="31">
        <v>200</v>
      </c>
      <c r="V7" s="32">
        <v>2</v>
      </c>
      <c r="W7" s="32">
        <v>2</v>
      </c>
      <c r="X7" s="32">
        <v>15</v>
      </c>
      <c r="Y7" s="73">
        <v>7</v>
      </c>
      <c r="Z7" s="33">
        <v>0</v>
      </c>
      <c r="AA7" s="34">
        <v>40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0.95</v>
      </c>
      <c r="AL7" s="85">
        <f t="shared" si="1"/>
        <v>1.25</v>
      </c>
      <c r="AM7" s="85">
        <f t="shared" si="1"/>
        <v>1.6666666666666667</v>
      </c>
      <c r="AN7" s="85">
        <f t="shared" si="1"/>
        <v>0.2857142857142857</v>
      </c>
      <c r="AO7" s="85">
        <f t="shared" si="1"/>
        <v>0.5</v>
      </c>
      <c r="AP7" s="85"/>
      <c r="AQ7" s="85"/>
      <c r="AR7" s="85"/>
      <c r="AS7" s="85">
        <f t="shared" si="2"/>
        <v>0.22857142857142856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50</v>
      </c>
      <c r="T8" s="31">
        <v>34</v>
      </c>
      <c r="U8" s="31">
        <v>30</v>
      </c>
      <c r="V8" s="32">
        <v>0</v>
      </c>
      <c r="W8" s="32">
        <v>0</v>
      </c>
      <c r="X8" s="32">
        <v>20</v>
      </c>
      <c r="Y8" s="73">
        <v>15</v>
      </c>
      <c r="Z8" s="33">
        <v>0</v>
      </c>
      <c r="AA8" s="34">
        <v>10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1"/>
        <v>1.25</v>
      </c>
      <c r="AL8" s="85">
        <f t="shared" si="1"/>
        <v>1.7</v>
      </c>
      <c r="AM8" s="85">
        <f t="shared" si="1"/>
        <v>0.25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5.7142857142857141E-2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45</v>
      </c>
      <c r="T9" s="31">
        <v>24</v>
      </c>
      <c r="U9" s="31">
        <v>158</v>
      </c>
      <c r="V9" s="32">
        <v>4</v>
      </c>
      <c r="W9" s="32">
        <v>4</v>
      </c>
      <c r="X9" s="32">
        <v>74</v>
      </c>
      <c r="Y9" s="73">
        <v>13</v>
      </c>
      <c r="Z9" s="33">
        <v>0</v>
      </c>
      <c r="AA9" s="34">
        <v>21</v>
      </c>
      <c r="AB9" s="34">
        <v>0</v>
      </c>
      <c r="AC9" s="34">
        <v>0</v>
      </c>
      <c r="AD9" s="35">
        <v>0</v>
      </c>
      <c r="AE9" s="34">
        <v>0</v>
      </c>
      <c r="AF9" s="34">
        <v>5</v>
      </c>
      <c r="AG9" s="34">
        <v>0</v>
      </c>
      <c r="AH9" s="21"/>
      <c r="AI9" s="22"/>
      <c r="AK9" s="85">
        <f t="shared" si="1"/>
        <v>1.125</v>
      </c>
      <c r="AL9" s="85">
        <f t="shared" si="1"/>
        <v>1.2</v>
      </c>
      <c r="AM9" s="85">
        <f t="shared" si="1"/>
        <v>1.3166666666666667</v>
      </c>
      <c r="AN9" s="85">
        <f t="shared" si="1"/>
        <v>0.5714285714285714</v>
      </c>
      <c r="AO9" s="85">
        <f t="shared" si="1"/>
        <v>1</v>
      </c>
      <c r="AP9" s="85"/>
      <c r="AQ9" s="85"/>
      <c r="AR9" s="85"/>
      <c r="AS9" s="85">
        <f t="shared" si="2"/>
        <v>0.12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22</v>
      </c>
      <c r="U10" s="31">
        <v>110</v>
      </c>
      <c r="V10" s="32">
        <v>4</v>
      </c>
      <c r="W10" s="32">
        <v>5</v>
      </c>
      <c r="X10" s="32">
        <v>25</v>
      </c>
      <c r="Y10" s="73">
        <v>15</v>
      </c>
      <c r="Z10" s="33">
        <v>0</v>
      </c>
      <c r="AA10" s="34">
        <v>24</v>
      </c>
      <c r="AB10" s="34">
        <v>0</v>
      </c>
      <c r="AC10" s="34">
        <v>0</v>
      </c>
      <c r="AD10" s="35">
        <v>0</v>
      </c>
      <c r="AE10" s="34">
        <v>0</v>
      </c>
      <c r="AF10" s="34">
        <v>2</v>
      </c>
      <c r="AG10" s="34">
        <v>1</v>
      </c>
      <c r="AH10" s="21"/>
      <c r="AI10" s="22"/>
      <c r="AK10" s="85">
        <f t="shared" si="1"/>
        <v>0.875</v>
      </c>
      <c r="AL10" s="85">
        <f t="shared" si="1"/>
        <v>1.1000000000000001</v>
      </c>
      <c r="AM10" s="85">
        <f t="shared" si="1"/>
        <v>0.91666666666666663</v>
      </c>
      <c r="AN10" s="85">
        <f t="shared" si="1"/>
        <v>0.5714285714285714</v>
      </c>
      <c r="AO10" s="85">
        <f t="shared" si="1"/>
        <v>1.25</v>
      </c>
      <c r="AP10" s="85"/>
      <c r="AQ10" s="85"/>
      <c r="AR10" s="85"/>
      <c r="AS10" s="85">
        <f t="shared" si="2"/>
        <v>0.13714285714285715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20</v>
      </c>
      <c r="U11" s="31">
        <v>90</v>
      </c>
      <c r="V11" s="32">
        <v>1</v>
      </c>
      <c r="W11" s="32">
        <v>4</v>
      </c>
      <c r="X11" s="32">
        <v>30</v>
      </c>
      <c r="Y11" s="73">
        <v>8</v>
      </c>
      <c r="Z11" s="33">
        <v>0</v>
      </c>
      <c r="AA11" s="34">
        <v>10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1.25</v>
      </c>
      <c r="AL11" s="85">
        <f t="shared" si="1"/>
        <v>1</v>
      </c>
      <c r="AM11" s="85">
        <f t="shared" si="1"/>
        <v>0.75</v>
      </c>
      <c r="AN11" s="85">
        <f t="shared" si="1"/>
        <v>0.14285714285714285</v>
      </c>
      <c r="AO11" s="85">
        <f t="shared" si="1"/>
        <v>1</v>
      </c>
      <c r="AP11" s="85"/>
      <c r="AQ11" s="85"/>
      <c r="AR11" s="85"/>
      <c r="AS11" s="85">
        <f t="shared" si="2"/>
        <v>5.7142857142857141E-2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50</v>
      </c>
      <c r="T12" s="31">
        <v>20</v>
      </c>
      <c r="U12" s="31">
        <v>70</v>
      </c>
      <c r="V12" s="32">
        <v>0</v>
      </c>
      <c r="W12" s="32">
        <v>0</v>
      </c>
      <c r="X12" s="32">
        <v>20</v>
      </c>
      <c r="Y12" s="73">
        <v>0</v>
      </c>
      <c r="Z12" s="33">
        <v>0</v>
      </c>
      <c r="AA12" s="34">
        <v>29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5">
        <f t="shared" si="1"/>
        <v>1.25</v>
      </c>
      <c r="AL12" s="85">
        <f t="shared" si="1"/>
        <v>1</v>
      </c>
      <c r="AM12" s="85">
        <f t="shared" si="1"/>
        <v>0.58333333333333337</v>
      </c>
      <c r="AN12" s="85">
        <f t="shared" si="1"/>
        <v>0</v>
      </c>
      <c r="AO12" s="85">
        <f t="shared" si="1"/>
        <v>0</v>
      </c>
      <c r="AP12" s="85"/>
      <c r="AQ12" s="85"/>
      <c r="AR12" s="85"/>
      <c r="AS12" s="85">
        <f t="shared" si="2"/>
        <v>0.1657142857142857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40</v>
      </c>
      <c r="T13" s="31">
        <v>20</v>
      </c>
      <c r="U13" s="31">
        <v>250</v>
      </c>
      <c r="V13" s="32">
        <v>6</v>
      </c>
      <c r="W13" s="32">
        <v>14</v>
      </c>
      <c r="X13" s="32">
        <v>60</v>
      </c>
      <c r="Y13" s="73">
        <v>40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1</v>
      </c>
      <c r="AL13" s="85">
        <f t="shared" si="1"/>
        <v>1</v>
      </c>
      <c r="AM13" s="85">
        <f t="shared" si="1"/>
        <v>2.0833333333333335</v>
      </c>
      <c r="AN13" s="85">
        <f t="shared" si="1"/>
        <v>0.8571428571428571</v>
      </c>
      <c r="AO13" s="85">
        <f t="shared" si="1"/>
        <v>3.5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42</v>
      </c>
      <c r="T14" s="31">
        <v>34</v>
      </c>
      <c r="U14" s="31">
        <v>40</v>
      </c>
      <c r="V14" s="32">
        <v>2</v>
      </c>
      <c r="W14" s="32">
        <v>3</v>
      </c>
      <c r="X14" s="32">
        <v>0</v>
      </c>
      <c r="Y14" s="73">
        <v>220</v>
      </c>
      <c r="Z14" s="33">
        <v>0</v>
      </c>
      <c r="AA14" s="34">
        <v>31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1.05</v>
      </c>
      <c r="AL14" s="85">
        <f t="shared" si="1"/>
        <v>1.7</v>
      </c>
      <c r="AM14" s="85">
        <f t="shared" si="1"/>
        <v>0.33333333333333331</v>
      </c>
      <c r="AN14" s="85">
        <f t="shared" si="1"/>
        <v>0.2857142857142857</v>
      </c>
      <c r="AO14" s="85">
        <f t="shared" si="1"/>
        <v>0.75</v>
      </c>
      <c r="AP14" s="85"/>
      <c r="AQ14" s="85"/>
      <c r="AR14" s="85"/>
      <c r="AS14" s="85">
        <f t="shared" si="2"/>
        <v>0.17714285714285713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46</v>
      </c>
      <c r="T15" s="31">
        <v>30</v>
      </c>
      <c r="U15" s="31">
        <v>90</v>
      </c>
      <c r="V15" s="32">
        <v>1</v>
      </c>
      <c r="W15" s="32">
        <v>1</v>
      </c>
      <c r="X15" s="32">
        <v>30</v>
      </c>
      <c r="Y15" s="73">
        <v>8</v>
      </c>
      <c r="Z15" s="33">
        <v>0</v>
      </c>
      <c r="AA15" s="34">
        <v>20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1"/>
        <v>1.1499999999999999</v>
      </c>
      <c r="AL15" s="85">
        <f t="shared" si="1"/>
        <v>1.5</v>
      </c>
      <c r="AM15" s="85">
        <f t="shared" si="1"/>
        <v>0.75</v>
      </c>
      <c r="AN15" s="85">
        <f t="shared" si="1"/>
        <v>0.14285714285714285</v>
      </c>
      <c r="AO15" s="85">
        <f t="shared" si="1"/>
        <v>0.25</v>
      </c>
      <c r="AP15" s="85"/>
      <c r="AQ15" s="85"/>
      <c r="AR15" s="85"/>
      <c r="AS15" s="85">
        <f t="shared" si="2"/>
        <v>0.11428571428571428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30</v>
      </c>
      <c r="U16" s="31">
        <v>300</v>
      </c>
      <c r="V16" s="32">
        <v>14</v>
      </c>
      <c r="W16" s="32">
        <v>0</v>
      </c>
      <c r="X16" s="32">
        <v>60</v>
      </c>
      <c r="Y16" s="73">
        <v>10</v>
      </c>
      <c r="Z16" s="33">
        <v>10</v>
      </c>
      <c r="AA16" s="34">
        <v>300</v>
      </c>
      <c r="AB16" s="34">
        <v>60</v>
      </c>
      <c r="AC16" s="34">
        <v>10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5">
        <f t="shared" si="1"/>
        <v>1.25</v>
      </c>
      <c r="AL16" s="85">
        <f t="shared" si="1"/>
        <v>1.5</v>
      </c>
      <c r="AM16" s="85">
        <f t="shared" si="1"/>
        <v>2.5</v>
      </c>
      <c r="AN16" s="85">
        <f t="shared" si="1"/>
        <v>2</v>
      </c>
      <c r="AO16" s="85">
        <f t="shared" si="1"/>
        <v>0</v>
      </c>
      <c r="AP16" s="85"/>
      <c r="AQ16" s="85"/>
      <c r="AR16" s="85"/>
      <c r="AS16" s="85">
        <f t="shared" si="2"/>
        <v>1.7142857142857142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45</v>
      </c>
      <c r="T17" s="31">
        <v>35</v>
      </c>
      <c r="U17" s="31">
        <v>278</v>
      </c>
      <c r="V17" s="32">
        <v>57</v>
      </c>
      <c r="W17" s="32">
        <v>31</v>
      </c>
      <c r="X17" s="32">
        <v>301</v>
      </c>
      <c r="Y17" s="73">
        <v>89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12</v>
      </c>
      <c r="AG17" s="34">
        <v>0</v>
      </c>
      <c r="AH17" s="21"/>
      <c r="AI17" s="22"/>
      <c r="AK17" s="85">
        <f t="shared" si="1"/>
        <v>1.125</v>
      </c>
      <c r="AL17" s="85">
        <f t="shared" si="1"/>
        <v>1.75</v>
      </c>
      <c r="AM17" s="85">
        <f t="shared" si="1"/>
        <v>2.3166666666666669</v>
      </c>
      <c r="AN17" s="85">
        <f t="shared" si="1"/>
        <v>8.1428571428571423</v>
      </c>
      <c r="AO17" s="85">
        <f t="shared" si="1"/>
        <v>7.75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587</v>
      </c>
      <c r="T25" s="61">
        <f t="shared" si="3"/>
        <v>344</v>
      </c>
      <c r="U25" s="61">
        <f t="shared" si="3"/>
        <v>1889</v>
      </c>
      <c r="V25" s="61">
        <f t="shared" si="3"/>
        <v>97</v>
      </c>
      <c r="W25" s="61">
        <f t="shared" si="3"/>
        <v>68</v>
      </c>
      <c r="X25" s="61">
        <f t="shared" si="3"/>
        <v>727</v>
      </c>
      <c r="Y25" s="61">
        <f t="shared" si="3"/>
        <v>448</v>
      </c>
      <c r="Z25" s="61">
        <f t="shared" si="3"/>
        <v>10</v>
      </c>
      <c r="AA25" s="61">
        <f t="shared" si="3"/>
        <v>530</v>
      </c>
      <c r="AB25" s="61">
        <f t="shared" si="3"/>
        <v>68</v>
      </c>
      <c r="AC25" s="61">
        <f t="shared" si="3"/>
        <v>10</v>
      </c>
      <c r="AD25" s="61">
        <f t="shared" si="3"/>
        <v>0</v>
      </c>
      <c r="AE25" s="61">
        <f t="shared" si="3"/>
        <v>0</v>
      </c>
      <c r="AF25" s="61">
        <f t="shared" si="3"/>
        <v>19</v>
      </c>
      <c r="AG25" s="61">
        <f t="shared" si="3"/>
        <v>1</v>
      </c>
      <c r="AH25" s="36">
        <f>SUM(AH5:AH5)</f>
        <v>0</v>
      </c>
      <c r="AI25" s="62">
        <f>SUM(AI5:AI5)</f>
        <v>0</v>
      </c>
      <c r="AK25" s="85">
        <f t="shared" ref="AK25:AO25" si="4">S25/D25</f>
        <v>1.1288461538461538</v>
      </c>
      <c r="AL25" s="85">
        <f t="shared" si="4"/>
        <v>1.323076923076923</v>
      </c>
      <c r="AM25" s="85">
        <f t="shared" si="4"/>
        <v>1.2108974358974358</v>
      </c>
      <c r="AN25" s="85">
        <f t="shared" si="4"/>
        <v>1.0659340659340659</v>
      </c>
      <c r="AO25" s="85">
        <f t="shared" si="4"/>
        <v>1.3076923076923077</v>
      </c>
      <c r="AP25" s="85"/>
      <c r="AQ25" s="85"/>
      <c r="AR25" s="85"/>
      <c r="AS25" s="85">
        <f t="shared" ref="AS25" si="5">AA25/L25</f>
        <v>0.23296703296703297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587</v>
      </c>
      <c r="T27" s="24">
        <f>T25</f>
        <v>344</v>
      </c>
      <c r="U27" s="24">
        <f>U25/120</f>
        <v>15.741666666666667</v>
      </c>
      <c r="V27" s="25">
        <f>V25/6</f>
        <v>16.166666666666668</v>
      </c>
      <c r="W27" s="25">
        <f>W25/10</f>
        <v>6.8</v>
      </c>
      <c r="X27" s="25">
        <f>X25/100</f>
        <v>7.27</v>
      </c>
      <c r="Y27" s="74">
        <f>Y25/20</f>
        <v>22.4</v>
      </c>
      <c r="Z27" s="26">
        <f>Z25/60</f>
        <v>0.16666666666666666</v>
      </c>
      <c r="AA27" s="27">
        <f>AA25/120</f>
        <v>4.416666666666667</v>
      </c>
      <c r="AB27" s="27">
        <f>AB25/100</f>
        <v>0.68</v>
      </c>
      <c r="AC27" s="27">
        <f>AC25/60</f>
        <v>0.16666666666666666</v>
      </c>
      <c r="AD27" s="27">
        <f>AD25</f>
        <v>0</v>
      </c>
      <c r="AE27" s="27">
        <f t="shared" ref="AE27:AG27" si="7">AE25</f>
        <v>0</v>
      </c>
      <c r="AF27" s="27">
        <f t="shared" si="7"/>
        <v>19</v>
      </c>
      <c r="AG27" s="27">
        <f t="shared" si="7"/>
        <v>1</v>
      </c>
      <c r="AH27" s="23"/>
      <c r="AI27" s="28"/>
      <c r="AK27" s="24"/>
      <c r="AL27" s="23"/>
      <c r="AM27" s="24">
        <f>AM25/120</f>
        <v>1.0090811965811965E-2</v>
      </c>
      <c r="AN27" s="25">
        <f>AN25/6</f>
        <v>0.17765567765567766</v>
      </c>
      <c r="AO27" s="25">
        <f>AO25/20</f>
        <v>6.5384615384615388E-2</v>
      </c>
      <c r="AP27" s="25">
        <f>AP25/100</f>
        <v>0</v>
      </c>
      <c r="AQ27" s="74"/>
      <c r="AR27" s="26">
        <f>AR25/20</f>
        <v>0</v>
      </c>
      <c r="AS27" s="27">
        <f>AS25/120</f>
        <v>1.9413919413919414E-3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5875-7217-4417-858F-0040D4157AD5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46112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12.4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33</v>
      </c>
      <c r="T5" s="31">
        <v>20</v>
      </c>
      <c r="U5" s="31">
        <v>90</v>
      </c>
      <c r="V5" s="32">
        <v>0</v>
      </c>
      <c r="W5" s="32">
        <v>5</v>
      </c>
      <c r="X5" s="32">
        <v>50</v>
      </c>
      <c r="Y5" s="73">
        <v>5</v>
      </c>
      <c r="Z5" s="33">
        <v>0</v>
      </c>
      <c r="AA5" s="34">
        <v>10</v>
      </c>
      <c r="AB5" s="34">
        <v>8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0.82499999999999996</v>
      </c>
      <c r="AL5" s="85">
        <f t="shared" si="1"/>
        <v>1</v>
      </c>
      <c r="AM5" s="85">
        <f t="shared" si="1"/>
        <v>0.75</v>
      </c>
      <c r="AN5" s="85">
        <f t="shared" si="1"/>
        <v>0</v>
      </c>
      <c r="AO5" s="85">
        <f t="shared" si="1"/>
        <v>1.25</v>
      </c>
      <c r="AP5" s="85"/>
      <c r="AQ5" s="85"/>
      <c r="AR5" s="85"/>
      <c r="AS5" s="85">
        <f t="shared" ref="AS5:AS17" si="2">AA5/L5</f>
        <v>5.7142857142857141E-2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44</v>
      </c>
      <c r="T6" s="31">
        <v>28</v>
      </c>
      <c r="U6" s="31">
        <v>140</v>
      </c>
      <c r="V6" s="32">
        <v>7</v>
      </c>
      <c r="W6" s="32">
        <v>3</v>
      </c>
      <c r="X6" s="32">
        <v>60</v>
      </c>
      <c r="Y6" s="73">
        <v>17</v>
      </c>
      <c r="Z6" s="33">
        <v>0</v>
      </c>
      <c r="AA6" s="34">
        <v>54</v>
      </c>
      <c r="AB6" s="34">
        <v>0</v>
      </c>
      <c r="AC6" s="34">
        <v>0</v>
      </c>
      <c r="AD6" s="35">
        <v>0</v>
      </c>
      <c r="AE6" s="34">
        <v>0</v>
      </c>
      <c r="AF6" s="34">
        <v>3</v>
      </c>
      <c r="AG6" s="34">
        <v>0</v>
      </c>
      <c r="AH6" s="21"/>
      <c r="AI6" s="22"/>
      <c r="AK6" s="85">
        <f t="shared" si="1"/>
        <v>1.1000000000000001</v>
      </c>
      <c r="AL6" s="85">
        <f t="shared" si="1"/>
        <v>1.4</v>
      </c>
      <c r="AM6" s="85">
        <f t="shared" si="1"/>
        <v>1.1666666666666667</v>
      </c>
      <c r="AN6" s="85">
        <f t="shared" si="1"/>
        <v>1</v>
      </c>
      <c r="AO6" s="85">
        <f t="shared" si="1"/>
        <v>0.75</v>
      </c>
      <c r="AP6" s="85"/>
      <c r="AQ6" s="85"/>
      <c r="AR6" s="85"/>
      <c r="AS6" s="85">
        <f t="shared" si="2"/>
        <v>0.30857142857142855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35</v>
      </c>
      <c r="T7" s="31">
        <v>28</v>
      </c>
      <c r="U7" s="31">
        <v>110</v>
      </c>
      <c r="V7" s="32">
        <v>7</v>
      </c>
      <c r="W7" s="32">
        <v>2</v>
      </c>
      <c r="X7" s="32">
        <v>35</v>
      </c>
      <c r="Y7" s="73">
        <v>8</v>
      </c>
      <c r="Z7" s="33">
        <v>0</v>
      </c>
      <c r="AA7" s="34">
        <v>22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0.875</v>
      </c>
      <c r="AL7" s="85">
        <f t="shared" si="1"/>
        <v>1.4</v>
      </c>
      <c r="AM7" s="85">
        <f t="shared" si="1"/>
        <v>0.91666666666666663</v>
      </c>
      <c r="AN7" s="85">
        <f t="shared" si="1"/>
        <v>1</v>
      </c>
      <c r="AO7" s="85">
        <f t="shared" si="1"/>
        <v>0.5</v>
      </c>
      <c r="AP7" s="85"/>
      <c r="AQ7" s="85"/>
      <c r="AR7" s="85"/>
      <c r="AS7" s="85">
        <f t="shared" si="2"/>
        <v>0.12571428571428572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38</v>
      </c>
      <c r="T8" s="31">
        <v>24</v>
      </c>
      <c r="U8" s="31">
        <v>30</v>
      </c>
      <c r="V8" s="32">
        <v>0</v>
      </c>
      <c r="W8" s="32">
        <v>1</v>
      </c>
      <c r="X8" s="32">
        <v>20</v>
      </c>
      <c r="Y8" s="73">
        <v>11</v>
      </c>
      <c r="Z8" s="33">
        <v>0</v>
      </c>
      <c r="AA8" s="34">
        <v>15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1"/>
        <v>0.95</v>
      </c>
      <c r="AL8" s="85">
        <f t="shared" si="1"/>
        <v>1.2</v>
      </c>
      <c r="AM8" s="85">
        <f t="shared" si="1"/>
        <v>0.25</v>
      </c>
      <c r="AN8" s="85">
        <f t="shared" si="1"/>
        <v>0</v>
      </c>
      <c r="AO8" s="85">
        <f t="shared" si="1"/>
        <v>0.25</v>
      </c>
      <c r="AP8" s="85"/>
      <c r="AQ8" s="85"/>
      <c r="AR8" s="85"/>
      <c r="AS8" s="85">
        <f t="shared" si="2"/>
        <v>8.5714285714285715E-2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32</v>
      </c>
      <c r="T9" s="31">
        <v>22</v>
      </c>
      <c r="U9" s="31">
        <v>273</v>
      </c>
      <c r="V9" s="32">
        <v>7</v>
      </c>
      <c r="W9" s="32">
        <v>7</v>
      </c>
      <c r="X9" s="32">
        <v>50</v>
      </c>
      <c r="Y9" s="73">
        <v>15</v>
      </c>
      <c r="Z9" s="33">
        <v>0</v>
      </c>
      <c r="AA9" s="34">
        <v>33</v>
      </c>
      <c r="AB9" s="34">
        <v>0</v>
      </c>
      <c r="AC9" s="34">
        <v>0</v>
      </c>
      <c r="AD9" s="35">
        <v>0</v>
      </c>
      <c r="AE9" s="34">
        <v>0</v>
      </c>
      <c r="AF9" s="34">
        <v>8</v>
      </c>
      <c r="AG9" s="34">
        <v>0</v>
      </c>
      <c r="AH9" s="21"/>
      <c r="AI9" s="22"/>
      <c r="AK9" s="85">
        <f t="shared" si="1"/>
        <v>0.8</v>
      </c>
      <c r="AL9" s="85">
        <f t="shared" si="1"/>
        <v>1.1000000000000001</v>
      </c>
      <c r="AM9" s="85">
        <f t="shared" si="1"/>
        <v>2.2749999999999999</v>
      </c>
      <c r="AN9" s="85">
        <f t="shared" si="1"/>
        <v>1</v>
      </c>
      <c r="AO9" s="85">
        <f t="shared" si="1"/>
        <v>1.75</v>
      </c>
      <c r="AP9" s="85"/>
      <c r="AQ9" s="85"/>
      <c r="AR9" s="85"/>
      <c r="AS9" s="85">
        <f t="shared" si="2"/>
        <v>0.18857142857142858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27</v>
      </c>
      <c r="T10" s="31">
        <v>18</v>
      </c>
      <c r="U10" s="31">
        <v>80</v>
      </c>
      <c r="V10" s="32">
        <v>2</v>
      </c>
      <c r="W10" s="32">
        <v>5</v>
      </c>
      <c r="X10" s="32">
        <v>20</v>
      </c>
      <c r="Y10" s="73">
        <v>10</v>
      </c>
      <c r="Z10" s="33">
        <v>0</v>
      </c>
      <c r="AA10" s="34">
        <v>20</v>
      </c>
      <c r="AB10" s="34">
        <v>0</v>
      </c>
      <c r="AC10" s="34">
        <v>0</v>
      </c>
      <c r="AD10" s="35">
        <v>1</v>
      </c>
      <c r="AE10" s="34">
        <v>0</v>
      </c>
      <c r="AF10" s="34">
        <v>2</v>
      </c>
      <c r="AG10" s="34">
        <v>0</v>
      </c>
      <c r="AH10" s="21"/>
      <c r="AI10" s="22"/>
      <c r="AK10" s="85">
        <f t="shared" si="1"/>
        <v>0.67500000000000004</v>
      </c>
      <c r="AL10" s="85">
        <f t="shared" si="1"/>
        <v>0.9</v>
      </c>
      <c r="AM10" s="85">
        <f t="shared" si="1"/>
        <v>0.66666666666666663</v>
      </c>
      <c r="AN10" s="85">
        <f t="shared" si="1"/>
        <v>0.2857142857142857</v>
      </c>
      <c r="AO10" s="85">
        <f t="shared" si="1"/>
        <v>1.25</v>
      </c>
      <c r="AP10" s="85"/>
      <c r="AQ10" s="85"/>
      <c r="AR10" s="85"/>
      <c r="AS10" s="85">
        <f t="shared" si="2"/>
        <v>0.11428571428571428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30</v>
      </c>
      <c r="T11" s="31">
        <v>25</v>
      </c>
      <c r="U11" s="31">
        <v>200</v>
      </c>
      <c r="V11" s="32">
        <v>4</v>
      </c>
      <c r="W11" s="32">
        <v>7</v>
      </c>
      <c r="X11" s="32">
        <v>30</v>
      </c>
      <c r="Y11" s="73">
        <v>19</v>
      </c>
      <c r="Z11" s="33">
        <v>0</v>
      </c>
      <c r="AA11" s="34">
        <v>40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0.75</v>
      </c>
      <c r="AL11" s="85">
        <f t="shared" si="1"/>
        <v>1.25</v>
      </c>
      <c r="AM11" s="85">
        <f t="shared" si="1"/>
        <v>1.6666666666666667</v>
      </c>
      <c r="AN11" s="85">
        <f t="shared" si="1"/>
        <v>0.5714285714285714</v>
      </c>
      <c r="AO11" s="85">
        <f t="shared" si="1"/>
        <v>1.75</v>
      </c>
      <c r="AP11" s="85"/>
      <c r="AQ11" s="85"/>
      <c r="AR11" s="85"/>
      <c r="AS11" s="85">
        <f t="shared" si="2"/>
        <v>0.22857142857142856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40</v>
      </c>
      <c r="T12" s="31">
        <v>32</v>
      </c>
      <c r="U12" s="31">
        <v>43</v>
      </c>
      <c r="V12" s="32">
        <v>0</v>
      </c>
      <c r="W12" s="32">
        <v>0</v>
      </c>
      <c r="X12" s="32">
        <v>0</v>
      </c>
      <c r="Y12" s="73">
        <v>170</v>
      </c>
      <c r="Z12" s="33">
        <v>0</v>
      </c>
      <c r="AA12" s="34">
        <v>20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5">
        <f t="shared" si="1"/>
        <v>1</v>
      </c>
      <c r="AL12" s="85">
        <f t="shared" si="1"/>
        <v>1.6</v>
      </c>
      <c r="AM12" s="85">
        <f t="shared" si="1"/>
        <v>0.35833333333333334</v>
      </c>
      <c r="AN12" s="85">
        <f t="shared" si="1"/>
        <v>0</v>
      </c>
      <c r="AO12" s="85">
        <f t="shared" si="1"/>
        <v>0</v>
      </c>
      <c r="AP12" s="85"/>
      <c r="AQ12" s="85"/>
      <c r="AR12" s="85"/>
      <c r="AS12" s="85">
        <f t="shared" si="2"/>
        <v>0.11428571428571428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40</v>
      </c>
      <c r="T13" s="31">
        <v>20</v>
      </c>
      <c r="U13" s="31">
        <v>158</v>
      </c>
      <c r="V13" s="32">
        <v>7</v>
      </c>
      <c r="W13" s="32">
        <v>9</v>
      </c>
      <c r="X13" s="32">
        <v>60</v>
      </c>
      <c r="Y13" s="73">
        <v>17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1</v>
      </c>
      <c r="AL13" s="85">
        <f t="shared" si="1"/>
        <v>1</v>
      </c>
      <c r="AM13" s="85">
        <f t="shared" si="1"/>
        <v>1.3166666666666667</v>
      </c>
      <c r="AN13" s="85">
        <f t="shared" si="1"/>
        <v>1</v>
      </c>
      <c r="AO13" s="85">
        <f t="shared" si="1"/>
        <v>2.25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30</v>
      </c>
      <c r="T14" s="31">
        <v>28</v>
      </c>
      <c r="U14" s="31">
        <v>89</v>
      </c>
      <c r="V14" s="32">
        <v>5</v>
      </c>
      <c r="W14" s="32">
        <v>1</v>
      </c>
      <c r="X14" s="32">
        <v>79</v>
      </c>
      <c r="Y14" s="73">
        <v>6</v>
      </c>
      <c r="Z14" s="33">
        <v>0</v>
      </c>
      <c r="AA14" s="34">
        <v>0</v>
      </c>
      <c r="AB14" s="34">
        <v>0</v>
      </c>
      <c r="AC14" s="34">
        <v>0</v>
      </c>
      <c r="AD14" s="35">
        <v>0</v>
      </c>
      <c r="AE14" s="34">
        <v>0</v>
      </c>
      <c r="AF14" s="34">
        <v>0</v>
      </c>
      <c r="AG14" s="34">
        <v>0</v>
      </c>
      <c r="AH14" s="21"/>
      <c r="AI14" s="22"/>
      <c r="AK14" s="85">
        <f t="shared" si="1"/>
        <v>0.75</v>
      </c>
      <c r="AL14" s="85">
        <f t="shared" si="1"/>
        <v>1.4</v>
      </c>
      <c r="AM14" s="85">
        <f t="shared" si="1"/>
        <v>0.7416666666666667</v>
      </c>
      <c r="AN14" s="85">
        <f t="shared" si="1"/>
        <v>0.7142857142857143</v>
      </c>
      <c r="AO14" s="85">
        <f t="shared" si="1"/>
        <v>0.25</v>
      </c>
      <c r="AP14" s="85"/>
      <c r="AQ14" s="85"/>
      <c r="AR14" s="85"/>
      <c r="AS14" s="85">
        <f t="shared" si="2"/>
        <v>0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34</v>
      </c>
      <c r="T15" s="31">
        <v>20</v>
      </c>
      <c r="U15" s="31">
        <v>100</v>
      </c>
      <c r="V15" s="32">
        <v>0</v>
      </c>
      <c r="W15" s="32">
        <v>2</v>
      </c>
      <c r="X15" s="32">
        <v>30</v>
      </c>
      <c r="Y15" s="73">
        <v>6</v>
      </c>
      <c r="Z15" s="33">
        <v>0</v>
      </c>
      <c r="AA15" s="34">
        <v>22</v>
      </c>
      <c r="AB15" s="34">
        <v>0</v>
      </c>
      <c r="AC15" s="34">
        <v>0</v>
      </c>
      <c r="AD15" s="35">
        <v>0</v>
      </c>
      <c r="AE15" s="34">
        <v>0</v>
      </c>
      <c r="AF15" s="34">
        <v>0</v>
      </c>
      <c r="AG15" s="34">
        <v>0</v>
      </c>
      <c r="AH15" s="21"/>
      <c r="AI15" s="22"/>
      <c r="AK15" s="85">
        <f t="shared" si="1"/>
        <v>0.85</v>
      </c>
      <c r="AL15" s="85">
        <f t="shared" si="1"/>
        <v>1</v>
      </c>
      <c r="AM15" s="85">
        <f t="shared" si="1"/>
        <v>0.83333333333333337</v>
      </c>
      <c r="AN15" s="85">
        <f t="shared" si="1"/>
        <v>0</v>
      </c>
      <c r="AO15" s="85">
        <f t="shared" si="1"/>
        <v>0.5</v>
      </c>
      <c r="AP15" s="85"/>
      <c r="AQ15" s="85"/>
      <c r="AR15" s="85"/>
      <c r="AS15" s="85">
        <f t="shared" si="2"/>
        <v>0.12571428571428572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50</v>
      </c>
      <c r="T16" s="31">
        <v>40</v>
      </c>
      <c r="U16" s="31">
        <v>548</v>
      </c>
      <c r="V16" s="32">
        <v>6</v>
      </c>
      <c r="W16" s="32">
        <v>0</v>
      </c>
      <c r="X16" s="32">
        <v>68</v>
      </c>
      <c r="Y16" s="73">
        <v>20</v>
      </c>
      <c r="Z16" s="33">
        <v>7</v>
      </c>
      <c r="AA16" s="34">
        <v>120</v>
      </c>
      <c r="AB16" s="34">
        <v>68</v>
      </c>
      <c r="AC16" s="34">
        <v>7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5">
        <f t="shared" si="1"/>
        <v>1.25</v>
      </c>
      <c r="AL16" s="85">
        <f t="shared" si="1"/>
        <v>2</v>
      </c>
      <c r="AM16" s="85">
        <f t="shared" si="1"/>
        <v>4.5666666666666664</v>
      </c>
      <c r="AN16" s="85">
        <f t="shared" si="1"/>
        <v>0.8571428571428571</v>
      </c>
      <c r="AO16" s="85">
        <f t="shared" si="1"/>
        <v>0</v>
      </c>
      <c r="AP16" s="85"/>
      <c r="AQ16" s="85"/>
      <c r="AR16" s="85"/>
      <c r="AS16" s="85">
        <f t="shared" si="2"/>
        <v>0.68571428571428572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50</v>
      </c>
      <c r="T17" s="31">
        <v>40</v>
      </c>
      <c r="U17" s="31">
        <v>398</v>
      </c>
      <c r="V17" s="32">
        <v>48</v>
      </c>
      <c r="W17" s="32">
        <v>5</v>
      </c>
      <c r="X17" s="32">
        <v>320</v>
      </c>
      <c r="Y17" s="73">
        <v>68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10</v>
      </c>
      <c r="AG17" s="34">
        <v>0</v>
      </c>
      <c r="AH17" s="21"/>
      <c r="AI17" s="22"/>
      <c r="AK17" s="85">
        <f t="shared" si="1"/>
        <v>1.25</v>
      </c>
      <c r="AL17" s="85">
        <f t="shared" si="1"/>
        <v>2</v>
      </c>
      <c r="AM17" s="85">
        <f t="shared" si="1"/>
        <v>3.3166666666666669</v>
      </c>
      <c r="AN17" s="85">
        <f t="shared" si="1"/>
        <v>6.8571428571428568</v>
      </c>
      <c r="AO17" s="85">
        <f t="shared" si="1"/>
        <v>1.25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483</v>
      </c>
      <c r="T25" s="61">
        <f t="shared" si="3"/>
        <v>345</v>
      </c>
      <c r="U25" s="61">
        <f t="shared" si="3"/>
        <v>2259</v>
      </c>
      <c r="V25" s="61">
        <f t="shared" si="3"/>
        <v>93</v>
      </c>
      <c r="W25" s="61">
        <f t="shared" si="3"/>
        <v>47</v>
      </c>
      <c r="X25" s="61">
        <f t="shared" si="3"/>
        <v>822</v>
      </c>
      <c r="Y25" s="61">
        <f t="shared" si="3"/>
        <v>372</v>
      </c>
      <c r="Z25" s="61">
        <f t="shared" si="3"/>
        <v>7</v>
      </c>
      <c r="AA25" s="61">
        <f t="shared" si="3"/>
        <v>356</v>
      </c>
      <c r="AB25" s="61">
        <f t="shared" si="3"/>
        <v>76</v>
      </c>
      <c r="AC25" s="61">
        <f t="shared" si="3"/>
        <v>7</v>
      </c>
      <c r="AD25" s="61">
        <f t="shared" si="3"/>
        <v>1</v>
      </c>
      <c r="AE25" s="61">
        <f t="shared" si="3"/>
        <v>0</v>
      </c>
      <c r="AF25" s="61">
        <f t="shared" si="3"/>
        <v>23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0.92884615384615388</v>
      </c>
      <c r="AL25" s="85">
        <f t="shared" si="4"/>
        <v>1.3269230769230769</v>
      </c>
      <c r="AM25" s="85">
        <f t="shared" si="4"/>
        <v>1.448076923076923</v>
      </c>
      <c r="AN25" s="85">
        <f t="shared" si="4"/>
        <v>1.0219780219780219</v>
      </c>
      <c r="AO25" s="85">
        <f t="shared" si="4"/>
        <v>0.90384615384615385</v>
      </c>
      <c r="AP25" s="85"/>
      <c r="AQ25" s="85"/>
      <c r="AR25" s="85"/>
      <c r="AS25" s="85">
        <f t="shared" ref="AS25" si="5">AA25/L25</f>
        <v>0.15648351648351649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483</v>
      </c>
      <c r="T27" s="24">
        <f>T25</f>
        <v>345</v>
      </c>
      <c r="U27" s="24">
        <f>U25/120</f>
        <v>18.824999999999999</v>
      </c>
      <c r="V27" s="25">
        <f>V25/6</f>
        <v>15.5</v>
      </c>
      <c r="W27" s="25">
        <f>W25/10</f>
        <v>4.7</v>
      </c>
      <c r="X27" s="25">
        <f>X25/100</f>
        <v>8.2200000000000006</v>
      </c>
      <c r="Y27" s="74">
        <f>Y25/20</f>
        <v>18.600000000000001</v>
      </c>
      <c r="Z27" s="26">
        <f>Z25/60</f>
        <v>0.11666666666666667</v>
      </c>
      <c r="AA27" s="27">
        <f>AA25/120</f>
        <v>2.9666666666666668</v>
      </c>
      <c r="AB27" s="27">
        <f>AB25/100</f>
        <v>0.76</v>
      </c>
      <c r="AC27" s="27">
        <f>AC25/60</f>
        <v>0.11666666666666667</v>
      </c>
      <c r="AD27" s="27">
        <f>AD25</f>
        <v>1</v>
      </c>
      <c r="AE27" s="27">
        <f t="shared" ref="AE27:AG27" si="7">AE25</f>
        <v>0</v>
      </c>
      <c r="AF27" s="27">
        <f t="shared" si="7"/>
        <v>23</v>
      </c>
      <c r="AG27" s="27">
        <f t="shared" si="7"/>
        <v>0</v>
      </c>
      <c r="AH27" s="23"/>
      <c r="AI27" s="28"/>
      <c r="AK27" s="24"/>
      <c r="AL27" s="23"/>
      <c r="AM27" s="24">
        <f>AM25/120</f>
        <v>1.2067307692307691E-2</v>
      </c>
      <c r="AN27" s="25">
        <f>AN25/6</f>
        <v>0.17032967032967031</v>
      </c>
      <c r="AO27" s="25">
        <f>AO25/20</f>
        <v>4.5192307692307691E-2</v>
      </c>
      <c r="AP27" s="25">
        <f>AP25/100</f>
        <v>0</v>
      </c>
      <c r="AQ27" s="74"/>
      <c r="AR27" s="26">
        <f>AR25/20</f>
        <v>0</v>
      </c>
      <c r="AS27" s="27">
        <f>AS25/120</f>
        <v>1.3040293040293041E-3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C774-C058-49E9-A645-1D90626A1893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46113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05.2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50</v>
      </c>
      <c r="T5" s="31">
        <v>30</v>
      </c>
      <c r="U5" s="31">
        <v>60</v>
      </c>
      <c r="V5" s="32">
        <v>2</v>
      </c>
      <c r="W5" s="32">
        <v>4</v>
      </c>
      <c r="X5" s="32">
        <v>15</v>
      </c>
      <c r="Y5" s="73">
        <v>6</v>
      </c>
      <c r="Z5" s="33">
        <v>0</v>
      </c>
      <c r="AA5" s="34">
        <v>8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1.25</v>
      </c>
      <c r="AL5" s="85">
        <f t="shared" si="1"/>
        <v>1.5</v>
      </c>
      <c r="AM5" s="85">
        <f t="shared" si="1"/>
        <v>0.5</v>
      </c>
      <c r="AN5" s="85">
        <f t="shared" si="1"/>
        <v>0.2857142857142857</v>
      </c>
      <c r="AO5" s="85">
        <f t="shared" si="1"/>
        <v>1</v>
      </c>
      <c r="AP5" s="85"/>
      <c r="AQ5" s="85"/>
      <c r="AR5" s="85"/>
      <c r="AS5" s="85">
        <f t="shared" ref="AS5:AS17" si="2">AA5/L5</f>
        <v>4.5714285714285714E-2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22</v>
      </c>
      <c r="T6" s="31">
        <v>18</v>
      </c>
      <c r="U6" s="31">
        <v>165</v>
      </c>
      <c r="V6" s="32">
        <v>2</v>
      </c>
      <c r="W6" s="32">
        <v>5</v>
      </c>
      <c r="X6" s="32">
        <v>110</v>
      </c>
      <c r="Y6" s="73">
        <v>2</v>
      </c>
      <c r="Z6" s="33">
        <v>0</v>
      </c>
      <c r="AA6" s="34">
        <v>60</v>
      </c>
      <c r="AB6" s="34">
        <v>0</v>
      </c>
      <c r="AC6" s="34">
        <v>0</v>
      </c>
      <c r="AD6" s="35">
        <v>0</v>
      </c>
      <c r="AE6" s="34">
        <v>0</v>
      </c>
      <c r="AF6" s="34">
        <v>2</v>
      </c>
      <c r="AG6" s="34">
        <v>0</v>
      </c>
      <c r="AH6" s="21" t="s">
        <v>104</v>
      </c>
      <c r="AI6" s="22"/>
      <c r="AK6" s="85">
        <f t="shared" si="1"/>
        <v>0.55000000000000004</v>
      </c>
      <c r="AL6" s="85">
        <f t="shared" si="1"/>
        <v>0.9</v>
      </c>
      <c r="AM6" s="85">
        <f t="shared" si="1"/>
        <v>1.375</v>
      </c>
      <c r="AN6" s="85">
        <f t="shared" si="1"/>
        <v>0.2857142857142857</v>
      </c>
      <c r="AO6" s="85">
        <f t="shared" si="1"/>
        <v>1.25</v>
      </c>
      <c r="AP6" s="85"/>
      <c r="AQ6" s="85"/>
      <c r="AR6" s="85"/>
      <c r="AS6" s="85">
        <f t="shared" si="2"/>
        <v>0.34285714285714286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36</v>
      </c>
      <c r="T7" s="31">
        <v>20</v>
      </c>
      <c r="U7" s="31">
        <v>200</v>
      </c>
      <c r="V7" s="32">
        <v>6</v>
      </c>
      <c r="W7" s="32">
        <v>6</v>
      </c>
      <c r="X7" s="32">
        <v>30</v>
      </c>
      <c r="Y7" s="73">
        <v>12</v>
      </c>
      <c r="Z7" s="33">
        <v>0</v>
      </c>
      <c r="AA7" s="34">
        <v>40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0.9</v>
      </c>
      <c r="AL7" s="85">
        <f t="shared" si="1"/>
        <v>1</v>
      </c>
      <c r="AM7" s="85">
        <f t="shared" si="1"/>
        <v>1.6666666666666667</v>
      </c>
      <c r="AN7" s="85">
        <f t="shared" si="1"/>
        <v>0.8571428571428571</v>
      </c>
      <c r="AO7" s="85">
        <f t="shared" si="1"/>
        <v>1.5</v>
      </c>
      <c r="AP7" s="85"/>
      <c r="AQ7" s="85"/>
      <c r="AR7" s="85"/>
      <c r="AS7" s="85">
        <f t="shared" si="2"/>
        <v>0.22857142857142856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55</v>
      </c>
      <c r="T8" s="31">
        <v>34</v>
      </c>
      <c r="U8" s="31">
        <v>50</v>
      </c>
      <c r="V8" s="32">
        <v>0</v>
      </c>
      <c r="W8" s="32">
        <v>2</v>
      </c>
      <c r="X8" s="32">
        <v>10</v>
      </c>
      <c r="Y8" s="73">
        <v>2</v>
      </c>
      <c r="Z8" s="33">
        <v>0</v>
      </c>
      <c r="AA8" s="34">
        <v>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 t="s">
        <v>103</v>
      </c>
      <c r="AI8" s="22"/>
      <c r="AK8" s="85">
        <f t="shared" si="1"/>
        <v>1.375</v>
      </c>
      <c r="AL8" s="85">
        <f t="shared" si="1"/>
        <v>1.7</v>
      </c>
      <c r="AM8" s="85">
        <f t="shared" si="1"/>
        <v>0.41666666666666669</v>
      </c>
      <c r="AN8" s="85">
        <f t="shared" si="1"/>
        <v>0</v>
      </c>
      <c r="AO8" s="85">
        <f t="shared" si="1"/>
        <v>0.5</v>
      </c>
      <c r="AP8" s="85"/>
      <c r="AQ8" s="85"/>
      <c r="AR8" s="85"/>
      <c r="AS8" s="85">
        <f t="shared" si="2"/>
        <v>0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22</v>
      </c>
      <c r="T9" s="31">
        <v>17</v>
      </c>
      <c r="U9" s="31">
        <v>121</v>
      </c>
      <c r="V9" s="32">
        <v>2</v>
      </c>
      <c r="W9" s="32">
        <v>3</v>
      </c>
      <c r="X9" s="32">
        <v>80</v>
      </c>
      <c r="Y9" s="73">
        <v>8</v>
      </c>
      <c r="Z9" s="33">
        <v>0</v>
      </c>
      <c r="AA9" s="34">
        <v>35</v>
      </c>
      <c r="AB9" s="34">
        <v>0</v>
      </c>
      <c r="AC9" s="34">
        <v>0</v>
      </c>
      <c r="AD9" s="35">
        <v>0</v>
      </c>
      <c r="AE9" s="34">
        <v>0</v>
      </c>
      <c r="AF9" s="34">
        <v>6</v>
      </c>
      <c r="AG9" s="34">
        <v>0</v>
      </c>
      <c r="AH9" s="21"/>
      <c r="AI9" s="22"/>
      <c r="AK9" s="85">
        <f t="shared" si="1"/>
        <v>0.55000000000000004</v>
      </c>
      <c r="AL9" s="85">
        <f t="shared" si="1"/>
        <v>0.85</v>
      </c>
      <c r="AM9" s="85">
        <f t="shared" si="1"/>
        <v>1.0083333333333333</v>
      </c>
      <c r="AN9" s="85">
        <f t="shared" si="1"/>
        <v>0.2857142857142857</v>
      </c>
      <c r="AO9" s="85">
        <f t="shared" si="1"/>
        <v>0.75</v>
      </c>
      <c r="AP9" s="85"/>
      <c r="AQ9" s="85"/>
      <c r="AR9" s="85"/>
      <c r="AS9" s="85">
        <f t="shared" si="2"/>
        <v>0.2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50</v>
      </c>
      <c r="T10" s="31">
        <v>31</v>
      </c>
      <c r="U10" s="31">
        <v>150</v>
      </c>
      <c r="V10" s="32">
        <v>3</v>
      </c>
      <c r="W10" s="32">
        <v>3</v>
      </c>
      <c r="X10" s="32">
        <v>35</v>
      </c>
      <c r="Y10" s="73">
        <v>16</v>
      </c>
      <c r="Z10" s="33">
        <v>0</v>
      </c>
      <c r="AA10" s="34">
        <v>37</v>
      </c>
      <c r="AB10" s="34">
        <v>0</v>
      </c>
      <c r="AC10" s="34">
        <v>0</v>
      </c>
      <c r="AD10" s="35">
        <v>3</v>
      </c>
      <c r="AE10" s="34">
        <v>2</v>
      </c>
      <c r="AF10" s="34">
        <v>1</v>
      </c>
      <c r="AG10" s="34">
        <v>0</v>
      </c>
      <c r="AH10" s="21"/>
      <c r="AI10" s="22"/>
      <c r="AK10" s="85">
        <f t="shared" si="1"/>
        <v>1.25</v>
      </c>
      <c r="AL10" s="85">
        <f t="shared" si="1"/>
        <v>1.55</v>
      </c>
      <c r="AM10" s="85">
        <f t="shared" si="1"/>
        <v>1.25</v>
      </c>
      <c r="AN10" s="85">
        <f t="shared" si="1"/>
        <v>0.42857142857142855</v>
      </c>
      <c r="AO10" s="85">
        <f t="shared" si="1"/>
        <v>0.75</v>
      </c>
      <c r="AP10" s="85"/>
      <c r="AQ10" s="85"/>
      <c r="AR10" s="85"/>
      <c r="AS10" s="85">
        <f t="shared" si="2"/>
        <v>0.21142857142857144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35</v>
      </c>
      <c r="T11" s="31">
        <v>24</v>
      </c>
      <c r="U11" s="31">
        <v>180</v>
      </c>
      <c r="V11" s="32">
        <v>8</v>
      </c>
      <c r="W11" s="32">
        <v>10</v>
      </c>
      <c r="X11" s="32">
        <v>70</v>
      </c>
      <c r="Y11" s="73">
        <v>20</v>
      </c>
      <c r="Z11" s="33">
        <v>0</v>
      </c>
      <c r="AA11" s="34">
        <v>35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0.875</v>
      </c>
      <c r="AL11" s="85">
        <f t="shared" si="1"/>
        <v>1.2</v>
      </c>
      <c r="AM11" s="85">
        <f t="shared" si="1"/>
        <v>1.5</v>
      </c>
      <c r="AN11" s="85">
        <f t="shared" si="1"/>
        <v>1.1428571428571428</v>
      </c>
      <c r="AO11" s="85">
        <f t="shared" si="1"/>
        <v>2.5</v>
      </c>
      <c r="AP11" s="85"/>
      <c r="AQ11" s="85"/>
      <c r="AR11" s="85"/>
      <c r="AS11" s="85">
        <f t="shared" si="2"/>
        <v>0.2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50</v>
      </c>
      <c r="T12" s="31">
        <v>30</v>
      </c>
      <c r="U12" s="31">
        <v>40</v>
      </c>
      <c r="V12" s="32">
        <v>2</v>
      </c>
      <c r="W12" s="32">
        <v>3</v>
      </c>
      <c r="X12" s="32">
        <v>220</v>
      </c>
      <c r="Y12" s="73">
        <v>0</v>
      </c>
      <c r="Z12" s="33">
        <v>0</v>
      </c>
      <c r="AA12" s="34">
        <v>31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5">
        <f t="shared" si="1"/>
        <v>1.25</v>
      </c>
      <c r="AL12" s="85">
        <f t="shared" si="1"/>
        <v>1.5</v>
      </c>
      <c r="AM12" s="85">
        <f t="shared" si="1"/>
        <v>0.33333333333333331</v>
      </c>
      <c r="AN12" s="85">
        <f t="shared" si="1"/>
        <v>0.2857142857142857</v>
      </c>
      <c r="AO12" s="85">
        <f t="shared" si="1"/>
        <v>0.75</v>
      </c>
      <c r="AP12" s="85"/>
      <c r="AQ12" s="85"/>
      <c r="AR12" s="85"/>
      <c r="AS12" s="85">
        <f t="shared" si="2"/>
        <v>0.17714285714285713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30</v>
      </c>
      <c r="T13" s="31">
        <v>10</v>
      </c>
      <c r="U13" s="31">
        <v>188</v>
      </c>
      <c r="V13" s="32">
        <v>14</v>
      </c>
      <c r="W13" s="32">
        <v>10</v>
      </c>
      <c r="X13" s="32">
        <v>69</v>
      </c>
      <c r="Y13" s="73">
        <v>70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0.75</v>
      </c>
      <c r="AL13" s="85">
        <f t="shared" si="1"/>
        <v>0.5</v>
      </c>
      <c r="AM13" s="85">
        <f t="shared" si="1"/>
        <v>1.5666666666666667</v>
      </c>
      <c r="AN13" s="85">
        <f t="shared" si="1"/>
        <v>2</v>
      </c>
      <c r="AO13" s="85">
        <f t="shared" si="1"/>
        <v>2.5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60</v>
      </c>
      <c r="T14" s="31">
        <v>30</v>
      </c>
      <c r="U14" s="31">
        <v>100</v>
      </c>
      <c r="V14" s="32">
        <v>3</v>
      </c>
      <c r="W14" s="32">
        <v>1</v>
      </c>
      <c r="X14" s="32">
        <v>60</v>
      </c>
      <c r="Y14" s="73">
        <v>5</v>
      </c>
      <c r="Z14" s="33">
        <v>0</v>
      </c>
      <c r="AA14" s="34">
        <v>22</v>
      </c>
      <c r="AB14" s="34">
        <v>19</v>
      </c>
      <c r="AC14" s="34">
        <v>0</v>
      </c>
      <c r="AD14" s="35">
        <v>0</v>
      </c>
      <c r="AE14" s="34">
        <v>0</v>
      </c>
      <c r="AF14" s="34">
        <v>1</v>
      </c>
      <c r="AG14" s="34">
        <v>0</v>
      </c>
      <c r="AH14" s="21"/>
      <c r="AI14" s="22"/>
      <c r="AK14" s="85">
        <f t="shared" si="1"/>
        <v>1.5</v>
      </c>
      <c r="AL14" s="85">
        <f t="shared" si="1"/>
        <v>1.5</v>
      </c>
      <c r="AM14" s="85">
        <f t="shared" si="1"/>
        <v>0.83333333333333337</v>
      </c>
      <c r="AN14" s="85">
        <f t="shared" si="1"/>
        <v>0.42857142857142855</v>
      </c>
      <c r="AO14" s="85">
        <f t="shared" si="1"/>
        <v>0.25</v>
      </c>
      <c r="AP14" s="85"/>
      <c r="AQ14" s="85"/>
      <c r="AR14" s="85"/>
      <c r="AS14" s="85">
        <f t="shared" si="2"/>
        <v>0.12571428571428572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44</v>
      </c>
      <c r="T15" s="31">
        <v>31</v>
      </c>
      <c r="U15" s="31">
        <v>175</v>
      </c>
      <c r="V15" s="32">
        <v>0</v>
      </c>
      <c r="W15" s="32">
        <v>1</v>
      </c>
      <c r="X15" s="32">
        <v>30</v>
      </c>
      <c r="Y15" s="73">
        <v>10</v>
      </c>
      <c r="Z15" s="33">
        <v>0</v>
      </c>
      <c r="AA15" s="34">
        <v>30</v>
      </c>
      <c r="AB15" s="34">
        <v>0</v>
      </c>
      <c r="AC15" s="34">
        <v>0</v>
      </c>
      <c r="AD15" s="35">
        <v>0</v>
      </c>
      <c r="AE15" s="34">
        <v>0</v>
      </c>
      <c r="AF15" s="34">
        <v>1</v>
      </c>
      <c r="AG15" s="34">
        <v>0</v>
      </c>
      <c r="AH15" s="21"/>
      <c r="AI15" s="22"/>
      <c r="AK15" s="85">
        <f t="shared" si="1"/>
        <v>1.1000000000000001</v>
      </c>
      <c r="AL15" s="85">
        <f t="shared" si="1"/>
        <v>1.55</v>
      </c>
      <c r="AM15" s="85">
        <f t="shared" si="1"/>
        <v>1.4583333333333333</v>
      </c>
      <c r="AN15" s="85">
        <f t="shared" si="1"/>
        <v>0</v>
      </c>
      <c r="AO15" s="85">
        <f t="shared" si="1"/>
        <v>0.25</v>
      </c>
      <c r="AP15" s="85"/>
      <c r="AQ15" s="85"/>
      <c r="AR15" s="85"/>
      <c r="AS15" s="85">
        <f t="shared" si="2"/>
        <v>0.17142857142857143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37</v>
      </c>
      <c r="T16" s="31">
        <v>29</v>
      </c>
      <c r="U16" s="31">
        <v>310</v>
      </c>
      <c r="V16" s="32">
        <v>20</v>
      </c>
      <c r="W16" s="32">
        <v>0</v>
      </c>
      <c r="X16" s="32">
        <v>232</v>
      </c>
      <c r="Y16" s="73">
        <v>0</v>
      </c>
      <c r="Z16" s="33">
        <v>7</v>
      </c>
      <c r="AA16" s="34">
        <v>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/>
      <c r="AK16" s="85">
        <f t="shared" si="1"/>
        <v>0.92500000000000004</v>
      </c>
      <c r="AL16" s="85">
        <f t="shared" si="1"/>
        <v>1.45</v>
      </c>
      <c r="AM16" s="85">
        <f t="shared" si="1"/>
        <v>2.5833333333333335</v>
      </c>
      <c r="AN16" s="85">
        <f t="shared" si="1"/>
        <v>2.8571428571428572</v>
      </c>
      <c r="AO16" s="85">
        <f t="shared" si="1"/>
        <v>0</v>
      </c>
      <c r="AP16" s="85"/>
      <c r="AQ16" s="85"/>
      <c r="AR16" s="85"/>
      <c r="AS16" s="85">
        <f t="shared" si="2"/>
        <v>0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55</v>
      </c>
      <c r="T17" s="31">
        <v>40</v>
      </c>
      <c r="U17" s="31">
        <v>368</v>
      </c>
      <c r="V17" s="32">
        <v>18</v>
      </c>
      <c r="W17" s="32">
        <v>25</v>
      </c>
      <c r="X17" s="32">
        <v>204</v>
      </c>
      <c r="Y17" s="73">
        <v>81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18</v>
      </c>
      <c r="AG17" s="34">
        <v>0</v>
      </c>
      <c r="AH17" s="21"/>
      <c r="AI17" s="22"/>
      <c r="AK17" s="85">
        <f t="shared" si="1"/>
        <v>1.375</v>
      </c>
      <c r="AL17" s="85">
        <f t="shared" si="1"/>
        <v>2</v>
      </c>
      <c r="AM17" s="85">
        <f t="shared" si="1"/>
        <v>3.0666666666666669</v>
      </c>
      <c r="AN17" s="85">
        <f t="shared" si="1"/>
        <v>2.5714285714285716</v>
      </c>
      <c r="AO17" s="85">
        <f t="shared" si="1"/>
        <v>6.25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546</v>
      </c>
      <c r="T25" s="61">
        <f t="shared" si="3"/>
        <v>344</v>
      </c>
      <c r="U25" s="61">
        <f t="shared" si="3"/>
        <v>2107</v>
      </c>
      <c r="V25" s="61">
        <f t="shared" si="3"/>
        <v>80</v>
      </c>
      <c r="W25" s="61">
        <f t="shared" si="3"/>
        <v>73</v>
      </c>
      <c r="X25" s="61">
        <f t="shared" si="3"/>
        <v>1165</v>
      </c>
      <c r="Y25" s="61">
        <f t="shared" si="3"/>
        <v>232</v>
      </c>
      <c r="Z25" s="61">
        <f t="shared" si="3"/>
        <v>7</v>
      </c>
      <c r="AA25" s="61">
        <f t="shared" si="3"/>
        <v>298</v>
      </c>
      <c r="AB25" s="61">
        <f t="shared" si="3"/>
        <v>19</v>
      </c>
      <c r="AC25" s="61">
        <f t="shared" si="3"/>
        <v>0</v>
      </c>
      <c r="AD25" s="61">
        <f t="shared" si="3"/>
        <v>3</v>
      </c>
      <c r="AE25" s="61">
        <f t="shared" si="3"/>
        <v>2</v>
      </c>
      <c r="AF25" s="61">
        <f t="shared" si="3"/>
        <v>29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1.05</v>
      </c>
      <c r="AL25" s="85">
        <f t="shared" si="4"/>
        <v>1.323076923076923</v>
      </c>
      <c r="AM25" s="85">
        <f t="shared" si="4"/>
        <v>1.3506410256410257</v>
      </c>
      <c r="AN25" s="85">
        <f t="shared" si="4"/>
        <v>0.87912087912087911</v>
      </c>
      <c r="AO25" s="85">
        <f t="shared" si="4"/>
        <v>1.4038461538461537</v>
      </c>
      <c r="AP25" s="85"/>
      <c r="AQ25" s="85"/>
      <c r="AR25" s="85"/>
      <c r="AS25" s="85">
        <f t="shared" ref="AS25" si="5">AA25/L25</f>
        <v>0.130989010989011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546</v>
      </c>
      <c r="T27" s="24">
        <f>T25</f>
        <v>344</v>
      </c>
      <c r="U27" s="24">
        <f>U25/120</f>
        <v>17.558333333333334</v>
      </c>
      <c r="V27" s="25">
        <f>V25/6</f>
        <v>13.333333333333334</v>
      </c>
      <c r="W27" s="25">
        <f>W25/10</f>
        <v>7.3</v>
      </c>
      <c r="X27" s="25">
        <f>X25/100</f>
        <v>11.65</v>
      </c>
      <c r="Y27" s="74">
        <f>Y25/20</f>
        <v>11.6</v>
      </c>
      <c r="Z27" s="26">
        <f>Z25/60</f>
        <v>0.11666666666666667</v>
      </c>
      <c r="AA27" s="27">
        <f>AA25/120</f>
        <v>2.4833333333333334</v>
      </c>
      <c r="AB27" s="27">
        <f>AB25/100</f>
        <v>0.19</v>
      </c>
      <c r="AC27" s="27">
        <f>AC25/60</f>
        <v>0</v>
      </c>
      <c r="AD27" s="27">
        <f>AD25</f>
        <v>3</v>
      </c>
      <c r="AE27" s="27">
        <f t="shared" ref="AE27:AG27" si="7">AE25</f>
        <v>2</v>
      </c>
      <c r="AF27" s="27">
        <f t="shared" si="7"/>
        <v>29</v>
      </c>
      <c r="AG27" s="27">
        <f t="shared" si="7"/>
        <v>0</v>
      </c>
      <c r="AH27" s="23"/>
      <c r="AI27" s="28"/>
      <c r="AK27" s="24"/>
      <c r="AL27" s="23"/>
      <c r="AM27" s="24">
        <f>AM25/120</f>
        <v>1.1255341880341881E-2</v>
      </c>
      <c r="AN27" s="25">
        <f>AN25/6</f>
        <v>0.14652014652014653</v>
      </c>
      <c r="AO27" s="25">
        <f>AO25/20</f>
        <v>7.0192307692307693E-2</v>
      </c>
      <c r="AP27" s="25">
        <f>AP25/100</f>
        <v>0</v>
      </c>
      <c r="AQ27" s="74"/>
      <c r="AR27" s="26">
        <f>AR25/20</f>
        <v>0</v>
      </c>
      <c r="AS27" s="27">
        <f>AS25/120</f>
        <v>1.0915750915750917E-3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23A6-BE26-485B-9CAC-D2823DCF10C6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46114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05.2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60</v>
      </c>
      <c r="T5" s="31">
        <v>37</v>
      </c>
      <c r="U5" s="31">
        <v>180</v>
      </c>
      <c r="V5" s="32">
        <v>2</v>
      </c>
      <c r="W5" s="32">
        <v>3</v>
      </c>
      <c r="X5" s="32">
        <v>30</v>
      </c>
      <c r="Y5" s="73">
        <v>7</v>
      </c>
      <c r="Z5" s="33">
        <v>0</v>
      </c>
      <c r="AA5" s="34">
        <v>36</v>
      </c>
      <c r="AB5" s="34">
        <v>15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1.5</v>
      </c>
      <c r="AL5" s="85">
        <f t="shared" si="1"/>
        <v>1.85</v>
      </c>
      <c r="AM5" s="85">
        <f t="shared" si="1"/>
        <v>1.5</v>
      </c>
      <c r="AN5" s="85">
        <f t="shared" si="1"/>
        <v>0.2857142857142857</v>
      </c>
      <c r="AO5" s="85">
        <f t="shared" si="1"/>
        <v>0.75</v>
      </c>
      <c r="AP5" s="85"/>
      <c r="AQ5" s="85"/>
      <c r="AR5" s="85"/>
      <c r="AS5" s="85">
        <f t="shared" ref="AS5:AS17" si="2">AA5/L5</f>
        <v>0.20571428571428571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30</v>
      </c>
      <c r="T6" s="31">
        <v>11</v>
      </c>
      <c r="U6" s="31">
        <v>110</v>
      </c>
      <c r="V6" s="32">
        <v>4</v>
      </c>
      <c r="W6" s="32">
        <v>0</v>
      </c>
      <c r="X6" s="32">
        <v>95</v>
      </c>
      <c r="Y6" s="73">
        <v>7</v>
      </c>
      <c r="Z6" s="33">
        <v>0</v>
      </c>
      <c r="AA6" s="34">
        <v>30</v>
      </c>
      <c r="AB6" s="34">
        <v>0</v>
      </c>
      <c r="AC6" s="34">
        <v>0</v>
      </c>
      <c r="AD6" s="35">
        <v>0</v>
      </c>
      <c r="AE6" s="34">
        <v>0</v>
      </c>
      <c r="AF6" s="34">
        <v>1</v>
      </c>
      <c r="AG6" s="34">
        <v>0</v>
      </c>
      <c r="AH6" s="21"/>
      <c r="AI6" s="22"/>
      <c r="AK6" s="85">
        <f t="shared" si="1"/>
        <v>0.75</v>
      </c>
      <c r="AL6" s="85">
        <f t="shared" si="1"/>
        <v>0.55000000000000004</v>
      </c>
      <c r="AM6" s="85">
        <f t="shared" si="1"/>
        <v>0.91666666666666663</v>
      </c>
      <c r="AN6" s="85">
        <f t="shared" si="1"/>
        <v>0.5714285714285714</v>
      </c>
      <c r="AO6" s="85">
        <f t="shared" si="1"/>
        <v>0</v>
      </c>
      <c r="AP6" s="85"/>
      <c r="AQ6" s="85"/>
      <c r="AR6" s="85"/>
      <c r="AS6" s="85">
        <f t="shared" si="2"/>
        <v>0.17142857142857143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40</v>
      </c>
      <c r="T7" s="31">
        <v>31</v>
      </c>
      <c r="U7" s="31">
        <v>210</v>
      </c>
      <c r="V7" s="32">
        <v>9</v>
      </c>
      <c r="W7" s="32">
        <v>12</v>
      </c>
      <c r="X7" s="32">
        <v>30</v>
      </c>
      <c r="Y7" s="73">
        <v>8</v>
      </c>
      <c r="Z7" s="33">
        <v>0</v>
      </c>
      <c r="AA7" s="34">
        <v>42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1</v>
      </c>
      <c r="AL7" s="85">
        <f t="shared" si="1"/>
        <v>1.55</v>
      </c>
      <c r="AM7" s="85">
        <f t="shared" si="1"/>
        <v>1.75</v>
      </c>
      <c r="AN7" s="85">
        <f t="shared" si="1"/>
        <v>1.2857142857142858</v>
      </c>
      <c r="AO7" s="85">
        <f t="shared" si="1"/>
        <v>3</v>
      </c>
      <c r="AP7" s="85"/>
      <c r="AQ7" s="85"/>
      <c r="AR7" s="85"/>
      <c r="AS7" s="85">
        <f t="shared" si="2"/>
        <v>0.24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30</v>
      </c>
      <c r="T8" s="31">
        <v>14</v>
      </c>
      <c r="U8" s="31">
        <v>40</v>
      </c>
      <c r="V8" s="32">
        <v>1</v>
      </c>
      <c r="W8" s="32">
        <v>2</v>
      </c>
      <c r="X8" s="32">
        <v>30</v>
      </c>
      <c r="Y8" s="73">
        <v>2</v>
      </c>
      <c r="Z8" s="33">
        <v>0</v>
      </c>
      <c r="AA8" s="34">
        <v>18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1"/>
        <v>0.75</v>
      </c>
      <c r="AL8" s="85">
        <f t="shared" si="1"/>
        <v>0.7</v>
      </c>
      <c r="AM8" s="85">
        <f t="shared" si="1"/>
        <v>0.33333333333333331</v>
      </c>
      <c r="AN8" s="85">
        <f t="shared" si="1"/>
        <v>0.14285714285714285</v>
      </c>
      <c r="AO8" s="85">
        <f t="shared" si="1"/>
        <v>0.5</v>
      </c>
      <c r="AP8" s="85"/>
      <c r="AQ8" s="85"/>
      <c r="AR8" s="85"/>
      <c r="AS8" s="85">
        <f t="shared" si="2"/>
        <v>0.10285714285714286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33</v>
      </c>
      <c r="T9" s="31">
        <v>12</v>
      </c>
      <c r="U9" s="31">
        <v>153</v>
      </c>
      <c r="V9" s="32">
        <v>4</v>
      </c>
      <c r="W9" s="32">
        <v>5</v>
      </c>
      <c r="X9" s="32">
        <v>35</v>
      </c>
      <c r="Y9" s="73">
        <v>11</v>
      </c>
      <c r="Z9" s="33">
        <v>0</v>
      </c>
      <c r="AA9" s="34">
        <v>45</v>
      </c>
      <c r="AB9" s="34">
        <v>0</v>
      </c>
      <c r="AC9" s="34">
        <v>0</v>
      </c>
      <c r="AD9" s="35">
        <v>0</v>
      </c>
      <c r="AE9" s="34">
        <v>0</v>
      </c>
      <c r="AF9" s="34">
        <v>8</v>
      </c>
      <c r="AG9" s="34">
        <v>0</v>
      </c>
      <c r="AH9" s="21"/>
      <c r="AI9" s="22"/>
      <c r="AK9" s="85">
        <f t="shared" si="1"/>
        <v>0.82499999999999996</v>
      </c>
      <c r="AL9" s="85">
        <f t="shared" si="1"/>
        <v>0.6</v>
      </c>
      <c r="AM9" s="85">
        <f t="shared" si="1"/>
        <v>1.2749999999999999</v>
      </c>
      <c r="AN9" s="85">
        <f t="shared" si="1"/>
        <v>0.5714285714285714</v>
      </c>
      <c r="AO9" s="85">
        <f t="shared" si="1"/>
        <v>1.25</v>
      </c>
      <c r="AP9" s="85"/>
      <c r="AQ9" s="85"/>
      <c r="AR9" s="85"/>
      <c r="AS9" s="85">
        <f t="shared" si="2"/>
        <v>0.25714285714285712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35</v>
      </c>
      <c r="T10" s="31">
        <v>27</v>
      </c>
      <c r="U10" s="31">
        <v>50</v>
      </c>
      <c r="V10" s="32">
        <v>3</v>
      </c>
      <c r="W10" s="32">
        <v>5</v>
      </c>
      <c r="X10" s="32">
        <v>203</v>
      </c>
      <c r="Y10" s="73">
        <v>11</v>
      </c>
      <c r="Z10" s="33">
        <v>0</v>
      </c>
      <c r="AA10" s="34">
        <v>60</v>
      </c>
      <c r="AB10" s="34">
        <v>0</v>
      </c>
      <c r="AC10" s="34">
        <v>0</v>
      </c>
      <c r="AD10" s="35">
        <v>2</v>
      </c>
      <c r="AE10" s="34">
        <v>2</v>
      </c>
      <c r="AF10" s="34">
        <v>3</v>
      </c>
      <c r="AG10" s="34">
        <v>0</v>
      </c>
      <c r="AH10" s="21"/>
      <c r="AI10" s="22"/>
      <c r="AK10" s="85">
        <f t="shared" si="1"/>
        <v>0.875</v>
      </c>
      <c r="AL10" s="85">
        <f t="shared" si="1"/>
        <v>1.35</v>
      </c>
      <c r="AM10" s="85">
        <f t="shared" si="1"/>
        <v>0.41666666666666669</v>
      </c>
      <c r="AN10" s="85">
        <f t="shared" si="1"/>
        <v>0.42857142857142855</v>
      </c>
      <c r="AO10" s="85">
        <f t="shared" si="1"/>
        <v>1.25</v>
      </c>
      <c r="AP10" s="85"/>
      <c r="AQ10" s="85"/>
      <c r="AR10" s="85"/>
      <c r="AS10" s="85">
        <f t="shared" si="2"/>
        <v>0.34285714285714286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40</v>
      </c>
      <c r="U11" s="31">
        <v>184</v>
      </c>
      <c r="V11" s="32">
        <v>5</v>
      </c>
      <c r="W11" s="32">
        <v>6</v>
      </c>
      <c r="X11" s="32">
        <v>40</v>
      </c>
      <c r="Y11" s="73">
        <v>12</v>
      </c>
      <c r="Z11" s="33">
        <v>0</v>
      </c>
      <c r="AA11" s="34">
        <v>20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1.25</v>
      </c>
      <c r="AL11" s="85">
        <f t="shared" si="1"/>
        <v>2</v>
      </c>
      <c r="AM11" s="85">
        <f t="shared" si="1"/>
        <v>1.5333333333333334</v>
      </c>
      <c r="AN11" s="85">
        <f t="shared" si="1"/>
        <v>0.7142857142857143</v>
      </c>
      <c r="AO11" s="85">
        <f t="shared" si="1"/>
        <v>1.5</v>
      </c>
      <c r="AP11" s="85"/>
      <c r="AQ11" s="85"/>
      <c r="AR11" s="85"/>
      <c r="AS11" s="85">
        <f t="shared" si="2"/>
        <v>0.11428571428571428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52</v>
      </c>
      <c r="T12" s="31">
        <v>21</v>
      </c>
      <c r="U12" s="31">
        <v>120</v>
      </c>
      <c r="V12" s="32">
        <v>2</v>
      </c>
      <c r="W12" s="32">
        <v>1</v>
      </c>
      <c r="X12" s="32">
        <v>200</v>
      </c>
      <c r="Y12" s="73">
        <v>0</v>
      </c>
      <c r="Z12" s="33">
        <v>0</v>
      </c>
      <c r="AA12" s="34">
        <v>21</v>
      </c>
      <c r="AB12" s="34">
        <v>0</v>
      </c>
      <c r="AC12" s="34">
        <v>0</v>
      </c>
      <c r="AD12" s="35">
        <v>0</v>
      </c>
      <c r="AE12" s="34">
        <v>0</v>
      </c>
      <c r="AF12" s="34">
        <v>0</v>
      </c>
      <c r="AG12" s="34">
        <v>0</v>
      </c>
      <c r="AH12" s="21"/>
      <c r="AI12" s="22"/>
      <c r="AK12" s="85">
        <f t="shared" si="1"/>
        <v>1.3</v>
      </c>
      <c r="AL12" s="85">
        <f t="shared" si="1"/>
        <v>1.05</v>
      </c>
      <c r="AM12" s="85">
        <f t="shared" si="1"/>
        <v>1</v>
      </c>
      <c r="AN12" s="85">
        <f t="shared" si="1"/>
        <v>0.2857142857142857</v>
      </c>
      <c r="AO12" s="85">
        <f t="shared" si="1"/>
        <v>0.25</v>
      </c>
      <c r="AP12" s="85"/>
      <c r="AQ12" s="85"/>
      <c r="AR12" s="85"/>
      <c r="AS12" s="85">
        <f t="shared" si="2"/>
        <v>0.12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35</v>
      </c>
      <c r="T13" s="31">
        <v>27</v>
      </c>
      <c r="U13" s="31">
        <v>168</v>
      </c>
      <c r="V13" s="32">
        <v>14</v>
      </c>
      <c r="W13" s="32">
        <v>8</v>
      </c>
      <c r="X13" s="32">
        <v>49</v>
      </c>
      <c r="Y13" s="73">
        <v>40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0.875</v>
      </c>
      <c r="AL13" s="85">
        <f t="shared" si="1"/>
        <v>1.35</v>
      </c>
      <c r="AM13" s="85">
        <f t="shared" si="1"/>
        <v>1.4</v>
      </c>
      <c r="AN13" s="85">
        <f t="shared" si="1"/>
        <v>2</v>
      </c>
      <c r="AO13" s="85">
        <f t="shared" si="1"/>
        <v>2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50</v>
      </c>
      <c r="T14" s="31">
        <v>40</v>
      </c>
      <c r="U14" s="31">
        <v>90</v>
      </c>
      <c r="V14" s="32">
        <v>2</v>
      </c>
      <c r="W14" s="32">
        <v>0</v>
      </c>
      <c r="X14" s="32">
        <v>80</v>
      </c>
      <c r="Y14" s="73">
        <v>5</v>
      </c>
      <c r="Z14" s="33">
        <v>0</v>
      </c>
      <c r="AA14" s="34">
        <v>30</v>
      </c>
      <c r="AB14" s="34">
        <v>29</v>
      </c>
      <c r="AC14" s="34">
        <v>0</v>
      </c>
      <c r="AD14" s="35">
        <v>0</v>
      </c>
      <c r="AE14" s="34">
        <v>0</v>
      </c>
      <c r="AF14" s="34">
        <v>2</v>
      </c>
      <c r="AG14" s="34">
        <v>0</v>
      </c>
      <c r="AH14" s="21"/>
      <c r="AI14" s="22"/>
      <c r="AK14" s="85">
        <f t="shared" si="1"/>
        <v>1.25</v>
      </c>
      <c r="AL14" s="85">
        <f t="shared" si="1"/>
        <v>2</v>
      </c>
      <c r="AM14" s="85">
        <f t="shared" si="1"/>
        <v>0.75</v>
      </c>
      <c r="AN14" s="85">
        <f t="shared" si="1"/>
        <v>0.2857142857142857</v>
      </c>
      <c r="AO14" s="85">
        <f t="shared" si="1"/>
        <v>0</v>
      </c>
      <c r="AP14" s="85"/>
      <c r="AQ14" s="85"/>
      <c r="AR14" s="85"/>
      <c r="AS14" s="85">
        <f t="shared" si="2"/>
        <v>0.17142857142857143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34</v>
      </c>
      <c r="T15" s="31">
        <v>22</v>
      </c>
      <c r="U15" s="31">
        <v>120</v>
      </c>
      <c r="V15" s="32">
        <v>1</v>
      </c>
      <c r="W15" s="32">
        <v>1</v>
      </c>
      <c r="X15" s="32">
        <v>40</v>
      </c>
      <c r="Y15" s="73">
        <v>11</v>
      </c>
      <c r="Z15" s="33">
        <v>0</v>
      </c>
      <c r="AA15" s="34">
        <v>25</v>
      </c>
      <c r="AB15" s="34">
        <v>0</v>
      </c>
      <c r="AC15" s="34">
        <v>0</v>
      </c>
      <c r="AD15" s="35">
        <v>0</v>
      </c>
      <c r="AE15" s="34">
        <v>0</v>
      </c>
      <c r="AF15" s="34">
        <v>1</v>
      </c>
      <c r="AG15" s="34">
        <v>0</v>
      </c>
      <c r="AH15" s="21"/>
      <c r="AI15" s="22"/>
      <c r="AK15" s="85">
        <f t="shared" si="1"/>
        <v>0.85</v>
      </c>
      <c r="AL15" s="85">
        <f t="shared" si="1"/>
        <v>1.1000000000000001</v>
      </c>
      <c r="AM15" s="85">
        <f t="shared" si="1"/>
        <v>1</v>
      </c>
      <c r="AN15" s="85">
        <f t="shared" si="1"/>
        <v>0.14285714285714285</v>
      </c>
      <c r="AO15" s="85">
        <f t="shared" si="1"/>
        <v>0.25</v>
      </c>
      <c r="AP15" s="85"/>
      <c r="AQ15" s="85"/>
      <c r="AR15" s="85"/>
      <c r="AS15" s="85">
        <f t="shared" si="2"/>
        <v>0.14285714285714285</v>
      </c>
      <c r="AT15" s="85"/>
      <c r="AU15" s="85"/>
      <c r="AV15" s="85"/>
      <c r="AW15" s="85"/>
      <c r="AX15" s="85"/>
      <c r="AY15" s="85"/>
    </row>
    <row r="16" spans="2:51" ht="34.799999999999997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55</v>
      </c>
      <c r="T16" s="31">
        <v>30</v>
      </c>
      <c r="U16" s="31">
        <v>0</v>
      </c>
      <c r="V16" s="32">
        <v>10</v>
      </c>
      <c r="W16" s="32">
        <v>0</v>
      </c>
      <c r="X16" s="32">
        <v>100</v>
      </c>
      <c r="Y16" s="73">
        <v>0</v>
      </c>
      <c r="Z16" s="33">
        <v>8</v>
      </c>
      <c r="AA16" s="34">
        <v>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105</v>
      </c>
      <c r="AI16" s="22"/>
      <c r="AK16" s="85">
        <f t="shared" si="1"/>
        <v>1.375</v>
      </c>
      <c r="AL16" s="85">
        <f t="shared" si="1"/>
        <v>1.5</v>
      </c>
      <c r="AM16" s="85">
        <f t="shared" si="1"/>
        <v>0</v>
      </c>
      <c r="AN16" s="85">
        <f t="shared" si="1"/>
        <v>1.4285714285714286</v>
      </c>
      <c r="AO16" s="85">
        <f t="shared" si="1"/>
        <v>0</v>
      </c>
      <c r="AP16" s="85"/>
      <c r="AQ16" s="85"/>
      <c r="AR16" s="85"/>
      <c r="AS16" s="85">
        <f t="shared" si="2"/>
        <v>0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46</v>
      </c>
      <c r="T17" s="31">
        <v>37</v>
      </c>
      <c r="U17" s="31">
        <v>300</v>
      </c>
      <c r="V17" s="32">
        <v>63</v>
      </c>
      <c r="W17" s="32">
        <v>31</v>
      </c>
      <c r="X17" s="32">
        <v>401</v>
      </c>
      <c r="Y17" s="73">
        <v>25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20</v>
      </c>
      <c r="AG17" s="34">
        <v>0</v>
      </c>
      <c r="AH17" s="21"/>
      <c r="AI17" s="22"/>
      <c r="AK17" s="85">
        <f t="shared" si="1"/>
        <v>1.1499999999999999</v>
      </c>
      <c r="AL17" s="85">
        <f t="shared" si="1"/>
        <v>1.85</v>
      </c>
      <c r="AM17" s="85">
        <f t="shared" si="1"/>
        <v>2.5</v>
      </c>
      <c r="AN17" s="85">
        <f t="shared" si="1"/>
        <v>9</v>
      </c>
      <c r="AO17" s="85">
        <f t="shared" si="1"/>
        <v>7.75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550</v>
      </c>
      <c r="T25" s="61">
        <f t="shared" si="3"/>
        <v>349</v>
      </c>
      <c r="U25" s="61">
        <f t="shared" si="3"/>
        <v>1725</v>
      </c>
      <c r="V25" s="61">
        <f t="shared" si="3"/>
        <v>120</v>
      </c>
      <c r="W25" s="61">
        <f t="shared" si="3"/>
        <v>74</v>
      </c>
      <c r="X25" s="61">
        <f t="shared" si="3"/>
        <v>1333</v>
      </c>
      <c r="Y25" s="61">
        <f t="shared" si="3"/>
        <v>139</v>
      </c>
      <c r="Z25" s="61">
        <f t="shared" si="3"/>
        <v>8</v>
      </c>
      <c r="AA25" s="61">
        <f t="shared" si="3"/>
        <v>327</v>
      </c>
      <c r="AB25" s="61">
        <f t="shared" si="3"/>
        <v>44</v>
      </c>
      <c r="AC25" s="61">
        <f t="shared" si="3"/>
        <v>0</v>
      </c>
      <c r="AD25" s="61">
        <f t="shared" si="3"/>
        <v>2</v>
      </c>
      <c r="AE25" s="61">
        <f t="shared" si="3"/>
        <v>2</v>
      </c>
      <c r="AF25" s="61">
        <f t="shared" si="3"/>
        <v>35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1.0576923076923077</v>
      </c>
      <c r="AL25" s="85">
        <f t="shared" si="4"/>
        <v>1.3423076923076922</v>
      </c>
      <c r="AM25" s="85">
        <f t="shared" si="4"/>
        <v>1.1057692307692308</v>
      </c>
      <c r="AN25" s="85">
        <f t="shared" si="4"/>
        <v>1.3186813186813187</v>
      </c>
      <c r="AO25" s="85">
        <f t="shared" si="4"/>
        <v>1.4230769230769231</v>
      </c>
      <c r="AP25" s="85"/>
      <c r="AQ25" s="85"/>
      <c r="AR25" s="85"/>
      <c r="AS25" s="85">
        <f t="shared" ref="AS25" si="5">AA25/L25</f>
        <v>0.14373626373626375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550</v>
      </c>
      <c r="T27" s="24">
        <f>T25</f>
        <v>349</v>
      </c>
      <c r="U27" s="24">
        <f>U25/120</f>
        <v>14.375</v>
      </c>
      <c r="V27" s="25">
        <f>V25/6</f>
        <v>20</v>
      </c>
      <c r="W27" s="25">
        <f>W25/10</f>
        <v>7.4</v>
      </c>
      <c r="X27" s="25">
        <f>X25/100</f>
        <v>13.33</v>
      </c>
      <c r="Y27" s="74">
        <f>Y25/20</f>
        <v>6.95</v>
      </c>
      <c r="Z27" s="26">
        <f>Z25/60</f>
        <v>0.13333333333333333</v>
      </c>
      <c r="AA27" s="27">
        <f>AA25/120</f>
        <v>2.7250000000000001</v>
      </c>
      <c r="AB27" s="27">
        <f>AB25/100</f>
        <v>0.44</v>
      </c>
      <c r="AC27" s="27">
        <f>AC25/60</f>
        <v>0</v>
      </c>
      <c r="AD27" s="27">
        <f>AD25</f>
        <v>2</v>
      </c>
      <c r="AE27" s="27">
        <f t="shared" ref="AE27:AG27" si="7">AE25</f>
        <v>2</v>
      </c>
      <c r="AF27" s="27">
        <f t="shared" si="7"/>
        <v>35</v>
      </c>
      <c r="AG27" s="27">
        <f t="shared" si="7"/>
        <v>0</v>
      </c>
      <c r="AH27" s="23"/>
      <c r="AI27" s="28"/>
      <c r="AK27" s="24"/>
      <c r="AL27" s="23"/>
      <c r="AM27" s="24">
        <f>AM25/120</f>
        <v>9.21474358974359E-3</v>
      </c>
      <c r="AN27" s="25">
        <f>AN25/6</f>
        <v>0.21978021978021978</v>
      </c>
      <c r="AO27" s="25">
        <f>AO25/20</f>
        <v>7.1153846153846151E-2</v>
      </c>
      <c r="AP27" s="25">
        <f>AP25/100</f>
        <v>0</v>
      </c>
      <c r="AQ27" s="74"/>
      <c r="AR27" s="26">
        <f>AR25/20</f>
        <v>0</v>
      </c>
      <c r="AS27" s="27">
        <f>AS25/120</f>
        <v>1.197802197802198E-3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8A32-38A3-4217-8E13-52E350FAE30C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46115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02.2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25</v>
      </c>
      <c r="T5" s="31">
        <v>8</v>
      </c>
      <c r="U5" s="31">
        <v>45</v>
      </c>
      <c r="V5" s="32">
        <v>0</v>
      </c>
      <c r="W5" s="32">
        <v>0</v>
      </c>
      <c r="X5" s="32">
        <v>20</v>
      </c>
      <c r="Y5" s="73">
        <v>0</v>
      </c>
      <c r="Z5" s="33">
        <v>0</v>
      </c>
      <c r="AA5" s="34">
        <v>6</v>
      </c>
      <c r="AB5" s="34">
        <v>4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0.625</v>
      </c>
      <c r="AL5" s="85">
        <f t="shared" si="1"/>
        <v>0.4</v>
      </c>
      <c r="AM5" s="85">
        <f t="shared" si="1"/>
        <v>0.375</v>
      </c>
      <c r="AN5" s="85">
        <f t="shared" si="1"/>
        <v>0</v>
      </c>
      <c r="AO5" s="85">
        <f t="shared" si="1"/>
        <v>0</v>
      </c>
      <c r="AP5" s="85"/>
      <c r="AQ5" s="85"/>
      <c r="AR5" s="85"/>
      <c r="AS5" s="85">
        <f t="shared" ref="AS5:AS17" si="2">AA5/L5</f>
        <v>3.4285714285714287E-2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37</v>
      </c>
      <c r="T6" s="31">
        <v>20</v>
      </c>
      <c r="U6" s="31">
        <v>160</v>
      </c>
      <c r="V6" s="32">
        <v>4</v>
      </c>
      <c r="W6" s="32">
        <v>1</v>
      </c>
      <c r="X6" s="32">
        <v>110</v>
      </c>
      <c r="Y6" s="73">
        <v>0</v>
      </c>
      <c r="Z6" s="33">
        <v>0</v>
      </c>
      <c r="AA6" s="34">
        <v>45</v>
      </c>
      <c r="AB6" s="34">
        <v>0</v>
      </c>
      <c r="AC6" s="34">
        <v>0</v>
      </c>
      <c r="AD6" s="35">
        <v>0</v>
      </c>
      <c r="AE6" s="34">
        <v>0</v>
      </c>
      <c r="AF6" s="34">
        <v>4</v>
      </c>
      <c r="AG6" s="34">
        <v>0</v>
      </c>
      <c r="AH6" s="21"/>
      <c r="AI6" s="22"/>
      <c r="AK6" s="85">
        <f t="shared" si="1"/>
        <v>0.92500000000000004</v>
      </c>
      <c r="AL6" s="85">
        <f t="shared" si="1"/>
        <v>1</v>
      </c>
      <c r="AM6" s="85">
        <f t="shared" si="1"/>
        <v>1.3333333333333333</v>
      </c>
      <c r="AN6" s="85">
        <f t="shared" si="1"/>
        <v>0.5714285714285714</v>
      </c>
      <c r="AO6" s="85">
        <f t="shared" si="1"/>
        <v>0.25</v>
      </c>
      <c r="AP6" s="85"/>
      <c r="AQ6" s="85"/>
      <c r="AR6" s="85"/>
      <c r="AS6" s="85">
        <f t="shared" si="2"/>
        <v>0.25714285714285712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46</v>
      </c>
      <c r="T7" s="31">
        <v>33</v>
      </c>
      <c r="U7" s="31">
        <v>200</v>
      </c>
      <c r="V7" s="32">
        <v>9</v>
      </c>
      <c r="W7" s="32">
        <v>12</v>
      </c>
      <c r="X7" s="32">
        <v>30</v>
      </c>
      <c r="Y7" s="73">
        <v>8</v>
      </c>
      <c r="Z7" s="33">
        <v>0</v>
      </c>
      <c r="AA7" s="34">
        <v>20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/>
      <c r="AK7" s="85">
        <f t="shared" si="1"/>
        <v>1.1499999999999999</v>
      </c>
      <c r="AL7" s="85">
        <f t="shared" si="1"/>
        <v>1.65</v>
      </c>
      <c r="AM7" s="85">
        <f t="shared" si="1"/>
        <v>1.6666666666666667</v>
      </c>
      <c r="AN7" s="85">
        <f t="shared" si="1"/>
        <v>1.2857142857142858</v>
      </c>
      <c r="AO7" s="85">
        <f t="shared" si="1"/>
        <v>3</v>
      </c>
      <c r="AP7" s="85"/>
      <c r="AQ7" s="85"/>
      <c r="AR7" s="85"/>
      <c r="AS7" s="85">
        <f t="shared" si="2"/>
        <v>0.11428571428571428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30</v>
      </c>
      <c r="T8" s="31">
        <v>18</v>
      </c>
      <c r="U8" s="31">
        <v>10</v>
      </c>
      <c r="V8" s="32">
        <v>0</v>
      </c>
      <c r="W8" s="32">
        <v>1</v>
      </c>
      <c r="X8" s="32">
        <v>65</v>
      </c>
      <c r="Y8" s="73">
        <v>2</v>
      </c>
      <c r="Z8" s="33">
        <v>0</v>
      </c>
      <c r="AA8" s="34">
        <v>20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/>
      <c r="AK8" s="85">
        <f t="shared" si="1"/>
        <v>0.75</v>
      </c>
      <c r="AL8" s="85">
        <f t="shared" si="1"/>
        <v>0.9</v>
      </c>
      <c r="AM8" s="85">
        <f t="shared" si="1"/>
        <v>8.3333333333333329E-2</v>
      </c>
      <c r="AN8" s="85">
        <f t="shared" si="1"/>
        <v>0</v>
      </c>
      <c r="AO8" s="85">
        <f t="shared" si="1"/>
        <v>0.25</v>
      </c>
      <c r="AP8" s="85"/>
      <c r="AQ8" s="85"/>
      <c r="AR8" s="85"/>
      <c r="AS8" s="85">
        <f t="shared" si="2"/>
        <v>0.11428571428571428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55</v>
      </c>
      <c r="T9" s="31">
        <v>44</v>
      </c>
      <c r="U9" s="31">
        <v>272</v>
      </c>
      <c r="V9" s="32">
        <v>8</v>
      </c>
      <c r="W9" s="32">
        <v>9</v>
      </c>
      <c r="X9" s="32">
        <v>135</v>
      </c>
      <c r="Y9" s="73">
        <v>12</v>
      </c>
      <c r="Z9" s="33">
        <v>0</v>
      </c>
      <c r="AA9" s="34">
        <v>46</v>
      </c>
      <c r="AB9" s="34">
        <v>0</v>
      </c>
      <c r="AC9" s="34">
        <v>0</v>
      </c>
      <c r="AD9" s="35">
        <v>0</v>
      </c>
      <c r="AE9" s="34">
        <v>0</v>
      </c>
      <c r="AF9" s="34">
        <v>10</v>
      </c>
      <c r="AG9" s="34">
        <v>0</v>
      </c>
      <c r="AH9" s="21"/>
      <c r="AI9" s="22"/>
      <c r="AK9" s="85">
        <f t="shared" si="1"/>
        <v>1.375</v>
      </c>
      <c r="AL9" s="85">
        <f t="shared" si="1"/>
        <v>2.2000000000000002</v>
      </c>
      <c r="AM9" s="85">
        <f t="shared" si="1"/>
        <v>2.2666666666666666</v>
      </c>
      <c r="AN9" s="85">
        <f t="shared" si="1"/>
        <v>1.1428571428571428</v>
      </c>
      <c r="AO9" s="85">
        <f t="shared" si="1"/>
        <v>2.25</v>
      </c>
      <c r="AP9" s="85"/>
      <c r="AQ9" s="85"/>
      <c r="AR9" s="85"/>
      <c r="AS9" s="85">
        <f t="shared" si="2"/>
        <v>0.26285714285714284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37</v>
      </c>
      <c r="T10" s="31">
        <v>20</v>
      </c>
      <c r="U10" s="31">
        <v>95</v>
      </c>
      <c r="V10" s="32">
        <v>13</v>
      </c>
      <c r="W10" s="32">
        <v>6</v>
      </c>
      <c r="X10" s="32">
        <v>15</v>
      </c>
      <c r="Y10" s="73">
        <v>27</v>
      </c>
      <c r="Z10" s="33">
        <v>0</v>
      </c>
      <c r="AA10" s="34">
        <v>42</v>
      </c>
      <c r="AB10" s="34">
        <v>0</v>
      </c>
      <c r="AC10" s="34">
        <v>0</v>
      </c>
      <c r="AD10" s="35">
        <v>2</v>
      </c>
      <c r="AE10" s="34">
        <v>0</v>
      </c>
      <c r="AF10" s="34">
        <v>6</v>
      </c>
      <c r="AG10" s="34">
        <v>0</v>
      </c>
      <c r="AH10" s="21"/>
      <c r="AI10" s="22"/>
      <c r="AK10" s="85">
        <f t="shared" si="1"/>
        <v>0.92500000000000004</v>
      </c>
      <c r="AL10" s="85">
        <f t="shared" si="1"/>
        <v>1</v>
      </c>
      <c r="AM10" s="85">
        <f t="shared" si="1"/>
        <v>0.79166666666666663</v>
      </c>
      <c r="AN10" s="85">
        <f t="shared" si="1"/>
        <v>1.8571428571428572</v>
      </c>
      <c r="AO10" s="85">
        <f t="shared" si="1"/>
        <v>1.5</v>
      </c>
      <c r="AP10" s="85"/>
      <c r="AQ10" s="85"/>
      <c r="AR10" s="85"/>
      <c r="AS10" s="85">
        <f t="shared" si="2"/>
        <v>0.24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38</v>
      </c>
      <c r="U11" s="31">
        <v>220</v>
      </c>
      <c r="V11" s="32">
        <v>12</v>
      </c>
      <c r="W11" s="32">
        <v>9</v>
      </c>
      <c r="X11" s="32">
        <v>40</v>
      </c>
      <c r="Y11" s="73">
        <v>30</v>
      </c>
      <c r="Z11" s="33">
        <v>0</v>
      </c>
      <c r="AA11" s="34">
        <v>50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1.25</v>
      </c>
      <c r="AL11" s="85">
        <f t="shared" si="1"/>
        <v>1.9</v>
      </c>
      <c r="AM11" s="85">
        <f t="shared" si="1"/>
        <v>1.8333333333333333</v>
      </c>
      <c r="AN11" s="85">
        <f t="shared" si="1"/>
        <v>1.7142857142857142</v>
      </c>
      <c r="AO11" s="85">
        <f t="shared" si="1"/>
        <v>2.25</v>
      </c>
      <c r="AP11" s="85"/>
      <c r="AQ11" s="85"/>
      <c r="AR11" s="85"/>
      <c r="AS11" s="85">
        <f t="shared" si="2"/>
        <v>0.2857142857142857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35</v>
      </c>
      <c r="T12" s="31">
        <v>20</v>
      </c>
      <c r="U12" s="31">
        <v>96</v>
      </c>
      <c r="V12" s="32">
        <v>3</v>
      </c>
      <c r="W12" s="32">
        <v>1</v>
      </c>
      <c r="X12" s="32">
        <v>82</v>
      </c>
      <c r="Y12" s="73">
        <v>1</v>
      </c>
      <c r="Z12" s="33">
        <v>0</v>
      </c>
      <c r="AA12" s="34">
        <v>70</v>
      </c>
      <c r="AB12" s="34">
        <v>0</v>
      </c>
      <c r="AC12" s="34">
        <v>0</v>
      </c>
      <c r="AD12" s="35">
        <v>0</v>
      </c>
      <c r="AE12" s="34">
        <v>0</v>
      </c>
      <c r="AF12" s="34">
        <v>2</v>
      </c>
      <c r="AG12" s="34">
        <v>0</v>
      </c>
      <c r="AH12" s="21"/>
      <c r="AI12" s="22"/>
      <c r="AK12" s="85">
        <f t="shared" si="1"/>
        <v>0.875</v>
      </c>
      <c r="AL12" s="85">
        <f t="shared" si="1"/>
        <v>1</v>
      </c>
      <c r="AM12" s="85">
        <f t="shared" si="1"/>
        <v>0.8</v>
      </c>
      <c r="AN12" s="85">
        <f t="shared" si="1"/>
        <v>0.42857142857142855</v>
      </c>
      <c r="AO12" s="85">
        <f t="shared" si="1"/>
        <v>0.25</v>
      </c>
      <c r="AP12" s="85"/>
      <c r="AQ12" s="85"/>
      <c r="AR12" s="85"/>
      <c r="AS12" s="85">
        <f t="shared" si="2"/>
        <v>0.4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60</v>
      </c>
      <c r="T13" s="31">
        <v>30</v>
      </c>
      <c r="U13" s="31">
        <v>138</v>
      </c>
      <c r="V13" s="32">
        <v>11</v>
      </c>
      <c r="W13" s="32">
        <v>4</v>
      </c>
      <c r="X13" s="32">
        <v>69</v>
      </c>
      <c r="Y13" s="73">
        <v>30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1.5</v>
      </c>
      <c r="AL13" s="85">
        <f t="shared" si="1"/>
        <v>1.5</v>
      </c>
      <c r="AM13" s="85">
        <f t="shared" si="1"/>
        <v>1.1499999999999999</v>
      </c>
      <c r="AN13" s="85">
        <f t="shared" si="1"/>
        <v>1.5714285714285714</v>
      </c>
      <c r="AO13" s="85">
        <f t="shared" si="1"/>
        <v>1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40</v>
      </c>
      <c r="T14" s="31">
        <v>30</v>
      </c>
      <c r="U14" s="31">
        <v>200</v>
      </c>
      <c r="V14" s="32">
        <v>3</v>
      </c>
      <c r="W14" s="32">
        <v>1</v>
      </c>
      <c r="X14" s="32">
        <v>60</v>
      </c>
      <c r="Y14" s="73">
        <v>5</v>
      </c>
      <c r="Z14" s="33">
        <v>0</v>
      </c>
      <c r="AA14" s="34">
        <v>120</v>
      </c>
      <c r="AB14" s="34">
        <v>0</v>
      </c>
      <c r="AC14" s="34">
        <v>0</v>
      </c>
      <c r="AD14" s="35">
        <v>0</v>
      </c>
      <c r="AE14" s="34">
        <v>0</v>
      </c>
      <c r="AF14" s="34">
        <v>2</v>
      </c>
      <c r="AG14" s="34">
        <v>0</v>
      </c>
      <c r="AH14" s="21"/>
      <c r="AI14" s="22"/>
      <c r="AK14" s="85">
        <f t="shared" si="1"/>
        <v>1</v>
      </c>
      <c r="AL14" s="85">
        <f t="shared" si="1"/>
        <v>1.5</v>
      </c>
      <c r="AM14" s="85">
        <f t="shared" si="1"/>
        <v>1.6666666666666667</v>
      </c>
      <c r="AN14" s="85">
        <f t="shared" si="1"/>
        <v>0.42857142857142855</v>
      </c>
      <c r="AO14" s="85">
        <f t="shared" si="1"/>
        <v>0.25</v>
      </c>
      <c r="AP14" s="85"/>
      <c r="AQ14" s="85"/>
      <c r="AR14" s="85"/>
      <c r="AS14" s="85">
        <f t="shared" si="2"/>
        <v>0.68571428571428572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35</v>
      </c>
      <c r="T15" s="31">
        <v>30</v>
      </c>
      <c r="U15" s="31">
        <v>140</v>
      </c>
      <c r="V15" s="32">
        <v>4</v>
      </c>
      <c r="W15" s="32">
        <v>1</v>
      </c>
      <c r="X15" s="32">
        <v>50</v>
      </c>
      <c r="Y15" s="73">
        <v>15</v>
      </c>
      <c r="Z15" s="33">
        <v>0</v>
      </c>
      <c r="AA15" s="34">
        <v>40</v>
      </c>
      <c r="AB15" s="34">
        <v>0</v>
      </c>
      <c r="AC15" s="34">
        <v>0</v>
      </c>
      <c r="AD15" s="35">
        <v>0</v>
      </c>
      <c r="AE15" s="34">
        <v>0</v>
      </c>
      <c r="AF15" s="34">
        <v>2</v>
      </c>
      <c r="AG15" s="34">
        <v>0</v>
      </c>
      <c r="AH15" s="21"/>
      <c r="AI15" s="22"/>
      <c r="AK15" s="85">
        <f t="shared" si="1"/>
        <v>0.875</v>
      </c>
      <c r="AL15" s="85">
        <f t="shared" si="1"/>
        <v>1.5</v>
      </c>
      <c r="AM15" s="85">
        <f t="shared" si="1"/>
        <v>1.1666666666666667</v>
      </c>
      <c r="AN15" s="85">
        <f t="shared" si="1"/>
        <v>0.5714285714285714</v>
      </c>
      <c r="AO15" s="85">
        <f t="shared" si="1"/>
        <v>0.25</v>
      </c>
      <c r="AP15" s="85"/>
      <c r="AQ15" s="85"/>
      <c r="AR15" s="85"/>
      <c r="AS15" s="85">
        <f t="shared" si="2"/>
        <v>0.22857142857142856</v>
      </c>
      <c r="AT15" s="85"/>
      <c r="AU15" s="85"/>
      <c r="AV15" s="85"/>
      <c r="AW15" s="85"/>
      <c r="AX15" s="85"/>
      <c r="AY15" s="85"/>
    </row>
    <row r="16" spans="2:51" ht="34.799999999999997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30</v>
      </c>
      <c r="T16" s="31">
        <v>19</v>
      </c>
      <c r="U16" s="31">
        <v>0</v>
      </c>
      <c r="V16" s="32">
        <v>11</v>
      </c>
      <c r="W16" s="32">
        <v>0</v>
      </c>
      <c r="X16" s="32">
        <v>113</v>
      </c>
      <c r="Y16" s="73">
        <v>0</v>
      </c>
      <c r="Z16" s="33">
        <v>24</v>
      </c>
      <c r="AA16" s="34">
        <v>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105</v>
      </c>
      <c r="AI16" s="22"/>
      <c r="AK16" s="85">
        <f t="shared" si="1"/>
        <v>0.75</v>
      </c>
      <c r="AL16" s="85">
        <f t="shared" si="1"/>
        <v>0.95</v>
      </c>
      <c r="AM16" s="85">
        <f t="shared" si="1"/>
        <v>0</v>
      </c>
      <c r="AN16" s="85">
        <f t="shared" si="1"/>
        <v>1.5714285714285714</v>
      </c>
      <c r="AO16" s="85">
        <f t="shared" si="1"/>
        <v>0</v>
      </c>
      <c r="AP16" s="85"/>
      <c r="AQ16" s="85"/>
      <c r="AR16" s="85"/>
      <c r="AS16" s="85">
        <f t="shared" si="2"/>
        <v>0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55</v>
      </c>
      <c r="T17" s="31">
        <v>48</v>
      </c>
      <c r="U17" s="31">
        <v>506</v>
      </c>
      <c r="V17" s="32">
        <v>108</v>
      </c>
      <c r="W17" s="32">
        <v>98</v>
      </c>
      <c r="X17" s="32">
        <v>509</v>
      </c>
      <c r="Y17" s="73">
        <v>108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4</v>
      </c>
      <c r="AG17" s="34">
        <v>0</v>
      </c>
      <c r="AH17" s="21"/>
      <c r="AI17" s="22"/>
      <c r="AK17" s="85">
        <f t="shared" si="1"/>
        <v>1.375</v>
      </c>
      <c r="AL17" s="85">
        <f t="shared" si="1"/>
        <v>2.4</v>
      </c>
      <c r="AM17" s="85">
        <f t="shared" si="1"/>
        <v>4.2166666666666668</v>
      </c>
      <c r="AN17" s="85">
        <f t="shared" si="1"/>
        <v>15.428571428571429</v>
      </c>
      <c r="AO17" s="85">
        <f t="shared" si="1"/>
        <v>24.5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535</v>
      </c>
      <c r="T25" s="61">
        <f t="shared" si="3"/>
        <v>358</v>
      </c>
      <c r="U25" s="61">
        <f t="shared" si="3"/>
        <v>2082</v>
      </c>
      <c r="V25" s="61">
        <f t="shared" si="3"/>
        <v>186</v>
      </c>
      <c r="W25" s="61">
        <f t="shared" si="3"/>
        <v>143</v>
      </c>
      <c r="X25" s="61">
        <f t="shared" si="3"/>
        <v>1298</v>
      </c>
      <c r="Y25" s="61">
        <f t="shared" si="3"/>
        <v>238</v>
      </c>
      <c r="Z25" s="61">
        <f t="shared" si="3"/>
        <v>24</v>
      </c>
      <c r="AA25" s="61">
        <f t="shared" si="3"/>
        <v>459</v>
      </c>
      <c r="AB25" s="61">
        <f t="shared" si="3"/>
        <v>4</v>
      </c>
      <c r="AC25" s="61">
        <f t="shared" si="3"/>
        <v>0</v>
      </c>
      <c r="AD25" s="61">
        <f t="shared" si="3"/>
        <v>2</v>
      </c>
      <c r="AE25" s="61">
        <f t="shared" si="3"/>
        <v>0</v>
      </c>
      <c r="AF25" s="61">
        <f t="shared" si="3"/>
        <v>30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1.0288461538461537</v>
      </c>
      <c r="AL25" s="85">
        <f t="shared" si="4"/>
        <v>1.3769230769230769</v>
      </c>
      <c r="AM25" s="85">
        <f t="shared" si="4"/>
        <v>1.3346153846153845</v>
      </c>
      <c r="AN25" s="85">
        <f t="shared" si="4"/>
        <v>2.0439560439560438</v>
      </c>
      <c r="AO25" s="85">
        <f t="shared" si="4"/>
        <v>2.75</v>
      </c>
      <c r="AP25" s="85"/>
      <c r="AQ25" s="85"/>
      <c r="AR25" s="85"/>
      <c r="AS25" s="85">
        <f t="shared" ref="AS25" si="5">AA25/L25</f>
        <v>0.20175824175824175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535</v>
      </c>
      <c r="T27" s="24">
        <f>T25</f>
        <v>358</v>
      </c>
      <c r="U27" s="24">
        <f>U25/120</f>
        <v>17.350000000000001</v>
      </c>
      <c r="V27" s="25">
        <f>V25/6</f>
        <v>31</v>
      </c>
      <c r="W27" s="25">
        <f>W25/10</f>
        <v>14.3</v>
      </c>
      <c r="X27" s="25">
        <f>X25/100</f>
        <v>12.98</v>
      </c>
      <c r="Y27" s="74">
        <f>Y25/20</f>
        <v>11.9</v>
      </c>
      <c r="Z27" s="26">
        <f>Z25/60</f>
        <v>0.4</v>
      </c>
      <c r="AA27" s="27">
        <f>AA25/120</f>
        <v>3.8250000000000002</v>
      </c>
      <c r="AB27" s="27">
        <f>AB25/100</f>
        <v>0.04</v>
      </c>
      <c r="AC27" s="27">
        <f>AC25/60</f>
        <v>0</v>
      </c>
      <c r="AD27" s="27">
        <f>AD25</f>
        <v>2</v>
      </c>
      <c r="AE27" s="27">
        <f t="shared" ref="AE27:AG27" si="7">AE25</f>
        <v>0</v>
      </c>
      <c r="AF27" s="27">
        <f t="shared" si="7"/>
        <v>30</v>
      </c>
      <c r="AG27" s="27">
        <f t="shared" si="7"/>
        <v>0</v>
      </c>
      <c r="AH27" s="23"/>
      <c r="AI27" s="28"/>
      <c r="AK27" s="24"/>
      <c r="AL27" s="23"/>
      <c r="AM27" s="24">
        <f>AM25/120</f>
        <v>1.1121794871794871E-2</v>
      </c>
      <c r="AN27" s="25">
        <f>AN25/6</f>
        <v>0.34065934065934061</v>
      </c>
      <c r="AO27" s="25">
        <f>AO25/20</f>
        <v>0.13750000000000001</v>
      </c>
      <c r="AP27" s="25">
        <f>AP25/100</f>
        <v>0</v>
      </c>
      <c r="AQ27" s="74"/>
      <c r="AR27" s="26">
        <f>AR25/20</f>
        <v>0</v>
      </c>
      <c r="AS27" s="27">
        <f>AS25/120</f>
        <v>1.6813186813186812E-3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0A4C-AC82-411B-8FF8-5C61EF175E09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46116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12.4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7</v>
      </c>
      <c r="U5" s="31">
        <v>20</v>
      </c>
      <c r="V5" s="32">
        <v>0</v>
      </c>
      <c r="W5" s="32">
        <v>1</v>
      </c>
      <c r="X5" s="32">
        <v>40</v>
      </c>
      <c r="Y5" s="73">
        <v>0</v>
      </c>
      <c r="Z5" s="33">
        <v>0</v>
      </c>
      <c r="AA5" s="34">
        <v>4</v>
      </c>
      <c r="AB5" s="34">
        <v>8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0.75</v>
      </c>
      <c r="AL5" s="85">
        <f t="shared" si="1"/>
        <v>0.35</v>
      </c>
      <c r="AM5" s="85">
        <f t="shared" si="1"/>
        <v>0.16666666666666666</v>
      </c>
      <c r="AN5" s="85">
        <f t="shared" si="1"/>
        <v>0</v>
      </c>
      <c r="AO5" s="85">
        <f t="shared" si="1"/>
        <v>0.25</v>
      </c>
      <c r="AP5" s="85"/>
      <c r="AQ5" s="85"/>
      <c r="AR5" s="85"/>
      <c r="AS5" s="85">
        <f t="shared" ref="AS5:AS17" si="2">AA5/L5</f>
        <v>2.2857142857142857E-2</v>
      </c>
      <c r="AT5" s="85"/>
      <c r="AU5" s="85"/>
      <c r="AV5" s="85"/>
      <c r="AW5" s="85"/>
      <c r="AX5" s="85"/>
      <c r="AY5" s="85"/>
    </row>
    <row r="6" spans="2:51" ht="17.399999999999999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50</v>
      </c>
      <c r="T6" s="31">
        <v>25</v>
      </c>
      <c r="U6" s="31">
        <v>180</v>
      </c>
      <c r="V6" s="32">
        <v>2</v>
      </c>
      <c r="W6" s="32">
        <v>2</v>
      </c>
      <c r="X6" s="32">
        <v>100</v>
      </c>
      <c r="Y6" s="73">
        <v>0</v>
      </c>
      <c r="Z6" s="33">
        <v>0</v>
      </c>
      <c r="AA6" s="34">
        <v>35</v>
      </c>
      <c r="AB6" s="34">
        <v>0</v>
      </c>
      <c r="AC6" s="34">
        <v>0</v>
      </c>
      <c r="AD6" s="35">
        <v>0</v>
      </c>
      <c r="AE6" s="34">
        <v>0</v>
      </c>
      <c r="AF6" s="34">
        <v>2</v>
      </c>
      <c r="AG6" s="34">
        <v>0</v>
      </c>
      <c r="AH6" s="21" t="s">
        <v>107</v>
      </c>
      <c r="AI6" s="22"/>
      <c r="AK6" s="85">
        <f t="shared" si="1"/>
        <v>1.25</v>
      </c>
      <c r="AL6" s="85">
        <f t="shared" si="1"/>
        <v>1.25</v>
      </c>
      <c r="AM6" s="85">
        <f t="shared" si="1"/>
        <v>1.5</v>
      </c>
      <c r="AN6" s="85">
        <f t="shared" si="1"/>
        <v>0.2857142857142857</v>
      </c>
      <c r="AO6" s="85">
        <f t="shared" si="1"/>
        <v>0.5</v>
      </c>
      <c r="AP6" s="85"/>
      <c r="AQ6" s="85"/>
      <c r="AR6" s="85"/>
      <c r="AS6" s="85">
        <f t="shared" si="2"/>
        <v>0.2</v>
      </c>
      <c r="AT6" s="85"/>
      <c r="AU6" s="85"/>
      <c r="AV6" s="85"/>
      <c r="AW6" s="85"/>
      <c r="AX6" s="85"/>
      <c r="AY6" s="85"/>
    </row>
    <row r="7" spans="2:51" ht="17.399999999999999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35</v>
      </c>
      <c r="T7" s="31">
        <v>30</v>
      </c>
      <c r="U7" s="31">
        <v>150</v>
      </c>
      <c r="V7" s="32">
        <v>11</v>
      </c>
      <c r="W7" s="32">
        <v>10</v>
      </c>
      <c r="X7" s="32">
        <v>98</v>
      </c>
      <c r="Y7" s="73">
        <v>16</v>
      </c>
      <c r="Z7" s="33">
        <v>0</v>
      </c>
      <c r="AA7" s="34">
        <v>65</v>
      </c>
      <c r="AB7" s="34">
        <v>0</v>
      </c>
      <c r="AC7" s="34">
        <v>0</v>
      </c>
      <c r="AD7" s="35">
        <v>0</v>
      </c>
      <c r="AE7" s="34">
        <v>0</v>
      </c>
      <c r="AF7" s="34">
        <v>7</v>
      </c>
      <c r="AG7" s="34">
        <v>0</v>
      </c>
      <c r="AH7" s="21"/>
      <c r="AI7" s="22"/>
      <c r="AK7" s="85">
        <f t="shared" si="1"/>
        <v>0.875</v>
      </c>
      <c r="AL7" s="85">
        <f t="shared" si="1"/>
        <v>1.5</v>
      </c>
      <c r="AM7" s="85">
        <f t="shared" si="1"/>
        <v>1.25</v>
      </c>
      <c r="AN7" s="85">
        <f t="shared" si="1"/>
        <v>1.5714285714285714</v>
      </c>
      <c r="AO7" s="85">
        <f t="shared" si="1"/>
        <v>2.5</v>
      </c>
      <c r="AP7" s="85"/>
      <c r="AQ7" s="85"/>
      <c r="AR7" s="85"/>
      <c r="AS7" s="85">
        <f t="shared" si="2"/>
        <v>0.37142857142857144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20</v>
      </c>
      <c r="T8" s="31">
        <v>15</v>
      </c>
      <c r="U8" s="31">
        <v>30</v>
      </c>
      <c r="V8" s="32">
        <v>0</v>
      </c>
      <c r="W8" s="32">
        <v>0</v>
      </c>
      <c r="X8" s="32">
        <v>90</v>
      </c>
      <c r="Y8" s="73">
        <v>0</v>
      </c>
      <c r="Z8" s="33">
        <v>0</v>
      </c>
      <c r="AA8" s="34">
        <v>20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 t="s">
        <v>104</v>
      </c>
      <c r="AI8" s="22"/>
      <c r="AK8" s="85">
        <f t="shared" si="1"/>
        <v>0.5</v>
      </c>
      <c r="AL8" s="85">
        <f t="shared" si="1"/>
        <v>0.75</v>
      </c>
      <c r="AM8" s="85">
        <f t="shared" si="1"/>
        <v>0.25</v>
      </c>
      <c r="AN8" s="85">
        <f t="shared" si="1"/>
        <v>0</v>
      </c>
      <c r="AO8" s="85">
        <f t="shared" si="1"/>
        <v>0</v>
      </c>
      <c r="AP8" s="85"/>
      <c r="AQ8" s="85"/>
      <c r="AR8" s="85"/>
      <c r="AS8" s="85">
        <f t="shared" si="2"/>
        <v>0.11428571428571428</v>
      </c>
      <c r="AT8" s="85"/>
      <c r="AU8" s="85"/>
      <c r="AV8" s="85"/>
      <c r="AW8" s="85"/>
      <c r="AX8" s="85"/>
      <c r="AY8" s="85"/>
    </row>
    <row r="9" spans="2:51" ht="17.399999999999999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36</v>
      </c>
      <c r="T9" s="31">
        <v>30</v>
      </c>
      <c r="U9" s="31">
        <v>165</v>
      </c>
      <c r="V9" s="32">
        <v>11</v>
      </c>
      <c r="W9" s="32">
        <v>10</v>
      </c>
      <c r="X9" s="32">
        <v>98</v>
      </c>
      <c r="Y9" s="73">
        <v>14</v>
      </c>
      <c r="Z9" s="33">
        <v>0</v>
      </c>
      <c r="AA9" s="34">
        <v>65</v>
      </c>
      <c r="AB9" s="34">
        <v>0</v>
      </c>
      <c r="AC9" s="34">
        <v>0</v>
      </c>
      <c r="AD9" s="35">
        <v>0</v>
      </c>
      <c r="AE9" s="34">
        <v>0</v>
      </c>
      <c r="AF9" s="34">
        <v>7</v>
      </c>
      <c r="AG9" s="34">
        <v>0</v>
      </c>
      <c r="AH9" s="21"/>
      <c r="AI9" s="22"/>
      <c r="AK9" s="85">
        <f t="shared" si="1"/>
        <v>0.9</v>
      </c>
      <c r="AL9" s="85">
        <f t="shared" si="1"/>
        <v>1.5</v>
      </c>
      <c r="AM9" s="85">
        <f t="shared" si="1"/>
        <v>1.375</v>
      </c>
      <c r="AN9" s="85">
        <f t="shared" si="1"/>
        <v>1.5714285714285714</v>
      </c>
      <c r="AO9" s="85">
        <f t="shared" si="1"/>
        <v>2.5</v>
      </c>
      <c r="AP9" s="85"/>
      <c r="AQ9" s="85"/>
      <c r="AR9" s="85"/>
      <c r="AS9" s="85">
        <f t="shared" si="2"/>
        <v>0.37142857142857144</v>
      </c>
      <c r="AT9" s="85"/>
      <c r="AU9" s="85"/>
      <c r="AV9" s="85"/>
      <c r="AW9" s="85"/>
      <c r="AX9" s="85"/>
      <c r="AY9" s="85"/>
    </row>
    <row r="10" spans="2:51" ht="17.399999999999999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30</v>
      </c>
      <c r="T10" s="31">
        <v>21</v>
      </c>
      <c r="U10" s="31">
        <v>210</v>
      </c>
      <c r="V10" s="32">
        <v>4</v>
      </c>
      <c r="W10" s="32">
        <v>5</v>
      </c>
      <c r="X10" s="32">
        <v>36</v>
      </c>
      <c r="Y10" s="73">
        <v>15</v>
      </c>
      <c r="Z10" s="33">
        <v>0</v>
      </c>
      <c r="AA10" s="34">
        <v>44</v>
      </c>
      <c r="AB10" s="34">
        <v>0</v>
      </c>
      <c r="AC10" s="34">
        <v>0</v>
      </c>
      <c r="AD10" s="35">
        <v>2</v>
      </c>
      <c r="AE10" s="34">
        <v>0</v>
      </c>
      <c r="AF10" s="34">
        <v>5</v>
      </c>
      <c r="AG10" s="34">
        <v>0</v>
      </c>
      <c r="AH10" s="21"/>
      <c r="AI10" s="22"/>
      <c r="AK10" s="85">
        <f t="shared" si="1"/>
        <v>0.75</v>
      </c>
      <c r="AL10" s="85">
        <f t="shared" si="1"/>
        <v>1.05</v>
      </c>
      <c r="AM10" s="85">
        <f t="shared" si="1"/>
        <v>1.75</v>
      </c>
      <c r="AN10" s="85">
        <f t="shared" si="1"/>
        <v>0.5714285714285714</v>
      </c>
      <c r="AO10" s="85">
        <f t="shared" si="1"/>
        <v>1.25</v>
      </c>
      <c r="AP10" s="85"/>
      <c r="AQ10" s="85"/>
      <c r="AR10" s="85"/>
      <c r="AS10" s="85">
        <f t="shared" si="2"/>
        <v>0.25142857142857145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40</v>
      </c>
      <c r="U11" s="31">
        <v>650</v>
      </c>
      <c r="V11" s="32">
        <v>16</v>
      </c>
      <c r="W11" s="32">
        <v>22</v>
      </c>
      <c r="X11" s="32">
        <v>50</v>
      </c>
      <c r="Y11" s="73">
        <v>122</v>
      </c>
      <c r="Z11" s="33">
        <v>0</v>
      </c>
      <c r="AA11" s="34">
        <v>240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/>
      <c r="AK11" s="85">
        <f t="shared" si="1"/>
        <v>1.25</v>
      </c>
      <c r="AL11" s="85">
        <f t="shared" si="1"/>
        <v>2</v>
      </c>
      <c r="AM11" s="85">
        <f t="shared" si="1"/>
        <v>5.416666666666667</v>
      </c>
      <c r="AN11" s="85">
        <f t="shared" si="1"/>
        <v>2.2857142857142856</v>
      </c>
      <c r="AO11" s="85">
        <f t="shared" si="1"/>
        <v>5.5</v>
      </c>
      <c r="AP11" s="85"/>
      <c r="AQ11" s="85"/>
      <c r="AR11" s="85"/>
      <c r="AS11" s="85">
        <f t="shared" si="2"/>
        <v>1.3714285714285714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30</v>
      </c>
      <c r="T12" s="31">
        <v>24</v>
      </c>
      <c r="U12" s="31">
        <v>311</v>
      </c>
      <c r="V12" s="32">
        <v>3</v>
      </c>
      <c r="W12" s="32">
        <v>2</v>
      </c>
      <c r="X12" s="32">
        <v>100</v>
      </c>
      <c r="Y12" s="73">
        <v>0</v>
      </c>
      <c r="Z12" s="33">
        <v>0</v>
      </c>
      <c r="AA12" s="34">
        <v>100</v>
      </c>
      <c r="AB12" s="34">
        <v>0</v>
      </c>
      <c r="AC12" s="34">
        <v>0</v>
      </c>
      <c r="AD12" s="35">
        <v>0</v>
      </c>
      <c r="AE12" s="34">
        <v>0</v>
      </c>
      <c r="AF12" s="34">
        <v>4</v>
      </c>
      <c r="AG12" s="34">
        <v>0</v>
      </c>
      <c r="AH12" s="21" t="s">
        <v>103</v>
      </c>
      <c r="AI12" s="22"/>
      <c r="AK12" s="85">
        <f t="shared" si="1"/>
        <v>0.75</v>
      </c>
      <c r="AL12" s="85">
        <f t="shared" si="1"/>
        <v>1.2</v>
      </c>
      <c r="AM12" s="85">
        <f t="shared" si="1"/>
        <v>2.5916666666666668</v>
      </c>
      <c r="AN12" s="85">
        <f t="shared" si="1"/>
        <v>0.42857142857142855</v>
      </c>
      <c r="AO12" s="85">
        <f t="shared" si="1"/>
        <v>0.5</v>
      </c>
      <c r="AP12" s="85"/>
      <c r="AQ12" s="85"/>
      <c r="AR12" s="85"/>
      <c r="AS12" s="85">
        <f t="shared" si="2"/>
        <v>0.5714285714285714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60</v>
      </c>
      <c r="T13" s="31">
        <v>25</v>
      </c>
      <c r="U13" s="31">
        <v>158</v>
      </c>
      <c r="V13" s="32">
        <v>11</v>
      </c>
      <c r="W13" s="32">
        <v>10</v>
      </c>
      <c r="X13" s="32">
        <v>69</v>
      </c>
      <c r="Y13" s="73">
        <v>25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/>
      <c r="AK13" s="85">
        <f t="shared" si="1"/>
        <v>1.5</v>
      </c>
      <c r="AL13" s="85">
        <f t="shared" si="1"/>
        <v>1.25</v>
      </c>
      <c r="AM13" s="85">
        <f t="shared" si="1"/>
        <v>1.3166666666666667</v>
      </c>
      <c r="AN13" s="85">
        <f t="shared" si="1"/>
        <v>1.5714285714285714</v>
      </c>
      <c r="AO13" s="85">
        <f t="shared" si="1"/>
        <v>2.5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50</v>
      </c>
      <c r="T14" s="31">
        <v>30</v>
      </c>
      <c r="U14" s="31">
        <v>300</v>
      </c>
      <c r="V14" s="32">
        <v>2</v>
      </c>
      <c r="W14" s="32">
        <v>2</v>
      </c>
      <c r="X14" s="32">
        <v>110</v>
      </c>
      <c r="Y14" s="73">
        <v>9</v>
      </c>
      <c r="Z14" s="33">
        <v>0</v>
      </c>
      <c r="AA14" s="34">
        <v>98</v>
      </c>
      <c r="AB14" s="34">
        <v>0</v>
      </c>
      <c r="AC14" s="34">
        <v>0</v>
      </c>
      <c r="AD14" s="35">
        <v>0</v>
      </c>
      <c r="AE14" s="34">
        <v>0</v>
      </c>
      <c r="AF14" s="34">
        <v>2</v>
      </c>
      <c r="AG14" s="34">
        <v>0</v>
      </c>
      <c r="AH14" s="21"/>
      <c r="AI14" s="22"/>
      <c r="AK14" s="85">
        <f t="shared" si="1"/>
        <v>1.25</v>
      </c>
      <c r="AL14" s="85">
        <f t="shared" si="1"/>
        <v>1.5</v>
      </c>
      <c r="AM14" s="85">
        <f t="shared" si="1"/>
        <v>2.5</v>
      </c>
      <c r="AN14" s="85">
        <f t="shared" si="1"/>
        <v>0.2857142857142857</v>
      </c>
      <c r="AO14" s="85">
        <f t="shared" si="1"/>
        <v>0.5</v>
      </c>
      <c r="AP14" s="85"/>
      <c r="AQ14" s="85"/>
      <c r="AR14" s="85"/>
      <c r="AS14" s="85">
        <f t="shared" si="2"/>
        <v>0.56000000000000005</v>
      </c>
      <c r="AT14" s="85"/>
      <c r="AU14" s="85"/>
      <c r="AV14" s="85"/>
      <c r="AW14" s="85"/>
      <c r="AX14" s="85"/>
      <c r="AY14" s="85"/>
    </row>
    <row r="15" spans="2:51" ht="17.399999999999999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30</v>
      </c>
      <c r="T15" s="31">
        <v>20</v>
      </c>
      <c r="U15" s="31">
        <v>90</v>
      </c>
      <c r="V15" s="32">
        <v>2</v>
      </c>
      <c r="W15" s="32">
        <v>3</v>
      </c>
      <c r="X15" s="32">
        <v>30</v>
      </c>
      <c r="Y15" s="73">
        <v>13</v>
      </c>
      <c r="Z15" s="33">
        <v>0</v>
      </c>
      <c r="AA15" s="34">
        <v>30</v>
      </c>
      <c r="AB15" s="34">
        <v>0</v>
      </c>
      <c r="AC15" s="34">
        <v>0</v>
      </c>
      <c r="AD15" s="35">
        <v>0</v>
      </c>
      <c r="AE15" s="34">
        <v>0</v>
      </c>
      <c r="AF15" s="34">
        <v>3</v>
      </c>
      <c r="AG15" s="34">
        <v>0</v>
      </c>
      <c r="AH15" s="21"/>
      <c r="AI15" s="22"/>
      <c r="AK15" s="85">
        <f t="shared" si="1"/>
        <v>0.75</v>
      </c>
      <c r="AL15" s="85">
        <f t="shared" si="1"/>
        <v>1</v>
      </c>
      <c r="AM15" s="85">
        <f t="shared" si="1"/>
        <v>0.75</v>
      </c>
      <c r="AN15" s="85">
        <f t="shared" si="1"/>
        <v>0.2857142857142857</v>
      </c>
      <c r="AO15" s="85">
        <f t="shared" si="1"/>
        <v>0.75</v>
      </c>
      <c r="AP15" s="85"/>
      <c r="AQ15" s="85"/>
      <c r="AR15" s="85"/>
      <c r="AS15" s="85">
        <f t="shared" si="2"/>
        <v>0.17142857142857143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35</v>
      </c>
      <c r="T16" s="31">
        <v>15</v>
      </c>
      <c r="U16" s="31">
        <v>0</v>
      </c>
      <c r="V16" s="32">
        <v>0</v>
      </c>
      <c r="W16" s="32">
        <v>0</v>
      </c>
      <c r="X16" s="32">
        <v>120</v>
      </c>
      <c r="Y16" s="73">
        <v>0</v>
      </c>
      <c r="Z16" s="33">
        <v>0</v>
      </c>
      <c r="AA16" s="34">
        <v>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107" t="s">
        <v>106</v>
      </c>
      <c r="AI16" s="22"/>
      <c r="AK16" s="85">
        <f t="shared" si="1"/>
        <v>0.875</v>
      </c>
      <c r="AL16" s="85">
        <f t="shared" si="1"/>
        <v>0.75</v>
      </c>
      <c r="AM16" s="85">
        <f t="shared" si="1"/>
        <v>0</v>
      </c>
      <c r="AN16" s="85">
        <f t="shared" si="1"/>
        <v>0</v>
      </c>
      <c r="AO16" s="85">
        <f t="shared" si="1"/>
        <v>0</v>
      </c>
      <c r="AP16" s="85"/>
      <c r="AQ16" s="85"/>
      <c r="AR16" s="85"/>
      <c r="AS16" s="85">
        <f t="shared" si="2"/>
        <v>0</v>
      </c>
      <c r="AT16" s="85"/>
      <c r="AU16" s="85"/>
      <c r="AV16" s="85"/>
      <c r="AW16" s="85"/>
      <c r="AX16" s="85"/>
      <c r="AY16" s="85"/>
    </row>
    <row r="17" spans="1:51" ht="17.399999999999999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60</v>
      </c>
      <c r="T17" s="31">
        <v>55</v>
      </c>
      <c r="U17" s="31">
        <v>329</v>
      </c>
      <c r="V17" s="32">
        <v>200</v>
      </c>
      <c r="W17" s="32">
        <v>20</v>
      </c>
      <c r="X17" s="32">
        <v>400</v>
      </c>
      <c r="Y17" s="73">
        <v>86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12</v>
      </c>
      <c r="AG17" s="34">
        <v>0</v>
      </c>
      <c r="AH17" s="21"/>
      <c r="AI17" s="22"/>
      <c r="AK17" s="85">
        <f t="shared" si="1"/>
        <v>1.5</v>
      </c>
      <c r="AL17" s="85">
        <f t="shared" si="1"/>
        <v>2.75</v>
      </c>
      <c r="AM17" s="85">
        <f t="shared" si="1"/>
        <v>2.7416666666666667</v>
      </c>
      <c r="AN17" s="85">
        <f t="shared" si="1"/>
        <v>28.571428571428573</v>
      </c>
      <c r="AO17" s="85">
        <f t="shared" si="1"/>
        <v>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 t="s">
        <v>125</v>
      </c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516</v>
      </c>
      <c r="T25" s="61">
        <f t="shared" si="3"/>
        <v>337</v>
      </c>
      <c r="U25" s="61">
        <f t="shared" si="3"/>
        <v>2593</v>
      </c>
      <c r="V25" s="61">
        <f t="shared" si="3"/>
        <v>262</v>
      </c>
      <c r="W25" s="61">
        <f t="shared" si="3"/>
        <v>87</v>
      </c>
      <c r="X25" s="61">
        <f t="shared" si="3"/>
        <v>1341</v>
      </c>
      <c r="Y25" s="61">
        <f t="shared" si="3"/>
        <v>300</v>
      </c>
      <c r="Z25" s="61">
        <f t="shared" si="3"/>
        <v>0</v>
      </c>
      <c r="AA25" s="61">
        <f t="shared" si="3"/>
        <v>701</v>
      </c>
      <c r="AB25" s="61">
        <f t="shared" si="3"/>
        <v>8</v>
      </c>
      <c r="AC25" s="61">
        <f t="shared" si="3"/>
        <v>0</v>
      </c>
      <c r="AD25" s="61">
        <f t="shared" si="3"/>
        <v>2</v>
      </c>
      <c r="AE25" s="61">
        <f t="shared" si="3"/>
        <v>0</v>
      </c>
      <c r="AF25" s="61">
        <f t="shared" si="3"/>
        <v>42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0.99230769230769234</v>
      </c>
      <c r="AL25" s="85">
        <f t="shared" si="4"/>
        <v>1.2961538461538462</v>
      </c>
      <c r="AM25" s="85">
        <f t="shared" si="4"/>
        <v>1.6621794871794873</v>
      </c>
      <c r="AN25" s="85">
        <f t="shared" si="4"/>
        <v>2.8791208791208791</v>
      </c>
      <c r="AO25" s="85">
        <f t="shared" si="4"/>
        <v>1.6730769230769231</v>
      </c>
      <c r="AP25" s="85"/>
      <c r="AQ25" s="85"/>
      <c r="AR25" s="85"/>
      <c r="AS25" s="85">
        <f t="shared" ref="AS25" si="5">AA25/L25</f>
        <v>0.30813186813186816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516</v>
      </c>
      <c r="T27" s="24">
        <f>T25</f>
        <v>337</v>
      </c>
      <c r="U27" s="24">
        <f>U25/120</f>
        <v>21.608333333333334</v>
      </c>
      <c r="V27" s="25">
        <f>V25/6</f>
        <v>43.666666666666664</v>
      </c>
      <c r="W27" s="25">
        <f>W25/10</f>
        <v>8.6999999999999993</v>
      </c>
      <c r="X27" s="25">
        <f>X25/100</f>
        <v>13.41</v>
      </c>
      <c r="Y27" s="74">
        <f>Y25/20</f>
        <v>15</v>
      </c>
      <c r="Z27" s="26">
        <f>Z25/60</f>
        <v>0</v>
      </c>
      <c r="AA27" s="27">
        <f>AA25/120</f>
        <v>5.8416666666666668</v>
      </c>
      <c r="AB27" s="27">
        <f>AB25/100</f>
        <v>0.08</v>
      </c>
      <c r="AC27" s="27">
        <f>AC25/60</f>
        <v>0</v>
      </c>
      <c r="AD27" s="27">
        <f>AD25</f>
        <v>2</v>
      </c>
      <c r="AE27" s="27">
        <f t="shared" ref="AE27:AG27" si="7">AE25</f>
        <v>0</v>
      </c>
      <c r="AF27" s="27">
        <f t="shared" si="7"/>
        <v>42</v>
      </c>
      <c r="AG27" s="27">
        <f t="shared" si="7"/>
        <v>0</v>
      </c>
      <c r="AH27" s="23"/>
      <c r="AI27" s="28"/>
      <c r="AK27" s="24"/>
      <c r="AL27" s="23"/>
      <c r="AM27" s="24">
        <f>AM25/120</f>
        <v>1.3851495726495727E-2</v>
      </c>
      <c r="AN27" s="25">
        <f>AN25/6</f>
        <v>0.47985347985347987</v>
      </c>
      <c r="AO27" s="25">
        <f>AO25/20</f>
        <v>8.3653846153846162E-2</v>
      </c>
      <c r="AP27" s="25">
        <f>AP25/100</f>
        <v>0</v>
      </c>
      <c r="AQ27" s="74"/>
      <c r="AR27" s="26">
        <f>AR25/20</f>
        <v>0</v>
      </c>
      <c r="AS27" s="27">
        <f>AS25/120</f>
        <v>2.5677655677655681E-3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12B3-6147-4FF1-940F-243ACF8AEC82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46119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05.2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17.399999999999999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15</v>
      </c>
      <c r="T5" s="31">
        <v>6</v>
      </c>
      <c r="U5" s="31">
        <v>20</v>
      </c>
      <c r="V5" s="32">
        <v>0</v>
      </c>
      <c r="W5" s="32">
        <v>3</v>
      </c>
      <c r="X5" s="32">
        <v>30</v>
      </c>
      <c r="Y5" s="73">
        <v>1</v>
      </c>
      <c r="Z5" s="33">
        <v>0</v>
      </c>
      <c r="AA5" s="34">
        <v>0</v>
      </c>
      <c r="AB5" s="34">
        <v>4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5">
        <f t="shared" ref="AK5:AO17" si="1">S5/D5</f>
        <v>0.375</v>
      </c>
      <c r="AL5" s="85">
        <f t="shared" si="1"/>
        <v>0.3</v>
      </c>
      <c r="AM5" s="85">
        <f t="shared" si="1"/>
        <v>0.16666666666666666</v>
      </c>
      <c r="AN5" s="85">
        <f t="shared" si="1"/>
        <v>0</v>
      </c>
      <c r="AO5" s="85">
        <f t="shared" si="1"/>
        <v>0.75</v>
      </c>
      <c r="AP5" s="85"/>
      <c r="AQ5" s="85"/>
      <c r="AR5" s="85"/>
      <c r="AS5" s="85">
        <f t="shared" ref="AS5:AS17" si="2">AA5/L5</f>
        <v>0</v>
      </c>
      <c r="AT5" s="85"/>
      <c r="AU5" s="85"/>
      <c r="AV5" s="85"/>
      <c r="AW5" s="85"/>
      <c r="AX5" s="85"/>
      <c r="AY5" s="85"/>
    </row>
    <row r="6" spans="2:51" ht="34.799999999999997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56</v>
      </c>
      <c r="T6" s="31">
        <v>30</v>
      </c>
      <c r="U6" s="31">
        <v>185</v>
      </c>
      <c r="V6" s="32">
        <v>6</v>
      </c>
      <c r="W6" s="32">
        <v>7</v>
      </c>
      <c r="X6" s="32">
        <v>145</v>
      </c>
      <c r="Y6" s="73">
        <v>0</v>
      </c>
      <c r="Z6" s="33">
        <v>0</v>
      </c>
      <c r="AA6" s="34">
        <v>148</v>
      </c>
      <c r="AB6" s="34">
        <v>0</v>
      </c>
      <c r="AC6" s="34">
        <v>0</v>
      </c>
      <c r="AD6" s="35">
        <v>0</v>
      </c>
      <c r="AE6" s="34">
        <v>0</v>
      </c>
      <c r="AF6" s="34">
        <v>5</v>
      </c>
      <c r="AG6" s="34">
        <v>0</v>
      </c>
      <c r="AH6" s="21"/>
      <c r="AI6" s="22" t="s">
        <v>108</v>
      </c>
      <c r="AK6" s="85">
        <f t="shared" si="1"/>
        <v>1.4</v>
      </c>
      <c r="AL6" s="85">
        <f t="shared" si="1"/>
        <v>1.5</v>
      </c>
      <c r="AM6" s="85">
        <f t="shared" si="1"/>
        <v>1.5416666666666667</v>
      </c>
      <c r="AN6" s="85">
        <f t="shared" si="1"/>
        <v>0.8571428571428571</v>
      </c>
      <c r="AO6" s="85">
        <f t="shared" si="1"/>
        <v>1.75</v>
      </c>
      <c r="AP6" s="85"/>
      <c r="AQ6" s="85"/>
      <c r="AR6" s="85"/>
      <c r="AS6" s="85">
        <f t="shared" si="2"/>
        <v>0.84571428571428575</v>
      </c>
      <c r="AT6" s="85"/>
      <c r="AU6" s="85"/>
      <c r="AV6" s="85"/>
      <c r="AW6" s="85"/>
      <c r="AX6" s="85"/>
      <c r="AY6" s="85"/>
    </row>
    <row r="7" spans="2:51" ht="34.799999999999997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50</v>
      </c>
      <c r="T7" s="31">
        <v>30</v>
      </c>
      <c r="U7" s="31">
        <v>150</v>
      </c>
      <c r="V7" s="32">
        <v>13</v>
      </c>
      <c r="W7" s="32">
        <v>22</v>
      </c>
      <c r="X7" s="32">
        <v>40</v>
      </c>
      <c r="Y7" s="73">
        <v>20</v>
      </c>
      <c r="Z7" s="33">
        <v>0</v>
      </c>
      <c r="AA7" s="34">
        <v>80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 t="s">
        <v>109</v>
      </c>
      <c r="AK7" s="85">
        <f t="shared" si="1"/>
        <v>1.25</v>
      </c>
      <c r="AL7" s="85">
        <f t="shared" si="1"/>
        <v>1.5</v>
      </c>
      <c r="AM7" s="85">
        <f t="shared" si="1"/>
        <v>1.25</v>
      </c>
      <c r="AN7" s="85">
        <f t="shared" si="1"/>
        <v>1.8571428571428572</v>
      </c>
      <c r="AO7" s="85">
        <f t="shared" si="1"/>
        <v>5.5</v>
      </c>
      <c r="AP7" s="85"/>
      <c r="AQ7" s="85"/>
      <c r="AR7" s="85"/>
      <c r="AS7" s="85">
        <f t="shared" si="2"/>
        <v>0.45714285714285713</v>
      </c>
      <c r="AT7" s="85"/>
      <c r="AU7" s="85"/>
      <c r="AV7" s="85"/>
      <c r="AW7" s="85"/>
      <c r="AX7" s="85"/>
      <c r="AY7" s="85"/>
    </row>
    <row r="8" spans="2:51" ht="17.399999999999999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35</v>
      </c>
      <c r="T8" s="31">
        <v>20</v>
      </c>
      <c r="U8" s="31">
        <v>40</v>
      </c>
      <c r="V8" s="32">
        <v>0</v>
      </c>
      <c r="W8" s="32">
        <v>3</v>
      </c>
      <c r="X8" s="32">
        <v>60</v>
      </c>
      <c r="Y8" s="73">
        <v>0</v>
      </c>
      <c r="Z8" s="33">
        <v>0</v>
      </c>
      <c r="AA8" s="34">
        <v>40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 t="s">
        <v>110</v>
      </c>
      <c r="AK8" s="85">
        <f t="shared" si="1"/>
        <v>0.875</v>
      </c>
      <c r="AL8" s="85">
        <f t="shared" si="1"/>
        <v>1</v>
      </c>
      <c r="AM8" s="85">
        <f t="shared" si="1"/>
        <v>0.33333333333333331</v>
      </c>
      <c r="AN8" s="85">
        <f t="shared" si="1"/>
        <v>0</v>
      </c>
      <c r="AO8" s="85">
        <f t="shared" si="1"/>
        <v>0.75</v>
      </c>
      <c r="AP8" s="85"/>
      <c r="AQ8" s="85"/>
      <c r="AR8" s="85"/>
      <c r="AS8" s="85">
        <f t="shared" si="2"/>
        <v>0.22857142857142856</v>
      </c>
      <c r="AT8" s="85"/>
      <c r="AU8" s="85"/>
      <c r="AV8" s="85"/>
      <c r="AW8" s="85"/>
      <c r="AX8" s="85"/>
      <c r="AY8" s="85"/>
    </row>
    <row r="9" spans="2:51" ht="34.799999999999997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24</v>
      </c>
      <c r="T9" s="31">
        <v>15</v>
      </c>
      <c r="U9" s="31">
        <v>0</v>
      </c>
      <c r="V9" s="32">
        <v>9</v>
      </c>
      <c r="W9" s="32">
        <v>8</v>
      </c>
      <c r="X9" s="32">
        <v>63</v>
      </c>
      <c r="Y9" s="73">
        <v>15</v>
      </c>
      <c r="Z9" s="33">
        <v>0</v>
      </c>
      <c r="AA9" s="34">
        <v>64</v>
      </c>
      <c r="AB9" s="34">
        <v>0</v>
      </c>
      <c r="AC9" s="34">
        <v>0</v>
      </c>
      <c r="AD9" s="35">
        <v>0</v>
      </c>
      <c r="AE9" s="34">
        <v>0</v>
      </c>
      <c r="AF9" s="34">
        <v>4</v>
      </c>
      <c r="AG9" s="34">
        <v>0</v>
      </c>
      <c r="AH9" s="21"/>
      <c r="AI9" s="22" t="s">
        <v>111</v>
      </c>
      <c r="AK9" s="85">
        <f t="shared" si="1"/>
        <v>0.6</v>
      </c>
      <c r="AL9" s="85">
        <f t="shared" si="1"/>
        <v>0.75</v>
      </c>
      <c r="AM9" s="85">
        <f t="shared" si="1"/>
        <v>0</v>
      </c>
      <c r="AN9" s="85">
        <f t="shared" si="1"/>
        <v>1.2857142857142858</v>
      </c>
      <c r="AO9" s="85">
        <f t="shared" si="1"/>
        <v>2</v>
      </c>
      <c r="AP9" s="85"/>
      <c r="AQ9" s="85"/>
      <c r="AR9" s="85"/>
      <c r="AS9" s="85">
        <f t="shared" si="2"/>
        <v>0.36571428571428571</v>
      </c>
      <c r="AT9" s="85"/>
      <c r="AU9" s="85"/>
      <c r="AV9" s="85"/>
      <c r="AW9" s="85"/>
      <c r="AX9" s="85"/>
      <c r="AY9" s="85"/>
    </row>
    <row r="10" spans="2:51" ht="34.799999999999997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40</v>
      </c>
      <c r="T10" s="31">
        <v>21</v>
      </c>
      <c r="U10" s="31">
        <v>180</v>
      </c>
      <c r="V10" s="32">
        <v>1</v>
      </c>
      <c r="W10" s="32">
        <v>6</v>
      </c>
      <c r="X10" s="32">
        <v>43</v>
      </c>
      <c r="Y10" s="73">
        <v>6</v>
      </c>
      <c r="Z10" s="33">
        <v>0</v>
      </c>
      <c r="AA10" s="34">
        <v>42</v>
      </c>
      <c r="AB10" s="34">
        <v>0</v>
      </c>
      <c r="AC10" s="34">
        <v>0</v>
      </c>
      <c r="AD10" s="35">
        <v>2</v>
      </c>
      <c r="AE10" s="34">
        <v>0</v>
      </c>
      <c r="AF10" s="34">
        <v>7</v>
      </c>
      <c r="AG10" s="34">
        <v>0</v>
      </c>
      <c r="AH10" s="21"/>
      <c r="AI10" s="22" t="s">
        <v>112</v>
      </c>
      <c r="AK10" s="85">
        <f t="shared" si="1"/>
        <v>1</v>
      </c>
      <c r="AL10" s="85">
        <f t="shared" si="1"/>
        <v>1.05</v>
      </c>
      <c r="AM10" s="85">
        <f t="shared" si="1"/>
        <v>1.5</v>
      </c>
      <c r="AN10" s="85">
        <f t="shared" si="1"/>
        <v>0.14285714285714285</v>
      </c>
      <c r="AO10" s="85">
        <f t="shared" si="1"/>
        <v>1.5</v>
      </c>
      <c r="AP10" s="85"/>
      <c r="AQ10" s="85"/>
      <c r="AR10" s="85"/>
      <c r="AS10" s="85">
        <f t="shared" si="2"/>
        <v>0.24</v>
      </c>
      <c r="AT10" s="85"/>
      <c r="AU10" s="85"/>
      <c r="AV10" s="85"/>
      <c r="AW10" s="85"/>
      <c r="AX10" s="85"/>
      <c r="AY10" s="85"/>
    </row>
    <row r="11" spans="2:51" ht="17.399999999999999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50</v>
      </c>
      <c r="T11" s="31">
        <v>28</v>
      </c>
      <c r="U11" s="31">
        <v>360</v>
      </c>
      <c r="V11" s="32">
        <v>10</v>
      </c>
      <c r="W11" s="32">
        <v>18</v>
      </c>
      <c r="X11" s="32">
        <v>100</v>
      </c>
      <c r="Y11" s="73">
        <v>30</v>
      </c>
      <c r="Z11" s="33">
        <v>0</v>
      </c>
      <c r="AA11" s="34">
        <v>120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 t="s">
        <v>113</v>
      </c>
      <c r="AK11" s="85">
        <f t="shared" si="1"/>
        <v>1.25</v>
      </c>
      <c r="AL11" s="85">
        <f t="shared" si="1"/>
        <v>1.4</v>
      </c>
      <c r="AM11" s="85">
        <f t="shared" si="1"/>
        <v>3</v>
      </c>
      <c r="AN11" s="85">
        <f t="shared" si="1"/>
        <v>1.4285714285714286</v>
      </c>
      <c r="AO11" s="85">
        <f t="shared" si="1"/>
        <v>4.5</v>
      </c>
      <c r="AP11" s="85"/>
      <c r="AQ11" s="85"/>
      <c r="AR11" s="85"/>
      <c r="AS11" s="85">
        <f t="shared" si="2"/>
        <v>0.68571428571428572</v>
      </c>
      <c r="AT11" s="85"/>
      <c r="AU11" s="85"/>
      <c r="AV11" s="85"/>
      <c r="AW11" s="85"/>
      <c r="AX11" s="85"/>
      <c r="AY11" s="85"/>
    </row>
    <row r="12" spans="2:51" ht="17.399999999999999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44</v>
      </c>
      <c r="T12" s="31">
        <v>30</v>
      </c>
      <c r="U12" s="31">
        <v>245</v>
      </c>
      <c r="V12" s="32">
        <v>5</v>
      </c>
      <c r="W12" s="32">
        <v>3</v>
      </c>
      <c r="X12" s="32">
        <v>100</v>
      </c>
      <c r="Y12" s="73">
        <v>0</v>
      </c>
      <c r="Z12" s="33">
        <v>0</v>
      </c>
      <c r="AA12" s="34">
        <v>142</v>
      </c>
      <c r="AB12" s="34">
        <v>0</v>
      </c>
      <c r="AC12" s="34">
        <v>0</v>
      </c>
      <c r="AD12" s="35">
        <v>0</v>
      </c>
      <c r="AE12" s="34">
        <v>0</v>
      </c>
      <c r="AF12" s="34">
        <v>5</v>
      </c>
      <c r="AG12" s="34">
        <v>0</v>
      </c>
      <c r="AH12" s="21"/>
      <c r="AI12" s="22" t="s">
        <v>114</v>
      </c>
      <c r="AK12" s="85">
        <f t="shared" si="1"/>
        <v>1.1000000000000001</v>
      </c>
      <c r="AL12" s="85">
        <f t="shared" si="1"/>
        <v>1.5</v>
      </c>
      <c r="AM12" s="85">
        <f t="shared" si="1"/>
        <v>2.0416666666666665</v>
      </c>
      <c r="AN12" s="85">
        <f t="shared" si="1"/>
        <v>0.7142857142857143</v>
      </c>
      <c r="AO12" s="85">
        <f t="shared" si="1"/>
        <v>0.75</v>
      </c>
      <c r="AP12" s="85"/>
      <c r="AQ12" s="85"/>
      <c r="AR12" s="85"/>
      <c r="AS12" s="85">
        <f t="shared" si="2"/>
        <v>0.81142857142857139</v>
      </c>
      <c r="AT12" s="85"/>
      <c r="AU12" s="85"/>
      <c r="AV12" s="85"/>
      <c r="AW12" s="85"/>
      <c r="AX12" s="85"/>
      <c r="AY12" s="85"/>
    </row>
    <row r="13" spans="2:51" ht="17.399999999999999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33</v>
      </c>
      <c r="T13" s="31">
        <v>20</v>
      </c>
      <c r="U13" s="31">
        <v>108</v>
      </c>
      <c r="V13" s="32">
        <v>3</v>
      </c>
      <c r="W13" s="32">
        <v>9</v>
      </c>
      <c r="X13" s="32">
        <v>39</v>
      </c>
      <c r="Y13" s="73">
        <v>14</v>
      </c>
      <c r="Z13" s="33">
        <v>0</v>
      </c>
      <c r="AA13" s="34">
        <v>0</v>
      </c>
      <c r="AB13" s="34">
        <v>0</v>
      </c>
      <c r="AC13" s="34">
        <v>0</v>
      </c>
      <c r="AD13" s="35">
        <v>0</v>
      </c>
      <c r="AE13" s="34">
        <v>0</v>
      </c>
      <c r="AF13" s="34">
        <v>0</v>
      </c>
      <c r="AG13" s="34">
        <v>0</v>
      </c>
      <c r="AH13" s="21"/>
      <c r="AI13" s="22" t="s">
        <v>115</v>
      </c>
      <c r="AK13" s="85">
        <f t="shared" si="1"/>
        <v>0.82499999999999996</v>
      </c>
      <c r="AL13" s="85">
        <f t="shared" si="1"/>
        <v>1</v>
      </c>
      <c r="AM13" s="85">
        <f t="shared" si="1"/>
        <v>0.9</v>
      </c>
      <c r="AN13" s="85">
        <f t="shared" si="1"/>
        <v>0.42857142857142855</v>
      </c>
      <c r="AO13" s="85">
        <f t="shared" si="1"/>
        <v>2.25</v>
      </c>
      <c r="AP13" s="85"/>
      <c r="AQ13" s="85"/>
      <c r="AR13" s="85"/>
      <c r="AS13" s="85">
        <f t="shared" si="2"/>
        <v>0</v>
      </c>
      <c r="AT13" s="85"/>
      <c r="AU13" s="85"/>
      <c r="AV13" s="85"/>
      <c r="AW13" s="85"/>
      <c r="AX13" s="85"/>
      <c r="AY13" s="85"/>
    </row>
    <row r="14" spans="2:51" ht="17.399999999999999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47</v>
      </c>
      <c r="T14" s="31">
        <v>34</v>
      </c>
      <c r="U14" s="31">
        <v>140</v>
      </c>
      <c r="V14" s="32">
        <v>2</v>
      </c>
      <c r="W14" s="32">
        <v>2</v>
      </c>
      <c r="X14" s="32">
        <v>160</v>
      </c>
      <c r="Y14" s="73">
        <v>9</v>
      </c>
      <c r="Z14" s="33">
        <v>0</v>
      </c>
      <c r="AA14" s="34">
        <v>65</v>
      </c>
      <c r="AB14" s="34">
        <v>0</v>
      </c>
      <c r="AC14" s="34">
        <v>0</v>
      </c>
      <c r="AD14" s="35">
        <v>0</v>
      </c>
      <c r="AE14" s="34">
        <v>0</v>
      </c>
      <c r="AF14" s="34">
        <v>2</v>
      </c>
      <c r="AG14" s="34">
        <v>0</v>
      </c>
      <c r="AH14" s="21"/>
      <c r="AI14" s="22" t="s">
        <v>116</v>
      </c>
      <c r="AK14" s="85">
        <f t="shared" si="1"/>
        <v>1.175</v>
      </c>
      <c r="AL14" s="85">
        <f t="shared" si="1"/>
        <v>1.7</v>
      </c>
      <c r="AM14" s="85">
        <f t="shared" si="1"/>
        <v>1.1666666666666667</v>
      </c>
      <c r="AN14" s="85">
        <f t="shared" si="1"/>
        <v>0.2857142857142857</v>
      </c>
      <c r="AO14" s="85">
        <f t="shared" si="1"/>
        <v>0.5</v>
      </c>
      <c r="AP14" s="85"/>
      <c r="AQ14" s="85"/>
      <c r="AR14" s="85"/>
      <c r="AS14" s="85">
        <f t="shared" si="2"/>
        <v>0.37142857142857144</v>
      </c>
      <c r="AT14" s="85"/>
      <c r="AU14" s="85"/>
      <c r="AV14" s="85"/>
      <c r="AW14" s="85"/>
      <c r="AX14" s="85"/>
      <c r="AY14" s="85"/>
    </row>
    <row r="15" spans="2:51" ht="34.799999999999997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40</v>
      </c>
      <c r="T15" s="31">
        <v>20</v>
      </c>
      <c r="U15" s="31">
        <v>120</v>
      </c>
      <c r="V15" s="32">
        <v>5</v>
      </c>
      <c r="W15" s="32">
        <v>1</v>
      </c>
      <c r="X15" s="32">
        <v>30</v>
      </c>
      <c r="Y15" s="73">
        <v>10</v>
      </c>
      <c r="Z15" s="33">
        <v>0</v>
      </c>
      <c r="AA15" s="34">
        <v>30</v>
      </c>
      <c r="AB15" s="34">
        <v>0</v>
      </c>
      <c r="AC15" s="34">
        <v>0</v>
      </c>
      <c r="AD15" s="35">
        <v>0</v>
      </c>
      <c r="AE15" s="34">
        <v>0</v>
      </c>
      <c r="AF15" s="34">
        <v>6</v>
      </c>
      <c r="AG15" s="34">
        <v>0</v>
      </c>
      <c r="AH15" s="21"/>
      <c r="AI15" s="22" t="s">
        <v>117</v>
      </c>
      <c r="AK15" s="85">
        <f t="shared" si="1"/>
        <v>1</v>
      </c>
      <c r="AL15" s="85">
        <f t="shared" si="1"/>
        <v>1</v>
      </c>
      <c r="AM15" s="85">
        <f t="shared" si="1"/>
        <v>1</v>
      </c>
      <c r="AN15" s="85">
        <f t="shared" si="1"/>
        <v>0.7142857142857143</v>
      </c>
      <c r="AO15" s="85">
        <f t="shared" si="1"/>
        <v>0.25</v>
      </c>
      <c r="AP15" s="85"/>
      <c r="AQ15" s="85"/>
      <c r="AR15" s="85"/>
      <c r="AS15" s="85">
        <f t="shared" si="2"/>
        <v>0.17142857142857143</v>
      </c>
      <c r="AT15" s="85"/>
      <c r="AU15" s="85"/>
      <c r="AV15" s="85"/>
      <c r="AW15" s="85"/>
      <c r="AX15" s="85"/>
      <c r="AY15" s="85"/>
    </row>
    <row r="16" spans="2:51" ht="17.399999999999999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44</v>
      </c>
      <c r="T16" s="31">
        <v>34</v>
      </c>
      <c r="U16" s="31">
        <v>98</v>
      </c>
      <c r="V16" s="32">
        <v>6</v>
      </c>
      <c r="W16" s="32">
        <v>0</v>
      </c>
      <c r="X16" s="32">
        <v>60</v>
      </c>
      <c r="Y16" s="73">
        <v>0</v>
      </c>
      <c r="Z16" s="33">
        <v>0</v>
      </c>
      <c r="AA16" s="34">
        <v>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/>
      <c r="AI16" s="22" t="s">
        <v>118</v>
      </c>
      <c r="AK16" s="85">
        <f t="shared" si="1"/>
        <v>1.1000000000000001</v>
      </c>
      <c r="AL16" s="85">
        <f t="shared" si="1"/>
        <v>1.7</v>
      </c>
      <c r="AM16" s="85">
        <f t="shared" si="1"/>
        <v>0.81666666666666665</v>
      </c>
      <c r="AN16" s="85">
        <f t="shared" si="1"/>
        <v>0.8571428571428571</v>
      </c>
      <c r="AO16" s="85">
        <f t="shared" si="1"/>
        <v>0</v>
      </c>
      <c r="AP16" s="85"/>
      <c r="AQ16" s="85"/>
      <c r="AR16" s="85"/>
      <c r="AS16" s="85">
        <f t="shared" si="2"/>
        <v>0</v>
      </c>
      <c r="AT16" s="85"/>
      <c r="AU16" s="85"/>
      <c r="AV16" s="85"/>
      <c r="AW16" s="85"/>
      <c r="AX16" s="85"/>
      <c r="AY16" s="85"/>
    </row>
    <row r="17" spans="1:51" ht="34.799999999999997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45</v>
      </c>
      <c r="T17" s="31">
        <v>35</v>
      </c>
      <c r="U17" s="31">
        <v>100</v>
      </c>
      <c r="V17" s="32">
        <v>34</v>
      </c>
      <c r="W17" s="32">
        <v>20</v>
      </c>
      <c r="X17" s="32">
        <v>180</v>
      </c>
      <c r="Y17" s="73">
        <v>50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1</v>
      </c>
      <c r="AG17" s="34">
        <v>0</v>
      </c>
      <c r="AH17" s="21"/>
      <c r="AI17" s="22" t="s">
        <v>119</v>
      </c>
      <c r="AK17" s="85">
        <f t="shared" si="1"/>
        <v>1.125</v>
      </c>
      <c r="AL17" s="85">
        <f t="shared" si="1"/>
        <v>1.75</v>
      </c>
      <c r="AM17" s="85">
        <f t="shared" si="1"/>
        <v>0.83333333333333337</v>
      </c>
      <c r="AN17" s="85">
        <f t="shared" si="1"/>
        <v>4.8571428571428568</v>
      </c>
      <c r="AO17" s="85">
        <f t="shared" si="1"/>
        <v>5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523</v>
      </c>
      <c r="T25" s="61">
        <f t="shared" si="3"/>
        <v>323</v>
      </c>
      <c r="U25" s="61">
        <f t="shared" si="3"/>
        <v>1746</v>
      </c>
      <c r="V25" s="61">
        <f t="shared" si="3"/>
        <v>94</v>
      </c>
      <c r="W25" s="61">
        <f t="shared" si="3"/>
        <v>102</v>
      </c>
      <c r="X25" s="61">
        <f t="shared" si="3"/>
        <v>1050</v>
      </c>
      <c r="Y25" s="61">
        <f t="shared" si="3"/>
        <v>155</v>
      </c>
      <c r="Z25" s="61">
        <f t="shared" si="3"/>
        <v>0</v>
      </c>
      <c r="AA25" s="61">
        <f t="shared" si="3"/>
        <v>731</v>
      </c>
      <c r="AB25" s="61">
        <f t="shared" si="3"/>
        <v>4</v>
      </c>
      <c r="AC25" s="61">
        <f t="shared" si="3"/>
        <v>0</v>
      </c>
      <c r="AD25" s="61">
        <f t="shared" si="3"/>
        <v>2</v>
      </c>
      <c r="AE25" s="61">
        <f t="shared" si="3"/>
        <v>0</v>
      </c>
      <c r="AF25" s="61">
        <f t="shared" si="3"/>
        <v>30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1.0057692307692307</v>
      </c>
      <c r="AL25" s="85">
        <f t="shared" si="4"/>
        <v>1.2423076923076923</v>
      </c>
      <c r="AM25" s="85">
        <f t="shared" si="4"/>
        <v>1.1192307692307693</v>
      </c>
      <c r="AN25" s="85">
        <f t="shared" si="4"/>
        <v>1.0329670329670331</v>
      </c>
      <c r="AO25" s="85">
        <f t="shared" si="4"/>
        <v>1.9615384615384615</v>
      </c>
      <c r="AP25" s="85"/>
      <c r="AQ25" s="85"/>
      <c r="AR25" s="85"/>
      <c r="AS25" s="85">
        <f t="shared" ref="AS25" si="5">AA25/L25</f>
        <v>0.3213186813186813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523</v>
      </c>
      <c r="T27" s="24">
        <f>T25</f>
        <v>323</v>
      </c>
      <c r="U27" s="24">
        <f>U25/120</f>
        <v>14.55</v>
      </c>
      <c r="V27" s="25">
        <f>V25/6</f>
        <v>15.666666666666666</v>
      </c>
      <c r="W27" s="25">
        <f>W25/10</f>
        <v>10.199999999999999</v>
      </c>
      <c r="X27" s="25">
        <f>X25/100</f>
        <v>10.5</v>
      </c>
      <c r="Y27" s="74">
        <f>Y25/20</f>
        <v>7.75</v>
      </c>
      <c r="Z27" s="26">
        <f>Z25/60</f>
        <v>0</v>
      </c>
      <c r="AA27" s="27">
        <f>AA25/120</f>
        <v>6.0916666666666668</v>
      </c>
      <c r="AB27" s="27">
        <f>AB25/100</f>
        <v>0.04</v>
      </c>
      <c r="AC27" s="27">
        <f>AC25/60</f>
        <v>0</v>
      </c>
      <c r="AD27" s="27">
        <f>AD25</f>
        <v>2</v>
      </c>
      <c r="AE27" s="27">
        <f t="shared" ref="AE27:AG27" si="7">AE25</f>
        <v>0</v>
      </c>
      <c r="AF27" s="27">
        <f t="shared" si="7"/>
        <v>30</v>
      </c>
      <c r="AG27" s="27">
        <f t="shared" si="7"/>
        <v>0</v>
      </c>
      <c r="AH27" s="23"/>
      <c r="AI27" s="28"/>
      <c r="AK27" s="24"/>
      <c r="AL27" s="23"/>
      <c r="AM27" s="24">
        <f>AM25/120</f>
        <v>9.3269230769230764E-3</v>
      </c>
      <c r="AN27" s="25">
        <f>AN25/6</f>
        <v>0.17216117216117219</v>
      </c>
      <c r="AO27" s="25">
        <f>AO25/20</f>
        <v>9.8076923076923075E-2</v>
      </c>
      <c r="AP27" s="25">
        <f>AP25/100</f>
        <v>0</v>
      </c>
      <c r="AQ27" s="74"/>
      <c r="AR27" s="26">
        <f>AR25/20</f>
        <v>0</v>
      </c>
      <c r="AS27" s="27">
        <f>AS25/120</f>
        <v>2.6776556776556774E-3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3A0-B23B-4533-B41F-D1F0C3DDC362}">
  <dimension ref="A1:AY27"/>
  <sheetViews>
    <sheetView tabSelected="1" topLeftCell="B1" zoomScale="50" zoomScaleNormal="50" workbookViewId="0">
      <pane xSplit="2" ySplit="4" topLeftCell="D11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17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7">
        <v>46120</v>
      </c>
      <c r="D2" s="123" t="s">
        <v>55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56</v>
      </c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K2" s="128" t="s">
        <v>57</v>
      </c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ht="18" thickBot="1" x14ac:dyDescent="0.3">
      <c r="B3" s="131" t="s">
        <v>1</v>
      </c>
      <c r="C3" s="133" t="s">
        <v>2</v>
      </c>
      <c r="D3" s="5" t="s">
        <v>3</v>
      </c>
      <c r="E3" s="6" t="str">
        <f>T3</f>
        <v>Acheteurs</v>
      </c>
      <c r="F3" s="135" t="s">
        <v>4</v>
      </c>
      <c r="G3" s="135"/>
      <c r="H3" s="135"/>
      <c r="I3" s="135"/>
      <c r="J3" s="136"/>
      <c r="K3" s="56"/>
      <c r="L3" s="137" t="s">
        <v>5</v>
      </c>
      <c r="M3" s="138"/>
      <c r="N3" s="139"/>
      <c r="O3" s="68"/>
      <c r="P3" s="68"/>
      <c r="Q3" s="68"/>
      <c r="R3" s="68"/>
      <c r="S3" s="7" t="s">
        <v>3</v>
      </c>
      <c r="T3" s="7" t="s">
        <v>6</v>
      </c>
      <c r="U3" s="140" t="s">
        <v>7</v>
      </c>
      <c r="V3" s="141"/>
      <c r="W3" s="141"/>
      <c r="X3" s="141"/>
      <c r="Y3" s="141"/>
      <c r="Z3" s="142"/>
      <c r="AA3" s="143" t="str">
        <f>L3</f>
        <v>Gratuités pour achats 
(en unités)</v>
      </c>
      <c r="AB3" s="144"/>
      <c r="AC3" s="145"/>
      <c r="AD3" s="143" t="s">
        <v>19</v>
      </c>
      <c r="AE3" s="144"/>
      <c r="AF3" s="144"/>
      <c r="AG3" s="145"/>
      <c r="AH3" s="146" t="s">
        <v>8</v>
      </c>
      <c r="AI3" s="148" t="s">
        <v>9</v>
      </c>
      <c r="AK3" s="77" t="s">
        <v>3</v>
      </c>
      <c r="AL3" s="77" t="s">
        <v>6</v>
      </c>
      <c r="AM3" s="150" t="s">
        <v>7</v>
      </c>
      <c r="AN3" s="151"/>
      <c r="AO3" s="151"/>
      <c r="AP3" s="151"/>
      <c r="AQ3" s="151"/>
      <c r="AR3" s="152"/>
      <c r="AS3" s="153" t="str">
        <f>AD3</f>
        <v>GOODIES</v>
      </c>
      <c r="AT3" s="154"/>
      <c r="AU3" s="155"/>
      <c r="AV3" s="153" t="s">
        <v>19</v>
      </c>
      <c r="AW3" s="154"/>
      <c r="AX3" s="154"/>
      <c r="AY3" s="155"/>
    </row>
    <row r="4" spans="2:51" ht="205.2" thickBot="1" x14ac:dyDescent="0.3">
      <c r="B4" s="132"/>
      <c r="C4" s="134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1" t="s">
        <v>45</v>
      </c>
      <c r="L4" s="10" t="s">
        <v>10</v>
      </c>
      <c r="M4" s="69" t="s">
        <v>13</v>
      </c>
      <c r="N4" s="11" t="s">
        <v>44</v>
      </c>
      <c r="O4" s="69" t="s">
        <v>46</v>
      </c>
      <c r="P4" s="69" t="s">
        <v>47</v>
      </c>
      <c r="Q4" s="69" t="s">
        <v>48</v>
      </c>
      <c r="R4" s="69" t="s">
        <v>49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2" t="s">
        <v>14</v>
      </c>
      <c r="Z4" s="15" t="s">
        <v>45</v>
      </c>
      <c r="AA4" s="13" t="s">
        <v>10</v>
      </c>
      <c r="AB4" s="70" t="s">
        <v>13</v>
      </c>
      <c r="AC4" s="14" t="s">
        <v>45</v>
      </c>
      <c r="AD4" s="29" t="s">
        <v>74</v>
      </c>
      <c r="AE4" s="14" t="s">
        <v>75</v>
      </c>
      <c r="AF4" s="14" t="s">
        <v>73</v>
      </c>
      <c r="AG4" s="30" t="s">
        <v>76</v>
      </c>
      <c r="AH4" s="147"/>
      <c r="AI4" s="149"/>
      <c r="AK4" s="78" t="s">
        <v>15</v>
      </c>
      <c r="AL4" s="78" t="s">
        <v>16</v>
      </c>
      <c r="AM4" s="78" t="s">
        <v>10</v>
      </c>
      <c r="AN4" s="78" t="s">
        <v>11</v>
      </c>
      <c r="AO4" s="78" t="s">
        <v>12</v>
      </c>
      <c r="AP4" s="79" t="s">
        <v>13</v>
      </c>
      <c r="AQ4" s="80" t="s">
        <v>14</v>
      </c>
      <c r="AR4" s="81" t="s">
        <v>45</v>
      </c>
      <c r="AS4" s="78" t="s">
        <v>10</v>
      </c>
      <c r="AT4" s="82" t="s">
        <v>13</v>
      </c>
      <c r="AU4" s="79" t="s">
        <v>45</v>
      </c>
      <c r="AV4" s="83" t="s">
        <v>46</v>
      </c>
      <c r="AW4" s="79" t="s">
        <v>47</v>
      </c>
      <c r="AX4" s="79" t="s">
        <v>48</v>
      </c>
      <c r="AY4" s="84" t="s">
        <v>54</v>
      </c>
    </row>
    <row r="5" spans="2:51" ht="52.2" x14ac:dyDescent="0.25">
      <c r="B5" s="16" t="s">
        <v>59</v>
      </c>
      <c r="C5" s="16" t="s">
        <v>60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17" si="0"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7</v>
      </c>
      <c r="U5" s="31">
        <v>20</v>
      </c>
      <c r="V5" s="32">
        <v>0</v>
      </c>
      <c r="W5" s="32">
        <v>1</v>
      </c>
      <c r="X5" s="32">
        <v>40</v>
      </c>
      <c r="Y5" s="73">
        <v>0</v>
      </c>
      <c r="Z5" s="33">
        <v>0</v>
      </c>
      <c r="AA5" s="34">
        <v>4</v>
      </c>
      <c r="AB5" s="34">
        <v>8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 t="s">
        <v>121</v>
      </c>
      <c r="AK5" s="85">
        <f t="shared" ref="AK5:AO17" si="1">S5/D5</f>
        <v>0.75</v>
      </c>
      <c r="AL5" s="85">
        <f t="shared" si="1"/>
        <v>0.35</v>
      </c>
      <c r="AM5" s="85">
        <f t="shared" si="1"/>
        <v>0.16666666666666666</v>
      </c>
      <c r="AN5" s="85">
        <f t="shared" si="1"/>
        <v>0</v>
      </c>
      <c r="AO5" s="85">
        <f t="shared" si="1"/>
        <v>0.25</v>
      </c>
      <c r="AP5" s="85"/>
      <c r="AQ5" s="85"/>
      <c r="AR5" s="85"/>
      <c r="AS5" s="85">
        <f t="shared" ref="AS5:AS17" si="2">AA5/L5</f>
        <v>2.2857142857142857E-2</v>
      </c>
      <c r="AT5" s="85"/>
      <c r="AU5" s="85"/>
      <c r="AV5" s="85"/>
      <c r="AW5" s="85"/>
      <c r="AX5" s="85"/>
      <c r="AY5" s="85"/>
    </row>
    <row r="6" spans="2:51" ht="52.2" x14ac:dyDescent="0.25">
      <c r="B6" s="16" t="s">
        <v>59</v>
      </c>
      <c r="C6" s="16" t="s">
        <v>61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45</v>
      </c>
      <c r="T6" s="31">
        <v>35</v>
      </c>
      <c r="U6" s="31">
        <v>175</v>
      </c>
      <c r="V6" s="32">
        <v>1</v>
      </c>
      <c r="W6" s="32">
        <v>3</v>
      </c>
      <c r="X6" s="32">
        <v>160</v>
      </c>
      <c r="Y6" s="73">
        <v>0</v>
      </c>
      <c r="Z6" s="33">
        <v>0</v>
      </c>
      <c r="AA6" s="34">
        <v>104</v>
      </c>
      <c r="AB6" s="34">
        <v>0</v>
      </c>
      <c r="AC6" s="34">
        <v>0</v>
      </c>
      <c r="AD6" s="35">
        <v>0</v>
      </c>
      <c r="AE6" s="34">
        <v>0</v>
      </c>
      <c r="AF6" s="34">
        <v>11</v>
      </c>
      <c r="AG6" s="34">
        <v>0</v>
      </c>
      <c r="AH6" s="21"/>
      <c r="AI6" s="22" t="s">
        <v>122</v>
      </c>
      <c r="AK6" s="85">
        <f t="shared" si="1"/>
        <v>1.125</v>
      </c>
      <c r="AL6" s="85">
        <f t="shared" si="1"/>
        <v>1.75</v>
      </c>
      <c r="AM6" s="85">
        <f t="shared" si="1"/>
        <v>1.4583333333333333</v>
      </c>
      <c r="AN6" s="85">
        <f t="shared" si="1"/>
        <v>0.14285714285714285</v>
      </c>
      <c r="AO6" s="85">
        <f t="shared" si="1"/>
        <v>0.75</v>
      </c>
      <c r="AP6" s="85"/>
      <c r="AQ6" s="85"/>
      <c r="AR6" s="85"/>
      <c r="AS6" s="85">
        <f t="shared" si="2"/>
        <v>0.59428571428571431</v>
      </c>
      <c r="AT6" s="85"/>
      <c r="AU6" s="85"/>
      <c r="AV6" s="85"/>
      <c r="AW6" s="85"/>
      <c r="AX6" s="85"/>
      <c r="AY6" s="85"/>
    </row>
    <row r="7" spans="2:51" ht="34.799999999999997" x14ac:dyDescent="0.25">
      <c r="B7" s="16" t="s">
        <v>59</v>
      </c>
      <c r="C7" s="16" t="s">
        <v>62</v>
      </c>
      <c r="D7" s="17">
        <v>40</v>
      </c>
      <c r="E7" s="18">
        <v>20</v>
      </c>
      <c r="F7" s="17">
        <v>120</v>
      </c>
      <c r="G7" s="19">
        <v>7</v>
      </c>
      <c r="H7" s="19">
        <v>4</v>
      </c>
      <c r="I7" s="19">
        <v>0</v>
      </c>
      <c r="J7" s="18">
        <v>0</v>
      </c>
      <c r="K7" s="20">
        <v>0</v>
      </c>
      <c r="L7" s="20">
        <f t="shared" si="0"/>
        <v>175</v>
      </c>
      <c r="M7" s="20"/>
      <c r="N7" s="20">
        <v>0</v>
      </c>
      <c r="O7" s="19"/>
      <c r="P7" s="19"/>
      <c r="Q7" s="19"/>
      <c r="R7" s="18"/>
      <c r="S7" s="31">
        <v>35</v>
      </c>
      <c r="T7" s="31">
        <v>22</v>
      </c>
      <c r="U7" s="31">
        <v>200</v>
      </c>
      <c r="V7" s="32">
        <v>6</v>
      </c>
      <c r="W7" s="32">
        <v>15</v>
      </c>
      <c r="X7" s="32">
        <v>25</v>
      </c>
      <c r="Y7" s="73">
        <v>15</v>
      </c>
      <c r="Z7" s="33">
        <v>0</v>
      </c>
      <c r="AA7" s="34">
        <v>40</v>
      </c>
      <c r="AB7" s="34">
        <v>0</v>
      </c>
      <c r="AC7" s="34">
        <v>0</v>
      </c>
      <c r="AD7" s="35">
        <v>0</v>
      </c>
      <c r="AE7" s="34">
        <v>0</v>
      </c>
      <c r="AF7" s="34">
        <v>0</v>
      </c>
      <c r="AG7" s="34">
        <v>0</v>
      </c>
      <c r="AH7" s="21"/>
      <c r="AI7" s="22" t="s">
        <v>123</v>
      </c>
      <c r="AK7" s="85">
        <f t="shared" si="1"/>
        <v>0.875</v>
      </c>
      <c r="AL7" s="85">
        <f t="shared" si="1"/>
        <v>1.1000000000000001</v>
      </c>
      <c r="AM7" s="85">
        <f t="shared" si="1"/>
        <v>1.6666666666666667</v>
      </c>
      <c r="AN7" s="85">
        <f t="shared" si="1"/>
        <v>0.8571428571428571</v>
      </c>
      <c r="AO7" s="85">
        <f t="shared" si="1"/>
        <v>3.75</v>
      </c>
      <c r="AP7" s="85"/>
      <c r="AQ7" s="85"/>
      <c r="AR7" s="85"/>
      <c r="AS7" s="85">
        <f t="shared" si="2"/>
        <v>0.22857142857142856</v>
      </c>
      <c r="AT7" s="85"/>
      <c r="AU7" s="85"/>
      <c r="AV7" s="85"/>
      <c r="AW7" s="85"/>
      <c r="AX7" s="85"/>
      <c r="AY7" s="85"/>
    </row>
    <row r="8" spans="2:51" ht="34.799999999999997" x14ac:dyDescent="0.25">
      <c r="B8" s="16" t="s">
        <v>59</v>
      </c>
      <c r="C8" s="16" t="s">
        <v>63</v>
      </c>
      <c r="D8" s="17">
        <v>40</v>
      </c>
      <c r="E8" s="18">
        <v>20</v>
      </c>
      <c r="F8" s="17">
        <v>120</v>
      </c>
      <c r="G8" s="19">
        <v>7</v>
      </c>
      <c r="H8" s="19">
        <v>4</v>
      </c>
      <c r="I8" s="19">
        <v>0</v>
      </c>
      <c r="J8" s="18">
        <v>0</v>
      </c>
      <c r="K8" s="20">
        <v>0</v>
      </c>
      <c r="L8" s="20">
        <f t="shared" si="0"/>
        <v>175</v>
      </c>
      <c r="M8" s="20"/>
      <c r="N8" s="20">
        <v>0</v>
      </c>
      <c r="O8" s="19"/>
      <c r="P8" s="19"/>
      <c r="Q8" s="19"/>
      <c r="R8" s="18"/>
      <c r="S8" s="31">
        <v>20</v>
      </c>
      <c r="T8" s="31">
        <v>18</v>
      </c>
      <c r="U8" s="31">
        <v>50</v>
      </c>
      <c r="V8" s="32">
        <v>3</v>
      </c>
      <c r="W8" s="32">
        <v>3</v>
      </c>
      <c r="X8" s="32">
        <v>30</v>
      </c>
      <c r="Y8" s="73">
        <v>0</v>
      </c>
      <c r="Z8" s="33">
        <v>0</v>
      </c>
      <c r="AA8" s="34">
        <v>40</v>
      </c>
      <c r="AB8" s="34">
        <v>0</v>
      </c>
      <c r="AC8" s="34">
        <v>0</v>
      </c>
      <c r="AD8" s="35">
        <v>0</v>
      </c>
      <c r="AE8" s="34">
        <v>0</v>
      </c>
      <c r="AF8" s="34">
        <v>0</v>
      </c>
      <c r="AG8" s="34">
        <v>0</v>
      </c>
      <c r="AH8" s="21"/>
      <c r="AI8" s="22" t="s">
        <v>124</v>
      </c>
      <c r="AK8" s="85">
        <f t="shared" si="1"/>
        <v>0.5</v>
      </c>
      <c r="AL8" s="85">
        <f t="shared" si="1"/>
        <v>0.9</v>
      </c>
      <c r="AM8" s="85">
        <f t="shared" si="1"/>
        <v>0.41666666666666669</v>
      </c>
      <c r="AN8" s="85">
        <f t="shared" si="1"/>
        <v>0.42857142857142855</v>
      </c>
      <c r="AO8" s="85">
        <f t="shared" si="1"/>
        <v>0.75</v>
      </c>
      <c r="AP8" s="85"/>
      <c r="AQ8" s="85"/>
      <c r="AR8" s="85"/>
      <c r="AS8" s="85">
        <f t="shared" si="2"/>
        <v>0.22857142857142856</v>
      </c>
      <c r="AT8" s="85"/>
      <c r="AU8" s="85"/>
      <c r="AV8" s="85"/>
      <c r="AW8" s="85"/>
      <c r="AX8" s="85"/>
      <c r="AY8" s="85"/>
    </row>
    <row r="9" spans="2:51" ht="52.2" x14ac:dyDescent="0.25">
      <c r="B9" s="16" t="s">
        <v>59</v>
      </c>
      <c r="C9" s="16" t="s">
        <v>64</v>
      </c>
      <c r="D9" s="17">
        <v>40</v>
      </c>
      <c r="E9" s="18">
        <v>20</v>
      </c>
      <c r="F9" s="17">
        <v>120</v>
      </c>
      <c r="G9" s="19">
        <v>7</v>
      </c>
      <c r="H9" s="19">
        <v>4</v>
      </c>
      <c r="I9" s="19">
        <v>0</v>
      </c>
      <c r="J9" s="18">
        <v>0</v>
      </c>
      <c r="K9" s="20">
        <v>0</v>
      </c>
      <c r="L9" s="20">
        <f t="shared" si="0"/>
        <v>175</v>
      </c>
      <c r="M9" s="20"/>
      <c r="N9" s="20">
        <v>0</v>
      </c>
      <c r="O9" s="19"/>
      <c r="P9" s="19"/>
      <c r="Q9" s="19"/>
      <c r="R9" s="18"/>
      <c r="S9" s="31">
        <v>30</v>
      </c>
      <c r="T9" s="31">
        <v>15</v>
      </c>
      <c r="U9" s="31">
        <v>0</v>
      </c>
      <c r="V9" s="32">
        <v>8</v>
      </c>
      <c r="W9" s="32">
        <v>6</v>
      </c>
      <c r="X9" s="32">
        <v>99</v>
      </c>
      <c r="Y9" s="73">
        <v>15</v>
      </c>
      <c r="Z9" s="33">
        <v>0</v>
      </c>
      <c r="AA9" s="34">
        <v>53</v>
      </c>
      <c r="AB9" s="34">
        <v>0</v>
      </c>
      <c r="AC9" s="34">
        <v>0</v>
      </c>
      <c r="AD9" s="35">
        <v>0</v>
      </c>
      <c r="AE9" s="34">
        <v>0</v>
      </c>
      <c r="AF9" s="34">
        <v>5</v>
      </c>
      <c r="AG9" s="34">
        <v>0</v>
      </c>
      <c r="AH9" s="21"/>
      <c r="AI9" s="22" t="s">
        <v>121</v>
      </c>
      <c r="AK9" s="85">
        <f t="shared" si="1"/>
        <v>0.75</v>
      </c>
      <c r="AL9" s="85">
        <f t="shared" si="1"/>
        <v>0.75</v>
      </c>
      <c r="AM9" s="85">
        <f t="shared" si="1"/>
        <v>0</v>
      </c>
      <c r="AN9" s="85">
        <f t="shared" si="1"/>
        <v>1.1428571428571428</v>
      </c>
      <c r="AO9" s="85">
        <f t="shared" si="1"/>
        <v>1.5</v>
      </c>
      <c r="AP9" s="85"/>
      <c r="AQ9" s="85"/>
      <c r="AR9" s="85"/>
      <c r="AS9" s="85">
        <f t="shared" si="2"/>
        <v>0.30285714285714288</v>
      </c>
      <c r="AT9" s="85"/>
      <c r="AU9" s="85"/>
      <c r="AV9" s="85"/>
      <c r="AW9" s="85"/>
      <c r="AX9" s="85"/>
      <c r="AY9" s="85"/>
    </row>
    <row r="10" spans="2:51" ht="52.2" x14ac:dyDescent="0.25">
      <c r="B10" s="16" t="s">
        <v>59</v>
      </c>
      <c r="C10" s="16" t="s">
        <v>65</v>
      </c>
      <c r="D10" s="17">
        <v>40</v>
      </c>
      <c r="E10" s="18">
        <v>20</v>
      </c>
      <c r="F10" s="17">
        <v>120</v>
      </c>
      <c r="G10" s="19">
        <v>7</v>
      </c>
      <c r="H10" s="19">
        <v>4</v>
      </c>
      <c r="I10" s="19">
        <v>0</v>
      </c>
      <c r="J10" s="18">
        <v>0</v>
      </c>
      <c r="K10" s="20">
        <v>0</v>
      </c>
      <c r="L10" s="20">
        <f t="shared" si="0"/>
        <v>175</v>
      </c>
      <c r="M10" s="20"/>
      <c r="N10" s="20">
        <v>0</v>
      </c>
      <c r="O10" s="19"/>
      <c r="P10" s="19"/>
      <c r="Q10" s="19"/>
      <c r="R10" s="18"/>
      <c r="S10" s="31">
        <v>40</v>
      </c>
      <c r="T10" s="31">
        <v>33</v>
      </c>
      <c r="U10" s="31">
        <v>280</v>
      </c>
      <c r="V10" s="32">
        <v>3</v>
      </c>
      <c r="W10" s="32">
        <v>5</v>
      </c>
      <c r="X10" s="32">
        <v>64</v>
      </c>
      <c r="Y10" s="73">
        <v>16</v>
      </c>
      <c r="Z10" s="33">
        <v>0</v>
      </c>
      <c r="AA10" s="34">
        <v>90</v>
      </c>
      <c r="AB10" s="34">
        <v>0</v>
      </c>
      <c r="AC10" s="34">
        <v>0</v>
      </c>
      <c r="AD10" s="35">
        <v>5</v>
      </c>
      <c r="AE10" s="34">
        <v>0</v>
      </c>
      <c r="AF10" s="34">
        <v>9</v>
      </c>
      <c r="AG10" s="34">
        <v>0</v>
      </c>
      <c r="AH10" s="21"/>
      <c r="AI10" s="22" t="s">
        <v>121</v>
      </c>
      <c r="AK10" s="85">
        <f t="shared" si="1"/>
        <v>1</v>
      </c>
      <c r="AL10" s="85">
        <f t="shared" si="1"/>
        <v>1.65</v>
      </c>
      <c r="AM10" s="85">
        <f t="shared" si="1"/>
        <v>2.3333333333333335</v>
      </c>
      <c r="AN10" s="85">
        <f t="shared" si="1"/>
        <v>0.42857142857142855</v>
      </c>
      <c r="AO10" s="85">
        <f t="shared" si="1"/>
        <v>1.25</v>
      </c>
      <c r="AP10" s="85"/>
      <c r="AQ10" s="85"/>
      <c r="AR10" s="85"/>
      <c r="AS10" s="85">
        <f t="shared" si="2"/>
        <v>0.51428571428571423</v>
      </c>
      <c r="AT10" s="85"/>
      <c r="AU10" s="85"/>
      <c r="AV10" s="85"/>
      <c r="AW10" s="85"/>
      <c r="AX10" s="85"/>
      <c r="AY10" s="85"/>
    </row>
    <row r="11" spans="2:51" ht="52.2" x14ac:dyDescent="0.25">
      <c r="B11" s="16" t="s">
        <v>59</v>
      </c>
      <c r="C11" s="16" t="s">
        <v>66</v>
      </c>
      <c r="D11" s="17">
        <v>40</v>
      </c>
      <c r="E11" s="18">
        <v>20</v>
      </c>
      <c r="F11" s="17">
        <v>120</v>
      </c>
      <c r="G11" s="19">
        <v>7</v>
      </c>
      <c r="H11" s="19">
        <v>4</v>
      </c>
      <c r="I11" s="19">
        <v>0</v>
      </c>
      <c r="J11" s="18">
        <v>0</v>
      </c>
      <c r="K11" s="20">
        <v>0</v>
      </c>
      <c r="L11" s="20">
        <f t="shared" si="0"/>
        <v>175</v>
      </c>
      <c r="M11" s="20"/>
      <c r="N11" s="20">
        <v>0</v>
      </c>
      <c r="O11" s="19"/>
      <c r="P11" s="19"/>
      <c r="Q11" s="19"/>
      <c r="R11" s="18"/>
      <c r="S11" s="31">
        <v>39</v>
      </c>
      <c r="T11" s="31">
        <v>27</v>
      </c>
      <c r="U11" s="31">
        <v>320</v>
      </c>
      <c r="V11" s="32">
        <v>40</v>
      </c>
      <c r="W11" s="32">
        <v>20</v>
      </c>
      <c r="X11" s="32">
        <v>180</v>
      </c>
      <c r="Y11" s="73">
        <v>60</v>
      </c>
      <c r="Z11" s="33">
        <v>0</v>
      </c>
      <c r="AA11" s="34">
        <v>240</v>
      </c>
      <c r="AB11" s="34">
        <v>0</v>
      </c>
      <c r="AC11" s="34">
        <v>0</v>
      </c>
      <c r="AD11" s="35">
        <v>0</v>
      </c>
      <c r="AE11" s="34">
        <v>0</v>
      </c>
      <c r="AF11" s="34">
        <v>0</v>
      </c>
      <c r="AG11" s="34">
        <v>0</v>
      </c>
      <c r="AH11" s="21"/>
      <c r="AI11" s="22" t="s">
        <v>121</v>
      </c>
      <c r="AK11" s="85">
        <f t="shared" si="1"/>
        <v>0.97499999999999998</v>
      </c>
      <c r="AL11" s="85">
        <f t="shared" si="1"/>
        <v>1.35</v>
      </c>
      <c r="AM11" s="85">
        <f t="shared" si="1"/>
        <v>2.6666666666666665</v>
      </c>
      <c r="AN11" s="85">
        <f t="shared" si="1"/>
        <v>5.7142857142857144</v>
      </c>
      <c r="AO11" s="85">
        <f t="shared" si="1"/>
        <v>5</v>
      </c>
      <c r="AP11" s="85"/>
      <c r="AQ11" s="85"/>
      <c r="AR11" s="85"/>
      <c r="AS11" s="85">
        <f t="shared" si="2"/>
        <v>1.3714285714285714</v>
      </c>
      <c r="AT11" s="85"/>
      <c r="AU11" s="85"/>
      <c r="AV11" s="85"/>
      <c r="AW11" s="85"/>
      <c r="AX11" s="85"/>
      <c r="AY11" s="85"/>
    </row>
    <row r="12" spans="2:51" ht="52.2" x14ac:dyDescent="0.25">
      <c r="B12" s="16" t="s">
        <v>59</v>
      </c>
      <c r="C12" s="16" t="s">
        <v>67</v>
      </c>
      <c r="D12" s="17">
        <v>40</v>
      </c>
      <c r="E12" s="18">
        <v>20</v>
      </c>
      <c r="F12" s="17">
        <v>120</v>
      </c>
      <c r="G12" s="19">
        <v>7</v>
      </c>
      <c r="H12" s="19">
        <v>4</v>
      </c>
      <c r="I12" s="19">
        <v>0</v>
      </c>
      <c r="J12" s="18">
        <v>0</v>
      </c>
      <c r="K12" s="20">
        <v>0</v>
      </c>
      <c r="L12" s="20">
        <f t="shared" si="0"/>
        <v>175</v>
      </c>
      <c r="M12" s="20"/>
      <c r="N12" s="20">
        <v>0</v>
      </c>
      <c r="O12" s="19"/>
      <c r="P12" s="19"/>
      <c r="Q12" s="19"/>
      <c r="R12" s="18"/>
      <c r="S12" s="31">
        <v>33</v>
      </c>
      <c r="T12" s="31">
        <v>21</v>
      </c>
      <c r="U12" s="31">
        <v>140</v>
      </c>
      <c r="V12" s="32">
        <v>5</v>
      </c>
      <c r="W12" s="32">
        <v>5</v>
      </c>
      <c r="X12" s="32">
        <v>120</v>
      </c>
      <c r="Y12" s="73">
        <v>0</v>
      </c>
      <c r="Z12" s="33">
        <v>0</v>
      </c>
      <c r="AA12" s="34">
        <v>180</v>
      </c>
      <c r="AB12" s="34">
        <v>0</v>
      </c>
      <c r="AC12" s="34">
        <v>0</v>
      </c>
      <c r="AD12" s="35">
        <v>0</v>
      </c>
      <c r="AE12" s="34">
        <v>0</v>
      </c>
      <c r="AF12" s="34">
        <v>1</v>
      </c>
      <c r="AG12" s="34">
        <v>0</v>
      </c>
      <c r="AH12" s="21"/>
      <c r="AI12" s="22" t="s">
        <v>121</v>
      </c>
      <c r="AK12" s="85">
        <f t="shared" si="1"/>
        <v>0.82499999999999996</v>
      </c>
      <c r="AL12" s="85">
        <f t="shared" si="1"/>
        <v>1.05</v>
      </c>
      <c r="AM12" s="85">
        <f t="shared" si="1"/>
        <v>1.1666666666666667</v>
      </c>
      <c r="AN12" s="85">
        <f t="shared" si="1"/>
        <v>0.7142857142857143</v>
      </c>
      <c r="AO12" s="85">
        <f t="shared" si="1"/>
        <v>1.25</v>
      </c>
      <c r="AP12" s="85"/>
      <c r="AQ12" s="85"/>
      <c r="AR12" s="85"/>
      <c r="AS12" s="85">
        <f t="shared" si="2"/>
        <v>1.0285714285714285</v>
      </c>
      <c r="AT12" s="85"/>
      <c r="AU12" s="85"/>
      <c r="AV12" s="85"/>
      <c r="AW12" s="85"/>
      <c r="AX12" s="85"/>
      <c r="AY12" s="85"/>
    </row>
    <row r="13" spans="2:51" ht="52.2" x14ac:dyDescent="0.25">
      <c r="B13" s="16" t="s">
        <v>59</v>
      </c>
      <c r="C13" s="16" t="s">
        <v>68</v>
      </c>
      <c r="D13" s="17">
        <v>40</v>
      </c>
      <c r="E13" s="18">
        <v>20</v>
      </c>
      <c r="F13" s="17">
        <v>120</v>
      </c>
      <c r="G13" s="19">
        <v>7</v>
      </c>
      <c r="H13" s="19">
        <v>4</v>
      </c>
      <c r="I13" s="19">
        <v>0</v>
      </c>
      <c r="J13" s="18">
        <v>0</v>
      </c>
      <c r="K13" s="20">
        <v>0</v>
      </c>
      <c r="L13" s="20">
        <f t="shared" si="0"/>
        <v>175</v>
      </c>
      <c r="M13" s="20"/>
      <c r="N13" s="20">
        <v>0</v>
      </c>
      <c r="O13" s="19"/>
      <c r="P13" s="19"/>
      <c r="Q13" s="19"/>
      <c r="R13" s="18"/>
      <c r="S13" s="31">
        <v>39</v>
      </c>
      <c r="T13" s="31">
        <v>25</v>
      </c>
      <c r="U13" s="31">
        <v>110</v>
      </c>
      <c r="V13" s="32">
        <v>6</v>
      </c>
      <c r="W13" s="32">
        <v>2</v>
      </c>
      <c r="X13" s="32">
        <v>30</v>
      </c>
      <c r="Y13" s="73">
        <v>8</v>
      </c>
      <c r="Z13" s="33">
        <v>0</v>
      </c>
      <c r="AA13" s="34">
        <v>40</v>
      </c>
      <c r="AB13" s="34">
        <v>0</v>
      </c>
      <c r="AC13" s="34">
        <v>0</v>
      </c>
      <c r="AD13" s="35">
        <v>0</v>
      </c>
      <c r="AE13" s="34">
        <v>0</v>
      </c>
      <c r="AF13" s="34">
        <v>6</v>
      </c>
      <c r="AG13" s="34">
        <v>0</v>
      </c>
      <c r="AH13" s="21"/>
      <c r="AI13" s="22" t="s">
        <v>121</v>
      </c>
      <c r="AK13" s="85">
        <f t="shared" si="1"/>
        <v>0.97499999999999998</v>
      </c>
      <c r="AL13" s="85">
        <f t="shared" si="1"/>
        <v>1.25</v>
      </c>
      <c r="AM13" s="85">
        <f t="shared" si="1"/>
        <v>0.91666666666666663</v>
      </c>
      <c r="AN13" s="85">
        <f t="shared" si="1"/>
        <v>0.8571428571428571</v>
      </c>
      <c r="AO13" s="85">
        <f t="shared" si="1"/>
        <v>0.5</v>
      </c>
      <c r="AP13" s="85"/>
      <c r="AQ13" s="85"/>
      <c r="AR13" s="85"/>
      <c r="AS13" s="85">
        <f t="shared" si="2"/>
        <v>0.22857142857142856</v>
      </c>
      <c r="AT13" s="85"/>
      <c r="AU13" s="85"/>
      <c r="AV13" s="85"/>
      <c r="AW13" s="85"/>
      <c r="AX13" s="85"/>
      <c r="AY13" s="85"/>
    </row>
    <row r="14" spans="2:51" ht="52.2" x14ac:dyDescent="0.25">
      <c r="B14" s="16" t="s">
        <v>59</v>
      </c>
      <c r="C14" s="16" t="s">
        <v>69</v>
      </c>
      <c r="D14" s="17">
        <v>40</v>
      </c>
      <c r="E14" s="18">
        <v>20</v>
      </c>
      <c r="F14" s="17">
        <v>120</v>
      </c>
      <c r="G14" s="19">
        <v>7</v>
      </c>
      <c r="H14" s="19">
        <v>4</v>
      </c>
      <c r="I14" s="19">
        <v>0</v>
      </c>
      <c r="J14" s="18">
        <v>0</v>
      </c>
      <c r="K14" s="20">
        <v>0</v>
      </c>
      <c r="L14" s="20">
        <f t="shared" si="0"/>
        <v>175</v>
      </c>
      <c r="M14" s="20"/>
      <c r="N14" s="20">
        <v>0</v>
      </c>
      <c r="O14" s="19"/>
      <c r="P14" s="19"/>
      <c r="Q14" s="19"/>
      <c r="R14" s="18"/>
      <c r="S14" s="31">
        <v>38</v>
      </c>
      <c r="T14" s="31">
        <v>24</v>
      </c>
      <c r="U14" s="31">
        <v>200</v>
      </c>
      <c r="V14" s="32">
        <v>3</v>
      </c>
      <c r="W14" s="32">
        <v>2</v>
      </c>
      <c r="X14" s="32">
        <v>90</v>
      </c>
      <c r="Y14" s="73">
        <v>3</v>
      </c>
      <c r="Z14" s="33">
        <v>0</v>
      </c>
      <c r="AA14" s="34">
        <v>120</v>
      </c>
      <c r="AB14" s="34">
        <v>0</v>
      </c>
      <c r="AC14" s="34">
        <v>0</v>
      </c>
      <c r="AD14" s="35">
        <v>0</v>
      </c>
      <c r="AE14" s="34">
        <v>0</v>
      </c>
      <c r="AF14" s="34">
        <v>2</v>
      </c>
      <c r="AG14" s="34">
        <v>0</v>
      </c>
      <c r="AH14" s="21"/>
      <c r="AI14" s="22" t="s">
        <v>121</v>
      </c>
      <c r="AK14" s="85">
        <f t="shared" si="1"/>
        <v>0.95</v>
      </c>
      <c r="AL14" s="85">
        <f t="shared" si="1"/>
        <v>1.2</v>
      </c>
      <c r="AM14" s="85">
        <f t="shared" si="1"/>
        <v>1.6666666666666667</v>
      </c>
      <c r="AN14" s="85">
        <f t="shared" si="1"/>
        <v>0.42857142857142855</v>
      </c>
      <c r="AO14" s="85">
        <f t="shared" si="1"/>
        <v>0.5</v>
      </c>
      <c r="AP14" s="85"/>
      <c r="AQ14" s="85"/>
      <c r="AR14" s="85"/>
      <c r="AS14" s="85">
        <f t="shared" si="2"/>
        <v>0.68571428571428572</v>
      </c>
      <c r="AT14" s="85"/>
      <c r="AU14" s="85"/>
      <c r="AV14" s="85"/>
      <c r="AW14" s="85"/>
      <c r="AX14" s="85"/>
      <c r="AY14" s="85"/>
    </row>
    <row r="15" spans="2:51" ht="52.2" x14ac:dyDescent="0.25">
      <c r="B15" s="16" t="s">
        <v>59</v>
      </c>
      <c r="C15" s="16" t="s">
        <v>70</v>
      </c>
      <c r="D15" s="17">
        <v>40</v>
      </c>
      <c r="E15" s="18">
        <v>20</v>
      </c>
      <c r="F15" s="17">
        <v>120</v>
      </c>
      <c r="G15" s="19">
        <v>7</v>
      </c>
      <c r="H15" s="19">
        <v>4</v>
      </c>
      <c r="I15" s="19">
        <v>0</v>
      </c>
      <c r="J15" s="18">
        <v>0</v>
      </c>
      <c r="K15" s="20">
        <v>0</v>
      </c>
      <c r="L15" s="20">
        <f t="shared" si="0"/>
        <v>175</v>
      </c>
      <c r="M15" s="20"/>
      <c r="N15" s="20">
        <v>0</v>
      </c>
      <c r="O15" s="19"/>
      <c r="P15" s="19"/>
      <c r="Q15" s="19"/>
      <c r="R15" s="18"/>
      <c r="S15" s="31">
        <v>30</v>
      </c>
      <c r="T15" s="31">
        <v>20</v>
      </c>
      <c r="U15" s="31">
        <v>110</v>
      </c>
      <c r="V15" s="32">
        <v>6</v>
      </c>
      <c r="W15" s="32">
        <v>2</v>
      </c>
      <c r="X15" s="32">
        <v>30</v>
      </c>
      <c r="Y15" s="73">
        <v>8</v>
      </c>
      <c r="Z15" s="33">
        <v>0</v>
      </c>
      <c r="AA15" s="34">
        <v>40</v>
      </c>
      <c r="AB15" s="34">
        <v>0</v>
      </c>
      <c r="AC15" s="34">
        <v>0</v>
      </c>
      <c r="AD15" s="35">
        <v>0</v>
      </c>
      <c r="AE15" s="34">
        <v>0</v>
      </c>
      <c r="AF15" s="34">
        <v>6</v>
      </c>
      <c r="AG15" s="34">
        <v>0</v>
      </c>
      <c r="AH15" s="21"/>
      <c r="AI15" s="22" t="s">
        <v>121</v>
      </c>
      <c r="AK15" s="85">
        <f t="shared" si="1"/>
        <v>0.75</v>
      </c>
      <c r="AL15" s="85">
        <f t="shared" si="1"/>
        <v>1</v>
      </c>
      <c r="AM15" s="85">
        <f t="shared" si="1"/>
        <v>0.91666666666666663</v>
      </c>
      <c r="AN15" s="85">
        <f t="shared" si="1"/>
        <v>0.8571428571428571</v>
      </c>
      <c r="AO15" s="85">
        <f t="shared" si="1"/>
        <v>0.5</v>
      </c>
      <c r="AP15" s="85"/>
      <c r="AQ15" s="85"/>
      <c r="AR15" s="85"/>
      <c r="AS15" s="85">
        <f t="shared" si="2"/>
        <v>0.22857142857142856</v>
      </c>
      <c r="AT15" s="85"/>
      <c r="AU15" s="85"/>
      <c r="AV15" s="85"/>
      <c r="AW15" s="85"/>
      <c r="AX15" s="85"/>
      <c r="AY15" s="85"/>
    </row>
    <row r="16" spans="2:51" ht="52.2" x14ac:dyDescent="0.25">
      <c r="B16" s="16" t="s">
        <v>59</v>
      </c>
      <c r="C16" s="16" t="s">
        <v>71</v>
      </c>
      <c r="D16" s="17">
        <v>40</v>
      </c>
      <c r="E16" s="18">
        <v>20</v>
      </c>
      <c r="F16" s="17">
        <v>120</v>
      </c>
      <c r="G16" s="19">
        <v>7</v>
      </c>
      <c r="H16" s="19">
        <v>4</v>
      </c>
      <c r="I16" s="19">
        <v>0</v>
      </c>
      <c r="J16" s="18">
        <v>0</v>
      </c>
      <c r="K16" s="20">
        <v>0</v>
      </c>
      <c r="L16" s="20">
        <f t="shared" si="0"/>
        <v>175</v>
      </c>
      <c r="M16" s="20"/>
      <c r="N16" s="20">
        <v>0</v>
      </c>
      <c r="O16" s="19"/>
      <c r="P16" s="19"/>
      <c r="Q16" s="19"/>
      <c r="R16" s="18"/>
      <c r="S16" s="31">
        <v>30</v>
      </c>
      <c r="T16" s="31">
        <v>25</v>
      </c>
      <c r="U16" s="31">
        <v>157</v>
      </c>
      <c r="V16" s="32">
        <v>4</v>
      </c>
      <c r="W16" s="32">
        <v>0</v>
      </c>
      <c r="X16" s="32">
        <v>86</v>
      </c>
      <c r="Y16" s="73">
        <v>0</v>
      </c>
      <c r="Z16" s="33">
        <v>3</v>
      </c>
      <c r="AA16" s="34">
        <v>0</v>
      </c>
      <c r="AB16" s="34">
        <v>0</v>
      </c>
      <c r="AC16" s="34">
        <v>0</v>
      </c>
      <c r="AD16" s="35">
        <v>0</v>
      </c>
      <c r="AE16" s="34">
        <v>0</v>
      </c>
      <c r="AF16" s="34">
        <v>0</v>
      </c>
      <c r="AG16" s="34">
        <v>0</v>
      </c>
      <c r="AH16" s="21" t="s">
        <v>120</v>
      </c>
      <c r="AI16" s="22" t="s">
        <v>121</v>
      </c>
      <c r="AK16" s="85">
        <f t="shared" si="1"/>
        <v>0.75</v>
      </c>
      <c r="AL16" s="85">
        <f t="shared" si="1"/>
        <v>1.25</v>
      </c>
      <c r="AM16" s="85">
        <f t="shared" si="1"/>
        <v>1.3083333333333333</v>
      </c>
      <c r="AN16" s="85">
        <f t="shared" si="1"/>
        <v>0.5714285714285714</v>
      </c>
      <c r="AO16" s="85">
        <f t="shared" si="1"/>
        <v>0</v>
      </c>
      <c r="AP16" s="85"/>
      <c r="AQ16" s="85"/>
      <c r="AR16" s="85"/>
      <c r="AS16" s="85">
        <f t="shared" si="2"/>
        <v>0</v>
      </c>
      <c r="AT16" s="85"/>
      <c r="AU16" s="85"/>
      <c r="AV16" s="85"/>
      <c r="AW16" s="85"/>
      <c r="AX16" s="85"/>
      <c r="AY16" s="85"/>
    </row>
    <row r="17" spans="1:51" ht="52.2" x14ac:dyDescent="0.25">
      <c r="B17" s="16" t="s">
        <v>59</v>
      </c>
      <c r="C17" s="16" t="s">
        <v>72</v>
      </c>
      <c r="D17" s="17">
        <v>40</v>
      </c>
      <c r="E17" s="18">
        <v>20</v>
      </c>
      <c r="F17" s="17">
        <v>120</v>
      </c>
      <c r="G17" s="19">
        <v>7</v>
      </c>
      <c r="H17" s="19">
        <v>4</v>
      </c>
      <c r="I17" s="19">
        <v>0</v>
      </c>
      <c r="J17" s="18">
        <v>0</v>
      </c>
      <c r="K17" s="20">
        <v>0</v>
      </c>
      <c r="L17" s="20">
        <f t="shared" si="0"/>
        <v>175</v>
      </c>
      <c r="M17" s="20"/>
      <c r="N17" s="20">
        <v>0</v>
      </c>
      <c r="O17" s="19"/>
      <c r="P17" s="19"/>
      <c r="Q17" s="19"/>
      <c r="R17" s="18"/>
      <c r="S17" s="31">
        <v>50</v>
      </c>
      <c r="T17" s="31">
        <v>45</v>
      </c>
      <c r="U17" s="31">
        <v>280</v>
      </c>
      <c r="V17" s="32">
        <v>50</v>
      </c>
      <c r="W17" s="32">
        <v>40</v>
      </c>
      <c r="X17" s="32">
        <v>200</v>
      </c>
      <c r="Y17" s="73">
        <v>81</v>
      </c>
      <c r="Z17" s="33">
        <v>0</v>
      </c>
      <c r="AA17" s="34">
        <v>0</v>
      </c>
      <c r="AB17" s="34">
        <v>0</v>
      </c>
      <c r="AC17" s="34">
        <v>0</v>
      </c>
      <c r="AD17" s="35">
        <v>0</v>
      </c>
      <c r="AE17" s="34">
        <v>0</v>
      </c>
      <c r="AF17" s="34">
        <v>0</v>
      </c>
      <c r="AG17" s="34">
        <v>0</v>
      </c>
      <c r="AH17" s="21"/>
      <c r="AI17" s="22" t="s">
        <v>121</v>
      </c>
      <c r="AK17" s="85">
        <f t="shared" si="1"/>
        <v>1.25</v>
      </c>
      <c r="AL17" s="85">
        <f t="shared" si="1"/>
        <v>2.25</v>
      </c>
      <c r="AM17" s="85">
        <f t="shared" si="1"/>
        <v>2.3333333333333335</v>
      </c>
      <c r="AN17" s="85">
        <f t="shared" si="1"/>
        <v>7.1428571428571432</v>
      </c>
      <c r="AO17" s="85">
        <f t="shared" si="1"/>
        <v>10</v>
      </c>
      <c r="AP17" s="85"/>
      <c r="AQ17" s="85"/>
      <c r="AR17" s="85"/>
      <c r="AS17" s="85">
        <f t="shared" si="2"/>
        <v>0</v>
      </c>
      <c r="AT17" s="85"/>
      <c r="AU17" s="85"/>
      <c r="AV17" s="85"/>
      <c r="AW17" s="85"/>
      <c r="AX17" s="85"/>
      <c r="AY17" s="85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3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3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3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3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3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3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3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</row>
    <row r="25" spans="1:51" s="51" customFormat="1" ht="17.399999999999999" x14ac:dyDescent="0.25">
      <c r="A25" s="51">
        <v>2</v>
      </c>
      <c r="B25" s="16" t="s">
        <v>17</v>
      </c>
      <c r="C25" s="16"/>
      <c r="D25" s="61">
        <f>SUM(D5:D24)</f>
        <v>520</v>
      </c>
      <c r="E25" s="61">
        <f>SUM(E5:E24)</f>
        <v>260</v>
      </c>
      <c r="F25" s="61">
        <f>SUM(F5:F24)</f>
        <v>1560</v>
      </c>
      <c r="G25" s="61">
        <f>SUM(G5:G24)</f>
        <v>91</v>
      </c>
      <c r="H25" s="61">
        <f>SUM(H5:H24)</f>
        <v>52</v>
      </c>
      <c r="I25" s="61">
        <f t="shared" ref="I25:AG25" si="3">SUM(I5:I24)</f>
        <v>0</v>
      </c>
      <c r="J25" s="61">
        <f t="shared" si="3"/>
        <v>0</v>
      </c>
      <c r="K25" s="61">
        <f t="shared" si="3"/>
        <v>0</v>
      </c>
      <c r="L25" s="61">
        <f t="shared" si="3"/>
        <v>2275</v>
      </c>
      <c r="M25" s="61">
        <f t="shared" si="3"/>
        <v>0</v>
      </c>
      <c r="N25" s="61">
        <f t="shared" si="3"/>
        <v>0</v>
      </c>
      <c r="O25" s="61">
        <f t="shared" si="3"/>
        <v>0</v>
      </c>
      <c r="P25" s="61">
        <f t="shared" si="3"/>
        <v>0</v>
      </c>
      <c r="Q25" s="61">
        <f t="shared" si="3"/>
        <v>0</v>
      </c>
      <c r="R25" s="61">
        <f t="shared" si="3"/>
        <v>0</v>
      </c>
      <c r="S25" s="61">
        <f t="shared" si="3"/>
        <v>459</v>
      </c>
      <c r="T25" s="61">
        <f t="shared" si="3"/>
        <v>317</v>
      </c>
      <c r="U25" s="61">
        <f t="shared" si="3"/>
        <v>2042</v>
      </c>
      <c r="V25" s="61">
        <f t="shared" si="3"/>
        <v>135</v>
      </c>
      <c r="W25" s="61">
        <f t="shared" si="3"/>
        <v>104</v>
      </c>
      <c r="X25" s="61">
        <f t="shared" si="3"/>
        <v>1154</v>
      </c>
      <c r="Y25" s="61">
        <f t="shared" si="3"/>
        <v>206</v>
      </c>
      <c r="Z25" s="61">
        <f t="shared" si="3"/>
        <v>3</v>
      </c>
      <c r="AA25" s="61">
        <f t="shared" si="3"/>
        <v>951</v>
      </c>
      <c r="AB25" s="61">
        <f t="shared" si="3"/>
        <v>8</v>
      </c>
      <c r="AC25" s="61">
        <f t="shared" si="3"/>
        <v>0</v>
      </c>
      <c r="AD25" s="61">
        <f t="shared" si="3"/>
        <v>5</v>
      </c>
      <c r="AE25" s="61">
        <f t="shared" si="3"/>
        <v>0</v>
      </c>
      <c r="AF25" s="61">
        <f t="shared" si="3"/>
        <v>40</v>
      </c>
      <c r="AG25" s="61">
        <f t="shared" si="3"/>
        <v>0</v>
      </c>
      <c r="AH25" s="36">
        <f>SUM(AH5:AH5)</f>
        <v>0</v>
      </c>
      <c r="AI25" s="62">
        <f>SUM(AI5:AI5)</f>
        <v>0</v>
      </c>
      <c r="AK25" s="85">
        <f t="shared" ref="AK25:AO25" si="4">S25/D25</f>
        <v>0.88269230769230766</v>
      </c>
      <c r="AL25" s="85">
        <f t="shared" si="4"/>
        <v>1.2192307692307693</v>
      </c>
      <c r="AM25" s="85">
        <f t="shared" si="4"/>
        <v>1.308974358974359</v>
      </c>
      <c r="AN25" s="85">
        <f t="shared" si="4"/>
        <v>1.4835164835164836</v>
      </c>
      <c r="AO25" s="85">
        <f t="shared" si="4"/>
        <v>2</v>
      </c>
      <c r="AP25" s="85"/>
      <c r="AQ25" s="85"/>
      <c r="AR25" s="85"/>
      <c r="AS25" s="85">
        <f t="shared" ref="AS25" si="5">AA25/L25</f>
        <v>0.41802197802197805</v>
      </c>
      <c r="AT25" s="85"/>
      <c r="AU25" s="85"/>
      <c r="AV25" s="85"/>
      <c r="AW25" s="85"/>
      <c r="AX25" s="85"/>
      <c r="AY25" s="85"/>
    </row>
    <row r="26" spans="1:51" ht="14.4" thickBot="1" x14ac:dyDescent="0.3"/>
    <row r="27" spans="1:51" ht="20.399999999999999" thickBot="1" x14ac:dyDescent="0.3">
      <c r="B27" s="121" t="s">
        <v>18</v>
      </c>
      <c r="C27" s="122"/>
      <c r="D27" s="23">
        <f>D25</f>
        <v>520</v>
      </c>
      <c r="E27" s="23">
        <f>E25</f>
        <v>260</v>
      </c>
      <c r="F27" s="63">
        <f>F25/120</f>
        <v>13</v>
      </c>
      <c r="G27" s="64">
        <f>G25/6</f>
        <v>15.166666666666666</v>
      </c>
      <c r="H27" s="64">
        <f>H25/10</f>
        <v>5.2</v>
      </c>
      <c r="I27" s="64">
        <f>I25/100</f>
        <v>0</v>
      </c>
      <c r="J27" s="65">
        <f>J25/10</f>
        <v>0</v>
      </c>
      <c r="K27" s="66">
        <f>K25/60</f>
        <v>0</v>
      </c>
      <c r="L27" s="66">
        <f>L25/120</f>
        <v>18.958333333333332</v>
      </c>
      <c r="M27" s="66">
        <f>M25/100</f>
        <v>0</v>
      </c>
      <c r="N27" s="66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459</v>
      </c>
      <c r="T27" s="24">
        <f>T25</f>
        <v>317</v>
      </c>
      <c r="U27" s="24">
        <f>U25/120</f>
        <v>17.016666666666666</v>
      </c>
      <c r="V27" s="25">
        <f>V25/6</f>
        <v>22.5</v>
      </c>
      <c r="W27" s="25">
        <f>W25/10</f>
        <v>10.4</v>
      </c>
      <c r="X27" s="25">
        <f>X25/100</f>
        <v>11.54</v>
      </c>
      <c r="Y27" s="74">
        <f>Y25/20</f>
        <v>10.3</v>
      </c>
      <c r="Z27" s="26">
        <f>Z25/60</f>
        <v>0.05</v>
      </c>
      <c r="AA27" s="27">
        <f>AA25/120</f>
        <v>7.9249999999999998</v>
      </c>
      <c r="AB27" s="27">
        <f>AB25/100</f>
        <v>0.08</v>
      </c>
      <c r="AC27" s="27">
        <f>AC25/60</f>
        <v>0</v>
      </c>
      <c r="AD27" s="27">
        <f>AD25</f>
        <v>5</v>
      </c>
      <c r="AE27" s="27">
        <f t="shared" ref="AE27:AG27" si="7">AE25</f>
        <v>0</v>
      </c>
      <c r="AF27" s="27">
        <f t="shared" si="7"/>
        <v>40</v>
      </c>
      <c r="AG27" s="27">
        <f t="shared" si="7"/>
        <v>0</v>
      </c>
      <c r="AH27" s="23"/>
      <c r="AI27" s="28"/>
      <c r="AK27" s="24"/>
      <c r="AL27" s="23"/>
      <c r="AM27" s="24">
        <f>AM25/120</f>
        <v>1.0908119658119659E-2</v>
      </c>
      <c r="AN27" s="25">
        <f>AN25/6</f>
        <v>0.24725274725274726</v>
      </c>
      <c r="AO27" s="25">
        <f>AO25/20</f>
        <v>0.1</v>
      </c>
      <c r="AP27" s="25">
        <f>AP25/100</f>
        <v>0</v>
      </c>
      <c r="AQ27" s="74"/>
      <c r="AR27" s="26">
        <f>AR25/20</f>
        <v>0</v>
      </c>
      <c r="AS27" s="27">
        <f>AS25/120</f>
        <v>3.4835164835164837E-3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RECAP PAR JOUR</vt:lpstr>
      <vt:lpstr>RECAP PAR MAGASIN</vt:lpstr>
      <vt:lpstr>JOUR 1</vt:lpstr>
      <vt:lpstr>JOUR 2</vt:lpstr>
      <vt:lpstr>JOUR 3</vt:lpstr>
      <vt:lpstr>JOUR 4</vt:lpstr>
      <vt:lpstr>JOUR 5</vt:lpstr>
      <vt:lpstr>JOUR 6</vt:lpstr>
      <vt:lpstr>JOUR 7</vt:lpstr>
      <vt:lpstr>JOUR 8</vt:lpstr>
      <vt:lpstr>JOUR 9</vt:lpstr>
      <vt:lpstr>JOUR 10</vt:lpstr>
      <vt:lpstr>JOUR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Edwige Emmanuelle Tanoh</cp:lastModifiedBy>
  <dcterms:created xsi:type="dcterms:W3CDTF">2026-02-12T22:08:50Z</dcterms:created>
  <dcterms:modified xsi:type="dcterms:W3CDTF">2026-06-13T09:45:55Z</dcterms:modified>
</cp:coreProperties>
</file>