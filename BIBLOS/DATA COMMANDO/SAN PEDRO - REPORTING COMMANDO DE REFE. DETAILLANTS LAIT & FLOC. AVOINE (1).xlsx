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 activeTab="4"/>
  </bookViews>
  <sheets>
    <sheet name="Mercredi" sheetId="58" r:id="rId1"/>
    <sheet name="jeudi" sheetId="178" r:id="rId2"/>
    <sheet name="Vendredi" sheetId="179" r:id="rId3"/>
    <sheet name="Samedii" sheetId="180" r:id="rId4"/>
    <sheet name="lundi" sheetId="181" r:id="rId5"/>
    <sheet name="Jr non travaillé" sheetId="182" r:id="rId6"/>
    <sheet name="Synthèse semaine" sheetId="183" r:id="rId7"/>
  </sheet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6" i="180" l="1"/>
  <c r="BA27" i="180"/>
  <c r="BC27" i="180"/>
  <c r="BA26" i="180"/>
  <c r="BC25" i="180"/>
  <c r="BA24" i="180"/>
  <c r="BA23" i="180"/>
  <c r="BC23" i="180"/>
  <c r="BC22" i="180"/>
  <c r="BC21" i="180"/>
  <c r="BA21" i="180"/>
  <c r="BA20" i="180"/>
  <c r="BC19" i="180"/>
  <c r="BC18" i="180"/>
  <c r="BA17" i="180"/>
  <c r="BC15" i="180"/>
  <c r="BA15" i="180"/>
  <c r="BC13" i="180"/>
  <c r="BA13" i="180"/>
  <c r="BA12" i="180"/>
  <c r="BC11" i="180"/>
  <c r="BC10" i="180"/>
  <c r="BA10" i="180"/>
  <c r="BC9" i="180"/>
  <c r="BA9" i="180"/>
  <c r="BC8" i="180"/>
  <c r="AQ18" i="180"/>
  <c r="AQ21" i="180"/>
  <c r="AQ25" i="180"/>
  <c r="AQ27" i="180"/>
  <c r="AQ14" i="180"/>
  <c r="AQ12" i="180"/>
  <c r="AQ10" i="180"/>
  <c r="AQ9" i="180"/>
  <c r="AQ20" i="180"/>
  <c r="AQ26" i="180"/>
  <c r="AQ24" i="180"/>
  <c r="AQ23" i="180"/>
  <c r="AQ22" i="180"/>
  <c r="AQ17" i="180"/>
  <c r="AQ15" i="180"/>
  <c r="AQ13" i="180"/>
  <c r="AQ8" i="180"/>
  <c r="AG13" i="180"/>
  <c r="AG12" i="180"/>
  <c r="AG11" i="180"/>
  <c r="AG10" i="180"/>
  <c r="AG9" i="180"/>
  <c r="AG8" i="180"/>
  <c r="AG27" i="180"/>
  <c r="AG26" i="180"/>
  <c r="AG25" i="180"/>
  <c r="AG24" i="180"/>
  <c r="AG23" i="180"/>
  <c r="AG22" i="180"/>
  <c r="AG21" i="180"/>
  <c r="AG20" i="180"/>
  <c r="AG17" i="180"/>
  <c r="AG19" i="180"/>
  <c r="AG18" i="180"/>
  <c r="AG16" i="180"/>
  <c r="AG15" i="180"/>
  <c r="AG14" i="180"/>
  <c r="BA16" i="179"/>
  <c r="BC11" i="179"/>
  <c r="BA11" i="179"/>
  <c r="BC10" i="179"/>
  <c r="BA9" i="179"/>
  <c r="BA12" i="179"/>
  <c r="BC12" i="179"/>
  <c r="BC13" i="179"/>
  <c r="BA14" i="179"/>
  <c r="BA15" i="179"/>
  <c r="BC17" i="179"/>
  <c r="BA17" i="179"/>
  <c r="BC20" i="179"/>
  <c r="BA19" i="179"/>
  <c r="BA21" i="179"/>
  <c r="BA23" i="179"/>
  <c r="BA24" i="179"/>
  <c r="BC25" i="179"/>
  <c r="BA26" i="179"/>
  <c r="BC26" i="179"/>
  <c r="BA27" i="179"/>
  <c r="AS14" i="179"/>
  <c r="BC20" i="178"/>
  <c r="AG27" i="179" l="1"/>
  <c r="AG26" i="179"/>
  <c r="AG25" i="179"/>
  <c r="AG24" i="179"/>
  <c r="AG23" i="179"/>
  <c r="AG22" i="179"/>
  <c r="AG21" i="179"/>
  <c r="AG20" i="179"/>
  <c r="AG19" i="179"/>
  <c r="AG18" i="179"/>
  <c r="AG17" i="179"/>
  <c r="AG16" i="179"/>
  <c r="AG15" i="179"/>
  <c r="AG14" i="179"/>
  <c r="AG13" i="179"/>
  <c r="AG12" i="179"/>
  <c r="AG11" i="179"/>
  <c r="AG10" i="179"/>
  <c r="AG9" i="179"/>
  <c r="AG8" i="179"/>
  <c r="BC27" i="178"/>
  <c r="BA27" i="178"/>
  <c r="BC26" i="178"/>
  <c r="BA25" i="178"/>
  <c r="BC24" i="178"/>
  <c r="BA24" i="178"/>
  <c r="BC23" i="178"/>
  <c r="BC22" i="178"/>
  <c r="BA22" i="178"/>
  <c r="BA21" i="178"/>
  <c r="BC18" i="178"/>
  <c r="BA17" i="178"/>
  <c r="BC17" i="178"/>
  <c r="BC16" i="178"/>
  <c r="BA16" i="178"/>
  <c r="BC15" i="178"/>
  <c r="BA15" i="178"/>
  <c r="BC14" i="178"/>
  <c r="BA14" i="178"/>
  <c r="BA13" i="178"/>
  <c r="BC13" i="178"/>
  <c r="BC12" i="178"/>
  <c r="BA12" i="178"/>
  <c r="BC10" i="178"/>
  <c r="BC9" i="178"/>
  <c r="BA9" i="178"/>
  <c r="BC8" i="178"/>
  <c r="BA8" i="178"/>
  <c r="AQ15" i="178" l="1"/>
  <c r="AQ19" i="178"/>
  <c r="AQ22" i="178"/>
  <c r="AQ16" i="178"/>
  <c r="AQ17" i="178"/>
  <c r="AQ21" i="178"/>
  <c r="AQ27" i="178"/>
  <c r="AQ23" i="178"/>
  <c r="AQ24" i="178"/>
  <c r="AQ25" i="178"/>
  <c r="AQ26" i="178"/>
  <c r="AQ14" i="178"/>
  <c r="AQ13" i="178"/>
  <c r="AQ12" i="178"/>
  <c r="AQ10" i="178"/>
  <c r="AQ8" i="178"/>
  <c r="BA22" i="58"/>
  <c r="BC23" i="58"/>
  <c r="BC27" i="58"/>
  <c r="BC26" i="58"/>
  <c r="BA26" i="58"/>
  <c r="BA25" i="58"/>
  <c r="BC25" i="58"/>
  <c r="BC24" i="58"/>
  <c r="BA24" i="58"/>
  <c r="BA23" i="58"/>
  <c r="BC22" i="58"/>
  <c r="BC21" i="58"/>
  <c r="BA21" i="58"/>
  <c r="BC20" i="58"/>
  <c r="BA19" i="58"/>
  <c r="BA18" i="58"/>
  <c r="BC18" i="58"/>
  <c r="BC17" i="58"/>
  <c r="BA17" i="58"/>
  <c r="BA16" i="58"/>
  <c r="BC15" i="58"/>
  <c r="BA15" i="58"/>
  <c r="BA14" i="58"/>
  <c r="BC13" i="58"/>
  <c r="BA13" i="58"/>
  <c r="BC12" i="58"/>
  <c r="BA12" i="58"/>
  <c r="BC11" i="58"/>
  <c r="BA10" i="58"/>
  <c r="BC9" i="58"/>
  <c r="BA9" i="58"/>
  <c r="BC8" i="58"/>
  <c r="AG27" i="178"/>
  <c r="AG26" i="178"/>
  <c r="AG25" i="178"/>
  <c r="AG11" i="178"/>
  <c r="AG16" i="178"/>
  <c r="AG15" i="178"/>
  <c r="AG14" i="178"/>
  <c r="AG13" i="178"/>
  <c r="AG12" i="178"/>
  <c r="AG10" i="178"/>
  <c r="AG9" i="178"/>
  <c r="AG8" i="178"/>
  <c r="AG24" i="178" l="1"/>
  <c r="AG23" i="178"/>
  <c r="AG22" i="178"/>
  <c r="AG21" i="178"/>
  <c r="AG20" i="178"/>
  <c r="AG19" i="178"/>
  <c r="AG18" i="178"/>
  <c r="AG17" i="178"/>
  <c r="AQ9" i="58"/>
  <c r="AQ27" i="58"/>
  <c r="AG27" i="58"/>
  <c r="AG26" i="58"/>
  <c r="AG25" i="58"/>
  <c r="AG24" i="58"/>
  <c r="AG23" i="58"/>
  <c r="AG22" i="58"/>
  <c r="AG21" i="58"/>
  <c r="AG20" i="58"/>
  <c r="AG19" i="58"/>
  <c r="AG18" i="58"/>
  <c r="AG17" i="58"/>
  <c r="AG16" i="58"/>
  <c r="AG15" i="58"/>
  <c r="AG14" i="58"/>
  <c r="AG13" i="58"/>
  <c r="AG12" i="58"/>
  <c r="AG11" i="58"/>
  <c r="AG10" i="58"/>
  <c r="AG9" i="58"/>
  <c r="AG8" i="58"/>
  <c r="AS9" i="180"/>
  <c r="AS26" i="180"/>
  <c r="AS27" i="180"/>
  <c r="AS20" i="179"/>
  <c r="AS13" i="179"/>
  <c r="AS12" i="179"/>
  <c r="AS11" i="179"/>
  <c r="AS24" i="179"/>
  <c r="AS21" i="179"/>
  <c r="AS10" i="179"/>
  <c r="AS9" i="179"/>
  <c r="AS8" i="179"/>
  <c r="AQ19" i="179"/>
  <c r="AS27" i="178"/>
  <c r="AS25" i="178"/>
  <c r="AS24" i="178"/>
  <c r="AS21" i="178"/>
  <c r="AS20" i="178"/>
  <c r="AS18" i="178"/>
  <c r="AS17" i="178"/>
  <c r="AS16" i="178"/>
  <c r="AS15" i="178"/>
  <c r="AS14" i="178"/>
  <c r="AS13" i="178"/>
  <c r="AS12" i="178"/>
  <c r="AS11" i="178"/>
  <c r="AS9" i="178"/>
  <c r="AS8" i="178"/>
  <c r="AS9" i="58"/>
  <c r="AS10" i="58"/>
  <c r="AS12" i="58"/>
  <c r="AS13" i="58"/>
  <c r="AS14" i="58"/>
  <c r="AS15" i="58"/>
  <c r="AS16" i="58"/>
  <c r="AS17" i="58"/>
  <c r="AS18" i="58"/>
  <c r="AS19" i="58"/>
  <c r="AS21" i="58"/>
  <c r="AS22" i="58"/>
  <c r="AS23" i="58"/>
  <c r="AS24" i="58"/>
  <c r="AS25" i="58"/>
  <c r="AS26" i="58"/>
  <c r="AQ13" i="58"/>
  <c r="AQ26" i="58"/>
  <c r="AQ25" i="58"/>
  <c r="AQ24" i="58"/>
  <c r="AQ23" i="58"/>
  <c r="AQ22" i="58"/>
  <c r="AQ21" i="58"/>
  <c r="AQ20" i="58"/>
  <c r="AQ19" i="58"/>
  <c r="AQ18" i="58"/>
  <c r="AQ17" i="58"/>
  <c r="AQ16" i="58"/>
  <c r="AQ15" i="58"/>
  <c r="AQ14" i="58"/>
  <c r="AQ12" i="58"/>
  <c r="AQ11" i="58"/>
  <c r="AQ10" i="58"/>
  <c r="AQ8" i="58"/>
  <c r="AQ27" i="182"/>
  <c r="AQ26" i="182"/>
  <c r="AQ25" i="182"/>
  <c r="AQ23" i="182"/>
  <c r="AQ22" i="182"/>
  <c r="AQ21" i="182"/>
  <c r="AQ20" i="182"/>
  <c r="AQ18" i="182"/>
  <c r="AQ17" i="182"/>
  <c r="AQ16" i="182"/>
  <c r="AQ15" i="182"/>
  <c r="AQ13" i="182"/>
  <c r="AQ11" i="182"/>
  <c r="AQ9" i="182"/>
  <c r="AQ8" i="182"/>
  <c r="AS27" i="182"/>
  <c r="AS19" i="182"/>
  <c r="AS10" i="182"/>
  <c r="AQ32" i="182"/>
  <c r="AW3" i="178" l="1"/>
  <c r="AR3" i="58" l="1"/>
  <c r="AU3" i="58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C8" i="183"/>
  <c r="AB8" i="183"/>
  <c r="AA8" i="183"/>
  <c r="Z8" i="183"/>
  <c r="Y8" i="183"/>
  <c r="X8" i="183"/>
  <c r="W8" i="183"/>
  <c r="J16" i="183"/>
  <c r="BE28" i="183"/>
  <c r="BD28" i="183"/>
  <c r="U27" i="183"/>
  <c r="T27" i="183"/>
  <c r="S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S26" i="183"/>
  <c r="Q26" i="183"/>
  <c r="P26" i="183"/>
  <c r="O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O25" i="183"/>
  <c r="N25" i="183"/>
  <c r="M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S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S23" i="183"/>
  <c r="Q23" i="183"/>
  <c r="P23" i="183"/>
  <c r="O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O22" i="183"/>
  <c r="N22" i="183"/>
  <c r="M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S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S20" i="183"/>
  <c r="Q20" i="183"/>
  <c r="P20" i="183"/>
  <c r="O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O19" i="183"/>
  <c r="N19" i="183"/>
  <c r="M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S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S17" i="183"/>
  <c r="Q17" i="183"/>
  <c r="P17" i="183"/>
  <c r="O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O16" i="183"/>
  <c r="N16" i="183"/>
  <c r="M16" i="183"/>
  <c r="L16" i="183"/>
  <c r="K16" i="183"/>
  <c r="I16" i="183"/>
  <c r="H16" i="183"/>
  <c r="G16" i="183"/>
  <c r="F16" i="183"/>
  <c r="E16" i="183"/>
  <c r="D16" i="183"/>
  <c r="C16" i="183"/>
  <c r="U15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U14" i="183"/>
  <c r="T14" i="183"/>
  <c r="S14" i="183"/>
  <c r="Q14" i="183"/>
  <c r="P14" i="183"/>
  <c r="O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O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U12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U11" i="183"/>
  <c r="T11" i="183"/>
  <c r="S11" i="183"/>
  <c r="Q11" i="183"/>
  <c r="P11" i="183"/>
  <c r="O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O10" i="183"/>
  <c r="N10" i="183"/>
  <c r="M10" i="183"/>
  <c r="L10" i="183"/>
  <c r="L28" i="183" s="1"/>
  <c r="K10" i="183"/>
  <c r="K28" i="183" s="1"/>
  <c r="J10" i="183"/>
  <c r="J28" i="183" s="1"/>
  <c r="I10" i="183"/>
  <c r="H10" i="183"/>
  <c r="G10" i="183"/>
  <c r="F10" i="183"/>
  <c r="E10" i="183"/>
  <c r="D10" i="183"/>
  <c r="C10" i="183"/>
  <c r="U9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U8" i="183"/>
  <c r="T8" i="183"/>
  <c r="S8" i="183"/>
  <c r="Q8" i="183"/>
  <c r="Q28" i="183" s="1"/>
  <c r="P8" i="183"/>
  <c r="P28" i="183" s="1"/>
  <c r="O8" i="183"/>
  <c r="N8" i="183"/>
  <c r="N28" i="183" s="1"/>
  <c r="L8" i="183"/>
  <c r="K8" i="183"/>
  <c r="J8" i="183"/>
  <c r="I8" i="183"/>
  <c r="I28" i="183" s="1"/>
  <c r="H8" i="183"/>
  <c r="H28" i="183" s="1"/>
  <c r="G8" i="183"/>
  <c r="G28" i="183" s="1"/>
  <c r="F8" i="183"/>
  <c r="F28" i="183" s="1"/>
  <c r="E8" i="183"/>
  <c r="E28" i="183" s="1"/>
  <c r="D8" i="183"/>
  <c r="D28" i="183" s="1"/>
  <c r="C8" i="183"/>
  <c r="C28" i="183" s="1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2"/>
  <c r="BD28" i="182"/>
  <c r="BC28" i="182"/>
  <c r="BB28" i="182"/>
  <c r="BA28" i="182"/>
  <c r="AZ28" i="182"/>
  <c r="AY28" i="182"/>
  <c r="AX28" i="182"/>
  <c r="AW28" i="182"/>
  <c r="AV28" i="182"/>
  <c r="AU28" i="182"/>
  <c r="AT28" i="182"/>
  <c r="AS28" i="182"/>
  <c r="AR28" i="182"/>
  <c r="AQ28" i="182"/>
  <c r="AP28" i="182"/>
  <c r="AO28" i="182"/>
  <c r="AN28" i="182"/>
  <c r="AM28" i="182"/>
  <c r="AL28" i="182"/>
  <c r="AK28" i="182"/>
  <c r="AJ28" i="182"/>
  <c r="AI28" i="182"/>
  <c r="AH28" i="182"/>
  <c r="AG28" i="182"/>
  <c r="AF28" i="182"/>
  <c r="AE28" i="182"/>
  <c r="AD28" i="182"/>
  <c r="AC28" i="182"/>
  <c r="AB28" i="182"/>
  <c r="AA28" i="182"/>
  <c r="Z28" i="182"/>
  <c r="Y28" i="182"/>
  <c r="X28" i="182"/>
  <c r="W28" i="182"/>
  <c r="U27" i="182"/>
  <c r="T27" i="182"/>
  <c r="S27" i="182"/>
  <c r="Q27" i="182"/>
  <c r="P27" i="182"/>
  <c r="N27" i="182"/>
  <c r="L27" i="182"/>
  <c r="K27" i="182"/>
  <c r="J27" i="182"/>
  <c r="I27" i="182"/>
  <c r="H27" i="182"/>
  <c r="G27" i="182"/>
  <c r="F27" i="182"/>
  <c r="E27" i="182"/>
  <c r="D27" i="182"/>
  <c r="C27" i="182"/>
  <c r="U26" i="182"/>
  <c r="T26" i="182"/>
  <c r="S26" i="182"/>
  <c r="Q26" i="182"/>
  <c r="P26" i="182"/>
  <c r="O26" i="182"/>
  <c r="N26" i="182"/>
  <c r="L26" i="182"/>
  <c r="K26" i="182"/>
  <c r="J26" i="182"/>
  <c r="I26" i="182"/>
  <c r="H26" i="182"/>
  <c r="G26" i="182"/>
  <c r="F26" i="182"/>
  <c r="E26" i="182"/>
  <c r="D26" i="182"/>
  <c r="C26" i="182"/>
  <c r="Q25" i="182"/>
  <c r="P25" i="182"/>
  <c r="O25" i="182"/>
  <c r="N25" i="182"/>
  <c r="M25" i="182"/>
  <c r="L25" i="182"/>
  <c r="K25" i="182"/>
  <c r="J25" i="182"/>
  <c r="I25" i="182"/>
  <c r="H25" i="182"/>
  <c r="G25" i="182"/>
  <c r="F25" i="182"/>
  <c r="E25" i="182"/>
  <c r="D25" i="182"/>
  <c r="C25" i="182"/>
  <c r="U24" i="182"/>
  <c r="T24" i="182"/>
  <c r="S24" i="182"/>
  <c r="Q24" i="182"/>
  <c r="P24" i="182"/>
  <c r="N24" i="182"/>
  <c r="L24" i="182"/>
  <c r="K24" i="182"/>
  <c r="J24" i="182"/>
  <c r="I24" i="182"/>
  <c r="H24" i="182"/>
  <c r="G24" i="182"/>
  <c r="F24" i="182"/>
  <c r="E24" i="182"/>
  <c r="D24" i="182"/>
  <c r="C24" i="182"/>
  <c r="U23" i="182"/>
  <c r="T23" i="182"/>
  <c r="S23" i="182"/>
  <c r="Q23" i="182"/>
  <c r="P23" i="182"/>
  <c r="O23" i="182"/>
  <c r="N23" i="182"/>
  <c r="L23" i="182"/>
  <c r="K23" i="182"/>
  <c r="J23" i="182"/>
  <c r="I23" i="182"/>
  <c r="H23" i="182"/>
  <c r="G23" i="182"/>
  <c r="F23" i="182"/>
  <c r="E23" i="182"/>
  <c r="D23" i="182"/>
  <c r="C23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C22" i="182"/>
  <c r="U21" i="182"/>
  <c r="T21" i="182"/>
  <c r="S21" i="182"/>
  <c r="Q21" i="182"/>
  <c r="P21" i="182"/>
  <c r="N21" i="182"/>
  <c r="L21" i="182"/>
  <c r="K21" i="182"/>
  <c r="J21" i="182"/>
  <c r="I21" i="182"/>
  <c r="H21" i="182"/>
  <c r="G21" i="182"/>
  <c r="F21" i="182"/>
  <c r="E21" i="182"/>
  <c r="D21" i="182"/>
  <c r="C21" i="182"/>
  <c r="U20" i="182"/>
  <c r="T20" i="182"/>
  <c r="S20" i="182"/>
  <c r="Q20" i="182"/>
  <c r="P20" i="182"/>
  <c r="O20" i="182"/>
  <c r="N20" i="182"/>
  <c r="L20" i="182"/>
  <c r="K20" i="182"/>
  <c r="J20" i="182"/>
  <c r="I20" i="182"/>
  <c r="H20" i="182"/>
  <c r="G20" i="182"/>
  <c r="F20" i="182"/>
  <c r="E20" i="182"/>
  <c r="D20" i="182"/>
  <c r="C20" i="182"/>
  <c r="Q19" i="182"/>
  <c r="P19" i="182"/>
  <c r="O19" i="182"/>
  <c r="N19" i="182"/>
  <c r="M19" i="182"/>
  <c r="L19" i="182"/>
  <c r="K19" i="182"/>
  <c r="J19" i="182"/>
  <c r="I19" i="182"/>
  <c r="H19" i="182"/>
  <c r="G19" i="182"/>
  <c r="F19" i="182"/>
  <c r="E19" i="182"/>
  <c r="D19" i="182"/>
  <c r="C19" i="182"/>
  <c r="U18" i="182"/>
  <c r="T18" i="182"/>
  <c r="S18" i="182"/>
  <c r="Q18" i="182"/>
  <c r="P18" i="182"/>
  <c r="N18" i="182"/>
  <c r="L18" i="182"/>
  <c r="K18" i="182"/>
  <c r="J18" i="182"/>
  <c r="I18" i="182"/>
  <c r="H18" i="182"/>
  <c r="G18" i="182"/>
  <c r="F18" i="182"/>
  <c r="E18" i="182"/>
  <c r="D18" i="182"/>
  <c r="C18" i="182"/>
  <c r="U17" i="182"/>
  <c r="T17" i="182"/>
  <c r="S17" i="182"/>
  <c r="Q17" i="182"/>
  <c r="P17" i="182"/>
  <c r="O17" i="182"/>
  <c r="N17" i="182"/>
  <c r="L17" i="182"/>
  <c r="K17" i="182"/>
  <c r="J17" i="182"/>
  <c r="I17" i="182"/>
  <c r="H17" i="182"/>
  <c r="G17" i="182"/>
  <c r="F17" i="182"/>
  <c r="E17" i="182"/>
  <c r="D17" i="182"/>
  <c r="C17" i="182"/>
  <c r="Q16" i="182"/>
  <c r="P16" i="182"/>
  <c r="O16" i="182"/>
  <c r="N16" i="182"/>
  <c r="M16" i="182"/>
  <c r="L16" i="182"/>
  <c r="K16" i="182"/>
  <c r="J16" i="182"/>
  <c r="I16" i="182"/>
  <c r="H16" i="182"/>
  <c r="G16" i="182"/>
  <c r="F16" i="182"/>
  <c r="E16" i="182"/>
  <c r="D16" i="182"/>
  <c r="C16" i="182"/>
  <c r="U15" i="182"/>
  <c r="T15" i="182"/>
  <c r="S15" i="182"/>
  <c r="Q15" i="182"/>
  <c r="P15" i="182"/>
  <c r="N15" i="182"/>
  <c r="L15" i="182"/>
  <c r="K15" i="182"/>
  <c r="J15" i="182"/>
  <c r="I15" i="182"/>
  <c r="H15" i="182"/>
  <c r="G15" i="182"/>
  <c r="F15" i="182"/>
  <c r="E15" i="182"/>
  <c r="D15" i="182"/>
  <c r="C15" i="182"/>
  <c r="U14" i="182"/>
  <c r="T14" i="182"/>
  <c r="S14" i="182"/>
  <c r="Q14" i="182"/>
  <c r="P14" i="182"/>
  <c r="O14" i="182"/>
  <c r="N14" i="182"/>
  <c r="L14" i="182"/>
  <c r="K14" i="182"/>
  <c r="J14" i="182"/>
  <c r="I14" i="182"/>
  <c r="H14" i="182"/>
  <c r="G14" i="182"/>
  <c r="F14" i="182"/>
  <c r="E14" i="182"/>
  <c r="D14" i="182"/>
  <c r="C14" i="182"/>
  <c r="Q13" i="182"/>
  <c r="P13" i="182"/>
  <c r="O13" i="182"/>
  <c r="N13" i="182"/>
  <c r="M13" i="182"/>
  <c r="L13" i="182"/>
  <c r="K13" i="182"/>
  <c r="J13" i="182"/>
  <c r="I13" i="182"/>
  <c r="H13" i="182"/>
  <c r="G13" i="182"/>
  <c r="F13" i="182"/>
  <c r="E13" i="182"/>
  <c r="D13" i="182"/>
  <c r="C13" i="182"/>
  <c r="U12" i="182"/>
  <c r="T12" i="182"/>
  <c r="S12" i="182"/>
  <c r="Q12" i="182"/>
  <c r="P12" i="182"/>
  <c r="N12" i="182"/>
  <c r="L12" i="182"/>
  <c r="K12" i="182"/>
  <c r="J12" i="182"/>
  <c r="I12" i="182"/>
  <c r="H12" i="182"/>
  <c r="G12" i="182"/>
  <c r="F12" i="182"/>
  <c r="E12" i="182"/>
  <c r="D12" i="182"/>
  <c r="C12" i="182"/>
  <c r="U11" i="182"/>
  <c r="T11" i="182"/>
  <c r="S11" i="182"/>
  <c r="Q11" i="182"/>
  <c r="P11" i="182"/>
  <c r="O11" i="182"/>
  <c r="N11" i="182"/>
  <c r="L11" i="182"/>
  <c r="K11" i="182"/>
  <c r="J11" i="182"/>
  <c r="I11" i="182"/>
  <c r="H11" i="182"/>
  <c r="G11" i="182"/>
  <c r="F11" i="182"/>
  <c r="E11" i="182"/>
  <c r="D11" i="182"/>
  <c r="C11" i="182"/>
  <c r="Q10" i="182"/>
  <c r="P10" i="182"/>
  <c r="O10" i="182"/>
  <c r="N10" i="182"/>
  <c r="M10" i="182"/>
  <c r="L10" i="182"/>
  <c r="L28" i="182" s="1"/>
  <c r="K10" i="182"/>
  <c r="K28" i="182" s="1"/>
  <c r="J10" i="182"/>
  <c r="J28" i="182" s="1"/>
  <c r="I10" i="182"/>
  <c r="H10" i="182"/>
  <c r="G10" i="182"/>
  <c r="F10" i="182"/>
  <c r="E10" i="182"/>
  <c r="D10" i="182"/>
  <c r="C10" i="182"/>
  <c r="U9" i="182"/>
  <c r="T9" i="182"/>
  <c r="S9" i="182"/>
  <c r="Q9" i="182"/>
  <c r="P9" i="182"/>
  <c r="N9" i="182"/>
  <c r="L9" i="182"/>
  <c r="K9" i="182"/>
  <c r="J9" i="182"/>
  <c r="I9" i="182"/>
  <c r="H9" i="182"/>
  <c r="G9" i="182"/>
  <c r="F9" i="182"/>
  <c r="E9" i="182"/>
  <c r="D9" i="182"/>
  <c r="C9" i="182"/>
  <c r="U8" i="182"/>
  <c r="T8" i="182"/>
  <c r="S8" i="182"/>
  <c r="Q8" i="182"/>
  <c r="Q28" i="182" s="1"/>
  <c r="P8" i="182"/>
  <c r="P28" i="182" s="1"/>
  <c r="O8" i="182"/>
  <c r="N8" i="182"/>
  <c r="N28" i="182" s="1"/>
  <c r="L8" i="182"/>
  <c r="K8" i="182"/>
  <c r="J8" i="182"/>
  <c r="I8" i="182"/>
  <c r="I28" i="182" s="1"/>
  <c r="H8" i="182"/>
  <c r="H28" i="182" s="1"/>
  <c r="G8" i="182"/>
  <c r="G28" i="182" s="1"/>
  <c r="F8" i="182"/>
  <c r="F28" i="182" s="1"/>
  <c r="E8" i="182"/>
  <c r="E28" i="182" s="1"/>
  <c r="D8" i="182"/>
  <c r="D28" i="182" s="1"/>
  <c r="C8" i="182"/>
  <c r="C28" i="182" s="1"/>
  <c r="V3" i="182"/>
  <c r="V14" i="182" s="1"/>
  <c r="U3" i="182"/>
  <c r="U25" i="182" s="1"/>
  <c r="T3" i="182"/>
  <c r="T25" i="182" s="1"/>
  <c r="S3" i="182"/>
  <c r="S25" i="182" s="1"/>
  <c r="O3" i="182"/>
  <c r="O27" i="182" s="1"/>
  <c r="M3" i="182"/>
  <c r="M26" i="182" s="1"/>
  <c r="BE28" i="181"/>
  <c r="BD28" i="181"/>
  <c r="BC28" i="181"/>
  <c r="BB28" i="181"/>
  <c r="BA28" i="181"/>
  <c r="AZ28" i="181"/>
  <c r="AY28" i="181"/>
  <c r="AX28" i="181"/>
  <c r="AW28" i="181"/>
  <c r="AV28" i="181"/>
  <c r="AU28" i="181"/>
  <c r="AT28" i="181"/>
  <c r="AS28" i="181"/>
  <c r="AR28" i="181"/>
  <c r="AQ28" i="181"/>
  <c r="AP28" i="181"/>
  <c r="AO28" i="181"/>
  <c r="AN28" i="181"/>
  <c r="AM28" i="181"/>
  <c r="AL28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K28" i="181"/>
  <c r="U27" i="181"/>
  <c r="T27" i="181"/>
  <c r="S27" i="181"/>
  <c r="Q27" i="181"/>
  <c r="P27" i="181"/>
  <c r="N27" i="181"/>
  <c r="L27" i="181"/>
  <c r="K27" i="181"/>
  <c r="J27" i="181"/>
  <c r="I27" i="181"/>
  <c r="H27" i="181"/>
  <c r="G27" i="181"/>
  <c r="F27" i="181"/>
  <c r="E27" i="181"/>
  <c r="D27" i="181"/>
  <c r="C27" i="181"/>
  <c r="U26" i="181"/>
  <c r="T26" i="181"/>
  <c r="S26" i="181"/>
  <c r="Q26" i="181"/>
  <c r="P26" i="181"/>
  <c r="O26" i="181"/>
  <c r="N26" i="181"/>
  <c r="L26" i="181"/>
  <c r="K26" i="181"/>
  <c r="J26" i="181"/>
  <c r="I26" i="181"/>
  <c r="H26" i="181"/>
  <c r="G26" i="181"/>
  <c r="F26" i="181"/>
  <c r="E26" i="181"/>
  <c r="D26" i="181"/>
  <c r="C26" i="181"/>
  <c r="Q25" i="181"/>
  <c r="P25" i="181"/>
  <c r="O25" i="181"/>
  <c r="N25" i="181"/>
  <c r="M25" i="181"/>
  <c r="L25" i="181"/>
  <c r="K25" i="181"/>
  <c r="J25" i="181"/>
  <c r="I25" i="181"/>
  <c r="H25" i="181"/>
  <c r="G25" i="181"/>
  <c r="F25" i="181"/>
  <c r="E25" i="181"/>
  <c r="D25" i="181"/>
  <c r="C25" i="181"/>
  <c r="U24" i="181"/>
  <c r="T24" i="181"/>
  <c r="S24" i="181"/>
  <c r="Q24" i="181"/>
  <c r="P24" i="181"/>
  <c r="N24" i="181"/>
  <c r="L24" i="181"/>
  <c r="K24" i="181"/>
  <c r="J24" i="181"/>
  <c r="I24" i="181"/>
  <c r="H24" i="181"/>
  <c r="G24" i="181"/>
  <c r="F24" i="181"/>
  <c r="E24" i="181"/>
  <c r="D24" i="181"/>
  <c r="C24" i="181"/>
  <c r="U23" i="181"/>
  <c r="T23" i="181"/>
  <c r="S23" i="181"/>
  <c r="Q23" i="181"/>
  <c r="P23" i="181"/>
  <c r="O23" i="181"/>
  <c r="N23" i="181"/>
  <c r="L23" i="181"/>
  <c r="K23" i="181"/>
  <c r="J23" i="181"/>
  <c r="I23" i="181"/>
  <c r="H23" i="181"/>
  <c r="G23" i="181"/>
  <c r="F23" i="181"/>
  <c r="E23" i="181"/>
  <c r="D23" i="181"/>
  <c r="C23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C22" i="181"/>
  <c r="U21" i="181"/>
  <c r="T21" i="181"/>
  <c r="S21" i="181"/>
  <c r="Q21" i="181"/>
  <c r="P21" i="181"/>
  <c r="N21" i="181"/>
  <c r="L21" i="181"/>
  <c r="K21" i="181"/>
  <c r="J21" i="181"/>
  <c r="I21" i="181"/>
  <c r="H21" i="181"/>
  <c r="G21" i="181"/>
  <c r="F21" i="181"/>
  <c r="E21" i="181"/>
  <c r="D21" i="181"/>
  <c r="C21" i="181"/>
  <c r="U20" i="181"/>
  <c r="T20" i="181"/>
  <c r="S20" i="181"/>
  <c r="Q20" i="181"/>
  <c r="P20" i="181"/>
  <c r="O20" i="181"/>
  <c r="N20" i="181"/>
  <c r="L20" i="181"/>
  <c r="K20" i="181"/>
  <c r="J20" i="181"/>
  <c r="I20" i="181"/>
  <c r="H20" i="181"/>
  <c r="G20" i="181"/>
  <c r="F20" i="181"/>
  <c r="E20" i="181"/>
  <c r="D20" i="181"/>
  <c r="C20" i="181"/>
  <c r="Q19" i="181"/>
  <c r="P19" i="181"/>
  <c r="O19" i="181"/>
  <c r="N19" i="181"/>
  <c r="M19" i="181"/>
  <c r="L19" i="181"/>
  <c r="K19" i="181"/>
  <c r="J19" i="181"/>
  <c r="I19" i="181"/>
  <c r="H19" i="181"/>
  <c r="G19" i="181"/>
  <c r="F19" i="181"/>
  <c r="E19" i="181"/>
  <c r="D19" i="181"/>
  <c r="C19" i="181"/>
  <c r="U18" i="181"/>
  <c r="T18" i="181"/>
  <c r="S18" i="181"/>
  <c r="Q18" i="181"/>
  <c r="P18" i="181"/>
  <c r="N18" i="181"/>
  <c r="L18" i="181"/>
  <c r="K18" i="181"/>
  <c r="J18" i="181"/>
  <c r="I18" i="181"/>
  <c r="H18" i="181"/>
  <c r="G18" i="181"/>
  <c r="F18" i="181"/>
  <c r="E18" i="181"/>
  <c r="D18" i="181"/>
  <c r="C18" i="181"/>
  <c r="U17" i="181"/>
  <c r="T17" i="181"/>
  <c r="S17" i="181"/>
  <c r="Q17" i="181"/>
  <c r="P17" i="181"/>
  <c r="O17" i="181"/>
  <c r="N17" i="181"/>
  <c r="L17" i="181"/>
  <c r="K17" i="181"/>
  <c r="J17" i="181"/>
  <c r="I17" i="181"/>
  <c r="H17" i="181"/>
  <c r="G17" i="181"/>
  <c r="F17" i="181"/>
  <c r="E17" i="181"/>
  <c r="D17" i="181"/>
  <c r="C17" i="181"/>
  <c r="Q16" i="181"/>
  <c r="P16" i="181"/>
  <c r="O16" i="181"/>
  <c r="N16" i="181"/>
  <c r="M16" i="181"/>
  <c r="L16" i="181"/>
  <c r="K16" i="181"/>
  <c r="J16" i="181"/>
  <c r="I16" i="181"/>
  <c r="H16" i="181"/>
  <c r="G16" i="181"/>
  <c r="F16" i="181"/>
  <c r="E16" i="181"/>
  <c r="D16" i="181"/>
  <c r="C16" i="181"/>
  <c r="U15" i="181"/>
  <c r="T15" i="181"/>
  <c r="S15" i="181"/>
  <c r="Q15" i="181"/>
  <c r="P15" i="181"/>
  <c r="N15" i="181"/>
  <c r="L15" i="181"/>
  <c r="K15" i="181"/>
  <c r="J15" i="181"/>
  <c r="I15" i="181"/>
  <c r="H15" i="181"/>
  <c r="G15" i="181"/>
  <c r="F15" i="181"/>
  <c r="E15" i="181"/>
  <c r="D15" i="181"/>
  <c r="C15" i="181"/>
  <c r="U14" i="181"/>
  <c r="T14" i="181"/>
  <c r="S14" i="181"/>
  <c r="Q14" i="181"/>
  <c r="P14" i="181"/>
  <c r="O14" i="181"/>
  <c r="N14" i="181"/>
  <c r="L14" i="181"/>
  <c r="K14" i="181"/>
  <c r="J14" i="181"/>
  <c r="I14" i="181"/>
  <c r="H14" i="181"/>
  <c r="G14" i="181"/>
  <c r="F14" i="181"/>
  <c r="E14" i="181"/>
  <c r="D14" i="181"/>
  <c r="C14" i="181"/>
  <c r="Q13" i="181"/>
  <c r="P13" i="181"/>
  <c r="O13" i="181"/>
  <c r="N13" i="181"/>
  <c r="M13" i="181"/>
  <c r="L13" i="181"/>
  <c r="K13" i="181"/>
  <c r="J13" i="181"/>
  <c r="I13" i="181"/>
  <c r="H13" i="181"/>
  <c r="G13" i="181"/>
  <c r="F13" i="181"/>
  <c r="E13" i="181"/>
  <c r="D13" i="181"/>
  <c r="C13" i="181"/>
  <c r="U12" i="181"/>
  <c r="T12" i="181"/>
  <c r="S12" i="181"/>
  <c r="Q12" i="181"/>
  <c r="P12" i="181"/>
  <c r="N12" i="181"/>
  <c r="L12" i="181"/>
  <c r="K12" i="181"/>
  <c r="J12" i="181"/>
  <c r="I12" i="181"/>
  <c r="H12" i="181"/>
  <c r="G12" i="181"/>
  <c r="F12" i="181"/>
  <c r="E12" i="181"/>
  <c r="D12" i="181"/>
  <c r="C12" i="181"/>
  <c r="U11" i="181"/>
  <c r="T11" i="181"/>
  <c r="S11" i="181"/>
  <c r="Q11" i="181"/>
  <c r="P11" i="181"/>
  <c r="O11" i="181"/>
  <c r="N11" i="181"/>
  <c r="L11" i="181"/>
  <c r="K11" i="181"/>
  <c r="J11" i="181"/>
  <c r="I11" i="181"/>
  <c r="H11" i="181"/>
  <c r="G11" i="181"/>
  <c r="F11" i="181"/>
  <c r="E11" i="181"/>
  <c r="D11" i="181"/>
  <c r="C11" i="181"/>
  <c r="Q10" i="181"/>
  <c r="P10" i="181"/>
  <c r="O10" i="181"/>
  <c r="N10" i="181"/>
  <c r="M10" i="181"/>
  <c r="L10" i="181"/>
  <c r="L28" i="181" s="1"/>
  <c r="K10" i="181"/>
  <c r="J10" i="181"/>
  <c r="J28" i="181" s="1"/>
  <c r="I10" i="181"/>
  <c r="H10" i="181"/>
  <c r="G10" i="181"/>
  <c r="F10" i="181"/>
  <c r="E10" i="181"/>
  <c r="D10" i="181"/>
  <c r="C10" i="181"/>
  <c r="U9" i="181"/>
  <c r="T9" i="181"/>
  <c r="S9" i="181"/>
  <c r="Q9" i="181"/>
  <c r="P9" i="181"/>
  <c r="N9" i="181"/>
  <c r="L9" i="181"/>
  <c r="K9" i="181"/>
  <c r="J9" i="181"/>
  <c r="I9" i="181"/>
  <c r="H9" i="181"/>
  <c r="G9" i="181"/>
  <c r="F9" i="181"/>
  <c r="E9" i="181"/>
  <c r="D9" i="181"/>
  <c r="C9" i="181"/>
  <c r="U8" i="181"/>
  <c r="T8" i="181"/>
  <c r="S8" i="181"/>
  <c r="Q8" i="181"/>
  <c r="Q28" i="181" s="1"/>
  <c r="P8" i="181"/>
  <c r="P28" i="181" s="1"/>
  <c r="O8" i="181"/>
  <c r="N8" i="181"/>
  <c r="N28" i="181" s="1"/>
  <c r="L8" i="181"/>
  <c r="K8" i="181"/>
  <c r="J8" i="181"/>
  <c r="I8" i="181"/>
  <c r="I28" i="181" s="1"/>
  <c r="H8" i="181"/>
  <c r="H28" i="181" s="1"/>
  <c r="G8" i="181"/>
  <c r="G28" i="181" s="1"/>
  <c r="F8" i="181"/>
  <c r="F28" i="181" s="1"/>
  <c r="E8" i="181"/>
  <c r="E28" i="181" s="1"/>
  <c r="D8" i="181"/>
  <c r="D28" i="181" s="1"/>
  <c r="C8" i="181"/>
  <c r="C28" i="181" s="1"/>
  <c r="V3" i="181"/>
  <c r="V26" i="181" s="1"/>
  <c r="U3" i="181"/>
  <c r="U25" i="181" s="1"/>
  <c r="T3" i="181"/>
  <c r="T25" i="181" s="1"/>
  <c r="S3" i="181"/>
  <c r="S25" i="181" s="1"/>
  <c r="O3" i="181"/>
  <c r="O27" i="181" s="1"/>
  <c r="M3" i="181"/>
  <c r="M26" i="181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W28" i="180"/>
  <c r="U27" i="180"/>
  <c r="T27" i="180"/>
  <c r="S27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U26" i="180"/>
  <c r="T26" i="180"/>
  <c r="S26" i="180"/>
  <c r="Q26" i="180"/>
  <c r="P26" i="180"/>
  <c r="O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O25" i="180"/>
  <c r="N25" i="180"/>
  <c r="M25" i="180"/>
  <c r="L25" i="180"/>
  <c r="K25" i="180"/>
  <c r="J25" i="180"/>
  <c r="I25" i="180"/>
  <c r="H25" i="180"/>
  <c r="G25" i="180"/>
  <c r="F25" i="180"/>
  <c r="E25" i="180"/>
  <c r="D25" i="180"/>
  <c r="C25" i="180"/>
  <c r="U24" i="180"/>
  <c r="T24" i="180"/>
  <c r="S24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U23" i="180"/>
  <c r="T23" i="180"/>
  <c r="S23" i="180"/>
  <c r="Q23" i="180"/>
  <c r="P23" i="180"/>
  <c r="O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C22" i="180"/>
  <c r="U21" i="180"/>
  <c r="T21" i="180"/>
  <c r="S21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U20" i="180"/>
  <c r="T20" i="180"/>
  <c r="S20" i="180"/>
  <c r="Q20" i="180"/>
  <c r="P20" i="180"/>
  <c r="O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O19" i="180"/>
  <c r="N19" i="180"/>
  <c r="M19" i="180"/>
  <c r="L19" i="180"/>
  <c r="K19" i="180"/>
  <c r="J19" i="180"/>
  <c r="I19" i="180"/>
  <c r="H19" i="180"/>
  <c r="G19" i="180"/>
  <c r="F19" i="180"/>
  <c r="E19" i="180"/>
  <c r="D19" i="180"/>
  <c r="C19" i="180"/>
  <c r="U18" i="180"/>
  <c r="T18" i="180"/>
  <c r="S18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U17" i="180"/>
  <c r="T17" i="180"/>
  <c r="S17" i="180"/>
  <c r="Q17" i="180"/>
  <c r="P17" i="180"/>
  <c r="O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O16" i="180"/>
  <c r="N16" i="180"/>
  <c r="M16" i="180"/>
  <c r="L16" i="180"/>
  <c r="K16" i="180"/>
  <c r="J16" i="180"/>
  <c r="I16" i="180"/>
  <c r="H16" i="180"/>
  <c r="G16" i="180"/>
  <c r="F16" i="180"/>
  <c r="E16" i="180"/>
  <c r="D16" i="180"/>
  <c r="C16" i="180"/>
  <c r="U15" i="180"/>
  <c r="T15" i="180"/>
  <c r="S15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U14" i="180"/>
  <c r="T14" i="180"/>
  <c r="S14" i="180"/>
  <c r="Q14" i="180"/>
  <c r="P14" i="180"/>
  <c r="O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O13" i="180"/>
  <c r="N13" i="180"/>
  <c r="M13" i="180"/>
  <c r="L13" i="180"/>
  <c r="K13" i="180"/>
  <c r="J13" i="180"/>
  <c r="I13" i="180"/>
  <c r="H13" i="180"/>
  <c r="G13" i="180"/>
  <c r="F13" i="180"/>
  <c r="E13" i="180"/>
  <c r="D13" i="180"/>
  <c r="C13" i="180"/>
  <c r="U12" i="180"/>
  <c r="T12" i="180"/>
  <c r="S12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U11" i="180"/>
  <c r="T11" i="180"/>
  <c r="S11" i="180"/>
  <c r="Q11" i="180"/>
  <c r="P11" i="180"/>
  <c r="O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O10" i="180"/>
  <c r="N10" i="180"/>
  <c r="M10" i="180"/>
  <c r="L10" i="180"/>
  <c r="L28" i="180" s="1"/>
  <c r="K10" i="180"/>
  <c r="K28" i="180" s="1"/>
  <c r="J10" i="180"/>
  <c r="J28" i="180" s="1"/>
  <c r="I10" i="180"/>
  <c r="H10" i="180"/>
  <c r="G10" i="180"/>
  <c r="F10" i="180"/>
  <c r="E10" i="180"/>
  <c r="D10" i="180"/>
  <c r="C10" i="180"/>
  <c r="U9" i="180"/>
  <c r="T9" i="180"/>
  <c r="S9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U8" i="180"/>
  <c r="T8" i="180"/>
  <c r="S8" i="180"/>
  <c r="Q8" i="180"/>
  <c r="Q28" i="180" s="1"/>
  <c r="P8" i="180"/>
  <c r="P28" i="180" s="1"/>
  <c r="O8" i="180"/>
  <c r="N8" i="180"/>
  <c r="N28" i="180" s="1"/>
  <c r="L8" i="180"/>
  <c r="K8" i="180"/>
  <c r="J8" i="180"/>
  <c r="I8" i="180"/>
  <c r="I28" i="180" s="1"/>
  <c r="H8" i="180"/>
  <c r="H28" i="180" s="1"/>
  <c r="G8" i="180"/>
  <c r="G28" i="180" s="1"/>
  <c r="F8" i="180"/>
  <c r="F28" i="180" s="1"/>
  <c r="E8" i="180"/>
  <c r="E28" i="180" s="1"/>
  <c r="D8" i="180"/>
  <c r="D28" i="180" s="1"/>
  <c r="C8" i="180"/>
  <c r="C28" i="180" s="1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T20" i="179"/>
  <c r="Q20" i="179"/>
  <c r="P20" i="179"/>
  <c r="O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T18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O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T14" i="179"/>
  <c r="Q14" i="179"/>
  <c r="P14" i="179"/>
  <c r="O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T12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O10" i="179"/>
  <c r="N10" i="179"/>
  <c r="L10" i="179"/>
  <c r="K10" i="179"/>
  <c r="J10" i="179"/>
  <c r="I10" i="179"/>
  <c r="H10" i="179"/>
  <c r="G10" i="179"/>
  <c r="F10" i="179"/>
  <c r="E10" i="179"/>
  <c r="D10" i="179"/>
  <c r="C10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T8" i="179"/>
  <c r="Q8" i="179"/>
  <c r="Q28" i="179" s="1"/>
  <c r="P8" i="179"/>
  <c r="O8" i="179"/>
  <c r="N8" i="179"/>
  <c r="L8" i="179"/>
  <c r="K8" i="179"/>
  <c r="J8" i="179"/>
  <c r="I8" i="179"/>
  <c r="H8" i="179"/>
  <c r="G8" i="179"/>
  <c r="G28" i="179" s="1"/>
  <c r="F8" i="179"/>
  <c r="E8" i="179"/>
  <c r="E28" i="179" s="1"/>
  <c r="D8" i="179"/>
  <c r="C8" i="179"/>
  <c r="C28" i="179" s="1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S24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S23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S21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S20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S18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S17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S15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S14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S12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S11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S9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S8" i="178"/>
  <c r="Q8" i="178"/>
  <c r="Q28" i="178" s="1"/>
  <c r="P8" i="178"/>
  <c r="N8" i="178"/>
  <c r="N28" i="178" s="1"/>
  <c r="L8" i="178"/>
  <c r="K8" i="178"/>
  <c r="J8" i="178"/>
  <c r="I8" i="178"/>
  <c r="I28" i="178" s="1"/>
  <c r="H8" i="178"/>
  <c r="G8" i="178"/>
  <c r="G28" i="178" s="1"/>
  <c r="F8" i="178"/>
  <c r="E8" i="178"/>
  <c r="E28" i="178" s="1"/>
  <c r="D8" i="178"/>
  <c r="C8" i="178"/>
  <c r="C28" i="178" s="1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S15" i="179" l="1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S9" i="179"/>
  <c r="M10" i="179"/>
  <c r="M20" i="179"/>
  <c r="S21" i="179"/>
  <c r="M22" i="179"/>
  <c r="S23" i="179"/>
  <c r="T24" i="179"/>
  <c r="O26" i="179"/>
  <c r="T26" i="179"/>
  <c r="M8" i="179"/>
  <c r="I28" i="179"/>
  <c r="S11" i="179"/>
  <c r="F28" i="179"/>
  <c r="N28" i="179"/>
  <c r="S8" i="179"/>
  <c r="T9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K28" i="179"/>
  <c r="M14" i="179"/>
  <c r="M16" i="179"/>
  <c r="S17" i="179"/>
  <c r="O22" i="179"/>
  <c r="M26" i="179"/>
  <c r="S27" i="179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AC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28" i="183" s="1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O28" i="183" s="1"/>
  <c r="M8" i="183"/>
  <c r="M28" i="183" s="1"/>
  <c r="U10" i="183"/>
  <c r="M11" i="183"/>
  <c r="U13" i="183"/>
  <c r="U28" i="183" s="1"/>
  <c r="M14" i="183"/>
  <c r="U16" i="183"/>
  <c r="M17" i="183"/>
  <c r="U19" i="183"/>
  <c r="M20" i="183"/>
  <c r="U22" i="183"/>
  <c r="M23" i="183"/>
  <c r="V9" i="182"/>
  <c r="V15" i="182"/>
  <c r="M9" i="182"/>
  <c r="M27" i="182"/>
  <c r="R3" i="182"/>
  <c r="V17" i="182"/>
  <c r="V26" i="182"/>
  <c r="O9" i="182"/>
  <c r="O28" i="182" s="1"/>
  <c r="S10" i="182"/>
  <c r="O12" i="182"/>
  <c r="S13" i="182"/>
  <c r="O15" i="182"/>
  <c r="S16" i="182"/>
  <c r="S28" i="182" s="1"/>
  <c r="O18" i="182"/>
  <c r="S19" i="182"/>
  <c r="O21" i="182"/>
  <c r="S22" i="182"/>
  <c r="O24" i="182"/>
  <c r="V13" i="182"/>
  <c r="V19" i="182"/>
  <c r="V22" i="182"/>
  <c r="V12" i="182"/>
  <c r="V18" i="182"/>
  <c r="V24" i="182"/>
  <c r="V27" i="182"/>
  <c r="M12" i="182"/>
  <c r="M18" i="182"/>
  <c r="M21" i="182"/>
  <c r="V8" i="182"/>
  <c r="V11" i="182"/>
  <c r="V20" i="182"/>
  <c r="V23" i="182"/>
  <c r="T10" i="182"/>
  <c r="T28" i="182" s="1"/>
  <c r="T13" i="182"/>
  <c r="T16" i="182"/>
  <c r="T19" i="182"/>
  <c r="T22" i="182"/>
  <c r="V10" i="182"/>
  <c r="V16" i="182"/>
  <c r="V25" i="182"/>
  <c r="V21" i="182"/>
  <c r="M15" i="182"/>
  <c r="M24" i="182"/>
  <c r="M8" i="182"/>
  <c r="M28" i="182" s="1"/>
  <c r="U10" i="182"/>
  <c r="M11" i="182"/>
  <c r="U13" i="182"/>
  <c r="U28" i="182" s="1"/>
  <c r="M14" i="182"/>
  <c r="U16" i="182"/>
  <c r="M17" i="182"/>
  <c r="U19" i="182"/>
  <c r="M20" i="182"/>
  <c r="U22" i="182"/>
  <c r="M23" i="182"/>
  <c r="V13" i="181"/>
  <c r="V22" i="181"/>
  <c r="V25" i="181"/>
  <c r="V18" i="181"/>
  <c r="V27" i="181"/>
  <c r="M12" i="181"/>
  <c r="M15" i="181"/>
  <c r="M21" i="181"/>
  <c r="M24" i="181"/>
  <c r="V11" i="181"/>
  <c r="V17" i="181"/>
  <c r="V23" i="181"/>
  <c r="O9" i="181"/>
  <c r="O28" i="181" s="1"/>
  <c r="S10" i="181"/>
  <c r="S28" i="181" s="1"/>
  <c r="O12" i="181"/>
  <c r="S13" i="181"/>
  <c r="O15" i="181"/>
  <c r="S16" i="181"/>
  <c r="O18" i="181"/>
  <c r="S19" i="181"/>
  <c r="O21" i="181"/>
  <c r="S22" i="181"/>
  <c r="O24" i="181"/>
  <c r="V16" i="181"/>
  <c r="V12" i="181"/>
  <c r="M9" i="181"/>
  <c r="M18" i="181"/>
  <c r="T10" i="181"/>
  <c r="T28" i="181" s="1"/>
  <c r="T13" i="181"/>
  <c r="T16" i="181"/>
  <c r="T19" i="181"/>
  <c r="T22" i="181"/>
  <c r="V10" i="181"/>
  <c r="V19" i="181"/>
  <c r="V9" i="181"/>
  <c r="V15" i="181"/>
  <c r="V21" i="181"/>
  <c r="V24" i="181"/>
  <c r="M27" i="181"/>
  <c r="R3" i="181"/>
  <c r="V8" i="181"/>
  <c r="V14" i="181"/>
  <c r="V20" i="181"/>
  <c r="M8" i="181"/>
  <c r="M28" i="181" s="1"/>
  <c r="U10" i="181"/>
  <c r="U28" i="181" s="1"/>
  <c r="M11" i="181"/>
  <c r="U13" i="181"/>
  <c r="M14" i="181"/>
  <c r="U16" i="181"/>
  <c r="M17" i="181"/>
  <c r="U19" i="181"/>
  <c r="M20" i="181"/>
  <c r="U22" i="181"/>
  <c r="M23" i="181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O28" i="180" s="1"/>
  <c r="S10" i="180"/>
  <c r="S28" i="180" s="1"/>
  <c r="O15" i="180"/>
  <c r="S16" i="180"/>
  <c r="O21" i="180"/>
  <c r="S22" i="180"/>
  <c r="O27" i="180"/>
  <c r="T10" i="180"/>
  <c r="T28" i="180" s="1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M28" i="180" s="1"/>
  <c r="U10" i="180"/>
  <c r="M11" i="180"/>
  <c r="U13" i="180"/>
  <c r="M14" i="180"/>
  <c r="U16" i="180"/>
  <c r="U28" i="180" s="1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M28" i="179" s="1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28" i="179" s="1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O28" i="178" s="1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S28" i="179" l="1"/>
  <c r="O28" i="179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R23" i="182"/>
  <c r="R14" i="182"/>
  <c r="R8" i="182"/>
  <c r="R27" i="182"/>
  <c r="R24" i="182"/>
  <c r="R15" i="182"/>
  <c r="R9" i="182"/>
  <c r="R22" i="182"/>
  <c r="R19" i="182"/>
  <c r="R10" i="182"/>
  <c r="R21" i="182"/>
  <c r="R18" i="182"/>
  <c r="R12" i="182"/>
  <c r="R25" i="182"/>
  <c r="R16" i="182"/>
  <c r="R13" i="182"/>
  <c r="R26" i="182"/>
  <c r="R20" i="182"/>
  <c r="R17" i="182"/>
  <c r="R11" i="182"/>
  <c r="V28" i="182"/>
  <c r="V28" i="181"/>
  <c r="R25" i="181"/>
  <c r="R19" i="181"/>
  <c r="R13" i="181"/>
  <c r="R26" i="181"/>
  <c r="R23" i="181"/>
  <c r="R27" i="181"/>
  <c r="R15" i="181"/>
  <c r="R20" i="181"/>
  <c r="R14" i="181"/>
  <c r="R8" i="181"/>
  <c r="R21" i="181"/>
  <c r="R9" i="181"/>
  <c r="R22" i="181"/>
  <c r="R16" i="181"/>
  <c r="R10" i="181"/>
  <c r="R17" i="181"/>
  <c r="R11" i="181"/>
  <c r="R24" i="181"/>
  <c r="R18" i="181"/>
  <c r="R12" i="181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2"/>
  <c r="R28" i="18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</calcChain>
</file>

<file path=xl/sharedStrings.xml><?xml version="1.0" encoding="utf-8"?>
<sst xmlns="http://schemas.openxmlformats.org/spreadsheetml/2006/main" count="645" uniqueCount="75">
  <si>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</si>
  <si>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</si>
  <si>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</si>
  <si>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</si>
  <si>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</si>
  <si>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</si>
  <si>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</si>
  <si>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</si>
  <si>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</si>
  <si>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</si>
  <si>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</si>
  <si>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</si>
  <si>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</si>
  <si>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</si>
  <si>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</si>
  <si>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</si>
  <si>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</si>
  <si>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</si>
  <si>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</si>
  <si>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</si>
  <si>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</si>
  <si>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</si>
  <si>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</si>
  <si>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</si>
  <si>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</si>
  <si>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</si>
  <si>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</si>
  <si>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</si>
  <si>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</si>
  <si>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</si>
  <si>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</si>
  <si>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</si>
  <si>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DAGO BRICE</t>
  </si>
  <si>
    <t>DIOMANDE ESTHER</t>
  </si>
  <si>
    <t>BADA LANDRY</t>
  </si>
  <si>
    <t>KOUAME JOSE</t>
  </si>
  <si>
    <t>FANY BARAKISSA</t>
  </si>
  <si>
    <t>KONAN IVETTE</t>
  </si>
  <si>
    <t>KRA PACOME</t>
  </si>
  <si>
    <t>OULAY EMMENUELLA</t>
  </si>
  <si>
    <t>KONATE MARIAM</t>
  </si>
  <si>
    <t>KOUAME JORES</t>
  </si>
  <si>
    <t>KOUAKOU ADJOUA ROSE</t>
  </si>
  <si>
    <t>OULAY WILFRIED</t>
  </si>
  <si>
    <t>KRA K. EVAVARISTE</t>
  </si>
  <si>
    <t>KOUAME JAURES</t>
  </si>
  <si>
    <t>KONATE MOUSSA</t>
  </si>
  <si>
    <t>NGORAN AXCEL</t>
  </si>
  <si>
    <t>TRAORE ARSENE</t>
  </si>
  <si>
    <t>NGUESSAN INNOCENT</t>
  </si>
  <si>
    <t>KOUAME ARISTIDE</t>
  </si>
  <si>
    <t>GRACE</t>
  </si>
  <si>
    <t>KOUAME STEPHANIE</t>
  </si>
  <si>
    <t>BERTRAND</t>
  </si>
  <si>
    <t>1+1</t>
  </si>
  <si>
    <t>1+1+1+8</t>
  </si>
  <si>
    <t>1+1+1</t>
  </si>
  <si>
    <t>1+1+1+3</t>
  </si>
  <si>
    <t>1+1+5</t>
  </si>
  <si>
    <t>1+2</t>
  </si>
  <si>
    <t>1+4</t>
  </si>
  <si>
    <t>1+1+4</t>
  </si>
  <si>
    <t>1+3</t>
  </si>
  <si>
    <t>1+1+2+5</t>
  </si>
  <si>
    <t>1+1+1+7</t>
  </si>
  <si>
    <t>1+1+1+6</t>
  </si>
  <si>
    <t>1+10</t>
  </si>
  <si>
    <t>1+5</t>
  </si>
  <si>
    <t>RAMATOU SETIO</t>
  </si>
  <si>
    <t>KRA EVARISTE</t>
  </si>
  <si>
    <t>NGUESSAN</t>
  </si>
  <si>
    <t>KOUAME INNOCENT</t>
  </si>
  <si>
    <t>Dans l'esemble, après 4 jours de ventes à Korhogo, il ressort que les produits on été moins référencés avant le commando. La majeure partie des détaillants font les achats en chapelets ou en sachets pour le grands formats.</t>
  </si>
  <si>
    <t>Ils réclament plus de gratuits pour un produit en lancement selon eux. Et aussi du lait en boîte pour les grands formats</t>
  </si>
  <si>
    <t>Nous, avons combiné tous les points de vente car il ny a pas cette spécficité dans la fiche de suivie promoteurs. Nous nous sommes rendu compte dans le dépoouillement. Est-ce une volonté délibérée?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</si>
</sst>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0.0"/>
    <numFmt numFmtId="166" formatCode="_-* #,##0.0_-;\-* #,##0.0_-;_-* &quot;-&quot;_-;_-@_-"/>
  </numFmts>
  <fonts count="19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6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164" fontId="9" fillId="4" borderId="10" xfId="1" applyFont="1" applyFill="1" applyBorder="1" applyAlignment="1">
      <alignment horizontal="center" vertical="center"/>
    </xf>
    <xf numFmtId="164" fontId="9" fillId="4" borderId="11" xfId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164" fontId="9" fillId="4" borderId="6" xfId="1" applyFont="1" applyFill="1" applyBorder="1" applyAlignment="1">
      <alignment horizontal="center" vertical="center"/>
    </xf>
    <xf numFmtId="164" fontId="9" fillId="4" borderId="7" xfId="1" applyFont="1" applyFill="1" applyBorder="1" applyAlignment="1">
      <alignment horizontal="center" vertical="center"/>
    </xf>
    <xf numFmtId="164" fontId="12" fillId="4" borderId="9" xfId="1" applyFont="1" applyFill="1" applyBorder="1" applyAlignment="1">
      <alignment horizontal="center" vertical="center" wrapText="1"/>
    </xf>
    <xf numFmtId="164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164" fontId="11" fillId="4" borderId="22" xfId="1" applyFont="1" applyFill="1" applyBorder="1" applyAlignment="1">
      <alignment horizontal="center" vertical="center"/>
    </xf>
    <xf numFmtId="164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164" fontId="9" fillId="4" borderId="26" xfId="1" applyFont="1" applyFill="1" applyBorder="1" applyAlignment="1">
      <alignment horizontal="center" vertical="center"/>
    </xf>
    <xf numFmtId="164" fontId="9" fillId="4" borderId="27" xfId="1" applyFont="1" applyFill="1" applyBorder="1" applyAlignment="1">
      <alignment horizontal="center" vertical="center"/>
    </xf>
    <xf numFmtId="164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center" wrapText="1"/>
    </xf>
    <xf numFmtId="166" fontId="9" fillId="4" borderId="10" xfId="1" applyNumberFormat="1" applyFont="1" applyFill="1" applyBorder="1" applyAlignment="1">
      <alignment horizontal="center" vertical="center"/>
    </xf>
    <xf numFmtId="166" fontId="9" fillId="4" borderId="11" xfId="1" applyNumberFormat="1" applyFont="1" applyFill="1" applyBorder="1" applyAlignment="1">
      <alignment horizontal="center" vertical="center"/>
    </xf>
    <xf numFmtId="166" fontId="9" fillId="4" borderId="12" xfId="1" applyNumberFormat="1" applyFont="1" applyFill="1" applyBorder="1" applyAlignment="1">
      <alignment horizontal="center" vertical="center"/>
    </xf>
    <xf numFmtId="166" fontId="9" fillId="4" borderId="5" xfId="1" applyNumberFormat="1" applyFont="1" applyFill="1" applyBorder="1" applyAlignment="1">
      <alignment horizontal="center" vertical="center"/>
    </xf>
    <xf numFmtId="166" fontId="9" fillId="4" borderId="6" xfId="1" applyNumberFormat="1" applyFont="1" applyFill="1" applyBorder="1" applyAlignment="1">
      <alignment horizontal="center" vertical="center"/>
    </xf>
    <xf numFmtId="166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164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64" fontId="13" fillId="4" borderId="5" xfId="1" applyFont="1" applyFill="1" applyBorder="1" applyAlignment="1">
      <alignment horizontal="center" vertical="center"/>
    </xf>
    <xf numFmtId="164" fontId="13" fillId="4" borderId="6" xfId="1" applyFont="1" applyFill="1" applyBorder="1" applyAlignment="1">
      <alignment horizontal="center" vertical="center"/>
    </xf>
    <xf numFmtId="164" fontId="13" fillId="4" borderId="7" xfId="1" applyFont="1" applyFill="1" applyBorder="1" applyAlignment="1">
      <alignment horizontal="center" vertical="center"/>
    </xf>
    <xf numFmtId="166" fontId="13" fillId="4" borderId="5" xfId="1" applyNumberFormat="1" applyFont="1" applyFill="1" applyBorder="1" applyAlignment="1">
      <alignment horizontal="center" vertical="center"/>
    </xf>
    <xf numFmtId="166" fontId="13" fillId="4" borderId="6" xfId="1" applyNumberFormat="1" applyFont="1" applyFill="1" applyBorder="1" applyAlignment="1">
      <alignment horizontal="center" vertical="center"/>
    </xf>
    <xf numFmtId="166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164" fontId="4" fillId="4" borderId="20" xfId="1" applyFont="1" applyFill="1" applyBorder="1" applyAlignment="1">
      <alignment horizontal="center" vertical="center" wrapText="1"/>
    </xf>
    <xf numFmtId="164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164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164" fontId="9" fillId="4" borderId="23" xfId="1" applyFont="1" applyFill="1" applyBorder="1" applyAlignment="1">
      <alignment horizontal="center" vertical="center"/>
    </xf>
    <xf numFmtId="164" fontId="9" fillId="4" borderId="35" xfId="1" applyFont="1" applyFill="1" applyBorder="1" applyAlignment="1">
      <alignment horizontal="center" vertical="center"/>
    </xf>
    <xf numFmtId="164" fontId="9" fillId="4" borderId="36" xfId="1" applyFont="1" applyFill="1" applyBorder="1" applyAlignment="1">
      <alignment horizontal="center" vertical="center"/>
    </xf>
    <xf numFmtId="164" fontId="9" fillId="4" borderId="33" xfId="1" applyFont="1" applyFill="1" applyBorder="1" applyAlignment="1">
      <alignment horizontal="center" vertical="center"/>
    </xf>
    <xf numFmtId="164" fontId="9" fillId="4" borderId="29" xfId="1" applyFont="1" applyFill="1" applyBorder="1" applyAlignment="1">
      <alignment horizontal="center" vertical="center"/>
    </xf>
    <xf numFmtId="164" fontId="9" fillId="3" borderId="13" xfId="1" applyFont="1" applyFill="1" applyBorder="1" applyAlignment="1">
      <alignment horizontal="center" vertical="center"/>
    </xf>
    <xf numFmtId="164" fontId="9" fillId="3" borderId="14" xfId="1" applyFont="1" applyFill="1" applyBorder="1" applyAlignment="1">
      <alignment horizontal="center" vertical="center"/>
    </xf>
    <xf numFmtId="164" fontId="9" fillId="3" borderId="15" xfId="1" applyFont="1" applyFill="1" applyBorder="1" applyAlignment="1">
      <alignment horizontal="center" vertical="center"/>
    </xf>
    <xf numFmtId="164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8" fillId="4" borderId="5" xfId="1" applyFont="1" applyFill="1" applyBorder="1" applyAlignment="1">
      <alignment horizontal="center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wrapText="1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164" fontId="11" fillId="4" borderId="30" xfId="1" applyFont="1" applyFill="1" applyBorder="1" applyAlignment="1">
      <alignment horizontal="left" vertical="center" wrapText="1"/>
    </xf>
    <xf numFmtId="164" fontId="11" fillId="4" borderId="25" xfId="1" applyFont="1" applyFill="1" applyBorder="1" applyAlignment="1">
      <alignment horizontal="left" vertical="center" wrapText="1"/>
    </xf>
    <xf numFmtId="164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64" fontId="12" fillId="4" borderId="30" xfId="1" applyFont="1" applyFill="1" applyBorder="1" applyAlignment="1">
      <alignment horizontal="left" vertical="center" wrapText="1"/>
    </xf>
    <xf numFmtId="164" fontId="12" fillId="4" borderId="25" xfId="1" applyFont="1" applyFill="1" applyBorder="1" applyAlignment="1">
      <alignment horizontal="left" vertical="center" wrapText="1"/>
    </xf>
    <xf numFmtId="164" fontId="12" fillId="4" borderId="9" xfId="1" applyFont="1" applyFill="1" applyBorder="1" applyAlignment="1">
      <alignment horizontal="left" vertical="center" wrapText="1"/>
    </xf>
    <xf numFmtId="164" fontId="11" fillId="4" borderId="17" xfId="1" applyFont="1" applyFill="1" applyBorder="1" applyAlignment="1">
      <alignment horizontal="left" vertical="center" wrapText="1"/>
    </xf>
    <xf numFmtId="0" fontId="5" fillId="0" borderId="0" xfId="0" applyFont="1"/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"/>
  <sheetViews>
    <sheetView zoomScale="70" zoomScaleNormal="70" workbookViewId="0">
      <pane xSplit="2" ySplit="7" topLeftCell="AJ20" activePane="bottomRight" state="frozen"/>
      <selection activeCell="C3" sqref="C3"/>
      <selection pane="topRight" activeCell="C3" sqref="C3"/>
      <selection pane="bottomLeft" activeCell="C3" sqref="C3"/>
      <selection pane="bottomRight" activeCell="A28" sqref="A28:XFD28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R3" s="28">
        <f>80/5</f>
        <v>16</v>
      </c>
      <c r="AU3" s="117">
        <f>24/2</f>
        <v>12</v>
      </c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4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5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/>
      <c r="AF8" s="42"/>
      <c r="AG8" s="127">
        <f>3+2+8</f>
        <v>13</v>
      </c>
      <c r="AH8" s="118"/>
      <c r="AI8" s="118"/>
      <c r="AJ8" s="41"/>
      <c r="AK8" s="42"/>
      <c r="AL8" s="40">
        <v>3</v>
      </c>
      <c r="AM8" s="41"/>
      <c r="AN8" s="41"/>
      <c r="AO8" s="41">
        <v>2</v>
      </c>
      <c r="AP8" s="42">
        <v>8</v>
      </c>
      <c r="AQ8" s="108">
        <f>12/12</f>
        <v>1</v>
      </c>
      <c r="AR8" s="109"/>
      <c r="AS8" s="109"/>
      <c r="AT8" s="109">
        <v>0.5</v>
      </c>
      <c r="AU8" s="110">
        <v>3</v>
      </c>
      <c r="AV8" s="6">
        <v>3</v>
      </c>
      <c r="AW8" s="7">
        <v>3</v>
      </c>
      <c r="AX8" s="7">
        <v>3</v>
      </c>
      <c r="AY8" s="7"/>
      <c r="AZ8" s="8"/>
      <c r="BA8" s="6">
        <v>10</v>
      </c>
      <c r="BB8" s="7"/>
      <c r="BC8" s="8">
        <f>5+30</f>
        <v>35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24</v>
      </c>
      <c r="X9" s="10"/>
      <c r="Y9" s="10"/>
      <c r="Z9" s="10"/>
      <c r="AA9" s="11"/>
      <c r="AB9" s="43"/>
      <c r="AC9" s="44"/>
      <c r="AD9" s="44"/>
      <c r="AE9" s="44"/>
      <c r="AF9" s="45"/>
      <c r="AG9" s="58">
        <f>1+1+1+10</f>
        <v>13</v>
      </c>
      <c r="AH9" s="119"/>
      <c r="AI9" s="119"/>
      <c r="AJ9" s="44"/>
      <c r="AK9" s="45"/>
      <c r="AL9" s="43">
        <v>1</v>
      </c>
      <c r="AM9" s="44"/>
      <c r="AN9" s="44">
        <v>1</v>
      </c>
      <c r="AO9" s="44">
        <v>1</v>
      </c>
      <c r="AP9" s="45">
        <v>10</v>
      </c>
      <c r="AQ9" s="107">
        <f>5/12</f>
        <v>0.41666666666666669</v>
      </c>
      <c r="AR9" s="111"/>
      <c r="AS9" s="111">
        <f>3/20</f>
        <v>0.15</v>
      </c>
      <c r="AT9" s="111">
        <v>0.4</v>
      </c>
      <c r="AU9" s="112">
        <v>5</v>
      </c>
      <c r="AV9" s="6">
        <v>3</v>
      </c>
      <c r="AW9" s="7">
        <v>3</v>
      </c>
      <c r="AX9" s="7">
        <v>3</v>
      </c>
      <c r="AY9" s="10"/>
      <c r="AZ9" s="11"/>
      <c r="BA9" s="9">
        <f>5+5</f>
        <v>10</v>
      </c>
      <c r="BB9" s="10"/>
      <c r="BC9" s="11">
        <f>4+50</f>
        <v>54</v>
      </c>
      <c r="BD9" s="70"/>
      <c r="BE9" s="12"/>
    </row>
    <row r="10" spans="1:57" ht="31.9" customHeight="1" x14ac:dyDescent="0.2">
      <c r="A10" s="20">
        <v>3</v>
      </c>
      <c r="B10" s="103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26</v>
      </c>
      <c r="X10" s="10"/>
      <c r="Y10" s="10"/>
      <c r="Z10" s="10"/>
      <c r="AA10" s="11"/>
      <c r="AB10" s="43"/>
      <c r="AC10" s="44">
        <v>1</v>
      </c>
      <c r="AD10" s="44"/>
      <c r="AE10" s="44"/>
      <c r="AF10" s="45"/>
      <c r="AG10" s="58">
        <f>1+1+8</f>
        <v>10</v>
      </c>
      <c r="AH10" s="119"/>
      <c r="AI10" s="119"/>
      <c r="AJ10" s="44"/>
      <c r="AK10" s="45"/>
      <c r="AL10" s="43">
        <v>1</v>
      </c>
      <c r="AM10" s="44">
        <v>1</v>
      </c>
      <c r="AN10" s="44">
        <v>1</v>
      </c>
      <c r="AO10" s="44"/>
      <c r="AP10" s="45">
        <v>8</v>
      </c>
      <c r="AQ10" s="107">
        <f>6/12</f>
        <v>0.5</v>
      </c>
      <c r="AR10" s="111"/>
      <c r="AS10" s="111">
        <f>6/20</f>
        <v>0.3</v>
      </c>
      <c r="AT10" s="111"/>
      <c r="AU10" s="112">
        <v>3</v>
      </c>
      <c r="AV10" s="6">
        <v>3</v>
      </c>
      <c r="AW10" s="7">
        <v>3</v>
      </c>
      <c r="AX10" s="7">
        <v>3</v>
      </c>
      <c r="AY10" s="10"/>
      <c r="AZ10" s="11"/>
      <c r="BA10" s="9">
        <f>6+10</f>
        <v>16</v>
      </c>
      <c r="BB10" s="10"/>
      <c r="BC10" s="11">
        <v>30</v>
      </c>
      <c r="BD10" s="165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/>
      <c r="AF11" s="45">
        <v>1</v>
      </c>
      <c r="AG11" s="58">
        <f>2+1+12</f>
        <v>15</v>
      </c>
      <c r="AH11" s="119"/>
      <c r="AI11" s="119"/>
      <c r="AJ11" s="44"/>
      <c r="AK11" s="45"/>
      <c r="AL11" s="43">
        <v>2</v>
      </c>
      <c r="AM11" s="44"/>
      <c r="AN11" s="44"/>
      <c r="AO11" s="44">
        <v>1</v>
      </c>
      <c r="AP11" s="45">
        <v>13</v>
      </c>
      <c r="AQ11" s="107">
        <f>12/12</f>
        <v>1</v>
      </c>
      <c r="AR11" s="111"/>
      <c r="AS11" s="111"/>
      <c r="AT11" s="111">
        <v>0.6</v>
      </c>
      <c r="AU11" s="112">
        <v>4</v>
      </c>
      <c r="AV11" s="6">
        <v>3</v>
      </c>
      <c r="AW11" s="7">
        <v>3</v>
      </c>
      <c r="AX11" s="7">
        <v>3</v>
      </c>
      <c r="AY11" s="10"/>
      <c r="AZ11" s="11"/>
      <c r="BA11" s="9">
        <v>10</v>
      </c>
      <c r="BB11" s="10"/>
      <c r="BC11" s="11">
        <f>6+40</f>
        <v>46</v>
      </c>
      <c r="BD11" s="166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27</v>
      </c>
      <c r="X12" s="10"/>
      <c r="Y12" s="10"/>
      <c r="Z12" s="10"/>
      <c r="AA12" s="11"/>
      <c r="AB12" s="43">
        <v>1</v>
      </c>
      <c r="AC12" s="44"/>
      <c r="AD12" s="44"/>
      <c r="AE12" s="44"/>
      <c r="AF12" s="45"/>
      <c r="AG12" s="58">
        <f>2+1+1+7</f>
        <v>11</v>
      </c>
      <c r="AH12" s="119"/>
      <c r="AI12" s="119"/>
      <c r="AJ12" s="44"/>
      <c r="AK12" s="45"/>
      <c r="AL12" s="43">
        <v>2</v>
      </c>
      <c r="AM12" s="44"/>
      <c r="AN12" s="44">
        <v>1</v>
      </c>
      <c r="AO12" s="44">
        <v>1</v>
      </c>
      <c r="AP12" s="45">
        <v>7</v>
      </c>
      <c r="AQ12" s="107">
        <f>10/12</f>
        <v>0.83333333333333337</v>
      </c>
      <c r="AR12" s="111"/>
      <c r="AS12" s="111">
        <f>3/20</f>
        <v>0.15</v>
      </c>
      <c r="AT12" s="111">
        <v>0.4</v>
      </c>
      <c r="AU12" s="112">
        <v>3</v>
      </c>
      <c r="AV12" s="6">
        <v>3</v>
      </c>
      <c r="AW12" s="7">
        <v>3</v>
      </c>
      <c r="AX12" s="7">
        <v>3</v>
      </c>
      <c r="AY12" s="10"/>
      <c r="AZ12" s="11"/>
      <c r="BA12" s="9">
        <f>10+5</f>
        <v>15</v>
      </c>
      <c r="BB12" s="10"/>
      <c r="BC12" s="11">
        <f>4+30</f>
        <v>34</v>
      </c>
      <c r="BD12" s="167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26</v>
      </c>
      <c r="X13" s="10"/>
      <c r="Y13" s="10"/>
      <c r="Z13" s="10"/>
      <c r="AA13" s="11"/>
      <c r="AB13" s="43">
        <v>1</v>
      </c>
      <c r="AC13" s="44"/>
      <c r="AD13" s="44"/>
      <c r="AE13" s="44">
        <v>1</v>
      </c>
      <c r="AF13" s="45"/>
      <c r="AG13" s="43">
        <f>2+1+1+6</f>
        <v>10</v>
      </c>
      <c r="AH13" s="44"/>
      <c r="AI13" s="44"/>
      <c r="AJ13" s="44"/>
      <c r="AK13" s="45"/>
      <c r="AL13" s="43">
        <v>3</v>
      </c>
      <c r="AM13" s="44"/>
      <c r="AN13" s="44">
        <v>1</v>
      </c>
      <c r="AO13" s="44">
        <v>2</v>
      </c>
      <c r="AP13" s="45">
        <v>6</v>
      </c>
      <c r="AQ13" s="107">
        <f>12/12</f>
        <v>1</v>
      </c>
      <c r="AR13" s="111"/>
      <c r="AS13" s="111">
        <f>6/20</f>
        <v>0.3</v>
      </c>
      <c r="AT13" s="111">
        <v>0.5</v>
      </c>
      <c r="AU13" s="112">
        <v>2</v>
      </c>
      <c r="AV13" s="6">
        <v>3</v>
      </c>
      <c r="AW13" s="7">
        <v>3</v>
      </c>
      <c r="AX13" s="7">
        <v>3</v>
      </c>
      <c r="AY13" s="10"/>
      <c r="AZ13" s="11"/>
      <c r="BA13" s="9">
        <f>10+10</f>
        <v>20</v>
      </c>
      <c r="BB13" s="10"/>
      <c r="BC13" s="11">
        <f>5+20</f>
        <v>25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26</v>
      </c>
      <c r="X14" s="10"/>
      <c r="Y14" s="10"/>
      <c r="Z14" s="10"/>
      <c r="AA14" s="11"/>
      <c r="AB14" s="43"/>
      <c r="AC14" s="44"/>
      <c r="AD14" s="44"/>
      <c r="AE14" s="44"/>
      <c r="AF14" s="45"/>
      <c r="AG14" s="43">
        <f>1+1+1</f>
        <v>3</v>
      </c>
      <c r="AH14" s="44"/>
      <c r="AI14" s="44"/>
      <c r="AJ14" s="44"/>
      <c r="AK14" s="45"/>
      <c r="AL14" s="43">
        <v>1</v>
      </c>
      <c r="AM14" s="59"/>
      <c r="AN14" s="59">
        <v>1</v>
      </c>
      <c r="AO14" s="59"/>
      <c r="AP14" s="45">
        <v>1</v>
      </c>
      <c r="AQ14" s="107">
        <f>6/12</f>
        <v>0.5</v>
      </c>
      <c r="AR14" s="111"/>
      <c r="AS14" s="111">
        <f>3/20</f>
        <v>0.15</v>
      </c>
      <c r="AT14" s="111"/>
      <c r="AU14" s="112">
        <v>1</v>
      </c>
      <c r="AV14" s="6">
        <v>3</v>
      </c>
      <c r="AW14" s="7">
        <v>3</v>
      </c>
      <c r="AX14" s="7">
        <v>3</v>
      </c>
      <c r="AY14" s="10"/>
      <c r="AZ14" s="11"/>
      <c r="BA14" s="9">
        <f>6+5</f>
        <v>11</v>
      </c>
      <c r="BB14" s="10"/>
      <c r="BC14" s="11">
        <v>10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27</v>
      </c>
      <c r="X15" s="10"/>
      <c r="Y15" s="10"/>
      <c r="Z15" s="10"/>
      <c r="AA15" s="11"/>
      <c r="AB15" s="43"/>
      <c r="AC15" s="44"/>
      <c r="AD15" s="44">
        <v>1</v>
      </c>
      <c r="AE15" s="44">
        <v>1</v>
      </c>
      <c r="AF15" s="45"/>
      <c r="AG15" s="43">
        <f>1+1+1+8</f>
        <v>11</v>
      </c>
      <c r="AH15" s="44"/>
      <c r="AI15" s="44"/>
      <c r="AJ15" s="44"/>
      <c r="AK15" s="45"/>
      <c r="AL15" s="43">
        <v>1</v>
      </c>
      <c r="AM15" s="59"/>
      <c r="AN15" s="59">
        <v>2</v>
      </c>
      <c r="AO15" s="59">
        <v>2</v>
      </c>
      <c r="AP15" s="45">
        <v>8</v>
      </c>
      <c r="AQ15" s="107">
        <f>8/12</f>
        <v>0.66666666666666663</v>
      </c>
      <c r="AR15" s="111"/>
      <c r="AS15" s="111">
        <f>3/20</f>
        <v>0.15</v>
      </c>
      <c r="AT15" s="111">
        <v>0.5</v>
      </c>
      <c r="AU15" s="112">
        <v>2</v>
      </c>
      <c r="AV15" s="6">
        <v>3</v>
      </c>
      <c r="AW15" s="7">
        <v>3</v>
      </c>
      <c r="AX15" s="7">
        <v>3</v>
      </c>
      <c r="AY15" s="10"/>
      <c r="AZ15" s="11"/>
      <c r="BA15" s="9">
        <f>8+5</f>
        <v>13</v>
      </c>
      <c r="BB15" s="10"/>
      <c r="BC15" s="11">
        <f>5+20</f>
        <v>25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27</v>
      </c>
      <c r="X16" s="10"/>
      <c r="Y16" s="10"/>
      <c r="Z16" s="10"/>
      <c r="AA16" s="11"/>
      <c r="AB16" s="43"/>
      <c r="AC16" s="44"/>
      <c r="AD16" s="44"/>
      <c r="AE16" s="44"/>
      <c r="AF16" s="45"/>
      <c r="AG16" s="43">
        <f>1+1+2</f>
        <v>4</v>
      </c>
      <c r="AH16" s="44"/>
      <c r="AI16" s="44"/>
      <c r="AJ16" s="44"/>
      <c r="AK16" s="45"/>
      <c r="AL16" s="43">
        <v>1</v>
      </c>
      <c r="AM16" s="59"/>
      <c r="AN16" s="59">
        <v>1</v>
      </c>
      <c r="AO16" s="59"/>
      <c r="AP16" s="45">
        <v>2</v>
      </c>
      <c r="AQ16" s="107">
        <f>6/12</f>
        <v>0.5</v>
      </c>
      <c r="AR16" s="111"/>
      <c r="AS16" s="111">
        <f>3/20</f>
        <v>0.15</v>
      </c>
      <c r="AT16" s="111"/>
      <c r="AU16" s="112">
        <v>1</v>
      </c>
      <c r="AV16" s="6">
        <v>3</v>
      </c>
      <c r="AW16" s="7">
        <v>3</v>
      </c>
      <c r="AX16" s="7">
        <v>3</v>
      </c>
      <c r="AY16" s="10"/>
      <c r="AZ16" s="11"/>
      <c r="BA16" s="9">
        <f>6+5</f>
        <v>11</v>
      </c>
      <c r="BB16" s="10"/>
      <c r="BC16" s="11">
        <v>10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43">
        <f>2+1+1+7</f>
        <v>11</v>
      </c>
      <c r="AH17" s="44"/>
      <c r="AI17" s="44"/>
      <c r="AJ17" s="44"/>
      <c r="AK17" s="45"/>
      <c r="AL17" s="43">
        <v>2</v>
      </c>
      <c r="AM17" s="44"/>
      <c r="AN17" s="44">
        <v>1</v>
      </c>
      <c r="AO17" s="44">
        <v>1</v>
      </c>
      <c r="AP17" s="45">
        <v>7</v>
      </c>
      <c r="AQ17" s="107">
        <f>12/12</f>
        <v>1</v>
      </c>
      <c r="AR17" s="111"/>
      <c r="AS17" s="111">
        <f>3/20</f>
        <v>0.15</v>
      </c>
      <c r="AT17" s="111">
        <v>0.6</v>
      </c>
      <c r="AU17" s="112">
        <v>2</v>
      </c>
      <c r="AV17" s="6">
        <v>3</v>
      </c>
      <c r="AW17" s="7">
        <v>3</v>
      </c>
      <c r="AX17" s="7">
        <v>3</v>
      </c>
      <c r="AY17" s="10"/>
      <c r="AZ17" s="11"/>
      <c r="BA17" s="9">
        <f>10+5</f>
        <v>15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23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43">
        <f>3+1+1+10</f>
        <v>15</v>
      </c>
      <c r="AH18" s="44"/>
      <c r="AI18" s="44"/>
      <c r="AJ18" s="44"/>
      <c r="AK18" s="45"/>
      <c r="AL18" s="43">
        <v>4</v>
      </c>
      <c r="AM18" s="44"/>
      <c r="AN18" s="44">
        <v>1</v>
      </c>
      <c r="AO18" s="44">
        <v>1</v>
      </c>
      <c r="AP18" s="45">
        <v>11</v>
      </c>
      <c r="AQ18" s="107">
        <f>12/12</f>
        <v>1</v>
      </c>
      <c r="AR18" s="111"/>
      <c r="AS18" s="111">
        <f>3/20</f>
        <v>0.15</v>
      </c>
      <c r="AT18" s="111">
        <v>0.5</v>
      </c>
      <c r="AU18" s="112">
        <v>3</v>
      </c>
      <c r="AV18" s="6">
        <v>3</v>
      </c>
      <c r="AW18" s="7">
        <v>3</v>
      </c>
      <c r="AX18" s="7">
        <v>3</v>
      </c>
      <c r="AY18" s="10"/>
      <c r="AZ18" s="11"/>
      <c r="BA18" s="9">
        <f>10+5</f>
        <v>15</v>
      </c>
      <c r="BB18" s="10"/>
      <c r="BC18" s="11">
        <f>5+30</f>
        <v>35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/>
      <c r="AC19" s="44"/>
      <c r="AD19" s="44"/>
      <c r="AE19" s="44"/>
      <c r="AF19" s="45"/>
      <c r="AG19" s="43">
        <f>1+1+2</f>
        <v>4</v>
      </c>
      <c r="AH19" s="44"/>
      <c r="AI19" s="44"/>
      <c r="AJ19" s="44"/>
      <c r="AK19" s="45"/>
      <c r="AL19" s="43">
        <v>1</v>
      </c>
      <c r="AM19" s="44"/>
      <c r="AN19" s="44">
        <v>1</v>
      </c>
      <c r="AO19" s="44"/>
      <c r="AP19" s="45">
        <v>2</v>
      </c>
      <c r="AQ19" s="107">
        <f>7/12</f>
        <v>0.58333333333333337</v>
      </c>
      <c r="AR19" s="111"/>
      <c r="AS19" s="111">
        <f>6/20</f>
        <v>0.3</v>
      </c>
      <c r="AT19" s="111"/>
      <c r="AU19" s="112">
        <v>1</v>
      </c>
      <c r="AV19" s="6">
        <v>3</v>
      </c>
      <c r="AW19" s="7">
        <v>3</v>
      </c>
      <c r="AX19" s="7">
        <v>3</v>
      </c>
      <c r="AY19" s="10"/>
      <c r="AZ19" s="11"/>
      <c r="BA19" s="9">
        <f>7+10</f>
        <v>17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25</v>
      </c>
      <c r="X20" s="10"/>
      <c r="Y20" s="10"/>
      <c r="Z20" s="10"/>
      <c r="AA20" s="11"/>
      <c r="AB20" s="43"/>
      <c r="AC20" s="44"/>
      <c r="AD20" s="44"/>
      <c r="AE20" s="44"/>
      <c r="AF20" s="45"/>
      <c r="AG20" s="123">
        <f>1+1+10</f>
        <v>12</v>
      </c>
      <c r="AH20" s="44"/>
      <c r="AI20" s="44"/>
      <c r="AJ20" s="44"/>
      <c r="AK20" s="45"/>
      <c r="AL20" s="43">
        <v>1</v>
      </c>
      <c r="AM20" s="44"/>
      <c r="AN20" s="44"/>
      <c r="AO20" s="44">
        <v>1</v>
      </c>
      <c r="AP20" s="45">
        <v>10</v>
      </c>
      <c r="AQ20" s="107">
        <f>4/12</f>
        <v>0.33333333333333331</v>
      </c>
      <c r="AR20" s="111"/>
      <c r="AS20" s="111"/>
      <c r="AT20" s="111">
        <v>0.4</v>
      </c>
      <c r="AU20" s="112">
        <v>3.5</v>
      </c>
      <c r="AV20" s="6">
        <v>3</v>
      </c>
      <c r="AW20" s="7">
        <v>3</v>
      </c>
      <c r="AX20" s="7">
        <v>3</v>
      </c>
      <c r="AY20" s="10"/>
      <c r="AZ20" s="11"/>
      <c r="BA20" s="9">
        <v>4</v>
      </c>
      <c r="BB20" s="10"/>
      <c r="BC20" s="11">
        <f>4+34</f>
        <v>38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/>
      <c r="AG21" s="43">
        <f>1+1+1+8</f>
        <v>11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3</v>
      </c>
      <c r="AP21" s="45">
        <v>8</v>
      </c>
      <c r="AQ21" s="107">
        <f>6/12</f>
        <v>0.5</v>
      </c>
      <c r="AR21" s="111"/>
      <c r="AS21" s="111">
        <f>3/20</f>
        <v>0.15</v>
      </c>
      <c r="AT21" s="111">
        <v>0.4</v>
      </c>
      <c r="AU21" s="112">
        <v>3</v>
      </c>
      <c r="AV21" s="6">
        <v>3</v>
      </c>
      <c r="AW21" s="7">
        <v>3</v>
      </c>
      <c r="AX21" s="7">
        <v>3</v>
      </c>
      <c r="AY21" s="10"/>
      <c r="AZ21" s="11"/>
      <c r="BA21" s="9">
        <f>5+5</f>
        <v>10</v>
      </c>
      <c r="BB21" s="10"/>
      <c r="BC21" s="11">
        <f>4+30</f>
        <v>34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22</v>
      </c>
      <c r="X22" s="10"/>
      <c r="Y22" s="10"/>
      <c r="Z22" s="10"/>
      <c r="AA22" s="11"/>
      <c r="AB22" s="43"/>
      <c r="AC22" s="44"/>
      <c r="AD22" s="44"/>
      <c r="AE22" s="44"/>
      <c r="AF22" s="45"/>
      <c r="AG22" s="43">
        <f>3+1+2+5</f>
        <v>11</v>
      </c>
      <c r="AH22" s="44"/>
      <c r="AI22" s="44"/>
      <c r="AJ22" s="44"/>
      <c r="AK22" s="45"/>
      <c r="AL22" s="43">
        <v>3</v>
      </c>
      <c r="AM22" s="44"/>
      <c r="AN22" s="44">
        <v>1</v>
      </c>
      <c r="AO22" s="44">
        <v>2</v>
      </c>
      <c r="AP22" s="45">
        <v>5</v>
      </c>
      <c r="AQ22" s="107">
        <f>12/12</f>
        <v>1</v>
      </c>
      <c r="AR22" s="111"/>
      <c r="AS22" s="111">
        <f>6/20</f>
        <v>0.3</v>
      </c>
      <c r="AT22" s="111">
        <v>0.8</v>
      </c>
      <c r="AU22" s="112">
        <v>2</v>
      </c>
      <c r="AV22" s="6">
        <v>3</v>
      </c>
      <c r="AW22" s="7">
        <v>3</v>
      </c>
      <c r="AX22" s="7">
        <v>3</v>
      </c>
      <c r="AY22" s="10"/>
      <c r="AZ22" s="11"/>
      <c r="BA22" s="9">
        <f>10+10</f>
        <v>20</v>
      </c>
      <c r="BB22" s="10"/>
      <c r="BC22" s="11">
        <f>8+20</f>
        <v>28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22</v>
      </c>
      <c r="X23" s="10"/>
      <c r="Y23" s="10"/>
      <c r="Z23" s="10"/>
      <c r="AA23" s="11"/>
      <c r="AB23" s="43"/>
      <c r="AC23" s="44"/>
      <c r="AD23" s="44"/>
      <c r="AE23" s="44"/>
      <c r="AF23" s="45">
        <v>1</v>
      </c>
      <c r="AG23" s="43">
        <f>1+1+1+4</f>
        <v>7</v>
      </c>
      <c r="AH23" s="44"/>
      <c r="AI23" s="44"/>
      <c r="AJ23" s="44"/>
      <c r="AK23" s="45"/>
      <c r="AL23" s="43">
        <v>1</v>
      </c>
      <c r="AM23" s="44"/>
      <c r="AN23" s="44">
        <v>1</v>
      </c>
      <c r="AO23" s="44">
        <v>1</v>
      </c>
      <c r="AP23" s="45">
        <v>5</v>
      </c>
      <c r="AQ23" s="107">
        <f>6/12</f>
        <v>0.5</v>
      </c>
      <c r="AR23" s="111"/>
      <c r="AS23" s="111">
        <f>3/20</f>
        <v>0.15</v>
      </c>
      <c r="AT23" s="111">
        <v>0.4</v>
      </c>
      <c r="AU23" s="112">
        <v>1.5</v>
      </c>
      <c r="AV23" s="6">
        <v>3</v>
      </c>
      <c r="AW23" s="7">
        <v>3</v>
      </c>
      <c r="AX23" s="7">
        <v>3</v>
      </c>
      <c r="AY23" s="10"/>
      <c r="AZ23" s="11"/>
      <c r="BA23" s="9">
        <f>6+5</f>
        <v>11</v>
      </c>
      <c r="BB23" s="10"/>
      <c r="BC23" s="11">
        <f>4+14</f>
        <v>18</v>
      </c>
      <c r="BD23" s="18"/>
      <c r="BE23" s="12"/>
    </row>
    <row r="24" spans="1:57" ht="31.9" customHeight="1" x14ac:dyDescent="0.2">
      <c r="A24" s="20">
        <v>17</v>
      </c>
      <c r="B24" s="103" t="s">
        <v>51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/>
      <c r="AE24" s="44"/>
      <c r="AF24" s="45"/>
      <c r="AG24" s="43">
        <f>1+1+1+2</f>
        <v>5</v>
      </c>
      <c r="AH24" s="44"/>
      <c r="AI24" s="44"/>
      <c r="AJ24" s="44"/>
      <c r="AK24" s="45"/>
      <c r="AL24" s="43">
        <v>1</v>
      </c>
      <c r="AM24" s="44"/>
      <c r="AN24" s="44">
        <v>1</v>
      </c>
      <c r="AO24" s="44">
        <v>1</v>
      </c>
      <c r="AP24" s="45">
        <v>2</v>
      </c>
      <c r="AQ24" s="107">
        <f>8/12</f>
        <v>0.66666666666666663</v>
      </c>
      <c r="AR24" s="111"/>
      <c r="AS24" s="111">
        <f>3/20</f>
        <v>0.15</v>
      </c>
      <c r="AT24" s="111">
        <v>0.5</v>
      </c>
      <c r="AU24" s="112">
        <v>1</v>
      </c>
      <c r="AV24" s="6">
        <v>3</v>
      </c>
      <c r="AW24" s="7">
        <v>3</v>
      </c>
      <c r="AX24" s="7">
        <v>3</v>
      </c>
      <c r="AY24" s="10"/>
      <c r="AZ24" s="11"/>
      <c r="BA24" s="9">
        <f>8+15</f>
        <v>23</v>
      </c>
      <c r="BB24" s="10"/>
      <c r="BC24" s="11">
        <f>5+10</f>
        <v>15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20</v>
      </c>
      <c r="X25" s="10"/>
      <c r="Y25" s="10"/>
      <c r="Z25" s="10"/>
      <c r="AA25" s="11"/>
      <c r="AB25" s="43"/>
      <c r="AC25" s="44"/>
      <c r="AD25" s="44"/>
      <c r="AE25" s="44"/>
      <c r="AF25" s="45"/>
      <c r="AG25" s="43">
        <f>1+1+1+7</f>
        <v>10</v>
      </c>
      <c r="AH25" s="44"/>
      <c r="AI25" s="44"/>
      <c r="AJ25" s="44"/>
      <c r="AK25" s="45"/>
      <c r="AL25" s="43">
        <v>1</v>
      </c>
      <c r="AM25" s="44"/>
      <c r="AN25" s="44">
        <v>1</v>
      </c>
      <c r="AO25" s="44">
        <v>1</v>
      </c>
      <c r="AP25" s="45">
        <v>7</v>
      </c>
      <c r="AQ25" s="107">
        <f>6/12</f>
        <v>0.5</v>
      </c>
      <c r="AR25" s="111"/>
      <c r="AS25" s="111">
        <f>3/20</f>
        <v>0.15</v>
      </c>
      <c r="AT25" s="111">
        <v>0.4</v>
      </c>
      <c r="AU25" s="112">
        <v>2.5</v>
      </c>
      <c r="AV25" s="6">
        <v>3</v>
      </c>
      <c r="AW25" s="7">
        <v>3</v>
      </c>
      <c r="AX25" s="7">
        <v>3</v>
      </c>
      <c r="AY25" s="10"/>
      <c r="AZ25" s="11"/>
      <c r="BA25" s="9">
        <f>6+5</f>
        <v>11</v>
      </c>
      <c r="BB25" s="10"/>
      <c r="BC25" s="11">
        <f>4+24</f>
        <v>28</v>
      </c>
      <c r="BD25" s="18"/>
      <c r="BE25" s="12"/>
    </row>
    <row r="26" spans="1:57" ht="31.9" customHeight="1" x14ac:dyDescent="0.2">
      <c r="A26" s="50">
        <v>19</v>
      </c>
      <c r="B26" s="104" t="s">
        <v>68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24</v>
      </c>
      <c r="X26" s="53"/>
      <c r="Y26" s="53"/>
      <c r="Z26" s="53"/>
      <c r="AA26" s="54"/>
      <c r="AB26" s="58"/>
      <c r="AC26" s="59"/>
      <c r="AD26" s="59"/>
      <c r="AE26" s="59">
        <v>1</v>
      </c>
      <c r="AF26" s="48"/>
      <c r="AG26" s="58">
        <f>2+1+1+9</f>
        <v>13</v>
      </c>
      <c r="AH26" s="59"/>
      <c r="AI26" s="59"/>
      <c r="AJ26" s="59"/>
      <c r="AK26" s="48"/>
      <c r="AL26" s="58">
        <v>2</v>
      </c>
      <c r="AM26" s="59"/>
      <c r="AN26" s="59">
        <v>1</v>
      </c>
      <c r="AO26" s="59">
        <v>1</v>
      </c>
      <c r="AP26" s="48">
        <v>9</v>
      </c>
      <c r="AQ26" s="113">
        <f>12/12</f>
        <v>1</v>
      </c>
      <c r="AR26" s="114"/>
      <c r="AS26" s="114">
        <f>3/20</f>
        <v>0.15</v>
      </c>
      <c r="AT26" s="114">
        <v>0.4</v>
      </c>
      <c r="AU26" s="115">
        <v>3</v>
      </c>
      <c r="AV26" s="6">
        <v>3</v>
      </c>
      <c r="AW26" s="7">
        <v>3</v>
      </c>
      <c r="AX26" s="7">
        <v>3</v>
      </c>
      <c r="AY26" s="53"/>
      <c r="AZ26" s="54"/>
      <c r="BA26" s="52">
        <f>10+5</f>
        <v>15</v>
      </c>
      <c r="BB26" s="53"/>
      <c r="BC26" s="54">
        <f>4+30</f>
        <v>34</v>
      </c>
      <c r="BD26" s="60"/>
      <c r="BE26" s="61"/>
    </row>
    <row r="27" spans="1:57" ht="31.9" customHeight="1" thickBot="1" x14ac:dyDescent="0.25">
      <c r="A27" s="50">
        <v>20</v>
      </c>
      <c r="B27" s="104" t="s">
        <v>70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20</v>
      </c>
      <c r="X27" s="53"/>
      <c r="Y27" s="53"/>
      <c r="Z27" s="53"/>
      <c r="AA27" s="54"/>
      <c r="AB27" s="67">
        <v>1</v>
      </c>
      <c r="AC27" s="68"/>
      <c r="AD27" s="68"/>
      <c r="AE27" s="68"/>
      <c r="AF27" s="69"/>
      <c r="AG27" s="58">
        <f>1+1+5</f>
        <v>7</v>
      </c>
      <c r="AH27" s="59"/>
      <c r="AI27" s="59"/>
      <c r="AJ27" s="59"/>
      <c r="AK27" s="48"/>
      <c r="AL27" s="67">
        <v>2</v>
      </c>
      <c r="AM27" s="68"/>
      <c r="AN27" s="68"/>
      <c r="AO27" s="68">
        <v>1</v>
      </c>
      <c r="AP27" s="69">
        <v>5</v>
      </c>
      <c r="AQ27" s="113">
        <f>7/12</f>
        <v>0.58333333333333337</v>
      </c>
      <c r="AR27" s="114"/>
      <c r="AS27" s="114"/>
      <c r="AT27" s="114">
        <v>0.5</v>
      </c>
      <c r="AU27" s="115">
        <v>2</v>
      </c>
      <c r="AV27" s="6">
        <v>3</v>
      </c>
      <c r="AW27" s="7">
        <v>3</v>
      </c>
      <c r="AX27" s="7">
        <v>3</v>
      </c>
      <c r="AY27" s="53"/>
      <c r="AZ27" s="54"/>
      <c r="BA27" s="52">
        <v>7</v>
      </c>
      <c r="BB27" s="53"/>
      <c r="BC27" s="54">
        <f>5+20</f>
        <v>25</v>
      </c>
      <c r="BD27" s="60"/>
      <c r="BE27" s="61"/>
    </row>
    <row r="28" spans="1:57" s="175" customFormat="1" ht="34.15" customHeight="1" thickBot="1" x14ac:dyDescent="0.3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489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4</v>
      </c>
      <c r="AC28" s="65">
        <f t="shared" si="3"/>
        <v>1</v>
      </c>
      <c r="AD28" s="65">
        <f t="shared" si="3"/>
        <v>1</v>
      </c>
      <c r="AE28" s="65">
        <f t="shared" si="3"/>
        <v>5</v>
      </c>
      <c r="AF28" s="66">
        <f t="shared" si="3"/>
        <v>3</v>
      </c>
      <c r="AG28" s="29">
        <f t="shared" si="3"/>
        <v>196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34</v>
      </c>
      <c r="AM28" s="65">
        <f t="shared" si="4"/>
        <v>1</v>
      </c>
      <c r="AN28" s="65">
        <f t="shared" si="4"/>
        <v>17</v>
      </c>
      <c r="AO28" s="65">
        <f t="shared" si="4"/>
        <v>22</v>
      </c>
      <c r="AP28" s="66">
        <f t="shared" si="4"/>
        <v>134</v>
      </c>
      <c r="AQ28" s="121">
        <f t="shared" si="4"/>
        <v>14.083333333333336</v>
      </c>
      <c r="AR28" s="116">
        <f t="shared" si="4"/>
        <v>0</v>
      </c>
      <c r="AS28" s="116">
        <f t="shared" si="4"/>
        <v>2.9999999999999991</v>
      </c>
      <c r="AT28" s="116">
        <f t="shared" si="4"/>
        <v>7.8000000000000016</v>
      </c>
      <c r="AU28" s="122">
        <f t="shared" si="4"/>
        <v>48.5</v>
      </c>
      <c r="AV28" s="29">
        <f t="shared" si="4"/>
        <v>60</v>
      </c>
      <c r="AW28" s="30">
        <f t="shared" si="4"/>
        <v>60</v>
      </c>
      <c r="AX28" s="30">
        <f t="shared" si="4"/>
        <v>60</v>
      </c>
      <c r="AY28" s="30">
        <f t="shared" si="4"/>
        <v>0</v>
      </c>
      <c r="AZ28" s="31">
        <f t="shared" si="4"/>
        <v>0</v>
      </c>
      <c r="BA28" s="46">
        <f t="shared" si="4"/>
        <v>264</v>
      </c>
      <c r="BB28" s="47">
        <f t="shared" si="4"/>
        <v>0</v>
      </c>
      <c r="BC28" s="49">
        <f t="shared" si="4"/>
        <v>570</v>
      </c>
      <c r="BD28" s="19">
        <f t="shared" si="4"/>
        <v>0</v>
      </c>
      <c r="BE28" s="2">
        <f t="shared" si="4"/>
        <v>0</v>
      </c>
    </row>
    <row r="29" spans="1:57" x14ac:dyDescent="0.25">
      <c r="AP29" s="124"/>
      <c r="AQ29" s="124"/>
      <c r="AR29" s="124"/>
      <c r="AT29" s="124"/>
      <c r="AU29" s="124"/>
      <c r="AV29" s="124"/>
      <c r="AW29" s="124"/>
    </row>
    <row r="30" spans="1:57" x14ac:dyDescent="0.25">
      <c r="AP30" s="124"/>
      <c r="AQ30" s="125"/>
      <c r="AR30" s="125"/>
      <c r="AS30" s="125"/>
      <c r="AT30" s="125"/>
      <c r="AU30" s="125"/>
      <c r="AV30" s="124"/>
      <c r="AW30" s="124"/>
    </row>
    <row r="31" spans="1:57" x14ac:dyDescent="0.25">
      <c r="AP31" s="124"/>
      <c r="AQ31" s="126"/>
      <c r="AR31" s="126"/>
      <c r="AS31" s="126"/>
      <c r="AT31" s="126"/>
      <c r="AU31" s="126"/>
      <c r="AV31" s="124"/>
      <c r="AW31" s="124"/>
    </row>
    <row r="32" spans="1:57" x14ac:dyDescent="0.25">
      <c r="AP32" s="124"/>
      <c r="AQ32" s="124"/>
      <c r="AR32" s="124"/>
      <c r="AS32" s="124"/>
      <c r="AT32" s="124"/>
      <c r="AU32" s="124"/>
      <c r="AV32" s="124"/>
      <c r="AW32" s="124"/>
    </row>
    <row r="33" spans="42:49" x14ac:dyDescent="0.25">
      <c r="AP33" s="124"/>
      <c r="AQ33" s="124"/>
      <c r="AR33" s="124"/>
      <c r="AS33" s="124"/>
      <c r="AT33" s="124"/>
      <c r="AU33" s="124"/>
      <c r="AV33" s="124"/>
      <c r="AW33" s="124"/>
    </row>
    <row r="34" spans="42:49" x14ac:dyDescent="0.25">
      <c r="AP34" s="124"/>
      <c r="AQ34" s="124"/>
      <c r="AR34" s="124"/>
      <c r="AS34" s="124"/>
      <c r="AT34" s="124"/>
      <c r="AU34" s="124"/>
      <c r="AV34" s="124"/>
      <c r="AW34" s="124"/>
    </row>
    <row r="35" spans="42:49" x14ac:dyDescent="0.25">
      <c r="AP35" s="124"/>
      <c r="AQ35" s="124"/>
      <c r="AR35" s="124"/>
      <c r="AS35" s="124"/>
      <c r="AT35" s="124"/>
      <c r="AU35" s="124"/>
      <c r="AV35" s="124"/>
      <c r="AW35" s="124"/>
    </row>
  </sheetData>
  <mergeCells count="19"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6"/>
  <sheetViews>
    <sheetView zoomScale="70" zoomScaleNormal="70" workbookViewId="0">
      <pane xSplit="2" ySplit="7" topLeftCell="V26" activePane="bottomRight" state="frozen"/>
      <selection activeCell="C3" sqref="C3"/>
      <selection pane="topRight" activeCell="C3" sqref="C3"/>
      <selection pane="bottomLeft" activeCell="C3" sqref="C3"/>
      <selection pane="bottomRight" activeCell="A30" sqref="A30:XFD35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6" width="8.85546875" style="28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W3" s="28">
        <f>18/20</f>
        <v>0.9</v>
      </c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4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5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/>
      <c r="AE8" s="41"/>
      <c r="AF8" s="42"/>
      <c r="AG8" s="6">
        <f>1+1+8</f>
        <v>10</v>
      </c>
      <c r="AH8" s="7"/>
      <c r="AI8" s="7"/>
      <c r="AJ8" s="7"/>
      <c r="AK8" s="8"/>
      <c r="AL8" s="40">
        <v>2</v>
      </c>
      <c r="AM8" s="41"/>
      <c r="AN8" s="41">
        <v>1</v>
      </c>
      <c r="AO8" s="41"/>
      <c r="AP8" s="42">
        <v>8</v>
      </c>
      <c r="AQ8" s="108">
        <f>5/12</f>
        <v>0.41666666666666669</v>
      </c>
      <c r="AR8" s="109"/>
      <c r="AS8" s="109">
        <f>3/20</f>
        <v>0.15</v>
      </c>
      <c r="AT8" s="109"/>
      <c r="AU8" s="110">
        <v>3</v>
      </c>
      <c r="AV8" s="6">
        <v>3</v>
      </c>
      <c r="AW8" s="7">
        <v>3</v>
      </c>
      <c r="AX8" s="7">
        <v>3</v>
      </c>
      <c r="AY8" s="7"/>
      <c r="AZ8" s="8"/>
      <c r="BA8" s="6">
        <f>5+5</f>
        <v>10</v>
      </c>
      <c r="BB8" s="7"/>
      <c r="BC8" s="8">
        <f>30</f>
        <v>30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25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1+1+1+3</f>
        <v>6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1</v>
      </c>
      <c r="AP9" s="45">
        <v>3</v>
      </c>
      <c r="AQ9" s="107">
        <v>0.5</v>
      </c>
      <c r="AR9" s="111"/>
      <c r="AS9" s="111">
        <f>3/20</f>
        <v>0.15</v>
      </c>
      <c r="AT9" s="111">
        <v>0.5</v>
      </c>
      <c r="AU9" s="112">
        <v>1</v>
      </c>
      <c r="AV9" s="6">
        <v>3</v>
      </c>
      <c r="AW9" s="7">
        <v>3</v>
      </c>
      <c r="AX9" s="7">
        <v>3</v>
      </c>
      <c r="AY9" s="10"/>
      <c r="AZ9" s="11"/>
      <c r="BA9" s="9">
        <f>6+5</f>
        <v>11</v>
      </c>
      <c r="BB9" s="10"/>
      <c r="BC9" s="11">
        <f>5+10</f>
        <v>15</v>
      </c>
      <c r="BD9" s="70"/>
      <c r="BE9" s="12"/>
    </row>
    <row r="10" spans="1:57" ht="31.9" customHeight="1" x14ac:dyDescent="0.2">
      <c r="A10" s="20">
        <v>3</v>
      </c>
      <c r="B10" s="103" t="s">
        <v>69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21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/>
      <c r="AG10" s="9">
        <f>2+1+5</f>
        <v>8</v>
      </c>
      <c r="AH10" s="10"/>
      <c r="AI10" s="10"/>
      <c r="AJ10" s="10"/>
      <c r="AK10" s="11"/>
      <c r="AL10" s="43">
        <v>2</v>
      </c>
      <c r="AM10" s="44"/>
      <c r="AN10" s="44"/>
      <c r="AO10" s="44">
        <v>2</v>
      </c>
      <c r="AP10" s="45">
        <v>5</v>
      </c>
      <c r="AQ10" s="107">
        <f>8/12</f>
        <v>0.66666666666666663</v>
      </c>
      <c r="AR10" s="111"/>
      <c r="AS10" s="111"/>
      <c r="AT10" s="111">
        <v>0.5</v>
      </c>
      <c r="AU10" s="112">
        <v>2</v>
      </c>
      <c r="AV10" s="6">
        <v>3</v>
      </c>
      <c r="AW10" s="7">
        <v>3</v>
      </c>
      <c r="AX10" s="7">
        <v>3</v>
      </c>
      <c r="AY10" s="10"/>
      <c r="AZ10" s="11"/>
      <c r="BA10" s="9">
        <v>8</v>
      </c>
      <c r="BB10" s="10"/>
      <c r="BC10" s="11">
        <f>5+10</f>
        <v>15</v>
      </c>
      <c r="BD10" s="165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/>
      <c r="AG11" s="9">
        <f>1+7</f>
        <v>8</v>
      </c>
      <c r="AH11" s="10"/>
      <c r="AI11" s="10"/>
      <c r="AJ11" s="10"/>
      <c r="AK11" s="11"/>
      <c r="AL11" s="43"/>
      <c r="AM11" s="44"/>
      <c r="AN11" s="44">
        <v>1</v>
      </c>
      <c r="AO11" s="44">
        <v>1</v>
      </c>
      <c r="AP11" s="45">
        <v>7</v>
      </c>
      <c r="AQ11" s="107"/>
      <c r="AR11" s="111"/>
      <c r="AS11" s="111">
        <f>3/20</f>
        <v>0.15</v>
      </c>
      <c r="AT11" s="111"/>
      <c r="AU11" s="112">
        <v>3</v>
      </c>
      <c r="AV11" s="6">
        <v>3</v>
      </c>
      <c r="AW11" s="7">
        <v>3</v>
      </c>
      <c r="AX11" s="7">
        <v>3</v>
      </c>
      <c r="AY11" s="10"/>
      <c r="AZ11" s="11"/>
      <c r="BA11" s="9">
        <v>5</v>
      </c>
      <c r="BB11" s="10"/>
      <c r="BC11" s="11">
        <v>30</v>
      </c>
      <c r="BD11" s="166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27</v>
      </c>
      <c r="X12" s="10"/>
      <c r="Y12" s="10"/>
      <c r="Z12" s="10"/>
      <c r="AA12" s="11"/>
      <c r="AB12" s="43">
        <v>1</v>
      </c>
      <c r="AC12" s="44"/>
      <c r="AD12" s="44"/>
      <c r="AE12" s="44"/>
      <c r="AF12" s="45"/>
      <c r="AG12" s="9">
        <f>1+1+2+5</f>
        <v>9</v>
      </c>
      <c r="AH12" s="10"/>
      <c r="AI12" s="10"/>
      <c r="AJ12" s="10"/>
      <c r="AK12" s="11"/>
      <c r="AL12" s="43">
        <v>2</v>
      </c>
      <c r="AM12" s="44"/>
      <c r="AN12" s="44">
        <v>1</v>
      </c>
      <c r="AO12" s="44">
        <v>2</v>
      </c>
      <c r="AP12" s="45">
        <v>5</v>
      </c>
      <c r="AQ12" s="107">
        <f>5/12</f>
        <v>0.41666666666666669</v>
      </c>
      <c r="AR12" s="111"/>
      <c r="AS12" s="111">
        <f>6/20</f>
        <v>0.3</v>
      </c>
      <c r="AT12" s="111">
        <v>1</v>
      </c>
      <c r="AU12" s="112">
        <v>1.5</v>
      </c>
      <c r="AV12" s="6">
        <v>3</v>
      </c>
      <c r="AW12" s="7">
        <v>3</v>
      </c>
      <c r="AX12" s="7">
        <v>3</v>
      </c>
      <c r="AY12" s="10"/>
      <c r="AZ12" s="11"/>
      <c r="BA12" s="9">
        <f>5+10</f>
        <v>15</v>
      </c>
      <c r="BB12" s="10"/>
      <c r="BC12" s="11">
        <f>10+10+4</f>
        <v>24</v>
      </c>
      <c r="BD12" s="167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26</v>
      </c>
      <c r="X13" s="10"/>
      <c r="Y13" s="10"/>
      <c r="Z13" s="10"/>
      <c r="AA13" s="11"/>
      <c r="AB13" s="43"/>
      <c r="AC13" s="44"/>
      <c r="AD13" s="44"/>
      <c r="AE13" s="44">
        <v>1</v>
      </c>
      <c r="AF13" s="45"/>
      <c r="AG13" s="9">
        <f>3+1+1+6</f>
        <v>11</v>
      </c>
      <c r="AH13" s="10"/>
      <c r="AI13" s="10"/>
      <c r="AJ13" s="10"/>
      <c r="AK13" s="11"/>
      <c r="AL13" s="43">
        <v>3</v>
      </c>
      <c r="AM13" s="44"/>
      <c r="AN13" s="44">
        <v>1</v>
      </c>
      <c r="AO13" s="44">
        <v>2</v>
      </c>
      <c r="AP13" s="45">
        <v>6</v>
      </c>
      <c r="AQ13" s="107">
        <f>12/12</f>
        <v>1</v>
      </c>
      <c r="AR13" s="111"/>
      <c r="AS13" s="111">
        <f t="shared" ref="AS13:AS18" si="2">3/20</f>
        <v>0.15</v>
      </c>
      <c r="AT13" s="111">
        <v>0.3</v>
      </c>
      <c r="AU13" s="112">
        <v>2</v>
      </c>
      <c r="AV13" s="6">
        <v>3</v>
      </c>
      <c r="AW13" s="7">
        <v>3</v>
      </c>
      <c r="AX13" s="7">
        <v>3</v>
      </c>
      <c r="AY13" s="10"/>
      <c r="AZ13" s="11"/>
      <c r="BA13" s="9">
        <f>10+5</f>
        <v>15</v>
      </c>
      <c r="BB13" s="10"/>
      <c r="BC13" s="11">
        <f>3+20</f>
        <v>23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1+1+1+1</f>
        <v>4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>
        <v>1</v>
      </c>
      <c r="AP14" s="45">
        <v>1</v>
      </c>
      <c r="AQ14" s="107">
        <f>8/12</f>
        <v>0.66666666666666663</v>
      </c>
      <c r="AR14" s="111"/>
      <c r="AS14" s="111">
        <f t="shared" si="2"/>
        <v>0.15</v>
      </c>
      <c r="AT14" s="111">
        <v>0.5</v>
      </c>
      <c r="AU14" s="112">
        <v>3</v>
      </c>
      <c r="AV14" s="6">
        <v>3</v>
      </c>
      <c r="AW14" s="7">
        <v>3</v>
      </c>
      <c r="AX14" s="7">
        <v>3</v>
      </c>
      <c r="AY14" s="10"/>
      <c r="AZ14" s="11"/>
      <c r="BA14" s="9">
        <f>8+5</f>
        <v>13</v>
      </c>
      <c r="BB14" s="10"/>
      <c r="BC14" s="11">
        <f>5+30</f>
        <v>35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20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f>1+1+1+1</f>
        <v>4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1</v>
      </c>
      <c r="AP15" s="45">
        <v>1</v>
      </c>
      <c r="AQ15" s="107">
        <f>9/12</f>
        <v>0.75</v>
      </c>
      <c r="AR15" s="111"/>
      <c r="AS15" s="111">
        <f t="shared" si="2"/>
        <v>0.15</v>
      </c>
      <c r="AT15" s="111">
        <v>0.5</v>
      </c>
      <c r="AU15" s="112">
        <v>0.5</v>
      </c>
      <c r="AV15" s="6">
        <v>3</v>
      </c>
      <c r="AW15" s="7">
        <v>3</v>
      </c>
      <c r="AX15" s="7">
        <v>3</v>
      </c>
      <c r="AY15" s="10"/>
      <c r="AZ15" s="11"/>
      <c r="BA15" s="9">
        <f>9+5</f>
        <v>14</v>
      </c>
      <c r="BB15" s="10"/>
      <c r="BC15" s="11">
        <f>5+4</f>
        <v>9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26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f>1+1+1+6</f>
        <v>9</v>
      </c>
      <c r="AH16" s="10"/>
      <c r="AI16" s="10"/>
      <c r="AJ16" s="10"/>
      <c r="AK16" s="11"/>
      <c r="AL16" s="43">
        <v>2</v>
      </c>
      <c r="AM16" s="44"/>
      <c r="AN16" s="44">
        <v>1</v>
      </c>
      <c r="AO16" s="44">
        <v>1</v>
      </c>
      <c r="AP16" s="45">
        <v>6</v>
      </c>
      <c r="AQ16" s="107">
        <f>6/12</f>
        <v>0.5</v>
      </c>
      <c r="AR16" s="111"/>
      <c r="AS16" s="111">
        <f t="shared" si="2"/>
        <v>0.15</v>
      </c>
      <c r="AT16" s="111">
        <v>0.5</v>
      </c>
      <c r="AU16" s="112">
        <v>2</v>
      </c>
      <c r="AV16" s="6">
        <v>3</v>
      </c>
      <c r="AW16" s="7">
        <v>3</v>
      </c>
      <c r="AX16" s="7">
        <v>3</v>
      </c>
      <c r="AY16" s="10"/>
      <c r="AZ16" s="11"/>
      <c r="BA16" s="9">
        <f>6+5</f>
        <v>11</v>
      </c>
      <c r="BB16" s="10"/>
      <c r="BC16" s="11">
        <f>5+10</f>
        <v>15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1+1+1+4</f>
        <v>7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1</v>
      </c>
      <c r="AP17" s="45">
        <v>4</v>
      </c>
      <c r="AQ17" s="107">
        <f>6/12</f>
        <v>0.5</v>
      </c>
      <c r="AR17" s="111"/>
      <c r="AS17" s="111">
        <f t="shared" si="2"/>
        <v>0.15</v>
      </c>
      <c r="AT17" s="111">
        <v>0.6</v>
      </c>
      <c r="AU17" s="112">
        <v>2</v>
      </c>
      <c r="AV17" s="6">
        <v>3</v>
      </c>
      <c r="AW17" s="7">
        <v>3</v>
      </c>
      <c r="AX17" s="7">
        <v>3</v>
      </c>
      <c r="AY17" s="10"/>
      <c r="AZ17" s="11"/>
      <c r="BA17" s="9">
        <f>6+5</f>
        <v>11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22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9">
        <f>1+1+7</f>
        <v>9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>
        <v>1</v>
      </c>
      <c r="AP18" s="45">
        <v>7</v>
      </c>
      <c r="AQ18" s="107"/>
      <c r="AR18" s="111"/>
      <c r="AS18" s="111">
        <f t="shared" si="2"/>
        <v>0.15</v>
      </c>
      <c r="AT18" s="111">
        <v>0.4</v>
      </c>
      <c r="AU18" s="112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5</v>
      </c>
      <c r="BB18" s="10"/>
      <c r="BC18" s="11">
        <f>4+20</f>
        <v>24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/>
      <c r="AG19" s="9">
        <f>1+7</f>
        <v>8</v>
      </c>
      <c r="AH19" s="10"/>
      <c r="AI19" s="10"/>
      <c r="AJ19" s="10"/>
      <c r="AK19" s="11"/>
      <c r="AL19" s="43">
        <v>1</v>
      </c>
      <c r="AM19" s="44"/>
      <c r="AN19" s="44"/>
      <c r="AO19" s="44">
        <v>1</v>
      </c>
      <c r="AP19" s="45">
        <v>7</v>
      </c>
      <c r="AQ19" s="107">
        <f>5/12</f>
        <v>0.41666666666666669</v>
      </c>
      <c r="AR19" s="111"/>
      <c r="AS19" s="111"/>
      <c r="AT19" s="111"/>
      <c r="AU19" s="112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5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/>
      <c r="AF20" s="45"/>
      <c r="AG20" s="9">
        <f>1+1+4</f>
        <v>6</v>
      </c>
      <c r="AH20" s="10"/>
      <c r="AI20" s="10"/>
      <c r="AJ20" s="10"/>
      <c r="AK20" s="11"/>
      <c r="AL20" s="43"/>
      <c r="AM20" s="44"/>
      <c r="AN20" s="44">
        <v>1</v>
      </c>
      <c r="AO20" s="44">
        <v>1</v>
      </c>
      <c r="AP20" s="45">
        <v>4</v>
      </c>
      <c r="AQ20" s="107"/>
      <c r="AR20" s="111"/>
      <c r="AS20" s="111">
        <f>6/20</f>
        <v>0.3</v>
      </c>
      <c r="AT20" s="111">
        <v>0.4</v>
      </c>
      <c r="AU20" s="112">
        <v>2</v>
      </c>
      <c r="AV20" s="6">
        <v>3</v>
      </c>
      <c r="AW20" s="7">
        <v>3</v>
      </c>
      <c r="AX20" s="7">
        <v>3</v>
      </c>
      <c r="AY20" s="10"/>
      <c r="AZ20" s="11"/>
      <c r="BA20" s="9">
        <v>10</v>
      </c>
      <c r="BB20" s="10"/>
      <c r="BC20" s="11">
        <f>4+20</f>
        <v>24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/>
      <c r="AG21" s="9">
        <f>1+1+5</f>
        <v>7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/>
      <c r="AP21" s="45">
        <v>5</v>
      </c>
      <c r="AQ21" s="107">
        <f>6/12</f>
        <v>0.5</v>
      </c>
      <c r="AR21" s="111"/>
      <c r="AS21" s="111">
        <f>3/20</f>
        <v>0.15</v>
      </c>
      <c r="AT21" s="111"/>
      <c r="AU21" s="112">
        <v>2</v>
      </c>
      <c r="AV21" s="6">
        <v>3</v>
      </c>
      <c r="AW21" s="7">
        <v>3</v>
      </c>
      <c r="AX21" s="7">
        <v>3</v>
      </c>
      <c r="AY21" s="10"/>
      <c r="AZ21" s="11"/>
      <c r="BA21" s="9">
        <f>6+5</f>
        <v>11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3">+H$3</f>
        <v>3</v>
      </c>
      <c r="I22" s="10">
        <f t="shared" si="3"/>
        <v>1</v>
      </c>
      <c r="J22" s="10">
        <f t="shared" si="3"/>
        <v>1</v>
      </c>
      <c r="K22" s="10">
        <f t="shared" si="3"/>
        <v>1</v>
      </c>
      <c r="L22" s="11">
        <f t="shared" si="3"/>
        <v>1</v>
      </c>
      <c r="M22" s="9">
        <f t="shared" si="3"/>
        <v>3</v>
      </c>
      <c r="N22" s="10">
        <f t="shared" si="3"/>
        <v>1</v>
      </c>
      <c r="O22" s="10">
        <f t="shared" si="3"/>
        <v>3</v>
      </c>
      <c r="P22" s="10">
        <f t="shared" si="3"/>
        <v>0</v>
      </c>
      <c r="Q22" s="11">
        <f t="shared" si="3"/>
        <v>0</v>
      </c>
      <c r="R22" s="36">
        <f t="shared" si="3"/>
        <v>0.5</v>
      </c>
      <c r="S22" s="37">
        <f t="shared" si="3"/>
        <v>0.16666666666666666</v>
      </c>
      <c r="T22" s="37">
        <f t="shared" si="3"/>
        <v>0.1</v>
      </c>
      <c r="U22" s="37">
        <f t="shared" si="3"/>
        <v>0.6</v>
      </c>
      <c r="V22" s="38">
        <f t="shared" si="3"/>
        <v>0.15</v>
      </c>
      <c r="W22" s="9">
        <v>24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f>1+1+1+11</f>
        <v>14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1</v>
      </c>
      <c r="AP22" s="45">
        <v>11</v>
      </c>
      <c r="AQ22" s="107">
        <f>12/12</f>
        <v>1</v>
      </c>
      <c r="AR22" s="111"/>
      <c r="AS22" s="111">
        <v>0.5</v>
      </c>
      <c r="AT22" s="111">
        <v>0.5</v>
      </c>
      <c r="AU22" s="112">
        <v>4.5</v>
      </c>
      <c r="AV22" s="6">
        <v>3</v>
      </c>
      <c r="AW22" s="7">
        <v>3</v>
      </c>
      <c r="AX22" s="7">
        <v>3</v>
      </c>
      <c r="AY22" s="10"/>
      <c r="AZ22" s="11"/>
      <c r="BA22" s="9">
        <f>12+15</f>
        <v>27</v>
      </c>
      <c r="BB22" s="10"/>
      <c r="BC22" s="11">
        <f>5+40+4</f>
        <v>49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3"/>
        <v>0.16666666666666666</v>
      </c>
      <c r="T23" s="37">
        <f t="shared" si="3"/>
        <v>0.1</v>
      </c>
      <c r="U23" s="37">
        <f t="shared" si="3"/>
        <v>0.6</v>
      </c>
      <c r="V23" s="38">
        <f t="shared" si="3"/>
        <v>0.15</v>
      </c>
      <c r="W23" s="9">
        <v>23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f>1+1+5</f>
        <v>7</v>
      </c>
      <c r="AH23" s="10"/>
      <c r="AI23" s="10"/>
      <c r="AJ23" s="10"/>
      <c r="AK23" s="11"/>
      <c r="AL23" s="43">
        <v>1</v>
      </c>
      <c r="AM23" s="44"/>
      <c r="AN23" s="44"/>
      <c r="AO23" s="44">
        <v>1</v>
      </c>
      <c r="AP23" s="45">
        <v>5</v>
      </c>
      <c r="AQ23" s="107">
        <f>6/12</f>
        <v>0.5</v>
      </c>
      <c r="AR23" s="111"/>
      <c r="AS23" s="111"/>
      <c r="AT23" s="111">
        <v>0.5</v>
      </c>
      <c r="AU23" s="112">
        <v>2.5</v>
      </c>
      <c r="AV23" s="6">
        <v>3</v>
      </c>
      <c r="AW23" s="7">
        <v>3</v>
      </c>
      <c r="AX23" s="7">
        <v>3</v>
      </c>
      <c r="AY23" s="10"/>
      <c r="AZ23" s="11"/>
      <c r="BA23" s="9">
        <v>6</v>
      </c>
      <c r="BB23" s="10"/>
      <c r="BC23" s="11">
        <f>5+24</f>
        <v>29</v>
      </c>
      <c r="BD23" s="18"/>
      <c r="BE23" s="12"/>
    </row>
    <row r="24" spans="1:57" ht="31.9" customHeight="1" x14ac:dyDescent="0.2">
      <c r="A24" s="20">
        <v>17</v>
      </c>
      <c r="B24" s="103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3"/>
        <v>0.16666666666666666</v>
      </c>
      <c r="T24" s="37">
        <f t="shared" si="3"/>
        <v>0.1</v>
      </c>
      <c r="U24" s="37">
        <f t="shared" si="3"/>
        <v>0.6</v>
      </c>
      <c r="V24" s="38">
        <f t="shared" si="3"/>
        <v>0.15</v>
      </c>
      <c r="W24" s="9">
        <v>24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f>2+1+1+4</f>
        <v>8</v>
      </c>
      <c r="AH24" s="10"/>
      <c r="AI24" s="10"/>
      <c r="AJ24" s="10"/>
      <c r="AK24" s="11"/>
      <c r="AL24" s="43">
        <v>2</v>
      </c>
      <c r="AM24" s="44"/>
      <c r="AN24" s="44">
        <v>1</v>
      </c>
      <c r="AO24" s="44">
        <v>1</v>
      </c>
      <c r="AP24" s="45">
        <v>4</v>
      </c>
      <c r="AQ24" s="107">
        <f>12/12</f>
        <v>1</v>
      </c>
      <c r="AR24" s="111"/>
      <c r="AS24" s="111">
        <f>3/20</f>
        <v>0.15</v>
      </c>
      <c r="AT24" s="111">
        <v>0.3</v>
      </c>
      <c r="AU24" s="112">
        <v>2</v>
      </c>
      <c r="AV24" s="6">
        <v>3</v>
      </c>
      <c r="AW24" s="7">
        <v>3</v>
      </c>
      <c r="AX24" s="7">
        <v>3</v>
      </c>
      <c r="AY24" s="10"/>
      <c r="AZ24" s="11"/>
      <c r="BA24" s="9">
        <f>12+5</f>
        <v>17</v>
      </c>
      <c r="BB24" s="10"/>
      <c r="BC24" s="11">
        <f>3+20</f>
        <v>23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3"/>
        <v>0.16666666666666666</v>
      </c>
      <c r="T25" s="37">
        <f t="shared" si="3"/>
        <v>0.1</v>
      </c>
      <c r="U25" s="37">
        <f t="shared" si="3"/>
        <v>0.6</v>
      </c>
      <c r="V25" s="38">
        <f t="shared" si="3"/>
        <v>0.15</v>
      </c>
      <c r="W25" s="9">
        <v>25</v>
      </c>
      <c r="X25" s="10"/>
      <c r="Y25" s="10"/>
      <c r="Z25" s="10"/>
      <c r="AA25" s="11"/>
      <c r="AB25" s="43"/>
      <c r="AC25" s="44"/>
      <c r="AD25" s="44">
        <v>1</v>
      </c>
      <c r="AE25" s="44">
        <v>1</v>
      </c>
      <c r="AF25" s="45"/>
      <c r="AG25" s="9">
        <f>1+1+10</f>
        <v>12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10</v>
      </c>
      <c r="AQ25" s="107">
        <f>5/12</f>
        <v>0.41666666666666669</v>
      </c>
      <c r="AR25" s="111"/>
      <c r="AS25" s="111">
        <f>3/20</f>
        <v>0.15</v>
      </c>
      <c r="AT25" s="111"/>
      <c r="AU25" s="112">
        <v>3</v>
      </c>
      <c r="AV25" s="6">
        <v>3</v>
      </c>
      <c r="AW25" s="7">
        <v>3</v>
      </c>
      <c r="AX25" s="7">
        <v>3</v>
      </c>
      <c r="AY25" s="10"/>
      <c r="AZ25" s="11"/>
      <c r="BA25" s="9">
        <f>5+5</f>
        <v>10</v>
      </c>
      <c r="BB25" s="10"/>
      <c r="BC25" s="11">
        <v>30</v>
      </c>
      <c r="BD25" s="18"/>
      <c r="BE25" s="12"/>
    </row>
    <row r="26" spans="1:57" ht="31.9" customHeight="1" x14ac:dyDescent="0.2">
      <c r="A26" s="50">
        <v>19</v>
      </c>
      <c r="B26" s="104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3"/>
        <v>0.16666666666666666</v>
      </c>
      <c r="T26" s="56">
        <f t="shared" si="3"/>
        <v>0.1</v>
      </c>
      <c r="U26" s="56">
        <f t="shared" si="3"/>
        <v>0.6</v>
      </c>
      <c r="V26" s="57">
        <f t="shared" si="3"/>
        <v>0.15</v>
      </c>
      <c r="W26" s="52">
        <v>25</v>
      </c>
      <c r="X26" s="53"/>
      <c r="Y26" s="53"/>
      <c r="Z26" s="53"/>
      <c r="AA26" s="54"/>
      <c r="AB26" s="58"/>
      <c r="AC26" s="59"/>
      <c r="AD26" s="59"/>
      <c r="AE26" s="59"/>
      <c r="AF26" s="48"/>
      <c r="AG26" s="52">
        <f>1+1+11</f>
        <v>13</v>
      </c>
      <c r="AH26" s="53"/>
      <c r="AI26" s="53"/>
      <c r="AJ26" s="53"/>
      <c r="AK26" s="54"/>
      <c r="AL26" s="58">
        <v>1</v>
      </c>
      <c r="AM26" s="59"/>
      <c r="AN26" s="59"/>
      <c r="AO26" s="59">
        <v>1</v>
      </c>
      <c r="AP26" s="48">
        <v>11</v>
      </c>
      <c r="AQ26" s="113">
        <f>6/12</f>
        <v>0.5</v>
      </c>
      <c r="AR26" s="114"/>
      <c r="AS26" s="114"/>
      <c r="AT26" s="114">
        <v>0.5</v>
      </c>
      <c r="AU26" s="115">
        <v>4</v>
      </c>
      <c r="AV26" s="6">
        <v>3</v>
      </c>
      <c r="AW26" s="7">
        <v>3</v>
      </c>
      <c r="AX26" s="7">
        <v>3</v>
      </c>
      <c r="AY26" s="53"/>
      <c r="AZ26" s="54"/>
      <c r="BA26" s="52">
        <v>6</v>
      </c>
      <c r="BB26" s="53"/>
      <c r="BC26" s="54">
        <f>5+40</f>
        <v>45</v>
      </c>
      <c r="BD26" s="60"/>
      <c r="BE26" s="61"/>
    </row>
    <row r="27" spans="1:57" ht="31.9" customHeight="1" thickBot="1" x14ac:dyDescent="0.25">
      <c r="A27" s="50">
        <v>20</v>
      </c>
      <c r="B27" s="104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3"/>
        <v>0.16666666666666666</v>
      </c>
      <c r="T27" s="56">
        <f t="shared" si="3"/>
        <v>0.1</v>
      </c>
      <c r="U27" s="56">
        <f t="shared" si="3"/>
        <v>0.6</v>
      </c>
      <c r="V27" s="57">
        <f t="shared" si="3"/>
        <v>0.15</v>
      </c>
      <c r="W27" s="52">
        <v>24</v>
      </c>
      <c r="X27" s="53"/>
      <c r="Y27" s="53"/>
      <c r="Z27" s="53"/>
      <c r="AA27" s="54"/>
      <c r="AB27" s="67"/>
      <c r="AC27" s="68"/>
      <c r="AD27" s="68">
        <v>1</v>
      </c>
      <c r="AE27" s="68"/>
      <c r="AF27" s="69">
        <v>2</v>
      </c>
      <c r="AG27" s="52">
        <f>4+1+1+5</f>
        <v>11</v>
      </c>
      <c r="AH27" s="53"/>
      <c r="AI27" s="53"/>
      <c r="AJ27" s="53"/>
      <c r="AK27" s="54"/>
      <c r="AL27" s="67">
        <v>4</v>
      </c>
      <c r="AM27" s="68"/>
      <c r="AN27" s="68">
        <v>1</v>
      </c>
      <c r="AO27" s="68">
        <v>1</v>
      </c>
      <c r="AP27" s="69">
        <v>7</v>
      </c>
      <c r="AQ27" s="113">
        <f>15/12</f>
        <v>1.25</v>
      </c>
      <c r="AR27" s="114"/>
      <c r="AS27" s="114">
        <f>6/20</f>
        <v>0.3</v>
      </c>
      <c r="AT27" s="114">
        <v>0.5</v>
      </c>
      <c r="AU27" s="115">
        <v>2</v>
      </c>
      <c r="AV27" s="6">
        <v>3</v>
      </c>
      <c r="AW27" s="7">
        <v>3</v>
      </c>
      <c r="AX27" s="7">
        <v>3</v>
      </c>
      <c r="AY27" s="53"/>
      <c r="AZ27" s="54"/>
      <c r="BA27" s="52">
        <f>15+10</f>
        <v>25</v>
      </c>
      <c r="BB27" s="53"/>
      <c r="BC27" s="54">
        <f>5+20</f>
        <v>25</v>
      </c>
      <c r="BD27" s="60"/>
      <c r="BE27" s="61"/>
    </row>
    <row r="28" spans="1:57" s="3" customFormat="1" ht="34.15" customHeight="1" thickBot="1" x14ac:dyDescent="0.3">
      <c r="A28" s="14"/>
      <c r="B28" s="105" t="s">
        <v>0</v>
      </c>
      <c r="C28" s="29">
        <f t="shared" ref="C28:AH28" si="4">SUM(C8:C27)</f>
        <v>200</v>
      </c>
      <c r="D28" s="30">
        <f t="shared" si="4"/>
        <v>60</v>
      </c>
      <c r="E28" s="30">
        <f t="shared" si="4"/>
        <v>40</v>
      </c>
      <c r="F28" s="30">
        <f t="shared" si="4"/>
        <v>40</v>
      </c>
      <c r="G28" s="31">
        <f t="shared" si="4"/>
        <v>60</v>
      </c>
      <c r="H28" s="29">
        <f t="shared" si="4"/>
        <v>60</v>
      </c>
      <c r="I28" s="30">
        <f t="shared" si="4"/>
        <v>20</v>
      </c>
      <c r="J28" s="30">
        <f t="shared" si="4"/>
        <v>20</v>
      </c>
      <c r="K28" s="30">
        <f t="shared" si="4"/>
        <v>20</v>
      </c>
      <c r="L28" s="31">
        <f t="shared" si="4"/>
        <v>20</v>
      </c>
      <c r="M28" s="29">
        <f t="shared" si="4"/>
        <v>60</v>
      </c>
      <c r="N28" s="30">
        <f t="shared" si="4"/>
        <v>20</v>
      </c>
      <c r="O28" s="30">
        <f t="shared" si="4"/>
        <v>60</v>
      </c>
      <c r="P28" s="30">
        <f t="shared" si="4"/>
        <v>0</v>
      </c>
      <c r="Q28" s="31">
        <f t="shared" si="4"/>
        <v>0</v>
      </c>
      <c r="R28" s="29">
        <f t="shared" si="4"/>
        <v>10</v>
      </c>
      <c r="S28" s="30">
        <f t="shared" si="4"/>
        <v>3.3333333333333321</v>
      </c>
      <c r="T28" s="30">
        <f t="shared" si="4"/>
        <v>2.0000000000000004</v>
      </c>
      <c r="U28" s="30">
        <f t="shared" si="4"/>
        <v>11.999999999999996</v>
      </c>
      <c r="V28" s="31">
        <f>SUM(V8:V27)</f>
        <v>2.9999999999999991</v>
      </c>
      <c r="W28" s="29">
        <f t="shared" si="4"/>
        <v>481</v>
      </c>
      <c r="X28" s="30">
        <f t="shared" si="4"/>
        <v>0</v>
      </c>
      <c r="Y28" s="30">
        <f t="shared" si="4"/>
        <v>0</v>
      </c>
      <c r="Z28" s="30">
        <f t="shared" si="4"/>
        <v>0</v>
      </c>
      <c r="AA28" s="31">
        <f t="shared" si="4"/>
        <v>0</v>
      </c>
      <c r="AB28" s="64">
        <f t="shared" si="4"/>
        <v>5</v>
      </c>
      <c r="AC28" s="65">
        <f t="shared" si="4"/>
        <v>0</v>
      </c>
      <c r="AD28" s="65">
        <f t="shared" si="4"/>
        <v>3</v>
      </c>
      <c r="AE28" s="65">
        <f t="shared" si="4"/>
        <v>5</v>
      </c>
      <c r="AF28" s="66">
        <f t="shared" si="4"/>
        <v>4</v>
      </c>
      <c r="AG28" s="29">
        <f t="shared" si="4"/>
        <v>171</v>
      </c>
      <c r="AH28" s="30">
        <f t="shared" si="4"/>
        <v>0</v>
      </c>
      <c r="AI28" s="30">
        <f t="shared" ref="AI28:BE28" si="5">SUM(AI8:AI27)</f>
        <v>0</v>
      </c>
      <c r="AJ28" s="30">
        <f t="shared" si="5"/>
        <v>0</v>
      </c>
      <c r="AK28" s="31">
        <f t="shared" si="5"/>
        <v>0</v>
      </c>
      <c r="AL28" s="64">
        <f t="shared" si="5"/>
        <v>29</v>
      </c>
      <c r="AM28" s="65">
        <f t="shared" si="5"/>
        <v>0</v>
      </c>
      <c r="AN28" s="65">
        <f t="shared" si="5"/>
        <v>16</v>
      </c>
      <c r="AO28" s="65">
        <f t="shared" si="5"/>
        <v>21</v>
      </c>
      <c r="AP28" s="66">
        <f t="shared" si="5"/>
        <v>117</v>
      </c>
      <c r="AQ28" s="121">
        <f t="shared" si="5"/>
        <v>10.999999999999998</v>
      </c>
      <c r="AR28" s="116">
        <f t="shared" si="5"/>
        <v>0</v>
      </c>
      <c r="AS28" s="116">
        <f t="shared" si="5"/>
        <v>3.1999999999999993</v>
      </c>
      <c r="AT28" s="116">
        <f t="shared" si="5"/>
        <v>7.5</v>
      </c>
      <c r="AU28" s="122">
        <f t="shared" si="5"/>
        <v>46</v>
      </c>
      <c r="AV28" s="29">
        <f t="shared" si="5"/>
        <v>60</v>
      </c>
      <c r="AW28" s="30">
        <f t="shared" si="5"/>
        <v>60</v>
      </c>
      <c r="AX28" s="30">
        <f t="shared" si="5"/>
        <v>60</v>
      </c>
      <c r="AY28" s="30">
        <f t="shared" si="5"/>
        <v>0</v>
      </c>
      <c r="AZ28" s="31">
        <f t="shared" si="5"/>
        <v>0</v>
      </c>
      <c r="BA28" s="46">
        <f t="shared" si="5"/>
        <v>235</v>
      </c>
      <c r="BB28" s="47">
        <f t="shared" si="5"/>
        <v>0</v>
      </c>
      <c r="BC28" s="49">
        <f t="shared" si="5"/>
        <v>511</v>
      </c>
      <c r="BD28" s="19">
        <f t="shared" si="5"/>
        <v>0</v>
      </c>
      <c r="BE28" s="2">
        <f t="shared" si="5"/>
        <v>0</v>
      </c>
    </row>
    <row r="30" spans="1:57" x14ac:dyDescent="0.25">
      <c r="AQ30" s="124"/>
      <c r="AR30" s="124"/>
      <c r="AS30" s="124"/>
      <c r="AT30" s="124"/>
      <c r="AU30" s="124"/>
      <c r="AV30" s="124"/>
      <c r="AW30" s="124"/>
      <c r="AX30" s="124"/>
      <c r="AY30" s="124"/>
    </row>
    <row r="31" spans="1:57" x14ac:dyDescent="0.25">
      <c r="AQ31" s="124"/>
      <c r="AR31" s="124"/>
      <c r="AS31" s="124"/>
      <c r="AT31" s="124"/>
      <c r="AU31" s="124"/>
      <c r="AV31" s="124"/>
      <c r="AW31" s="124"/>
      <c r="AX31" s="124"/>
      <c r="AY31" s="124"/>
    </row>
    <row r="32" spans="1:57" x14ac:dyDescent="0.25">
      <c r="AQ32" s="124"/>
      <c r="AR32" s="124"/>
      <c r="AS32" s="124"/>
      <c r="AT32" s="124"/>
      <c r="AU32" s="124"/>
      <c r="AV32" s="124"/>
      <c r="AW32" s="124"/>
      <c r="AX32" s="124"/>
      <c r="AY32" s="124"/>
    </row>
    <row r="33" spans="43:51" x14ac:dyDescent="0.25">
      <c r="AQ33" s="124"/>
      <c r="AR33" s="124"/>
      <c r="AS33" s="124"/>
      <c r="AT33" s="124"/>
      <c r="AU33" s="124"/>
      <c r="AV33" s="124"/>
      <c r="AW33" s="124"/>
      <c r="AX33" s="124"/>
      <c r="AY33" s="124"/>
    </row>
    <row r="34" spans="43:51" x14ac:dyDescent="0.25">
      <c r="AQ34" s="124"/>
      <c r="AR34" s="124"/>
      <c r="AS34" s="124"/>
      <c r="AT34" s="124"/>
      <c r="AU34" s="124"/>
      <c r="AV34" s="124"/>
      <c r="AW34" s="124"/>
      <c r="AX34" s="124"/>
      <c r="AY34" s="124"/>
    </row>
    <row r="35" spans="43:51" x14ac:dyDescent="0.25">
      <c r="AQ35" s="124"/>
      <c r="AR35" s="124"/>
      <c r="AS35" s="124"/>
      <c r="AT35" s="124"/>
      <c r="AU35" s="124"/>
      <c r="AV35" s="124"/>
      <c r="AW35" s="124"/>
      <c r="AX35" s="124"/>
      <c r="AY35" s="124"/>
    </row>
    <row r="36" spans="43:51" x14ac:dyDescent="0.25">
      <c r="AQ36" s="124"/>
      <c r="AR36" s="124"/>
      <c r="AS36" s="124"/>
      <c r="AT36" s="124"/>
      <c r="AU36" s="124"/>
      <c r="AV36" s="124"/>
      <c r="AW36" s="124"/>
      <c r="AX36" s="124"/>
      <c r="AY36" s="124"/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60" zoomScaleNormal="60" workbookViewId="0">
      <pane xSplit="2" ySplit="7" topLeftCell="AC20" activePane="bottomRight" state="frozen"/>
      <selection activeCell="C3" sqref="C3"/>
      <selection pane="topRight" activeCell="C3" sqref="C3"/>
      <selection pane="bottomLeft" activeCell="C3" sqref="C3"/>
      <selection pane="bottomRight" activeCell="AO26" sqref="AO26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7.85546875" style="28" bestFit="1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9.5703125" style="28" bestFit="1" customWidth="1"/>
    <col min="46" max="46" width="8.85546875" style="28" customWidth="1"/>
    <col min="47" max="47" width="9.5703125" style="28" bestFit="1" customWidth="1"/>
    <col min="48" max="54" width="8.85546875" style="28" customWidth="1"/>
    <col min="55" max="55" width="9.425781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2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>
        <v>2</v>
      </c>
      <c r="AF8" s="42"/>
      <c r="AG8" s="6">
        <f>1+4</f>
        <v>5</v>
      </c>
      <c r="AH8" s="7"/>
      <c r="AI8" s="7"/>
      <c r="AJ8" s="7"/>
      <c r="AK8" s="8"/>
      <c r="AL8" s="40"/>
      <c r="AM8" s="41"/>
      <c r="AN8" s="41">
        <v>1</v>
      </c>
      <c r="AO8" s="41">
        <v>2</v>
      </c>
      <c r="AP8" s="42">
        <v>4</v>
      </c>
      <c r="AQ8" s="40"/>
      <c r="AR8" s="41"/>
      <c r="AS8" s="41">
        <f>3/20</f>
        <v>0.15</v>
      </c>
      <c r="AT8" s="41"/>
      <c r="AU8" s="42">
        <v>1</v>
      </c>
      <c r="AV8" s="6">
        <v>3</v>
      </c>
      <c r="AW8" s="7">
        <v>3</v>
      </c>
      <c r="AX8" s="7">
        <v>3</v>
      </c>
      <c r="AY8" s="7"/>
      <c r="AZ8" s="8"/>
      <c r="BA8" s="6">
        <v>5</v>
      </c>
      <c r="BB8" s="7"/>
      <c r="BC8" s="8">
        <v>10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25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1+3+3</f>
        <v>7</v>
      </c>
      <c r="AH9" s="10"/>
      <c r="AI9" s="10"/>
      <c r="AJ9" s="10"/>
      <c r="AK9" s="11"/>
      <c r="AL9" s="43">
        <v>1</v>
      </c>
      <c r="AM9" s="44"/>
      <c r="AN9" s="44">
        <v>3</v>
      </c>
      <c r="AO9" s="44"/>
      <c r="AP9" s="45">
        <v>3</v>
      </c>
      <c r="AQ9" s="43">
        <v>0.5</v>
      </c>
      <c r="AR9" s="44"/>
      <c r="AS9" s="44">
        <f>9/20</f>
        <v>0.45</v>
      </c>
      <c r="AT9" s="44"/>
      <c r="AU9" s="45">
        <v>1</v>
      </c>
      <c r="AV9" s="6">
        <v>3</v>
      </c>
      <c r="AW9" s="7">
        <v>3</v>
      </c>
      <c r="AX9" s="7">
        <v>3</v>
      </c>
      <c r="AY9" s="10"/>
      <c r="AZ9" s="11"/>
      <c r="BA9" s="9">
        <f>6+15</f>
        <v>21</v>
      </c>
      <c r="BB9" s="10"/>
      <c r="BC9" s="11">
        <v>10</v>
      </c>
      <c r="BD9" s="70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27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/>
      <c r="AG10" s="9">
        <f>1+1+3</f>
        <v>5</v>
      </c>
      <c r="AH10" s="10"/>
      <c r="AI10" s="10"/>
      <c r="AJ10" s="10"/>
      <c r="AK10" s="11"/>
      <c r="AL10" s="43"/>
      <c r="AM10" s="44"/>
      <c r="AN10" s="44">
        <v>1</v>
      </c>
      <c r="AO10" s="44">
        <v>1</v>
      </c>
      <c r="AP10" s="45">
        <v>3</v>
      </c>
      <c r="AQ10" s="43"/>
      <c r="AR10" s="44"/>
      <c r="AS10" s="44">
        <f>3/20</f>
        <v>0.15</v>
      </c>
      <c r="AT10" s="44">
        <v>0.5</v>
      </c>
      <c r="AU10" s="45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5</v>
      </c>
      <c r="BB10" s="10"/>
      <c r="BC10" s="11">
        <f>5+10</f>
        <v>15</v>
      </c>
      <c r="BD10" s="165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/>
      <c r="AF11" s="45"/>
      <c r="AG11" s="9">
        <f>1+1+1+2</f>
        <v>5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>
        <v>1</v>
      </c>
      <c r="AP11" s="45">
        <v>2</v>
      </c>
      <c r="AQ11" s="43">
        <v>0.5</v>
      </c>
      <c r="AR11" s="44"/>
      <c r="AS11" s="44">
        <f>3/20</f>
        <v>0.15</v>
      </c>
      <c r="AT11" s="44">
        <v>0.5</v>
      </c>
      <c r="AU11" s="45">
        <v>0.5</v>
      </c>
      <c r="AV11" s="6">
        <v>3</v>
      </c>
      <c r="AW11" s="7">
        <v>3</v>
      </c>
      <c r="AX11" s="7">
        <v>3</v>
      </c>
      <c r="AY11" s="10"/>
      <c r="AZ11" s="11"/>
      <c r="BA11" s="9">
        <f>6+5</f>
        <v>11</v>
      </c>
      <c r="BB11" s="10"/>
      <c r="BC11" s="11">
        <f>5+4</f>
        <v>9</v>
      </c>
      <c r="BD11" s="166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24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f>1+1+1+10</f>
        <v>13</v>
      </c>
      <c r="AH12" s="10"/>
      <c r="AI12" s="10"/>
      <c r="AJ12" s="10"/>
      <c r="AK12" s="11"/>
      <c r="AL12" s="43">
        <v>1</v>
      </c>
      <c r="AM12" s="44"/>
      <c r="AN12" s="44">
        <v>1</v>
      </c>
      <c r="AO12" s="44">
        <v>1</v>
      </c>
      <c r="AP12" s="45">
        <v>10</v>
      </c>
      <c r="AQ12" s="43">
        <v>0.5</v>
      </c>
      <c r="AR12" s="44"/>
      <c r="AS12" s="44">
        <f>6/20</f>
        <v>0.3</v>
      </c>
      <c r="AT12" s="44">
        <v>0.5</v>
      </c>
      <c r="AU12" s="45">
        <v>3</v>
      </c>
      <c r="AV12" s="6">
        <v>3</v>
      </c>
      <c r="AW12" s="7">
        <v>3</v>
      </c>
      <c r="AX12" s="7">
        <v>3</v>
      </c>
      <c r="AY12" s="10"/>
      <c r="AZ12" s="11"/>
      <c r="BA12" s="9">
        <f>6+10</f>
        <v>16</v>
      </c>
      <c r="BB12" s="10"/>
      <c r="BC12" s="11">
        <f>5+30</f>
        <v>35</v>
      </c>
      <c r="BD12" s="167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24</v>
      </c>
      <c r="X13" s="10"/>
      <c r="Y13" s="10"/>
      <c r="Z13" s="10"/>
      <c r="AA13" s="11"/>
      <c r="AB13" s="43"/>
      <c r="AC13" s="44"/>
      <c r="AD13" s="44"/>
      <c r="AE13" s="44">
        <v>1</v>
      </c>
      <c r="AF13" s="45"/>
      <c r="AG13" s="9">
        <f>1+1+5</f>
        <v>7</v>
      </c>
      <c r="AH13" s="10"/>
      <c r="AI13" s="10"/>
      <c r="AJ13" s="10"/>
      <c r="AK13" s="11"/>
      <c r="AL13" s="43"/>
      <c r="AM13" s="44"/>
      <c r="AN13" s="44">
        <v>1</v>
      </c>
      <c r="AO13" s="44">
        <v>2</v>
      </c>
      <c r="AP13" s="45">
        <v>5</v>
      </c>
      <c r="AQ13" s="43"/>
      <c r="AR13" s="44"/>
      <c r="AS13" s="44">
        <f>12/20</f>
        <v>0.6</v>
      </c>
      <c r="AT13" s="44">
        <v>0.5</v>
      </c>
      <c r="AU13" s="45">
        <v>2.5</v>
      </c>
      <c r="AV13" s="6">
        <v>3</v>
      </c>
      <c r="AW13" s="7">
        <v>3</v>
      </c>
      <c r="AX13" s="7">
        <v>3</v>
      </c>
      <c r="AY13" s="10"/>
      <c r="AZ13" s="11"/>
      <c r="BA13" s="9">
        <v>20</v>
      </c>
      <c r="BB13" s="10"/>
      <c r="BC13" s="11">
        <f>5+24</f>
        <v>29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>
        <v>1</v>
      </c>
      <c r="AC14" s="44"/>
      <c r="AD14" s="44"/>
      <c r="AE14" s="44"/>
      <c r="AF14" s="45"/>
      <c r="AG14" s="9">
        <f>1+1+6</f>
        <v>8</v>
      </c>
      <c r="AH14" s="10"/>
      <c r="AI14" s="10"/>
      <c r="AJ14" s="10"/>
      <c r="AK14" s="11"/>
      <c r="AL14" s="43">
        <v>2</v>
      </c>
      <c r="AM14" s="44"/>
      <c r="AN14" s="44">
        <v>1</v>
      </c>
      <c r="AO14" s="44"/>
      <c r="AP14" s="45">
        <v>6</v>
      </c>
      <c r="AQ14" s="43">
        <v>0.5</v>
      </c>
      <c r="AR14" s="44"/>
      <c r="AS14" s="44">
        <f>6/12</f>
        <v>0.5</v>
      </c>
      <c r="AT14" s="44"/>
      <c r="AU14" s="45">
        <v>2</v>
      </c>
      <c r="AV14" s="6">
        <v>3</v>
      </c>
      <c r="AW14" s="7">
        <v>3</v>
      </c>
      <c r="AX14" s="7">
        <v>3</v>
      </c>
      <c r="AY14" s="10"/>
      <c r="AZ14" s="11"/>
      <c r="BA14" s="9">
        <f>6+10</f>
        <v>16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23</v>
      </c>
      <c r="X15" s="10"/>
      <c r="Y15" s="10"/>
      <c r="Z15" s="10"/>
      <c r="AA15" s="11"/>
      <c r="AB15" s="43"/>
      <c r="AC15" s="44"/>
      <c r="AD15" s="44"/>
      <c r="AE15" s="44"/>
      <c r="AF15" s="45"/>
      <c r="AG15" s="9">
        <f>1+1+5</f>
        <v>7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/>
      <c r="AP15" s="45">
        <v>5</v>
      </c>
      <c r="AQ15" s="43">
        <v>0.5</v>
      </c>
      <c r="AR15" s="44"/>
      <c r="AS15" s="44">
        <v>0.15</v>
      </c>
      <c r="AT15" s="44"/>
      <c r="AU15" s="45">
        <v>2</v>
      </c>
      <c r="AV15" s="9">
        <v>3</v>
      </c>
      <c r="AW15" s="10">
        <v>3</v>
      </c>
      <c r="AX15" s="10">
        <v>3</v>
      </c>
      <c r="AY15" s="10"/>
      <c r="AZ15" s="11"/>
      <c r="BA15" s="9">
        <f>6+5</f>
        <v>11</v>
      </c>
      <c r="BB15" s="10"/>
      <c r="BC15" s="11">
        <v>20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26</v>
      </c>
      <c r="X16" s="10"/>
      <c r="Y16" s="10"/>
      <c r="Z16" s="10"/>
      <c r="AA16" s="11"/>
      <c r="AB16" s="43"/>
      <c r="AC16" s="44"/>
      <c r="AD16" s="44"/>
      <c r="AE16" s="44"/>
      <c r="AF16" s="45"/>
      <c r="AG16" s="9">
        <f>1+1+4</f>
        <v>6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4</v>
      </c>
      <c r="AQ16" s="43">
        <v>0.5</v>
      </c>
      <c r="AR16" s="44"/>
      <c r="AS16" s="44">
        <v>0.15</v>
      </c>
      <c r="AT16" s="44"/>
      <c r="AU16" s="45">
        <v>1</v>
      </c>
      <c r="AV16" s="9">
        <v>3</v>
      </c>
      <c r="AW16" s="10">
        <v>3</v>
      </c>
      <c r="AX16" s="10">
        <v>3</v>
      </c>
      <c r="AY16" s="10"/>
      <c r="AZ16" s="11"/>
      <c r="BA16" s="9">
        <f>6+5</f>
        <v>11</v>
      </c>
      <c r="BB16" s="10"/>
      <c r="BC16" s="11">
        <v>10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2+1+1+8</f>
        <v>12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>
        <v>1</v>
      </c>
      <c r="AP17" s="45">
        <v>8</v>
      </c>
      <c r="AQ17" s="43">
        <v>1</v>
      </c>
      <c r="AR17" s="44"/>
      <c r="AS17" s="44">
        <v>0.15</v>
      </c>
      <c r="AT17" s="44">
        <v>0.6</v>
      </c>
      <c r="AU17" s="45">
        <v>2</v>
      </c>
      <c r="AV17" s="9">
        <v>3</v>
      </c>
      <c r="AW17" s="10">
        <v>3</v>
      </c>
      <c r="AX17" s="10">
        <v>3</v>
      </c>
      <c r="AY17" s="10"/>
      <c r="AZ17" s="11"/>
      <c r="BA17" s="9">
        <f>12+5</f>
        <v>17</v>
      </c>
      <c r="BB17" s="10"/>
      <c r="BC17" s="11">
        <f>6+20</f>
        <v>26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24</v>
      </c>
      <c r="X18" s="10"/>
      <c r="Y18" s="10"/>
      <c r="Z18" s="10"/>
      <c r="AA18" s="11"/>
      <c r="AB18" s="43"/>
      <c r="AC18" s="44"/>
      <c r="AD18" s="44"/>
      <c r="AE18" s="44">
        <v>1</v>
      </c>
      <c r="AF18" s="45"/>
      <c r="AG18" s="9">
        <f>1+4</f>
        <v>5</v>
      </c>
      <c r="AH18" s="10"/>
      <c r="AI18" s="10"/>
      <c r="AJ18" s="10"/>
      <c r="AK18" s="11"/>
      <c r="AL18" s="43"/>
      <c r="AM18" s="44"/>
      <c r="AN18" s="44">
        <v>1</v>
      </c>
      <c r="AO18" s="44">
        <v>1</v>
      </c>
      <c r="AP18" s="45">
        <v>4</v>
      </c>
      <c r="AQ18" s="43"/>
      <c r="AR18" s="44"/>
      <c r="AS18" s="44">
        <v>0.15</v>
      </c>
      <c r="AT18" s="44"/>
      <c r="AU18" s="45">
        <v>1.5</v>
      </c>
      <c r="AV18" s="9">
        <v>3</v>
      </c>
      <c r="AW18" s="10">
        <v>3</v>
      </c>
      <c r="AX18" s="10">
        <v>3</v>
      </c>
      <c r="AY18" s="10"/>
      <c r="AZ18" s="11"/>
      <c r="BA18" s="9">
        <v>5</v>
      </c>
      <c r="BB18" s="10"/>
      <c r="BC18" s="11">
        <v>14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>
        <v>1</v>
      </c>
      <c r="AC19" s="44"/>
      <c r="AD19" s="44">
        <v>1</v>
      </c>
      <c r="AE19" s="44"/>
      <c r="AF19" s="45"/>
      <c r="AG19" s="9">
        <f>1+1+7</f>
        <v>9</v>
      </c>
      <c r="AH19" s="10"/>
      <c r="AI19" s="10"/>
      <c r="AJ19" s="10"/>
      <c r="AK19" s="11"/>
      <c r="AL19" s="43">
        <v>2</v>
      </c>
      <c r="AM19" s="44"/>
      <c r="AN19" s="44">
        <v>2</v>
      </c>
      <c r="AO19" s="44"/>
      <c r="AP19" s="45">
        <v>7</v>
      </c>
      <c r="AQ19" s="43">
        <f>8/12</f>
        <v>0.66666666666666663</v>
      </c>
      <c r="AR19" s="44"/>
      <c r="AS19" s="44">
        <v>0.15</v>
      </c>
      <c r="AT19" s="44"/>
      <c r="AU19" s="45">
        <v>3</v>
      </c>
      <c r="AV19" s="9">
        <v>3</v>
      </c>
      <c r="AW19" s="10">
        <v>3</v>
      </c>
      <c r="AX19" s="10">
        <v>3</v>
      </c>
      <c r="AY19" s="10"/>
      <c r="AZ19" s="11"/>
      <c r="BA19" s="9">
        <f>8+5</f>
        <v>13</v>
      </c>
      <c r="BB19" s="10"/>
      <c r="BC19" s="11">
        <v>30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/>
      <c r="AF20" s="45"/>
      <c r="AG20" s="9">
        <f>1+1+1</f>
        <v>3</v>
      </c>
      <c r="AH20" s="10"/>
      <c r="AI20" s="10"/>
      <c r="AJ20" s="10"/>
      <c r="AK20" s="11"/>
      <c r="AL20" s="43"/>
      <c r="AM20" s="44"/>
      <c r="AN20" s="44">
        <v>1</v>
      </c>
      <c r="AO20" s="44">
        <v>1</v>
      </c>
      <c r="AP20" s="45">
        <v>1</v>
      </c>
      <c r="AQ20" s="43"/>
      <c r="AR20" s="44"/>
      <c r="AS20" s="44">
        <f>6/20</f>
        <v>0.3</v>
      </c>
      <c r="AT20" s="44">
        <v>0.5</v>
      </c>
      <c r="AU20" s="45">
        <v>0.5</v>
      </c>
      <c r="AV20" s="9">
        <v>3</v>
      </c>
      <c r="AW20" s="10">
        <v>3</v>
      </c>
      <c r="AX20" s="10">
        <v>3</v>
      </c>
      <c r="AY20" s="10"/>
      <c r="AZ20" s="11"/>
      <c r="BA20" s="9">
        <v>10</v>
      </c>
      <c r="BB20" s="10"/>
      <c r="BC20" s="11">
        <f>5+4</f>
        <v>9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f>1+1+5</f>
        <v>7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/>
      <c r="AP21" s="45">
        <v>5</v>
      </c>
      <c r="AQ21" s="43">
        <v>0.5</v>
      </c>
      <c r="AR21" s="44"/>
      <c r="AS21" s="44">
        <f>3/20</f>
        <v>0.15</v>
      </c>
      <c r="AT21" s="44"/>
      <c r="AU21" s="45">
        <v>2</v>
      </c>
      <c r="AV21" s="9">
        <v>3</v>
      </c>
      <c r="AW21" s="10">
        <v>3</v>
      </c>
      <c r="AX21" s="10">
        <v>3</v>
      </c>
      <c r="AY21" s="10"/>
      <c r="AZ21" s="11"/>
      <c r="BA21" s="9">
        <f>6+5</f>
        <v>11</v>
      </c>
      <c r="BB21" s="10"/>
      <c r="BC21" s="11">
        <v>20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23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/>
      <c r="AG22" s="9">
        <f>1+6</f>
        <v>7</v>
      </c>
      <c r="AH22" s="10"/>
      <c r="AI22" s="10"/>
      <c r="AJ22" s="10"/>
      <c r="AK22" s="11"/>
      <c r="AL22" s="43">
        <v>1</v>
      </c>
      <c r="AM22" s="44"/>
      <c r="AN22" s="44"/>
      <c r="AO22" s="44">
        <v>1</v>
      </c>
      <c r="AP22" s="45">
        <v>6</v>
      </c>
      <c r="AQ22" s="43">
        <v>0.5</v>
      </c>
      <c r="AR22" s="44"/>
      <c r="AS22" s="44"/>
      <c r="AT22" s="44"/>
      <c r="AU22" s="45">
        <v>2</v>
      </c>
      <c r="AV22" s="9">
        <v>3</v>
      </c>
      <c r="AW22" s="10">
        <v>3</v>
      </c>
      <c r="AX22" s="10">
        <v>3</v>
      </c>
      <c r="AY22" s="10"/>
      <c r="AZ22" s="11"/>
      <c r="BA22" s="9">
        <v>6</v>
      </c>
      <c r="BB22" s="10"/>
      <c r="BC22" s="11">
        <v>20</v>
      </c>
      <c r="BD22" s="18"/>
      <c r="BE22" s="12"/>
    </row>
    <row r="23" spans="1:57" ht="31.9" customHeight="1" x14ac:dyDescent="0.2">
      <c r="A23" s="20">
        <v>16</v>
      </c>
      <c r="B23" s="16" t="s">
        <v>51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26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f>1+1+7</f>
        <v>9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/>
      <c r="AP23" s="45">
        <v>7</v>
      </c>
      <c r="AQ23" s="43">
        <v>0.6</v>
      </c>
      <c r="AR23" s="44"/>
      <c r="AS23" s="44">
        <v>0.15</v>
      </c>
      <c r="AT23" s="44"/>
      <c r="AU23" s="45">
        <v>3</v>
      </c>
      <c r="AV23" s="9">
        <v>3</v>
      </c>
      <c r="AW23" s="10">
        <v>3</v>
      </c>
      <c r="AX23" s="10">
        <v>3</v>
      </c>
      <c r="AY23" s="10"/>
      <c r="AZ23" s="11"/>
      <c r="BA23" s="9">
        <f>7+5</f>
        <v>12</v>
      </c>
      <c r="BB23" s="10"/>
      <c r="BC23" s="11">
        <v>30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20</v>
      </c>
      <c r="X24" s="10"/>
      <c r="Y24" s="10"/>
      <c r="Z24" s="10"/>
      <c r="AA24" s="11"/>
      <c r="AB24" s="43"/>
      <c r="AC24" s="44"/>
      <c r="AD24" s="44"/>
      <c r="AE24" s="44"/>
      <c r="AF24" s="45">
        <v>1</v>
      </c>
      <c r="AG24" s="9">
        <f>1+1+7</f>
        <v>9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/>
      <c r="AP24" s="45">
        <v>7</v>
      </c>
      <c r="AQ24" s="43">
        <v>0.5</v>
      </c>
      <c r="AR24" s="44"/>
      <c r="AS24" s="44">
        <f>3/20</f>
        <v>0.15</v>
      </c>
      <c r="AT24" s="44"/>
      <c r="AU24" s="45">
        <v>2.5</v>
      </c>
      <c r="AV24" s="9">
        <v>3</v>
      </c>
      <c r="AW24" s="10">
        <v>3</v>
      </c>
      <c r="AX24" s="10">
        <v>3</v>
      </c>
      <c r="AY24" s="10"/>
      <c r="AZ24" s="11"/>
      <c r="BA24" s="9">
        <f>6+5</f>
        <v>11</v>
      </c>
      <c r="BB24" s="10"/>
      <c r="BC24" s="11">
        <v>24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24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/>
      <c r="AG25" s="9">
        <f>1+1+5</f>
        <v>7</v>
      </c>
      <c r="AH25" s="10"/>
      <c r="AI25" s="10"/>
      <c r="AJ25" s="10"/>
      <c r="AK25" s="11"/>
      <c r="AL25" s="43">
        <v>2</v>
      </c>
      <c r="AM25" s="44"/>
      <c r="AN25" s="44">
        <v>1</v>
      </c>
      <c r="AO25" s="44">
        <v>1</v>
      </c>
      <c r="AP25" s="45">
        <v>5</v>
      </c>
      <c r="AQ25" s="43"/>
      <c r="AR25" s="44"/>
      <c r="AS25" s="44">
        <v>0.15</v>
      </c>
      <c r="AT25" s="44">
        <v>0.4</v>
      </c>
      <c r="AU25" s="45">
        <v>2</v>
      </c>
      <c r="AV25" s="9">
        <v>3</v>
      </c>
      <c r="AW25" s="10">
        <v>3</v>
      </c>
      <c r="AX25" s="10">
        <v>3</v>
      </c>
      <c r="AY25" s="10"/>
      <c r="AZ25" s="11"/>
      <c r="BA25" s="9">
        <v>5</v>
      </c>
      <c r="BB25" s="10"/>
      <c r="BC25" s="11">
        <f>4+20</f>
        <v>24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27</v>
      </c>
      <c r="X26" s="53"/>
      <c r="Y26" s="53"/>
      <c r="Z26" s="53"/>
      <c r="AA26" s="54"/>
      <c r="AB26" s="58"/>
      <c r="AC26" s="59"/>
      <c r="AD26" s="59"/>
      <c r="AE26" s="59"/>
      <c r="AF26" s="48"/>
      <c r="AG26" s="52">
        <f>1+1+1+5</f>
        <v>8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>
        <v>1</v>
      </c>
      <c r="AP26" s="48">
        <v>5</v>
      </c>
      <c r="AQ26" s="58">
        <v>0.5</v>
      </c>
      <c r="AR26" s="59"/>
      <c r="AS26" s="59">
        <v>0.15</v>
      </c>
      <c r="AT26" s="59">
        <v>0.5</v>
      </c>
      <c r="AU26" s="48">
        <v>2</v>
      </c>
      <c r="AV26" s="9">
        <v>3</v>
      </c>
      <c r="AW26" s="10">
        <v>3</v>
      </c>
      <c r="AX26" s="10">
        <v>3</v>
      </c>
      <c r="AY26" s="53"/>
      <c r="AZ26" s="54"/>
      <c r="BA26" s="52">
        <f>6+5</f>
        <v>11</v>
      </c>
      <c r="BB26" s="53"/>
      <c r="BC26" s="54">
        <f>5+20</f>
        <v>25</v>
      </c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28</v>
      </c>
      <c r="X27" s="53"/>
      <c r="Y27" s="53"/>
      <c r="Z27" s="53"/>
      <c r="AA27" s="54"/>
      <c r="AB27" s="67">
        <v>1</v>
      </c>
      <c r="AC27" s="68"/>
      <c r="AD27" s="68"/>
      <c r="AE27" s="68">
        <v>1</v>
      </c>
      <c r="AF27" s="69"/>
      <c r="AG27" s="52">
        <f>1+1+1</f>
        <v>3</v>
      </c>
      <c r="AH27" s="53"/>
      <c r="AI27" s="53"/>
      <c r="AJ27" s="53"/>
      <c r="AK27" s="54"/>
      <c r="AL27" s="67">
        <v>2</v>
      </c>
      <c r="AM27" s="68"/>
      <c r="AN27" s="68">
        <v>1</v>
      </c>
      <c r="AO27" s="68">
        <v>1</v>
      </c>
      <c r="AP27" s="69">
        <v>1</v>
      </c>
      <c r="AQ27" s="58">
        <v>0.5</v>
      </c>
      <c r="AR27" s="59"/>
      <c r="AS27" s="59">
        <v>0.15</v>
      </c>
      <c r="AT27" s="59"/>
      <c r="AU27" s="48">
        <v>0.5</v>
      </c>
      <c r="AV27" s="9">
        <v>3</v>
      </c>
      <c r="AW27" s="10">
        <v>3</v>
      </c>
      <c r="AX27" s="10">
        <v>3</v>
      </c>
      <c r="AY27" s="53"/>
      <c r="AZ27" s="54"/>
      <c r="BA27" s="52">
        <f>6+5</f>
        <v>11</v>
      </c>
      <c r="BB27" s="53"/>
      <c r="BC27" s="54">
        <v>4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494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0</v>
      </c>
      <c r="AD28" s="65">
        <f t="shared" si="3"/>
        <v>1</v>
      </c>
      <c r="AE28" s="65">
        <f t="shared" si="3"/>
        <v>7</v>
      </c>
      <c r="AF28" s="66">
        <f t="shared" si="3"/>
        <v>1</v>
      </c>
      <c r="AG28" s="29">
        <f t="shared" si="3"/>
        <v>142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21</v>
      </c>
      <c r="AM28" s="65">
        <f t="shared" si="4"/>
        <v>0</v>
      </c>
      <c r="AN28" s="65">
        <f t="shared" si="4"/>
        <v>22</v>
      </c>
      <c r="AO28" s="65">
        <f t="shared" si="4"/>
        <v>14</v>
      </c>
      <c r="AP28" s="66">
        <f t="shared" si="4"/>
        <v>98</v>
      </c>
      <c r="AQ28" s="121">
        <f t="shared" si="4"/>
        <v>7.7666666666666666</v>
      </c>
      <c r="AR28" s="116">
        <f t="shared" si="4"/>
        <v>0</v>
      </c>
      <c r="AS28" s="116">
        <f t="shared" si="4"/>
        <v>4.2499999999999991</v>
      </c>
      <c r="AT28" s="116">
        <f t="shared" si="4"/>
        <v>4</v>
      </c>
      <c r="AU28" s="122">
        <f t="shared" si="4"/>
        <v>35</v>
      </c>
      <c r="AV28" s="29">
        <f t="shared" si="4"/>
        <v>60</v>
      </c>
      <c r="AW28" s="30">
        <f t="shared" si="4"/>
        <v>60</v>
      </c>
      <c r="AX28" s="30">
        <f t="shared" si="4"/>
        <v>60</v>
      </c>
      <c r="AY28" s="30">
        <f t="shared" si="4"/>
        <v>0</v>
      </c>
      <c r="AZ28" s="31">
        <f t="shared" si="4"/>
        <v>0</v>
      </c>
      <c r="BA28" s="46">
        <f t="shared" si="4"/>
        <v>228</v>
      </c>
      <c r="BB28" s="47">
        <f t="shared" si="4"/>
        <v>0</v>
      </c>
      <c r="BC28" s="49">
        <f t="shared" si="4"/>
        <v>384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3"/>
  <sheetViews>
    <sheetView zoomScale="90" zoomScaleNormal="90" workbookViewId="0">
      <pane xSplit="2" ySplit="7" topLeftCell="AW8" activePane="bottomRight" state="frozen"/>
      <selection activeCell="C3" sqref="C3"/>
      <selection pane="topRight" activeCell="C3" sqref="C3"/>
      <selection pane="bottomLeft" activeCell="C3" sqref="C3"/>
      <selection pane="bottomRight" activeCell="BD8" sqref="BD8:BD9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7.5703125" style="28" bestFit="1" customWidth="1"/>
    <col min="45" max="45" width="13" style="28" bestFit="1" customWidth="1"/>
    <col min="46" max="46" width="8.85546875" style="28" customWidth="1"/>
    <col min="47" max="47" width="11.1406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2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15</v>
      </c>
      <c r="X8" s="7"/>
      <c r="Y8" s="7"/>
      <c r="Z8" s="7"/>
      <c r="AA8" s="8"/>
      <c r="AB8" s="40"/>
      <c r="AC8" s="41"/>
      <c r="AD8" s="41"/>
      <c r="AE8" s="41"/>
      <c r="AF8" s="42"/>
      <c r="AG8" s="6">
        <f>3+2+3</f>
        <v>8</v>
      </c>
      <c r="AH8" s="7"/>
      <c r="AI8" s="7"/>
      <c r="AJ8" s="7"/>
      <c r="AK8" s="8"/>
      <c r="AL8" s="40">
        <v>3</v>
      </c>
      <c r="AM8" s="41"/>
      <c r="AN8" s="41"/>
      <c r="AO8" s="41">
        <v>2</v>
      </c>
      <c r="AP8" s="42">
        <v>3</v>
      </c>
      <c r="AQ8" s="108">
        <f>12/12</f>
        <v>1</v>
      </c>
      <c r="AR8" s="109"/>
      <c r="AS8" s="109"/>
      <c r="AT8" s="109">
        <v>1</v>
      </c>
      <c r="AU8" s="110">
        <v>1</v>
      </c>
      <c r="AV8" s="6">
        <v>5</v>
      </c>
      <c r="AW8" s="7">
        <v>5</v>
      </c>
      <c r="AX8" s="7">
        <v>5</v>
      </c>
      <c r="AY8" s="7"/>
      <c r="AZ8" s="8"/>
      <c r="BA8" s="6">
        <v>12</v>
      </c>
      <c r="BB8" s="7"/>
      <c r="BC8" s="8">
        <f>10+10</f>
        <v>20</v>
      </c>
      <c r="BD8" s="174" t="s">
        <v>74</v>
      </c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22</v>
      </c>
      <c r="X9" s="10"/>
      <c r="Y9" s="10"/>
      <c r="Z9" s="10"/>
      <c r="AA9" s="11"/>
      <c r="AB9" s="43"/>
      <c r="AC9" s="44"/>
      <c r="AD9" s="44">
        <v>1</v>
      </c>
      <c r="AE9" s="44"/>
      <c r="AF9" s="45"/>
      <c r="AG9" s="9">
        <f>1+1+4</f>
        <v>6</v>
      </c>
      <c r="AH9" s="10"/>
      <c r="AI9" s="10"/>
      <c r="AJ9" s="10"/>
      <c r="AK9" s="11"/>
      <c r="AL9" s="43">
        <v>1</v>
      </c>
      <c r="AM9" s="44"/>
      <c r="AN9" s="44">
        <v>2</v>
      </c>
      <c r="AO9" s="44"/>
      <c r="AP9" s="45">
        <v>4</v>
      </c>
      <c r="AQ9" s="107">
        <f>4/12</f>
        <v>0.33333333333333331</v>
      </c>
      <c r="AR9" s="111"/>
      <c r="AS9" s="111">
        <f>5/20</f>
        <v>0.25</v>
      </c>
      <c r="AT9" s="111"/>
      <c r="AU9" s="112">
        <v>1.5</v>
      </c>
      <c r="AV9" s="6">
        <v>5</v>
      </c>
      <c r="AW9" s="7">
        <v>5</v>
      </c>
      <c r="AX9" s="7">
        <v>5</v>
      </c>
      <c r="AY9" s="10"/>
      <c r="AZ9" s="11"/>
      <c r="BA9" s="9">
        <f>4+5</f>
        <v>9</v>
      </c>
      <c r="BB9" s="10"/>
      <c r="BC9" s="11">
        <f>10+4</f>
        <v>14</v>
      </c>
      <c r="BD9" s="167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18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f>1+1+1+2</f>
        <v>5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>
        <v>1</v>
      </c>
      <c r="AP10" s="45">
        <v>2</v>
      </c>
      <c r="AQ10" s="107">
        <f>4/12</f>
        <v>0.33333333333333331</v>
      </c>
      <c r="AR10" s="111"/>
      <c r="AS10" s="111">
        <v>0.15</v>
      </c>
      <c r="AT10" s="111">
        <v>0.3</v>
      </c>
      <c r="AU10" s="112">
        <v>1</v>
      </c>
      <c r="AV10" s="6">
        <v>5</v>
      </c>
      <c r="AW10" s="7">
        <v>5</v>
      </c>
      <c r="AX10" s="7">
        <v>5</v>
      </c>
      <c r="AY10" s="10"/>
      <c r="AZ10" s="11"/>
      <c r="BA10" s="9">
        <f>4+5</f>
        <v>9</v>
      </c>
      <c r="BB10" s="10"/>
      <c r="BC10" s="11">
        <f>3+10</f>
        <v>13</v>
      </c>
      <c r="BD10" s="165" t="s">
        <v>72</v>
      </c>
      <c r="BE10" s="171" t="s">
        <v>73</v>
      </c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20</v>
      </c>
      <c r="X11" s="10"/>
      <c r="Y11" s="10"/>
      <c r="Z11" s="10"/>
      <c r="AA11" s="11"/>
      <c r="AB11" s="43">
        <v>1</v>
      </c>
      <c r="AC11" s="44"/>
      <c r="AD11" s="44"/>
      <c r="AE11" s="44">
        <v>1</v>
      </c>
      <c r="AF11" s="45"/>
      <c r="AG11" s="9">
        <f>1+5</f>
        <v>6</v>
      </c>
      <c r="AH11" s="10"/>
      <c r="AI11" s="10"/>
      <c r="AJ11" s="10"/>
      <c r="AK11" s="11"/>
      <c r="AL11" s="43"/>
      <c r="AM11" s="44"/>
      <c r="AN11" s="44"/>
      <c r="AO11" s="44">
        <v>2</v>
      </c>
      <c r="AP11" s="45">
        <v>5</v>
      </c>
      <c r="AQ11" s="107"/>
      <c r="AR11" s="111"/>
      <c r="AS11" s="111"/>
      <c r="AT11" s="111">
        <v>0.5</v>
      </c>
      <c r="AU11" s="112">
        <v>2</v>
      </c>
      <c r="AV11" s="6">
        <v>5</v>
      </c>
      <c r="AW11" s="7">
        <v>5</v>
      </c>
      <c r="AX11" s="7">
        <v>5</v>
      </c>
      <c r="AY11" s="10"/>
      <c r="AZ11" s="11"/>
      <c r="BA11" s="9"/>
      <c r="BB11" s="10"/>
      <c r="BC11" s="11">
        <f>5+20</f>
        <v>25</v>
      </c>
      <c r="BD11" s="166"/>
      <c r="BE11" s="17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19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f>1+1+6</f>
        <v>8</v>
      </c>
      <c r="AH12" s="10"/>
      <c r="AI12" s="10"/>
      <c r="AJ12" s="10"/>
      <c r="AK12" s="11"/>
      <c r="AL12" s="43">
        <v>1</v>
      </c>
      <c r="AM12" s="44"/>
      <c r="AN12" s="44">
        <v>1</v>
      </c>
      <c r="AO12" s="44"/>
      <c r="AP12" s="45">
        <v>6</v>
      </c>
      <c r="AQ12" s="107">
        <f>6/12</f>
        <v>0.5</v>
      </c>
      <c r="AR12" s="111"/>
      <c r="AS12" s="111">
        <v>0.15</v>
      </c>
      <c r="AT12" s="111"/>
      <c r="AU12" s="112">
        <v>2</v>
      </c>
      <c r="AV12" s="6">
        <v>5</v>
      </c>
      <c r="AW12" s="7">
        <v>5</v>
      </c>
      <c r="AX12" s="7">
        <v>5</v>
      </c>
      <c r="AY12" s="10"/>
      <c r="AZ12" s="11"/>
      <c r="BA12" s="9">
        <f>6+5</f>
        <v>11</v>
      </c>
      <c r="BB12" s="10"/>
      <c r="BC12" s="11">
        <v>20</v>
      </c>
      <c r="BD12" s="167"/>
      <c r="BE12" s="173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15</v>
      </c>
      <c r="X13" s="10"/>
      <c r="Y13" s="10"/>
      <c r="Z13" s="10"/>
      <c r="AA13" s="11"/>
      <c r="AB13" s="43"/>
      <c r="AC13" s="44"/>
      <c r="AD13" s="44">
        <v>1</v>
      </c>
      <c r="AE13" s="44">
        <v>1</v>
      </c>
      <c r="AF13" s="45"/>
      <c r="AG13" s="9">
        <f>1+1+1+2</f>
        <v>5</v>
      </c>
      <c r="AH13" s="10"/>
      <c r="AI13" s="10"/>
      <c r="AJ13" s="10"/>
      <c r="AK13" s="11"/>
      <c r="AL13" s="43">
        <v>1</v>
      </c>
      <c r="AM13" s="44"/>
      <c r="AN13" s="44">
        <v>2</v>
      </c>
      <c r="AO13" s="44">
        <v>2</v>
      </c>
      <c r="AP13" s="45">
        <v>2</v>
      </c>
      <c r="AQ13" s="107">
        <f>4/12</f>
        <v>0.33333333333333331</v>
      </c>
      <c r="AR13" s="111"/>
      <c r="AS13" s="111">
        <v>0.15</v>
      </c>
      <c r="AT13" s="111">
        <v>0.4</v>
      </c>
      <c r="AU13" s="112">
        <v>1</v>
      </c>
      <c r="AV13" s="6">
        <v>5</v>
      </c>
      <c r="AW13" s="7">
        <v>5</v>
      </c>
      <c r="AX13" s="7">
        <v>5</v>
      </c>
      <c r="AY13" s="10"/>
      <c r="AZ13" s="11"/>
      <c r="BA13" s="9">
        <f>4+5</f>
        <v>9</v>
      </c>
      <c r="BB13" s="10"/>
      <c r="BC13" s="11">
        <f>4+10</f>
        <v>14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15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1+7</f>
        <v>8</v>
      </c>
      <c r="AH14" s="10"/>
      <c r="AI14" s="10"/>
      <c r="AJ14" s="10"/>
      <c r="AK14" s="11"/>
      <c r="AL14" s="43">
        <v>1</v>
      </c>
      <c r="AM14" s="44"/>
      <c r="AN14" s="44"/>
      <c r="AO14" s="44"/>
      <c r="AP14" s="45">
        <v>7</v>
      </c>
      <c r="AQ14" s="107">
        <f>5/12</f>
        <v>0.41666666666666669</v>
      </c>
      <c r="AR14" s="111"/>
      <c r="AS14" s="111"/>
      <c r="AT14" s="111"/>
      <c r="AU14" s="112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5</v>
      </c>
      <c r="BB14" s="10"/>
      <c r="BC14" s="11">
        <v>20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10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f>2+1+3+5</f>
        <v>11</v>
      </c>
      <c r="AH15" s="10"/>
      <c r="AI15" s="10"/>
      <c r="AJ15" s="10"/>
      <c r="AK15" s="11"/>
      <c r="AL15" s="43">
        <v>2</v>
      </c>
      <c r="AM15" s="44"/>
      <c r="AN15" s="44">
        <v>1</v>
      </c>
      <c r="AO15" s="44">
        <v>4</v>
      </c>
      <c r="AP15" s="45">
        <v>5</v>
      </c>
      <c r="AQ15" s="107">
        <f>12/12</f>
        <v>1</v>
      </c>
      <c r="AR15" s="111"/>
      <c r="AS15" s="111">
        <v>0.15</v>
      </c>
      <c r="AT15" s="111">
        <v>1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>
        <f>12+5</f>
        <v>17</v>
      </c>
      <c r="BB15" s="10"/>
      <c r="BC15" s="11">
        <f>10+20</f>
        <v>30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f>1+6</f>
        <v>7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6</v>
      </c>
      <c r="AQ16" s="107"/>
      <c r="AR16" s="111"/>
      <c r="AS16" s="111">
        <v>0.15</v>
      </c>
      <c r="AT16" s="111"/>
      <c r="AU16" s="112">
        <v>2.5</v>
      </c>
      <c r="AV16" s="6">
        <v>5</v>
      </c>
      <c r="AW16" s="7">
        <v>5</v>
      </c>
      <c r="AX16" s="7">
        <v>5</v>
      </c>
      <c r="AY16" s="10"/>
      <c r="AZ16" s="11"/>
      <c r="BA16" s="9">
        <v>5</v>
      </c>
      <c r="BB16" s="10"/>
      <c r="BC16" s="11">
        <v>24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17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2+1+7</f>
        <v>10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/>
      <c r="AP17" s="45">
        <v>7</v>
      </c>
      <c r="AQ17" s="107">
        <f>12/12</f>
        <v>1</v>
      </c>
      <c r="AR17" s="111"/>
      <c r="AS17" s="111">
        <v>0.3</v>
      </c>
      <c r="AT17" s="111"/>
      <c r="AU17" s="112">
        <v>2</v>
      </c>
      <c r="AV17" s="6">
        <v>5</v>
      </c>
      <c r="AW17" s="7">
        <v>5</v>
      </c>
      <c r="AX17" s="7">
        <v>5</v>
      </c>
      <c r="AY17" s="10"/>
      <c r="AZ17" s="11"/>
      <c r="BA17" s="9">
        <f>12+10</f>
        <v>22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18</v>
      </c>
      <c r="X18" s="10"/>
      <c r="Y18" s="10"/>
      <c r="Z18" s="10"/>
      <c r="AA18" s="11"/>
      <c r="AB18" s="43"/>
      <c r="AC18" s="44"/>
      <c r="AD18" s="44"/>
      <c r="AE18" s="44">
        <v>2</v>
      </c>
      <c r="AF18" s="45"/>
      <c r="AG18" s="9">
        <f>1+3+10</f>
        <v>14</v>
      </c>
      <c r="AH18" s="10"/>
      <c r="AI18" s="10"/>
      <c r="AJ18" s="10"/>
      <c r="AK18" s="11"/>
      <c r="AL18" s="43">
        <v>1</v>
      </c>
      <c r="AM18" s="44"/>
      <c r="AN18" s="44"/>
      <c r="AO18" s="44">
        <v>5</v>
      </c>
      <c r="AP18" s="45">
        <v>10</v>
      </c>
      <c r="AQ18" s="107">
        <f>12/12</f>
        <v>1</v>
      </c>
      <c r="AR18" s="111"/>
      <c r="AS18" s="111"/>
      <c r="AT18" s="111">
        <v>1</v>
      </c>
      <c r="AU18" s="112">
        <v>4</v>
      </c>
      <c r="AV18" s="6">
        <v>5</v>
      </c>
      <c r="AW18" s="7">
        <v>5</v>
      </c>
      <c r="AX18" s="7">
        <v>5</v>
      </c>
      <c r="AY18" s="10"/>
      <c r="AZ18" s="11"/>
      <c r="BA18" s="9">
        <v>12</v>
      </c>
      <c r="BB18" s="10"/>
      <c r="BC18" s="11">
        <f>10+40</f>
        <v>50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20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1+4</f>
        <v>5</v>
      </c>
      <c r="AH19" s="10"/>
      <c r="AI19" s="10"/>
      <c r="AJ19" s="10"/>
      <c r="AK19" s="11"/>
      <c r="AL19" s="43"/>
      <c r="AM19" s="44"/>
      <c r="AN19" s="44"/>
      <c r="AO19" s="44">
        <v>1</v>
      </c>
      <c r="AP19" s="45">
        <v>4</v>
      </c>
      <c r="AQ19" s="107"/>
      <c r="AR19" s="111"/>
      <c r="AS19" s="111"/>
      <c r="AT19" s="111">
        <v>0.6</v>
      </c>
      <c r="AU19" s="112">
        <v>2</v>
      </c>
      <c r="AV19" s="6">
        <v>5</v>
      </c>
      <c r="AW19" s="7">
        <v>5</v>
      </c>
      <c r="AX19" s="7">
        <v>5</v>
      </c>
      <c r="AY19" s="10"/>
      <c r="AZ19" s="11"/>
      <c r="BA19" s="9"/>
      <c r="BB19" s="10"/>
      <c r="BC19" s="11">
        <f>6+20</f>
        <v>26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21</v>
      </c>
      <c r="X20" s="10"/>
      <c r="Y20" s="10"/>
      <c r="Z20" s="10"/>
      <c r="AA20" s="11"/>
      <c r="AB20" s="43"/>
      <c r="AC20" s="44"/>
      <c r="AD20" s="44"/>
      <c r="AE20" s="44">
        <v>1</v>
      </c>
      <c r="AF20" s="45"/>
      <c r="AG20" s="9">
        <f>1+1+3</f>
        <v>5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1</v>
      </c>
      <c r="AP20" s="45">
        <v>3</v>
      </c>
      <c r="AQ20" s="107">
        <f>3/12</f>
        <v>0.25</v>
      </c>
      <c r="AR20" s="111"/>
      <c r="AS20" s="111">
        <v>0.15</v>
      </c>
      <c r="AT20" s="111"/>
      <c r="AU20" s="112">
        <v>1</v>
      </c>
      <c r="AV20" s="6">
        <v>5</v>
      </c>
      <c r="AW20" s="7">
        <v>5</v>
      </c>
      <c r="AX20" s="7">
        <v>5</v>
      </c>
      <c r="AY20" s="10"/>
      <c r="AZ20" s="11"/>
      <c r="BA20" s="9">
        <f>3+5</f>
        <v>8</v>
      </c>
      <c r="BB20" s="10"/>
      <c r="BC20" s="11">
        <v>20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17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/>
      <c r="AG21" s="9">
        <f>1+1+1+4</f>
        <v>7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>
        <v>1</v>
      </c>
      <c r="AP21" s="45">
        <v>4</v>
      </c>
      <c r="AQ21" s="107">
        <f>10/12</f>
        <v>0.83333333333333337</v>
      </c>
      <c r="AR21" s="111"/>
      <c r="AS21" s="111">
        <v>0.3</v>
      </c>
      <c r="AT21" s="111">
        <v>0.5</v>
      </c>
      <c r="AU21" s="112">
        <v>1</v>
      </c>
      <c r="AV21" s="6">
        <v>5</v>
      </c>
      <c r="AW21" s="7">
        <v>5</v>
      </c>
      <c r="AX21" s="7">
        <v>5</v>
      </c>
      <c r="AY21" s="10"/>
      <c r="AZ21" s="11"/>
      <c r="BA21" s="9">
        <f>10+10</f>
        <v>20</v>
      </c>
      <c r="BB21" s="10"/>
      <c r="BC21" s="11">
        <f>5+10</f>
        <v>15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18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f>2+1+7</f>
        <v>10</v>
      </c>
      <c r="AH22" s="10"/>
      <c r="AI22" s="10"/>
      <c r="AJ22" s="10"/>
      <c r="AK22" s="11"/>
      <c r="AL22" s="43">
        <v>2</v>
      </c>
      <c r="AM22" s="44"/>
      <c r="AN22" s="44"/>
      <c r="AO22" s="44">
        <v>1</v>
      </c>
      <c r="AP22" s="45">
        <v>7</v>
      </c>
      <c r="AQ22" s="107">
        <f>12/12</f>
        <v>1</v>
      </c>
      <c r="AR22" s="111"/>
      <c r="AS22" s="111"/>
      <c r="AT22" s="111">
        <v>0.5</v>
      </c>
      <c r="AU22" s="112">
        <v>3</v>
      </c>
      <c r="AV22" s="6">
        <v>5</v>
      </c>
      <c r="AW22" s="7">
        <v>5</v>
      </c>
      <c r="AX22" s="7">
        <v>5</v>
      </c>
      <c r="AY22" s="10"/>
      <c r="AZ22" s="11"/>
      <c r="BA22" s="9">
        <v>10</v>
      </c>
      <c r="BB22" s="10"/>
      <c r="BC22" s="11">
        <f>5+30</f>
        <v>35</v>
      </c>
      <c r="BD22" s="18"/>
      <c r="BE22" s="12"/>
    </row>
    <row r="23" spans="1:57" ht="31.9" customHeight="1" x14ac:dyDescent="0.2">
      <c r="A23" s="20">
        <v>16</v>
      </c>
      <c r="B23" s="16" t="s">
        <v>71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/>
      <c r="AG23" s="9">
        <f>1+1+1+4</f>
        <v>7</v>
      </c>
      <c r="AH23" s="10"/>
      <c r="AI23" s="10"/>
      <c r="AJ23" s="10"/>
      <c r="AK23" s="11"/>
      <c r="AL23" s="43">
        <v>1</v>
      </c>
      <c r="AM23" s="44"/>
      <c r="AN23" s="44">
        <v>1</v>
      </c>
      <c r="AO23" s="44">
        <v>2</v>
      </c>
      <c r="AP23" s="45">
        <v>4</v>
      </c>
      <c r="AQ23" s="107">
        <f>6/12</f>
        <v>0.5</v>
      </c>
      <c r="AR23" s="111"/>
      <c r="AS23" s="111">
        <v>0.15</v>
      </c>
      <c r="AT23" s="111">
        <v>0.5</v>
      </c>
      <c r="AU23" s="112">
        <v>2</v>
      </c>
      <c r="AV23" s="6">
        <v>5</v>
      </c>
      <c r="AW23" s="7">
        <v>5</v>
      </c>
      <c r="AX23" s="7">
        <v>5</v>
      </c>
      <c r="AY23" s="10"/>
      <c r="AZ23" s="11"/>
      <c r="BA23" s="9">
        <f>6+5</f>
        <v>11</v>
      </c>
      <c r="BB23" s="10"/>
      <c r="BC23" s="11">
        <f>5+20</f>
        <v>25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20</v>
      </c>
      <c r="X24" s="10"/>
      <c r="Y24" s="10"/>
      <c r="Z24" s="10"/>
      <c r="AA24" s="11"/>
      <c r="AB24" s="43">
        <v>1</v>
      </c>
      <c r="AC24" s="44"/>
      <c r="AD24" s="44"/>
      <c r="AE24" s="44"/>
      <c r="AF24" s="45"/>
      <c r="AG24" s="9">
        <f>1+1+2</f>
        <v>4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/>
      <c r="AP24" s="45">
        <v>2</v>
      </c>
      <c r="AQ24" s="107">
        <f>12/12</f>
        <v>1</v>
      </c>
      <c r="AR24" s="111"/>
      <c r="AS24" s="111">
        <v>0.15</v>
      </c>
      <c r="AT24" s="111"/>
      <c r="AU24" s="112">
        <v>1</v>
      </c>
      <c r="AV24" s="6">
        <v>5</v>
      </c>
      <c r="AW24" s="7">
        <v>5</v>
      </c>
      <c r="AX24" s="7">
        <v>5</v>
      </c>
      <c r="AY24" s="10"/>
      <c r="AZ24" s="11"/>
      <c r="BA24" s="9">
        <f>12+5</f>
        <v>17</v>
      </c>
      <c r="BB24" s="10"/>
      <c r="BC24" s="11">
        <v>10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21</v>
      </c>
      <c r="X25" s="10"/>
      <c r="Y25" s="10"/>
      <c r="Z25" s="10"/>
      <c r="AA25" s="11"/>
      <c r="AB25" s="43"/>
      <c r="AC25" s="44"/>
      <c r="AD25" s="44"/>
      <c r="AE25" s="44"/>
      <c r="AF25" s="45"/>
      <c r="AG25" s="9">
        <f>1+1+3</f>
        <v>5</v>
      </c>
      <c r="AH25" s="10"/>
      <c r="AI25" s="10"/>
      <c r="AJ25" s="10"/>
      <c r="AK25" s="11"/>
      <c r="AL25" s="43">
        <v>1</v>
      </c>
      <c r="AM25" s="44"/>
      <c r="AN25" s="44"/>
      <c r="AO25" s="44">
        <v>1</v>
      </c>
      <c r="AP25" s="45">
        <v>3</v>
      </c>
      <c r="AQ25" s="107">
        <f>6/12</f>
        <v>0.5</v>
      </c>
      <c r="AR25" s="111"/>
      <c r="AS25" s="111"/>
      <c r="AT25" s="111">
        <v>0.8</v>
      </c>
      <c r="AU25" s="112">
        <v>1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f>8+10</f>
        <v>18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25</v>
      </c>
      <c r="X26" s="53"/>
      <c r="Y26" s="53"/>
      <c r="Z26" s="53"/>
      <c r="AA26" s="54"/>
      <c r="AB26" s="58"/>
      <c r="AC26" s="59"/>
      <c r="AD26" s="59"/>
      <c r="AE26" s="59">
        <v>1</v>
      </c>
      <c r="AF26" s="48"/>
      <c r="AG26" s="52">
        <f>1+1+1+2</f>
        <v>5</v>
      </c>
      <c r="AH26" s="53"/>
      <c r="AI26" s="53"/>
      <c r="AJ26" s="53"/>
      <c r="AK26" s="54"/>
      <c r="AL26" s="58">
        <v>1</v>
      </c>
      <c r="AM26" s="59"/>
      <c r="AN26" s="59">
        <v>1</v>
      </c>
      <c r="AO26" s="59">
        <v>2</v>
      </c>
      <c r="AP26" s="48">
        <v>2</v>
      </c>
      <c r="AQ26" s="113">
        <f>6/12</f>
        <v>0.5</v>
      </c>
      <c r="AR26" s="114"/>
      <c r="AS26" s="114">
        <f>3/20</f>
        <v>0.15</v>
      </c>
      <c r="AT26" s="114">
        <v>0.4</v>
      </c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>
        <f>6+5</f>
        <v>11</v>
      </c>
      <c r="BB26" s="53"/>
      <c r="BC26" s="54">
        <f>4+10</f>
        <v>14</v>
      </c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23</v>
      </c>
      <c r="X27" s="53"/>
      <c r="Y27" s="53"/>
      <c r="Z27" s="53"/>
      <c r="AA27" s="54"/>
      <c r="AB27" s="67"/>
      <c r="AC27" s="68"/>
      <c r="AD27" s="68"/>
      <c r="AE27" s="68">
        <v>2</v>
      </c>
      <c r="AF27" s="69"/>
      <c r="AG27" s="9">
        <f>1+2+1+7</f>
        <v>11</v>
      </c>
      <c r="AH27" s="53"/>
      <c r="AI27" s="53"/>
      <c r="AJ27" s="53"/>
      <c r="AK27" s="54"/>
      <c r="AL27" s="67">
        <v>1</v>
      </c>
      <c r="AM27" s="68"/>
      <c r="AN27" s="68">
        <v>2</v>
      </c>
      <c r="AO27" s="68">
        <v>3</v>
      </c>
      <c r="AP27" s="69">
        <v>7</v>
      </c>
      <c r="AQ27" s="113">
        <f>6/12</f>
        <v>0.5</v>
      </c>
      <c r="AR27" s="114"/>
      <c r="AS27" s="114">
        <f>6/20</f>
        <v>0.3</v>
      </c>
      <c r="AT27" s="114">
        <v>0.5</v>
      </c>
      <c r="AU27" s="115">
        <v>3</v>
      </c>
      <c r="AV27" s="6">
        <v>5</v>
      </c>
      <c r="AW27" s="7">
        <v>5</v>
      </c>
      <c r="AX27" s="7">
        <v>5</v>
      </c>
      <c r="AY27" s="53"/>
      <c r="AZ27" s="54"/>
      <c r="BA27" s="52">
        <f>6+10</f>
        <v>16</v>
      </c>
      <c r="BB27" s="53"/>
      <c r="BC27" s="54">
        <f>5+30</f>
        <v>35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371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4</v>
      </c>
      <c r="AC28" s="65">
        <f t="shared" si="3"/>
        <v>0</v>
      </c>
      <c r="AD28" s="65">
        <f t="shared" si="3"/>
        <v>2</v>
      </c>
      <c r="AE28" s="65">
        <f t="shared" si="3"/>
        <v>10</v>
      </c>
      <c r="AF28" s="66">
        <f t="shared" si="3"/>
        <v>0</v>
      </c>
      <c r="AG28" s="29">
        <f t="shared" si="3"/>
        <v>147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24</v>
      </c>
      <c r="AM28" s="65">
        <f t="shared" si="4"/>
        <v>0</v>
      </c>
      <c r="AN28" s="65">
        <f t="shared" si="4"/>
        <v>16</v>
      </c>
      <c r="AO28" s="65">
        <f t="shared" si="4"/>
        <v>28</v>
      </c>
      <c r="AP28" s="66">
        <f t="shared" si="4"/>
        <v>93</v>
      </c>
      <c r="AQ28" s="121">
        <f t="shared" si="4"/>
        <v>11</v>
      </c>
      <c r="AR28" s="116">
        <f t="shared" si="4"/>
        <v>0</v>
      </c>
      <c r="AS28" s="116">
        <f t="shared" si="4"/>
        <v>2.4999999999999996</v>
      </c>
      <c r="AT28" s="116">
        <f t="shared" si="4"/>
        <v>8</v>
      </c>
      <c r="AU28" s="122">
        <f t="shared" si="4"/>
        <v>36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210</v>
      </c>
      <c r="BB28" s="47">
        <f t="shared" si="4"/>
        <v>0</v>
      </c>
      <c r="BC28" s="49">
        <f t="shared" si="4"/>
        <v>448</v>
      </c>
      <c r="BD28" s="19">
        <f t="shared" si="4"/>
        <v>0</v>
      </c>
      <c r="BE28" s="2">
        <f t="shared" si="4"/>
        <v>0</v>
      </c>
    </row>
    <row r="30" spans="1:57" x14ac:dyDescent="0.25">
      <c r="R30" s="120"/>
      <c r="S30" s="120"/>
      <c r="T30" s="120"/>
      <c r="U30" s="120"/>
      <c r="V30" s="120"/>
      <c r="AQ30" s="126"/>
      <c r="AR30" s="126"/>
      <c r="AS30" s="126"/>
      <c r="AT30" s="126"/>
      <c r="AU30" s="126"/>
    </row>
    <row r="31" spans="1:57" x14ac:dyDescent="0.25">
      <c r="AQ31" s="125"/>
      <c r="AR31" s="125"/>
      <c r="AS31" s="125"/>
      <c r="AT31" s="125"/>
      <c r="AU31" s="125"/>
    </row>
    <row r="32" spans="1:57" x14ac:dyDescent="0.25">
      <c r="AQ32" s="125"/>
      <c r="AR32" s="125"/>
      <c r="AS32" s="125"/>
      <c r="AT32" s="125"/>
      <c r="AU32" s="125"/>
    </row>
    <row r="33" spans="43:47" x14ac:dyDescent="0.25">
      <c r="AQ33" s="125"/>
      <c r="AR33" s="125"/>
      <c r="AS33" s="125"/>
      <c r="AT33" s="125"/>
      <c r="AU33" s="125"/>
    </row>
  </sheetData>
  <mergeCells count="21">
    <mergeCell ref="BE10:BE12"/>
    <mergeCell ref="BD8:BD9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0"/>
  <sheetViews>
    <sheetView tabSelected="1" zoomScale="90" zoomScaleNormal="90" workbookViewId="0">
      <pane xSplit="2" ySplit="7" topLeftCell="W20" activePane="bottomRight" state="frozen"/>
      <selection activeCell="C3" sqref="C3"/>
      <selection pane="topRight" activeCell="C3" sqref="C3"/>
      <selection pane="bottomLeft" activeCell="C3" sqref="C3"/>
      <selection pane="bottomRight" activeCell="Z32" sqref="Z32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10.7109375" style="28" customWidth="1"/>
    <col min="46" max="46" width="8.85546875" style="28" customWidth="1"/>
    <col min="47" max="47" width="11.425781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2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/>
      <c r="X8" s="7"/>
      <c r="Y8" s="7"/>
      <c r="Z8" s="7"/>
      <c r="AA8" s="8"/>
      <c r="AB8" s="40"/>
      <c r="AC8" s="41"/>
      <c r="AD8" s="41"/>
      <c r="AE8" s="41"/>
      <c r="AF8" s="42"/>
      <c r="AG8" s="6"/>
      <c r="AH8" s="7"/>
      <c r="AI8" s="7"/>
      <c r="AJ8" s="7"/>
      <c r="AK8" s="8"/>
      <c r="AL8" s="40"/>
      <c r="AM8" s="41"/>
      <c r="AN8" s="41"/>
      <c r="AO8" s="41"/>
      <c r="AP8" s="42"/>
      <c r="AQ8" s="108"/>
      <c r="AR8" s="109"/>
      <c r="AS8" s="109"/>
      <c r="AT8" s="109"/>
      <c r="AU8" s="110"/>
      <c r="AV8" s="6"/>
      <c r="AW8" s="7"/>
      <c r="AX8" s="7"/>
      <c r="AY8" s="7"/>
      <c r="AZ8" s="8"/>
      <c r="BA8" s="6"/>
      <c r="BB8" s="7"/>
      <c r="BC8" s="8"/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/>
      <c r="X9" s="10"/>
      <c r="Y9" s="10"/>
      <c r="Z9" s="10"/>
      <c r="AA9" s="11"/>
      <c r="AB9" s="43"/>
      <c r="AC9" s="44"/>
      <c r="AD9" s="44"/>
      <c r="AE9" s="44"/>
      <c r="AF9" s="45"/>
      <c r="AG9" s="9"/>
      <c r="AH9" s="10"/>
      <c r="AI9" s="10"/>
      <c r="AJ9" s="10"/>
      <c r="AK9" s="11"/>
      <c r="AL9" s="43"/>
      <c r="AM9" s="44"/>
      <c r="AN9" s="44"/>
      <c r="AO9" s="44"/>
      <c r="AP9" s="45"/>
      <c r="AQ9" s="107"/>
      <c r="AR9" s="111"/>
      <c r="AS9" s="111"/>
      <c r="AT9" s="111"/>
      <c r="AU9" s="112"/>
      <c r="AV9" s="6"/>
      <c r="AW9" s="7"/>
      <c r="AX9" s="7"/>
      <c r="AY9" s="10"/>
      <c r="AZ9" s="11"/>
      <c r="BA9" s="9"/>
      <c r="BB9" s="10"/>
      <c r="BC9" s="11"/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/>
      <c r="X10" s="10"/>
      <c r="Y10" s="10"/>
      <c r="Z10" s="10"/>
      <c r="AA10" s="11"/>
      <c r="AB10" s="43"/>
      <c r="AC10" s="44"/>
      <c r="AD10" s="44"/>
      <c r="AE10" s="44"/>
      <c r="AF10" s="45"/>
      <c r="AG10" s="9"/>
      <c r="AH10" s="10"/>
      <c r="AI10" s="10"/>
      <c r="AJ10" s="10"/>
      <c r="AK10" s="11"/>
      <c r="AL10" s="43"/>
      <c r="AM10" s="44"/>
      <c r="AN10" s="44"/>
      <c r="AO10" s="44"/>
      <c r="AP10" s="45"/>
      <c r="AQ10" s="107"/>
      <c r="AR10" s="111"/>
      <c r="AS10" s="111"/>
      <c r="AT10" s="111"/>
      <c r="AU10" s="112"/>
      <c r="AV10" s="6"/>
      <c r="AW10" s="7"/>
      <c r="AX10" s="7"/>
      <c r="AY10" s="10"/>
      <c r="AZ10" s="11"/>
      <c r="BA10" s="9"/>
      <c r="BB10" s="10"/>
      <c r="BC10" s="11"/>
      <c r="BD10" s="165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/>
      <c r="X11" s="10"/>
      <c r="Y11" s="10"/>
      <c r="Z11" s="10"/>
      <c r="AA11" s="11"/>
      <c r="AB11" s="43"/>
      <c r="AC11" s="44"/>
      <c r="AD11" s="44"/>
      <c r="AE11" s="44"/>
      <c r="AF11" s="45"/>
      <c r="AG11" s="9"/>
      <c r="AH11" s="10"/>
      <c r="AI11" s="10"/>
      <c r="AJ11" s="10"/>
      <c r="AK11" s="11"/>
      <c r="AL11" s="43"/>
      <c r="AM11" s="44"/>
      <c r="AN11" s="44"/>
      <c r="AO11" s="44"/>
      <c r="AP11" s="45"/>
      <c r="AQ11" s="107"/>
      <c r="AR11" s="111"/>
      <c r="AS11" s="111"/>
      <c r="AT11" s="111"/>
      <c r="AU11" s="112"/>
      <c r="AV11" s="6"/>
      <c r="AW11" s="7"/>
      <c r="AX11" s="7"/>
      <c r="AY11" s="10"/>
      <c r="AZ11" s="11"/>
      <c r="BA11" s="9"/>
      <c r="BB11" s="10"/>
      <c r="BC11" s="11"/>
      <c r="BD11" s="166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/>
      <c r="X12" s="10"/>
      <c r="Y12" s="10"/>
      <c r="Z12" s="10"/>
      <c r="AA12" s="11"/>
      <c r="AB12" s="43"/>
      <c r="AC12" s="44"/>
      <c r="AD12" s="44"/>
      <c r="AE12" s="44"/>
      <c r="AF12" s="45"/>
      <c r="AG12" s="9"/>
      <c r="AH12" s="10"/>
      <c r="AI12" s="10"/>
      <c r="AJ12" s="10"/>
      <c r="AK12" s="11"/>
      <c r="AL12" s="43"/>
      <c r="AM12" s="44"/>
      <c r="AN12" s="44"/>
      <c r="AO12" s="44"/>
      <c r="AP12" s="45"/>
      <c r="AQ12" s="107"/>
      <c r="AR12" s="111"/>
      <c r="AS12" s="111"/>
      <c r="AT12" s="111"/>
      <c r="AU12" s="112"/>
      <c r="AV12" s="6"/>
      <c r="AW12" s="7"/>
      <c r="AX12" s="7"/>
      <c r="AY12" s="10"/>
      <c r="AZ12" s="11"/>
      <c r="BA12" s="9"/>
      <c r="BB12" s="10"/>
      <c r="BC12" s="11"/>
      <c r="BD12" s="167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/>
      <c r="X13" s="10"/>
      <c r="Y13" s="10"/>
      <c r="Z13" s="10"/>
      <c r="AA13" s="11"/>
      <c r="AB13" s="43"/>
      <c r="AC13" s="44"/>
      <c r="AD13" s="44"/>
      <c r="AE13" s="44"/>
      <c r="AF13" s="45"/>
      <c r="AG13" s="9"/>
      <c r="AH13" s="10"/>
      <c r="AI13" s="10"/>
      <c r="AJ13" s="10"/>
      <c r="AK13" s="11"/>
      <c r="AL13" s="43"/>
      <c r="AM13" s="44"/>
      <c r="AN13" s="44"/>
      <c r="AO13" s="44"/>
      <c r="AP13" s="45"/>
      <c r="AQ13" s="107"/>
      <c r="AR13" s="111"/>
      <c r="AS13" s="111"/>
      <c r="AT13" s="111"/>
      <c r="AU13" s="112"/>
      <c r="AV13" s="6"/>
      <c r="AW13" s="7"/>
      <c r="AX13" s="7"/>
      <c r="AY13" s="10"/>
      <c r="AZ13" s="11"/>
      <c r="BA13" s="9"/>
      <c r="BB13" s="10"/>
      <c r="BC13" s="11"/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/>
      <c r="X14" s="10"/>
      <c r="Y14" s="10"/>
      <c r="Z14" s="10"/>
      <c r="AA14" s="11"/>
      <c r="AB14" s="43"/>
      <c r="AC14" s="44"/>
      <c r="AD14" s="44"/>
      <c r="AE14" s="44"/>
      <c r="AF14" s="45"/>
      <c r="AG14" s="9"/>
      <c r="AH14" s="10"/>
      <c r="AI14" s="10"/>
      <c r="AJ14" s="10"/>
      <c r="AK14" s="11"/>
      <c r="AL14" s="43"/>
      <c r="AM14" s="44"/>
      <c r="AN14" s="44"/>
      <c r="AO14" s="44"/>
      <c r="AP14" s="45"/>
      <c r="AQ14" s="107"/>
      <c r="AR14" s="111"/>
      <c r="AS14" s="111"/>
      <c r="AT14" s="111"/>
      <c r="AU14" s="112"/>
      <c r="AV14" s="6"/>
      <c r="AW14" s="7"/>
      <c r="AX14" s="7"/>
      <c r="AY14" s="10"/>
      <c r="AZ14" s="11"/>
      <c r="BA14" s="9"/>
      <c r="BB14" s="10"/>
      <c r="BC14" s="11"/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/>
      <c r="X15" s="10"/>
      <c r="Y15" s="10"/>
      <c r="Z15" s="10"/>
      <c r="AA15" s="11"/>
      <c r="AB15" s="43"/>
      <c r="AC15" s="44"/>
      <c r="AD15" s="44"/>
      <c r="AE15" s="44"/>
      <c r="AF15" s="45"/>
      <c r="AG15" s="9"/>
      <c r="AH15" s="10"/>
      <c r="AI15" s="10"/>
      <c r="AJ15" s="10"/>
      <c r="AK15" s="11"/>
      <c r="AL15" s="43"/>
      <c r="AM15" s="44"/>
      <c r="AN15" s="44"/>
      <c r="AO15" s="44"/>
      <c r="AP15" s="45"/>
      <c r="AQ15" s="107"/>
      <c r="AR15" s="111"/>
      <c r="AS15" s="111"/>
      <c r="AT15" s="111"/>
      <c r="AU15" s="112"/>
      <c r="AV15" s="6"/>
      <c r="AW15" s="7"/>
      <c r="AX15" s="7"/>
      <c r="AY15" s="10"/>
      <c r="AZ15" s="11"/>
      <c r="BA15" s="9"/>
      <c r="BB15" s="10"/>
      <c r="BC15" s="11"/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/>
      <c r="X16" s="10"/>
      <c r="Y16" s="10"/>
      <c r="Z16" s="10"/>
      <c r="AA16" s="11"/>
      <c r="AB16" s="43"/>
      <c r="AC16" s="44"/>
      <c r="AD16" s="44"/>
      <c r="AE16" s="44"/>
      <c r="AF16" s="45"/>
      <c r="AG16" s="9"/>
      <c r="AH16" s="10"/>
      <c r="AI16" s="10"/>
      <c r="AJ16" s="10"/>
      <c r="AK16" s="11"/>
      <c r="AL16" s="43"/>
      <c r="AM16" s="44"/>
      <c r="AN16" s="44"/>
      <c r="AO16" s="44"/>
      <c r="AP16" s="45"/>
      <c r="AQ16" s="107"/>
      <c r="AR16" s="111"/>
      <c r="AS16" s="111"/>
      <c r="AT16" s="111"/>
      <c r="AU16" s="112"/>
      <c r="AV16" s="6"/>
      <c r="AW16" s="7"/>
      <c r="AX16" s="7"/>
      <c r="AY16" s="10"/>
      <c r="AZ16" s="11"/>
      <c r="BA16" s="9"/>
      <c r="BB16" s="10"/>
      <c r="BC16" s="11"/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/>
      <c r="X17" s="10"/>
      <c r="Y17" s="10"/>
      <c r="Z17" s="10"/>
      <c r="AA17" s="11"/>
      <c r="AB17" s="43"/>
      <c r="AC17" s="44"/>
      <c r="AD17" s="44"/>
      <c r="AE17" s="44"/>
      <c r="AF17" s="45"/>
      <c r="AG17" s="9"/>
      <c r="AH17" s="10"/>
      <c r="AI17" s="10"/>
      <c r="AJ17" s="10"/>
      <c r="AK17" s="11"/>
      <c r="AL17" s="43"/>
      <c r="AM17" s="44"/>
      <c r="AN17" s="44"/>
      <c r="AO17" s="44"/>
      <c r="AP17" s="45"/>
      <c r="AQ17" s="107"/>
      <c r="AR17" s="111"/>
      <c r="AS17" s="111"/>
      <c r="AT17" s="111"/>
      <c r="AU17" s="112"/>
      <c r="AV17" s="6"/>
      <c r="AW17" s="7"/>
      <c r="AX17" s="7"/>
      <c r="AY17" s="10"/>
      <c r="AZ17" s="11"/>
      <c r="BA17" s="9"/>
      <c r="BB17" s="10"/>
      <c r="BC17" s="11"/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/>
      <c r="X18" s="10"/>
      <c r="Y18" s="10"/>
      <c r="Z18" s="10"/>
      <c r="AA18" s="11"/>
      <c r="AB18" s="43"/>
      <c r="AC18" s="44"/>
      <c r="AD18" s="44"/>
      <c r="AE18" s="44"/>
      <c r="AF18" s="45"/>
      <c r="AG18" s="9"/>
      <c r="AH18" s="10"/>
      <c r="AI18" s="10"/>
      <c r="AJ18" s="10"/>
      <c r="AK18" s="11"/>
      <c r="AL18" s="43"/>
      <c r="AM18" s="44"/>
      <c r="AN18" s="44"/>
      <c r="AO18" s="44"/>
      <c r="AP18" s="45"/>
      <c r="AQ18" s="107"/>
      <c r="AR18" s="111"/>
      <c r="AS18" s="111"/>
      <c r="AT18" s="111"/>
      <c r="AU18" s="112"/>
      <c r="AV18" s="6"/>
      <c r="AW18" s="7"/>
      <c r="AX18" s="7"/>
      <c r="AY18" s="10"/>
      <c r="AZ18" s="11"/>
      <c r="BA18" s="9"/>
      <c r="BB18" s="10"/>
      <c r="BC18" s="11"/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/>
      <c r="X19" s="10"/>
      <c r="Y19" s="10"/>
      <c r="Z19" s="10"/>
      <c r="AA19" s="11"/>
      <c r="AB19" s="43"/>
      <c r="AC19" s="44"/>
      <c r="AD19" s="44"/>
      <c r="AE19" s="44"/>
      <c r="AF19" s="45"/>
      <c r="AG19" s="9"/>
      <c r="AH19" s="10"/>
      <c r="AI19" s="10"/>
      <c r="AJ19" s="10"/>
      <c r="AK19" s="11"/>
      <c r="AL19" s="43"/>
      <c r="AM19" s="44"/>
      <c r="AN19" s="44"/>
      <c r="AO19" s="44"/>
      <c r="AP19" s="45"/>
      <c r="AQ19" s="107"/>
      <c r="AR19" s="111"/>
      <c r="AS19" s="111"/>
      <c r="AT19" s="111"/>
      <c r="AU19" s="112"/>
      <c r="AV19" s="6"/>
      <c r="AW19" s="7"/>
      <c r="AX19" s="7"/>
      <c r="AY19" s="10"/>
      <c r="AZ19" s="11"/>
      <c r="BA19" s="9"/>
      <c r="BB19" s="10"/>
      <c r="BC19" s="11"/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/>
      <c r="X20" s="10"/>
      <c r="Y20" s="10"/>
      <c r="Z20" s="10"/>
      <c r="AA20" s="11"/>
      <c r="AB20" s="43"/>
      <c r="AC20" s="44"/>
      <c r="AD20" s="44"/>
      <c r="AE20" s="44"/>
      <c r="AF20" s="45"/>
      <c r="AG20" s="9"/>
      <c r="AH20" s="10"/>
      <c r="AI20" s="10"/>
      <c r="AJ20" s="10"/>
      <c r="AK20" s="11"/>
      <c r="AL20" s="43"/>
      <c r="AM20" s="44"/>
      <c r="AN20" s="44"/>
      <c r="AO20" s="44"/>
      <c r="AP20" s="45"/>
      <c r="AQ20" s="107"/>
      <c r="AR20" s="111"/>
      <c r="AS20" s="111"/>
      <c r="AT20" s="111"/>
      <c r="AU20" s="112"/>
      <c r="AV20" s="6"/>
      <c r="AW20" s="7"/>
      <c r="AX20" s="7"/>
      <c r="AY20" s="10"/>
      <c r="AZ20" s="11"/>
      <c r="BA20" s="9"/>
      <c r="BB20" s="10"/>
      <c r="BC20" s="11"/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/>
      <c r="X21" s="10"/>
      <c r="Y21" s="10"/>
      <c r="Z21" s="10"/>
      <c r="AA21" s="11"/>
      <c r="AB21" s="43"/>
      <c r="AC21" s="44"/>
      <c r="AD21" s="44"/>
      <c r="AE21" s="44"/>
      <c r="AF21" s="45"/>
      <c r="AG21" s="9"/>
      <c r="AH21" s="10"/>
      <c r="AI21" s="10"/>
      <c r="AJ21" s="10"/>
      <c r="AK21" s="11"/>
      <c r="AL21" s="43"/>
      <c r="AM21" s="44"/>
      <c r="AN21" s="44"/>
      <c r="AO21" s="44"/>
      <c r="AP21" s="45"/>
      <c r="AQ21" s="107"/>
      <c r="AR21" s="111"/>
      <c r="AS21" s="111"/>
      <c r="AT21" s="111"/>
      <c r="AU21" s="112"/>
      <c r="AV21" s="6"/>
      <c r="AW21" s="7"/>
      <c r="AX21" s="7"/>
      <c r="AY21" s="10"/>
      <c r="AZ21" s="11"/>
      <c r="BA21" s="9"/>
      <c r="BB21" s="10"/>
      <c r="BC21" s="11"/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/>
      <c r="X22" s="10"/>
      <c r="Y22" s="10"/>
      <c r="Z22" s="10"/>
      <c r="AA22" s="11"/>
      <c r="AB22" s="43"/>
      <c r="AC22" s="44"/>
      <c r="AD22" s="44"/>
      <c r="AE22" s="44"/>
      <c r="AF22" s="45"/>
      <c r="AG22" s="9"/>
      <c r="AH22" s="10"/>
      <c r="AI22" s="10"/>
      <c r="AJ22" s="10"/>
      <c r="AK22" s="11"/>
      <c r="AL22" s="43"/>
      <c r="AM22" s="44"/>
      <c r="AN22" s="44"/>
      <c r="AO22" s="44"/>
      <c r="AP22" s="45"/>
      <c r="AQ22" s="107"/>
      <c r="AR22" s="111"/>
      <c r="AS22" s="111"/>
      <c r="AT22" s="111"/>
      <c r="AU22" s="112"/>
      <c r="AV22" s="6"/>
      <c r="AW22" s="7"/>
      <c r="AX22" s="7"/>
      <c r="AY22" s="10"/>
      <c r="AZ22" s="11"/>
      <c r="BA22" s="9"/>
      <c r="BB22" s="10"/>
      <c r="BC22" s="11"/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/>
      <c r="X23" s="10"/>
      <c r="Y23" s="10"/>
      <c r="Z23" s="10"/>
      <c r="AA23" s="11"/>
      <c r="AB23" s="43"/>
      <c r="AC23" s="44"/>
      <c r="AD23" s="44"/>
      <c r="AE23" s="44"/>
      <c r="AF23" s="45"/>
      <c r="AG23" s="9"/>
      <c r="AH23" s="10"/>
      <c r="AI23" s="10"/>
      <c r="AJ23" s="10"/>
      <c r="AK23" s="11"/>
      <c r="AL23" s="43"/>
      <c r="AM23" s="44"/>
      <c r="AN23" s="44"/>
      <c r="AO23" s="44"/>
      <c r="AP23" s="45"/>
      <c r="AQ23" s="107"/>
      <c r="AR23" s="111"/>
      <c r="AS23" s="111"/>
      <c r="AT23" s="111"/>
      <c r="AU23" s="112"/>
      <c r="AV23" s="6"/>
      <c r="AW23" s="7"/>
      <c r="AX23" s="7"/>
      <c r="AY23" s="10"/>
      <c r="AZ23" s="11"/>
      <c r="BA23" s="9"/>
      <c r="BB23" s="10"/>
      <c r="BC23" s="11"/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/>
      <c r="X24" s="10"/>
      <c r="Y24" s="10"/>
      <c r="Z24" s="10"/>
      <c r="AA24" s="11"/>
      <c r="AB24" s="43"/>
      <c r="AC24" s="44"/>
      <c r="AD24" s="44"/>
      <c r="AE24" s="44"/>
      <c r="AF24" s="45"/>
      <c r="AG24" s="9"/>
      <c r="AH24" s="10"/>
      <c r="AI24" s="10"/>
      <c r="AJ24" s="10"/>
      <c r="AK24" s="11"/>
      <c r="AL24" s="43"/>
      <c r="AM24" s="44"/>
      <c r="AN24" s="44"/>
      <c r="AO24" s="44"/>
      <c r="AP24" s="45"/>
      <c r="AQ24" s="107"/>
      <c r="AR24" s="111"/>
      <c r="AS24" s="111"/>
      <c r="AT24" s="111"/>
      <c r="AU24" s="112"/>
      <c r="AV24" s="6"/>
      <c r="AW24" s="7"/>
      <c r="AX24" s="7"/>
      <c r="AY24" s="10"/>
      <c r="AZ24" s="11"/>
      <c r="BA24" s="9"/>
      <c r="BB24" s="10"/>
      <c r="BC24" s="11"/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/>
      <c r="X25" s="10"/>
      <c r="Y25" s="10"/>
      <c r="Z25" s="10"/>
      <c r="AA25" s="11"/>
      <c r="AB25" s="43"/>
      <c r="AC25" s="44"/>
      <c r="AD25" s="44"/>
      <c r="AE25" s="44"/>
      <c r="AF25" s="45"/>
      <c r="AG25" s="9"/>
      <c r="AH25" s="10"/>
      <c r="AI25" s="10"/>
      <c r="AJ25" s="10"/>
      <c r="AK25" s="11"/>
      <c r="AL25" s="43"/>
      <c r="AM25" s="44"/>
      <c r="AN25" s="44"/>
      <c r="AO25" s="44"/>
      <c r="AP25" s="45"/>
      <c r="AQ25" s="107"/>
      <c r="AR25" s="111"/>
      <c r="AS25" s="111"/>
      <c r="AT25" s="111"/>
      <c r="AU25" s="112"/>
      <c r="AV25" s="6"/>
      <c r="AW25" s="7"/>
      <c r="AX25" s="7"/>
      <c r="AY25" s="10"/>
      <c r="AZ25" s="11"/>
      <c r="BA25" s="9"/>
      <c r="BB25" s="10"/>
      <c r="BC25" s="11"/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3"/>
      <c r="AR26" s="114"/>
      <c r="AS26" s="114"/>
      <c r="AT26" s="114"/>
      <c r="AU26" s="115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 t="s">
        <v>53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3"/>
      <c r="AR27" s="114"/>
      <c r="AS27" s="114"/>
      <c r="AT27" s="114"/>
      <c r="AU27" s="115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0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0</v>
      </c>
      <c r="AC28" s="65">
        <f t="shared" si="3"/>
        <v>0</v>
      </c>
      <c r="AD28" s="65">
        <f t="shared" si="3"/>
        <v>0</v>
      </c>
      <c r="AE28" s="65">
        <f t="shared" si="3"/>
        <v>0</v>
      </c>
      <c r="AF28" s="66">
        <f t="shared" si="3"/>
        <v>0</v>
      </c>
      <c r="AG28" s="29">
        <f t="shared" si="3"/>
        <v>0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0</v>
      </c>
      <c r="AM28" s="65">
        <f t="shared" si="4"/>
        <v>0</v>
      </c>
      <c r="AN28" s="65">
        <f t="shared" si="4"/>
        <v>0</v>
      </c>
      <c r="AO28" s="65">
        <f t="shared" si="4"/>
        <v>0</v>
      </c>
      <c r="AP28" s="66">
        <f t="shared" si="4"/>
        <v>0</v>
      </c>
      <c r="AQ28" s="121">
        <f t="shared" si="4"/>
        <v>0</v>
      </c>
      <c r="AR28" s="116">
        <f t="shared" si="4"/>
        <v>0</v>
      </c>
      <c r="AS28" s="116">
        <f t="shared" si="4"/>
        <v>0</v>
      </c>
      <c r="AT28" s="116">
        <f t="shared" si="4"/>
        <v>0</v>
      </c>
      <c r="AU28" s="122">
        <f t="shared" si="4"/>
        <v>0</v>
      </c>
      <c r="AV28" s="29">
        <f t="shared" si="4"/>
        <v>0</v>
      </c>
      <c r="AW28" s="30">
        <f t="shared" si="4"/>
        <v>0</v>
      </c>
      <c r="AX28" s="30">
        <f t="shared" si="4"/>
        <v>0</v>
      </c>
      <c r="AY28" s="30">
        <f t="shared" si="4"/>
        <v>0</v>
      </c>
      <c r="AZ28" s="31">
        <f t="shared" si="4"/>
        <v>0</v>
      </c>
      <c r="BA28" s="46">
        <f t="shared" si="4"/>
        <v>0</v>
      </c>
      <c r="BB28" s="47">
        <f t="shared" si="4"/>
        <v>0</v>
      </c>
      <c r="BC28" s="49">
        <f t="shared" si="4"/>
        <v>0</v>
      </c>
      <c r="BD28" s="19">
        <f t="shared" si="4"/>
        <v>0</v>
      </c>
      <c r="BE28" s="2">
        <f t="shared" si="4"/>
        <v>0</v>
      </c>
    </row>
    <row r="30" spans="1:57" x14ac:dyDescent="0.25">
      <c r="AQ30" s="120"/>
      <c r="AR30" s="120"/>
      <c r="AS30" s="120"/>
      <c r="AT30" s="120"/>
      <c r="AU30" s="120"/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Views>
    <sheetView zoomScale="90" zoomScaleNormal="90" workbookViewId="0">
      <pane xSplit="2" ySplit="7" topLeftCell="C20" activePane="bottomRight" state="frozen"/>
      <selection activeCell="C3" sqref="C3"/>
      <selection pane="topRight" activeCell="C3" sqref="C3"/>
      <selection pane="bottomLeft" activeCell="C3" sqref="C3"/>
      <selection pane="bottomRight" activeCell="B6" sqref="B6:B7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85546875" style="28" customWidth="1"/>
    <col min="45" max="45" width="9.28515625" style="28" bestFit="1" customWidth="1"/>
    <col min="46" max="46" width="8.85546875" style="28" customWidth="1"/>
    <col min="47" max="47" width="9.28515625" style="28" bestFit="1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2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2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27</v>
      </c>
      <c r="X8" s="7"/>
      <c r="Y8" s="7"/>
      <c r="Z8" s="7"/>
      <c r="AA8" s="8"/>
      <c r="AB8" s="40">
        <v>1</v>
      </c>
      <c r="AC8" s="41"/>
      <c r="AD8" s="41"/>
      <c r="AE8" s="41"/>
      <c r="AF8" s="42"/>
      <c r="AG8" s="6" t="s">
        <v>58</v>
      </c>
      <c r="AH8" s="7"/>
      <c r="AI8" s="7"/>
      <c r="AJ8" s="7"/>
      <c r="AK8" s="8"/>
      <c r="AL8" s="40">
        <v>2</v>
      </c>
      <c r="AM8" s="41"/>
      <c r="AN8" s="41"/>
      <c r="AO8" s="41">
        <v>1</v>
      </c>
      <c r="AP8" s="42">
        <v>5</v>
      </c>
      <c r="AQ8" s="108">
        <f>5/12</f>
        <v>0.41666666666666669</v>
      </c>
      <c r="AR8" s="109"/>
      <c r="AS8" s="109"/>
      <c r="AT8" s="109">
        <v>0.4</v>
      </c>
      <c r="AU8" s="110">
        <v>1</v>
      </c>
      <c r="AV8" s="6">
        <v>5</v>
      </c>
      <c r="AW8" s="7">
        <v>5</v>
      </c>
      <c r="AX8" s="7">
        <v>5</v>
      </c>
      <c r="AY8" s="7"/>
      <c r="AZ8" s="8"/>
      <c r="BA8" s="6"/>
      <c r="BB8" s="7"/>
      <c r="BC8" s="8"/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28</v>
      </c>
      <c r="X9" s="10"/>
      <c r="Y9" s="10"/>
      <c r="Z9" s="10"/>
      <c r="AA9" s="11"/>
      <c r="AB9" s="43"/>
      <c r="AC9" s="44"/>
      <c r="AD9" s="44"/>
      <c r="AE9" s="44">
        <v>1</v>
      </c>
      <c r="AF9" s="45"/>
      <c r="AG9" s="9" t="s">
        <v>60</v>
      </c>
      <c r="AH9" s="10"/>
      <c r="AI9" s="10"/>
      <c r="AJ9" s="10"/>
      <c r="AK9" s="11"/>
      <c r="AL9" s="43">
        <v>1</v>
      </c>
      <c r="AM9" s="44"/>
      <c r="AN9" s="44"/>
      <c r="AO9" s="44">
        <v>1</v>
      </c>
      <c r="AP9" s="45">
        <v>4</v>
      </c>
      <c r="AQ9" s="107">
        <f>5/12</f>
        <v>0.41666666666666669</v>
      </c>
      <c r="AR9" s="111"/>
      <c r="AS9" s="111"/>
      <c r="AT9" s="111"/>
      <c r="AU9" s="112">
        <v>1</v>
      </c>
      <c r="AV9" s="6">
        <v>5</v>
      </c>
      <c r="AW9" s="7">
        <v>5</v>
      </c>
      <c r="AX9" s="7">
        <v>5</v>
      </c>
      <c r="AY9" s="10"/>
      <c r="AZ9" s="11"/>
      <c r="BA9" s="9"/>
      <c r="BB9" s="10"/>
      <c r="BC9" s="11"/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29</v>
      </c>
      <c r="X10" s="10"/>
      <c r="Y10" s="10"/>
      <c r="Z10" s="10"/>
      <c r="AA10" s="11"/>
      <c r="AB10" s="43"/>
      <c r="AC10" s="44"/>
      <c r="AD10" s="44"/>
      <c r="AE10" s="44"/>
      <c r="AF10" s="45"/>
      <c r="AG10" s="9" t="s">
        <v>67</v>
      </c>
      <c r="AH10" s="10"/>
      <c r="AI10" s="10"/>
      <c r="AJ10" s="10"/>
      <c r="AK10" s="11"/>
      <c r="AL10" s="43"/>
      <c r="AM10" s="44"/>
      <c r="AN10" s="44">
        <v>1</v>
      </c>
      <c r="AO10" s="44"/>
      <c r="AP10" s="45">
        <v>5</v>
      </c>
      <c r="AQ10" s="107"/>
      <c r="AR10" s="111"/>
      <c r="AS10" s="111">
        <f>3/20</f>
        <v>0.15</v>
      </c>
      <c r="AT10" s="111"/>
      <c r="AU10" s="112">
        <v>1.5</v>
      </c>
      <c r="AV10" s="6">
        <v>5</v>
      </c>
      <c r="AW10" s="7">
        <v>5</v>
      </c>
      <c r="AX10" s="7">
        <v>5</v>
      </c>
      <c r="AY10" s="10"/>
      <c r="AZ10" s="11"/>
      <c r="BA10" s="9"/>
      <c r="BB10" s="10"/>
      <c r="BC10" s="11"/>
      <c r="BD10" s="165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26</v>
      </c>
      <c r="X11" s="10"/>
      <c r="Y11" s="10"/>
      <c r="Z11" s="10"/>
      <c r="AA11" s="11"/>
      <c r="AB11" s="43"/>
      <c r="AC11" s="44"/>
      <c r="AD11" s="44"/>
      <c r="AE11" s="44"/>
      <c r="AF11" s="45"/>
      <c r="AG11" s="9" t="s">
        <v>58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/>
      <c r="AP11" s="45">
        <v>5</v>
      </c>
      <c r="AQ11" s="107">
        <f>4/12</f>
        <v>0.33333333333333331</v>
      </c>
      <c r="AR11" s="111"/>
      <c r="AS11" s="111">
        <v>0.15</v>
      </c>
      <c r="AT11" s="111"/>
      <c r="AU11" s="112">
        <v>2</v>
      </c>
      <c r="AV11" s="6">
        <v>5</v>
      </c>
      <c r="AW11" s="7">
        <v>5</v>
      </c>
      <c r="AX11" s="7">
        <v>5</v>
      </c>
      <c r="AY11" s="10"/>
      <c r="AZ11" s="11"/>
      <c r="BA11" s="9"/>
      <c r="BB11" s="10"/>
      <c r="BC11" s="11"/>
      <c r="BD11" s="166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29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/>
      <c r="AG12" s="9" t="s">
        <v>59</v>
      </c>
      <c r="AH12" s="10"/>
      <c r="AI12" s="10"/>
      <c r="AJ12" s="10"/>
      <c r="AK12" s="11"/>
      <c r="AL12" s="43"/>
      <c r="AM12" s="44"/>
      <c r="AN12" s="44">
        <v>1</v>
      </c>
      <c r="AO12" s="44">
        <v>1</v>
      </c>
      <c r="AP12" s="45">
        <v>2</v>
      </c>
      <c r="AQ12" s="107"/>
      <c r="AR12" s="111"/>
      <c r="AS12" s="111">
        <v>0.15</v>
      </c>
      <c r="AT12" s="111"/>
      <c r="AU12" s="112">
        <v>1</v>
      </c>
      <c r="AV12" s="6">
        <v>5</v>
      </c>
      <c r="AW12" s="7">
        <v>5</v>
      </c>
      <c r="AX12" s="7">
        <v>5</v>
      </c>
      <c r="AY12" s="10"/>
      <c r="AZ12" s="11"/>
      <c r="BA12" s="9"/>
      <c r="BB12" s="10"/>
      <c r="BC12" s="11"/>
      <c r="BD12" s="167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27</v>
      </c>
      <c r="X13" s="10"/>
      <c r="Y13" s="10"/>
      <c r="Z13" s="10"/>
      <c r="AA13" s="11"/>
      <c r="AB13" s="43"/>
      <c r="AC13" s="44"/>
      <c r="AD13" s="44"/>
      <c r="AE13" s="44"/>
      <c r="AF13" s="45"/>
      <c r="AG13" s="9" t="s">
        <v>56</v>
      </c>
      <c r="AH13" s="10"/>
      <c r="AI13" s="10"/>
      <c r="AJ13" s="10"/>
      <c r="AK13" s="11"/>
      <c r="AL13" s="43">
        <v>1</v>
      </c>
      <c r="AM13" s="44"/>
      <c r="AN13" s="44"/>
      <c r="AO13" s="44">
        <v>1</v>
      </c>
      <c r="AP13" s="45">
        <v>1</v>
      </c>
      <c r="AQ13" s="107">
        <f>5/12</f>
        <v>0.41666666666666669</v>
      </c>
      <c r="AR13" s="111"/>
      <c r="AS13" s="111"/>
      <c r="AT13" s="111">
        <v>0.6</v>
      </c>
      <c r="AU13" s="112">
        <v>0.5</v>
      </c>
      <c r="AV13" s="6">
        <v>5</v>
      </c>
      <c r="AW13" s="7">
        <v>5</v>
      </c>
      <c r="AX13" s="7">
        <v>5</v>
      </c>
      <c r="AY13" s="10"/>
      <c r="AZ13" s="11"/>
      <c r="BA13" s="9"/>
      <c r="BB13" s="10"/>
      <c r="BC13" s="11"/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106">
        <v>28</v>
      </c>
      <c r="X14" s="10"/>
      <c r="Y14" s="10"/>
      <c r="Z14" s="10"/>
      <c r="AA14" s="11"/>
      <c r="AB14" s="43"/>
      <c r="AC14" s="44"/>
      <c r="AD14" s="44"/>
      <c r="AE14" s="44"/>
      <c r="AF14" s="45"/>
      <c r="AG14" s="9" t="s">
        <v>62</v>
      </c>
      <c r="AH14" s="10"/>
      <c r="AI14" s="10"/>
      <c r="AJ14" s="10"/>
      <c r="AK14" s="11"/>
      <c r="AL14" s="43"/>
      <c r="AM14" s="44"/>
      <c r="AN14" s="44">
        <v>1</v>
      </c>
      <c r="AO14" s="44"/>
      <c r="AP14" s="45">
        <v>3</v>
      </c>
      <c r="AQ14" s="107"/>
      <c r="AR14" s="111"/>
      <c r="AS14" s="111">
        <v>0.15</v>
      </c>
      <c r="AT14" s="111"/>
      <c r="AU14" s="112">
        <v>0.5</v>
      </c>
      <c r="AV14" s="6">
        <v>5</v>
      </c>
      <c r="AW14" s="7">
        <v>5</v>
      </c>
      <c r="AX14" s="7">
        <v>5</v>
      </c>
      <c r="AY14" s="10"/>
      <c r="AZ14" s="11"/>
      <c r="BA14" s="9"/>
      <c r="BB14" s="10"/>
      <c r="BC14" s="11"/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 t="s">
        <v>65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2</v>
      </c>
      <c r="AP15" s="45">
        <v>6</v>
      </c>
      <c r="AQ15" s="107">
        <f>5/12</f>
        <v>0.41666666666666669</v>
      </c>
      <c r="AR15" s="111"/>
      <c r="AS15" s="111">
        <v>0.15</v>
      </c>
      <c r="AT15" s="111">
        <v>0.3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/>
      <c r="BB15" s="10"/>
      <c r="BC15" s="11"/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/>
      <c r="AC16" s="44"/>
      <c r="AD16" s="44"/>
      <c r="AE16" s="44"/>
      <c r="AF16" s="45"/>
      <c r="AG16" s="9" t="s">
        <v>63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>
        <v>2</v>
      </c>
      <c r="AP16" s="45">
        <v>5</v>
      </c>
      <c r="AQ16" s="107">
        <f>4/12</f>
        <v>0.33333333333333331</v>
      </c>
      <c r="AR16" s="111"/>
      <c r="AS16" s="111">
        <v>0.15</v>
      </c>
      <c r="AT16" s="111">
        <v>0.5</v>
      </c>
      <c r="AU16" s="112">
        <v>1.5</v>
      </c>
      <c r="AV16" s="6">
        <v>5</v>
      </c>
      <c r="AW16" s="7">
        <v>5</v>
      </c>
      <c r="AX16" s="7">
        <v>5</v>
      </c>
      <c r="AY16" s="10"/>
      <c r="AZ16" s="11"/>
      <c r="BA16" s="9"/>
      <c r="BB16" s="10"/>
      <c r="BC16" s="11"/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27</v>
      </c>
      <c r="X17" s="10"/>
      <c r="Y17" s="10"/>
      <c r="Z17" s="10"/>
      <c r="AA17" s="11"/>
      <c r="AB17" s="43"/>
      <c r="AC17" s="44"/>
      <c r="AD17" s="44"/>
      <c r="AE17" s="44"/>
      <c r="AF17" s="45">
        <v>1</v>
      </c>
      <c r="AG17" s="9">
        <v>1</v>
      </c>
      <c r="AH17" s="10"/>
      <c r="AI17" s="10"/>
      <c r="AJ17" s="10"/>
      <c r="AK17" s="11"/>
      <c r="AL17" s="43">
        <v>1</v>
      </c>
      <c r="AM17" s="44"/>
      <c r="AN17" s="44"/>
      <c r="AO17" s="44"/>
      <c r="AP17" s="45">
        <v>1</v>
      </c>
      <c r="AQ17" s="107">
        <f>5/12</f>
        <v>0.41666666666666669</v>
      </c>
      <c r="AR17" s="111"/>
      <c r="AS17" s="111"/>
      <c r="AT17" s="111"/>
      <c r="AU17" s="112"/>
      <c r="AV17" s="6">
        <v>5</v>
      </c>
      <c r="AW17" s="7">
        <v>5</v>
      </c>
      <c r="AX17" s="7">
        <v>5</v>
      </c>
      <c r="AY17" s="10"/>
      <c r="AZ17" s="11"/>
      <c r="BA17" s="9"/>
      <c r="BB17" s="10"/>
      <c r="BC17" s="11"/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23</v>
      </c>
      <c r="X18" s="10"/>
      <c r="Y18" s="10"/>
      <c r="Z18" s="10"/>
      <c r="AA18" s="11"/>
      <c r="AB18" s="43">
        <v>2</v>
      </c>
      <c r="AC18" s="44"/>
      <c r="AD18" s="44">
        <v>1</v>
      </c>
      <c r="AE18" s="44"/>
      <c r="AF18" s="45"/>
      <c r="AG18" s="9" t="s">
        <v>64</v>
      </c>
      <c r="AH18" s="10"/>
      <c r="AI18" s="10"/>
      <c r="AJ18" s="10"/>
      <c r="AK18" s="11"/>
      <c r="AL18" s="43">
        <v>3</v>
      </c>
      <c r="AM18" s="44"/>
      <c r="AN18" s="44">
        <v>2</v>
      </c>
      <c r="AO18" s="44">
        <v>1</v>
      </c>
      <c r="AP18" s="45">
        <v>7</v>
      </c>
      <c r="AQ18" s="107">
        <f>4/12</f>
        <v>0.33333333333333331</v>
      </c>
      <c r="AR18" s="111"/>
      <c r="AS18" s="111">
        <v>0.15</v>
      </c>
      <c r="AT18" s="111">
        <v>0.4</v>
      </c>
      <c r="AU18" s="112">
        <v>2</v>
      </c>
      <c r="AV18" s="6">
        <v>5</v>
      </c>
      <c r="AW18" s="7">
        <v>5</v>
      </c>
      <c r="AX18" s="7">
        <v>5</v>
      </c>
      <c r="AY18" s="10"/>
      <c r="AZ18" s="11"/>
      <c r="BA18" s="9"/>
      <c r="BB18" s="10"/>
      <c r="BC18" s="11"/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/>
      <c r="AF19" s="45"/>
      <c r="AG19" s="9" t="s">
        <v>66</v>
      </c>
      <c r="AH19" s="10"/>
      <c r="AI19" s="10"/>
      <c r="AJ19" s="10"/>
      <c r="AK19" s="11"/>
      <c r="AL19" s="43"/>
      <c r="AM19" s="44"/>
      <c r="AN19" s="44">
        <v>1</v>
      </c>
      <c r="AO19" s="44"/>
      <c r="AP19" s="45">
        <v>10</v>
      </c>
      <c r="AQ19" s="107"/>
      <c r="AR19" s="111"/>
      <c r="AS19" s="111">
        <f>4/20</f>
        <v>0.2</v>
      </c>
      <c r="AT19" s="111"/>
      <c r="AU19" s="112">
        <v>3</v>
      </c>
      <c r="AV19" s="6">
        <v>5</v>
      </c>
      <c r="AW19" s="7">
        <v>5</v>
      </c>
      <c r="AX19" s="7">
        <v>5</v>
      </c>
      <c r="AY19" s="10"/>
      <c r="AZ19" s="11"/>
      <c r="BA19" s="9"/>
      <c r="BB19" s="10"/>
      <c r="BC19" s="11"/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>
        <v>2</v>
      </c>
      <c r="AF20" s="45"/>
      <c r="AG20" s="9" t="s">
        <v>60</v>
      </c>
      <c r="AH20" s="10"/>
      <c r="AI20" s="10"/>
      <c r="AJ20" s="10"/>
      <c r="AK20" s="11"/>
      <c r="AL20" s="43">
        <v>1</v>
      </c>
      <c r="AM20" s="44"/>
      <c r="AN20" s="44"/>
      <c r="AO20" s="44">
        <v>2</v>
      </c>
      <c r="AP20" s="45">
        <v>4</v>
      </c>
      <c r="AQ20" s="107">
        <f>5/12</f>
        <v>0.41666666666666669</v>
      </c>
      <c r="AR20" s="111"/>
      <c r="AS20" s="111"/>
      <c r="AT20" s="111"/>
      <c r="AU20" s="112">
        <v>1.5</v>
      </c>
      <c r="AV20" s="6">
        <v>5</v>
      </c>
      <c r="AW20" s="7">
        <v>5</v>
      </c>
      <c r="AX20" s="7">
        <v>5</v>
      </c>
      <c r="AY20" s="10"/>
      <c r="AZ20" s="11"/>
      <c r="BA20" s="9"/>
      <c r="BB20" s="10"/>
      <c r="BC20" s="11"/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28</v>
      </c>
      <c r="X21" s="10"/>
      <c r="Y21" s="10"/>
      <c r="Z21" s="10"/>
      <c r="AA21" s="11"/>
      <c r="AB21" s="43"/>
      <c r="AC21" s="44"/>
      <c r="AD21" s="44"/>
      <c r="AE21" s="44"/>
      <c r="AF21" s="45"/>
      <c r="AG21" s="9" t="s">
        <v>57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>
        <v>1</v>
      </c>
      <c r="AP21" s="45">
        <v>3</v>
      </c>
      <c r="AQ21" s="107">
        <f>6/12</f>
        <v>0.5</v>
      </c>
      <c r="AR21" s="111"/>
      <c r="AS21" s="111">
        <v>0.15</v>
      </c>
      <c r="AT21" s="111">
        <v>0.5</v>
      </c>
      <c r="AU21" s="112">
        <v>1</v>
      </c>
      <c r="AV21" s="6">
        <v>5</v>
      </c>
      <c r="AW21" s="7">
        <v>5</v>
      </c>
      <c r="AX21" s="7">
        <v>5</v>
      </c>
      <c r="AY21" s="10"/>
      <c r="AZ21" s="11"/>
      <c r="BA21" s="9"/>
      <c r="BB21" s="10"/>
      <c r="BC21" s="11"/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27</v>
      </c>
      <c r="X22" s="10"/>
      <c r="Y22" s="10"/>
      <c r="Z22" s="10"/>
      <c r="AA22" s="11"/>
      <c r="AB22" s="43"/>
      <c r="AC22" s="44"/>
      <c r="AD22" s="44"/>
      <c r="AE22" s="44"/>
      <c r="AF22" s="45"/>
      <c r="AG22" s="9" t="s">
        <v>54</v>
      </c>
      <c r="AH22" s="10"/>
      <c r="AI22" s="10"/>
      <c r="AJ22" s="10"/>
      <c r="AK22" s="11"/>
      <c r="AL22" s="43">
        <v>1</v>
      </c>
      <c r="AM22" s="44"/>
      <c r="AN22" s="44"/>
      <c r="AO22" s="44"/>
      <c r="AP22" s="45">
        <v>1</v>
      </c>
      <c r="AQ22" s="107">
        <f>5/12</f>
        <v>0.41666666666666669</v>
      </c>
      <c r="AR22" s="111"/>
      <c r="AS22" s="111"/>
      <c r="AT22" s="111"/>
      <c r="AU22" s="112">
        <v>0.5</v>
      </c>
      <c r="AV22" s="6">
        <v>5</v>
      </c>
      <c r="AW22" s="7">
        <v>5</v>
      </c>
      <c r="AX22" s="7">
        <v>5</v>
      </c>
      <c r="AY22" s="10"/>
      <c r="AZ22" s="11"/>
      <c r="BA22" s="9"/>
      <c r="BB22" s="10"/>
      <c r="BC22" s="11"/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27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 t="s">
        <v>62</v>
      </c>
      <c r="AH23" s="10"/>
      <c r="AI23" s="10"/>
      <c r="AJ23" s="10"/>
      <c r="AK23" s="11"/>
      <c r="AL23" s="43">
        <v>1</v>
      </c>
      <c r="AM23" s="44"/>
      <c r="AN23" s="44"/>
      <c r="AO23" s="44"/>
      <c r="AP23" s="45">
        <v>3</v>
      </c>
      <c r="AQ23" s="107">
        <f>6/12</f>
        <v>0.5</v>
      </c>
      <c r="AR23" s="111"/>
      <c r="AS23" s="111"/>
      <c r="AT23" s="111"/>
      <c r="AU23" s="112">
        <v>1</v>
      </c>
      <c r="AV23" s="6">
        <v>5</v>
      </c>
      <c r="AW23" s="7">
        <v>5</v>
      </c>
      <c r="AX23" s="7">
        <v>5</v>
      </c>
      <c r="AY23" s="10"/>
      <c r="AZ23" s="11"/>
      <c r="BA23" s="9"/>
      <c r="BB23" s="10"/>
      <c r="BC23" s="11"/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>
        <v>1</v>
      </c>
      <c r="AE24" s="44"/>
      <c r="AF24" s="45">
        <v>1</v>
      </c>
      <c r="AG24" s="9" t="s">
        <v>61</v>
      </c>
      <c r="AH24" s="10"/>
      <c r="AI24" s="10"/>
      <c r="AJ24" s="10"/>
      <c r="AK24" s="11"/>
      <c r="AL24" s="43"/>
      <c r="AM24" s="44"/>
      <c r="AN24" s="44">
        <v>2</v>
      </c>
      <c r="AO24" s="44">
        <v>1</v>
      </c>
      <c r="AP24" s="45">
        <v>5</v>
      </c>
      <c r="AQ24" s="107"/>
      <c r="AR24" s="111"/>
      <c r="AS24" s="111">
        <v>0.15</v>
      </c>
      <c r="AT24" s="111">
        <v>0.5</v>
      </c>
      <c r="AU24" s="112">
        <v>1</v>
      </c>
      <c r="AV24" s="6">
        <v>5</v>
      </c>
      <c r="AW24" s="7">
        <v>5</v>
      </c>
      <c r="AX24" s="7">
        <v>5</v>
      </c>
      <c r="AY24" s="10"/>
      <c r="AZ24" s="11"/>
      <c r="BA24" s="9"/>
      <c r="BB24" s="10"/>
      <c r="BC24" s="11"/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/>
      <c r="AF25" s="45"/>
      <c r="AG25" s="9" t="s">
        <v>55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8</v>
      </c>
      <c r="AQ25" s="107">
        <f>4/12</f>
        <v>0.33333333333333331</v>
      </c>
      <c r="AR25" s="111"/>
      <c r="AS25" s="111">
        <v>0.15</v>
      </c>
      <c r="AT25" s="111">
        <v>0.4</v>
      </c>
      <c r="AU25" s="112">
        <v>2</v>
      </c>
      <c r="AV25" s="6">
        <v>5</v>
      </c>
      <c r="AW25" s="7">
        <v>5</v>
      </c>
      <c r="AX25" s="7">
        <v>5</v>
      </c>
      <c r="AY25" s="10"/>
      <c r="AZ25" s="11"/>
      <c r="BA25" s="9"/>
      <c r="BB25" s="10"/>
      <c r="BC25" s="11"/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26</v>
      </c>
      <c r="X26" s="53"/>
      <c r="Y26" s="53"/>
      <c r="Z26" s="53"/>
      <c r="AA26" s="54"/>
      <c r="AB26" s="58"/>
      <c r="AC26" s="59"/>
      <c r="AD26" s="59"/>
      <c r="AE26" s="59"/>
      <c r="AF26" s="48">
        <v>1</v>
      </c>
      <c r="AG26" s="52" t="s">
        <v>59</v>
      </c>
      <c r="AH26" s="53"/>
      <c r="AI26" s="53"/>
      <c r="AJ26" s="53"/>
      <c r="AK26" s="54"/>
      <c r="AL26" s="58">
        <v>1</v>
      </c>
      <c r="AM26" s="59"/>
      <c r="AN26" s="59"/>
      <c r="AO26" s="59"/>
      <c r="AP26" s="48">
        <v>3</v>
      </c>
      <c r="AQ26" s="113">
        <f>5/12</f>
        <v>0.41666666666666669</v>
      </c>
      <c r="AR26" s="114"/>
      <c r="AS26" s="114"/>
      <c r="AT26" s="114"/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25</v>
      </c>
      <c r="X27" s="53"/>
      <c r="Y27" s="53"/>
      <c r="Z27" s="53"/>
      <c r="AA27" s="54"/>
      <c r="AB27" s="67">
        <v>1</v>
      </c>
      <c r="AC27" s="68"/>
      <c r="AD27" s="68"/>
      <c r="AE27" s="68">
        <v>1</v>
      </c>
      <c r="AF27" s="69"/>
      <c r="AG27" s="52" t="s">
        <v>57</v>
      </c>
      <c r="AH27" s="53"/>
      <c r="AI27" s="53"/>
      <c r="AJ27" s="53"/>
      <c r="AK27" s="54"/>
      <c r="AL27" s="67">
        <v>2</v>
      </c>
      <c r="AM27" s="68"/>
      <c r="AN27" s="68">
        <v>1</v>
      </c>
      <c r="AO27" s="68">
        <v>2</v>
      </c>
      <c r="AP27" s="69">
        <v>3</v>
      </c>
      <c r="AQ27" s="113">
        <f>4/12</f>
        <v>0.33333333333333331</v>
      </c>
      <c r="AR27" s="114"/>
      <c r="AS27" s="114">
        <f>6/20</f>
        <v>0.3</v>
      </c>
      <c r="AT27" s="114">
        <v>0.4</v>
      </c>
      <c r="AU27" s="115">
        <v>1</v>
      </c>
      <c r="AV27" s="6">
        <v>5</v>
      </c>
      <c r="AW27" s="7">
        <v>5</v>
      </c>
      <c r="AX27" s="7">
        <v>5</v>
      </c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526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0</v>
      </c>
      <c r="AD28" s="65">
        <f t="shared" si="3"/>
        <v>2</v>
      </c>
      <c r="AE28" s="65">
        <f t="shared" si="3"/>
        <v>6</v>
      </c>
      <c r="AF28" s="66">
        <f t="shared" si="3"/>
        <v>3</v>
      </c>
      <c r="AG28" s="29">
        <f t="shared" si="3"/>
        <v>1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19</v>
      </c>
      <c r="AM28" s="65">
        <f t="shared" si="4"/>
        <v>0</v>
      </c>
      <c r="AN28" s="65">
        <f t="shared" si="4"/>
        <v>14</v>
      </c>
      <c r="AO28" s="65">
        <f t="shared" si="4"/>
        <v>16</v>
      </c>
      <c r="AP28" s="66">
        <f t="shared" si="4"/>
        <v>84</v>
      </c>
      <c r="AQ28" s="121">
        <f t="shared" si="4"/>
        <v>6</v>
      </c>
      <c r="AR28" s="116">
        <f t="shared" si="4"/>
        <v>0</v>
      </c>
      <c r="AS28" s="116">
        <f t="shared" si="4"/>
        <v>1.9999999999999998</v>
      </c>
      <c r="AT28" s="116">
        <f t="shared" si="4"/>
        <v>4</v>
      </c>
      <c r="AU28" s="122">
        <f t="shared" si="4"/>
        <v>25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0</v>
      </c>
      <c r="BB28" s="47">
        <f t="shared" si="4"/>
        <v>0</v>
      </c>
      <c r="BC28" s="49">
        <f t="shared" si="4"/>
        <v>0</v>
      </c>
      <c r="BD28" s="19">
        <f t="shared" si="4"/>
        <v>0</v>
      </c>
      <c r="BE28" s="2">
        <f t="shared" si="4"/>
        <v>0</v>
      </c>
    </row>
    <row r="30" spans="1:57" x14ac:dyDescent="0.25">
      <c r="AQ30" s="120">
        <v>6</v>
      </c>
      <c r="AR30" s="120"/>
      <c r="AS30" s="120">
        <v>2</v>
      </c>
      <c r="AT30" s="120">
        <v>4</v>
      </c>
      <c r="AU30" s="120">
        <v>25</v>
      </c>
    </row>
    <row r="32" spans="1:57" x14ac:dyDescent="0.25">
      <c r="AQ32" s="28">
        <f>6*12</f>
        <v>72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G17" sqref="AG17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28"/>
      <c r="B4" s="128"/>
    </row>
    <row r="5" spans="1:57" ht="57.75" customHeight="1" thickBot="1" x14ac:dyDescent="0.25">
      <c r="C5" s="151" t="s">
        <v>1</v>
      </c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48" t="s">
        <v>22</v>
      </c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50"/>
      <c r="BD5" s="129" t="s">
        <v>6</v>
      </c>
      <c r="BE5" s="129" t="s">
        <v>7</v>
      </c>
    </row>
    <row r="6" spans="1:57" ht="69.75" customHeight="1" thickBot="1" x14ac:dyDescent="0.25">
      <c r="A6" s="132" t="s">
        <v>24</v>
      </c>
      <c r="B6" s="132" t="s">
        <v>8</v>
      </c>
      <c r="C6" s="153" t="s">
        <v>9</v>
      </c>
      <c r="D6" s="154"/>
      <c r="E6" s="154"/>
      <c r="F6" s="154"/>
      <c r="G6" s="155"/>
      <c r="H6" s="153" t="s">
        <v>15</v>
      </c>
      <c r="I6" s="154"/>
      <c r="J6" s="154"/>
      <c r="K6" s="154"/>
      <c r="L6" s="155"/>
      <c r="M6" s="136" t="s">
        <v>16</v>
      </c>
      <c r="N6" s="137"/>
      <c r="O6" s="137"/>
      <c r="P6" s="137"/>
      <c r="Q6" s="138"/>
      <c r="R6" s="136" t="s">
        <v>25</v>
      </c>
      <c r="S6" s="137"/>
      <c r="T6" s="137"/>
      <c r="U6" s="137"/>
      <c r="V6" s="138"/>
      <c r="W6" s="139" t="s">
        <v>9</v>
      </c>
      <c r="X6" s="140"/>
      <c r="Y6" s="140"/>
      <c r="Z6" s="140"/>
      <c r="AA6" s="141"/>
      <c r="AB6" s="159" t="s">
        <v>27</v>
      </c>
      <c r="AC6" s="160"/>
      <c r="AD6" s="160"/>
      <c r="AE6" s="160"/>
      <c r="AF6" s="161"/>
      <c r="AG6" s="142" t="s">
        <v>15</v>
      </c>
      <c r="AH6" s="143"/>
      <c r="AI6" s="143"/>
      <c r="AJ6" s="143"/>
      <c r="AK6" s="144"/>
      <c r="AL6" s="156" t="s">
        <v>28</v>
      </c>
      <c r="AM6" s="157"/>
      <c r="AN6" s="157"/>
      <c r="AO6" s="157"/>
      <c r="AP6" s="158"/>
      <c r="AQ6" s="163" t="s">
        <v>25</v>
      </c>
      <c r="AR6" s="163"/>
      <c r="AS6" s="163"/>
      <c r="AT6" s="163"/>
      <c r="AU6" s="164"/>
      <c r="AV6" s="145" t="s">
        <v>16</v>
      </c>
      <c r="AW6" s="146"/>
      <c r="AX6" s="146"/>
      <c r="AY6" s="146"/>
      <c r="AZ6" s="147"/>
      <c r="BA6" s="168" t="s">
        <v>26</v>
      </c>
      <c r="BB6" s="169"/>
      <c r="BC6" s="170"/>
      <c r="BD6" s="130"/>
      <c r="BE6" s="130"/>
    </row>
    <row r="7" spans="1:57" ht="222.75" customHeight="1" thickBot="1" x14ac:dyDescent="0.25">
      <c r="A7" s="133"/>
      <c r="B7" s="133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31"/>
      <c r="BE7" s="131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f>Mercredi!W8+jeudi!W8+Vendredi!W8+Samedii!W8+lundi!W8+'Jr non travaillé'!W8</f>
        <v>112</v>
      </c>
      <c r="X8" s="7">
        <f>Mercredi!X8+jeudi!X8+Vendredi!X8+Samedii!X8+lundi!X8+'Jr non travaillé'!X8</f>
        <v>0</v>
      </c>
      <c r="Y8" s="7">
        <f>Mercredi!Y8+jeudi!Y8+Vendredi!Y8+Samedii!Y8+lundi!Y8+'Jr non travaillé'!Y8</f>
        <v>0</v>
      </c>
      <c r="Z8" s="7">
        <f>Mercredi!Z8+jeudi!Z8+Vendredi!Z8+Samedii!Z8+lundi!Z8+'Jr non travaillé'!Z8</f>
        <v>0</v>
      </c>
      <c r="AA8" s="8">
        <f>Mercredi!AA8+jeudi!AA8+Vendredi!AA8+Samedii!AA8+lundi!AA8+'Jr non travaillé'!AA8</f>
        <v>0</v>
      </c>
      <c r="AB8" s="10">
        <f>Mercredi!AB8+jeudi!AB8+Vendredi!AB8+Samedii!AB8+lundi!AB8+'Jr non travaillé'!AB8</f>
        <v>2</v>
      </c>
      <c r="AC8" s="10">
        <f>Mercredi!AC8+jeudi!AC8+Vendredi!AC8+Samedii!AC8+lundi!AC8+'Jr non travaillé'!AC8</f>
        <v>0</v>
      </c>
      <c r="AD8" s="10">
        <f>Mercredi!AD8+jeudi!AD8+Vendredi!AD8+Samedii!AD8+lundi!AD8+'Jr non travaillé'!AD8</f>
        <v>0</v>
      </c>
      <c r="AE8" s="10">
        <f>Mercredi!AE8+jeudi!AE8+Vendredi!AE8+Samedii!AE8+lundi!AE8+'Jr non travaillé'!AE8</f>
        <v>2</v>
      </c>
      <c r="AF8" s="10">
        <f>Mercredi!AF8+jeudi!AF8+Vendredi!AF8+Samedii!AF8+lundi!AF8+'Jr non travaillé'!AF8</f>
        <v>0</v>
      </c>
      <c r="AG8" s="6" t="e">
        <f>Mercredi!AG8+jeudi!AG8+Vendredi!AG8+Samedii!AG8+lundi!AG8+'Jr non travaillé'!AG8</f>
        <v>#VALUE!</v>
      </c>
      <c r="AH8" s="7">
        <f>Mercredi!AH8+jeudi!AH8+Vendredi!AH8+Samedii!AH8+lundi!AH8+'Jr non travaillé'!AH8</f>
        <v>0</v>
      </c>
      <c r="AI8" s="7">
        <f>Mercredi!AI8+jeudi!AI8+Vendredi!AI8+Samedii!AI8+lundi!AI8+'Jr non travaillé'!AI8</f>
        <v>0</v>
      </c>
      <c r="AJ8" s="7">
        <f>Mercredi!AJ8+jeudi!AJ8+Vendredi!AJ8+Samedii!AJ8+lundi!AJ8+'Jr non travaillé'!AJ8</f>
        <v>0</v>
      </c>
      <c r="AK8" s="8">
        <f>Mercredi!AK8+jeudi!AK8+Vendredi!AK8+Samedii!AK8+lundi!AK8+'Jr non travaillé'!AK8</f>
        <v>0</v>
      </c>
      <c r="AL8" s="9">
        <f>Mercredi!AL8+jeudi!AL8+Vendredi!AL8+Samedii!AL8+lundi!AL8+'Jr non travaillé'!AL8</f>
        <v>10</v>
      </c>
      <c r="AM8" s="10">
        <f>Mercredi!AM8+jeudi!AM8+Vendredi!AM8+Samedii!AM8+lundi!AM8+'Jr non travaillé'!AM8</f>
        <v>0</v>
      </c>
      <c r="AN8" s="10">
        <f>Mercredi!AN8+jeudi!AN8+Vendredi!AN8+Samedii!AN8+lundi!AN8+'Jr non travaillé'!AN8</f>
        <v>2</v>
      </c>
      <c r="AO8" s="10">
        <f>Mercredi!AO8+jeudi!AO8+Vendredi!AO8+Samedii!AO8+lundi!AO8+'Jr non travaillé'!AO8</f>
        <v>7</v>
      </c>
      <c r="AP8" s="11">
        <f>Mercredi!AP8+jeudi!AP8+Vendredi!AP8+Samedii!AP8+lundi!AP8+'Jr non travaillé'!AP8</f>
        <v>28</v>
      </c>
      <c r="AQ8" s="91">
        <f>Mercredi!AQ8+jeudi!AQ8+Vendredi!AQ8+Samedii!AQ8+lundi!AQ8+'Jr non travaillé'!AQ8</f>
        <v>2.8333333333333335</v>
      </c>
      <c r="AR8" s="10">
        <f>Mercredi!AR8+jeudi!AR8+Vendredi!AR8+Samedii!AR8+lundi!AR8+'Jr non travaillé'!AR8</f>
        <v>0</v>
      </c>
      <c r="AS8" s="10">
        <f>Mercredi!AS8+jeudi!AS8+Vendredi!AS8+Samedii!AS8+lundi!AS8+'Jr non travaillé'!AS8</f>
        <v>0.3</v>
      </c>
      <c r="AT8" s="10">
        <f>Mercredi!AT8+jeudi!AT8+Vendredi!AT8+Samedii!AT8+lundi!AT8+'Jr non travaillé'!AT8</f>
        <v>1.9</v>
      </c>
      <c r="AU8" s="10">
        <f>Mercredi!AU8+jeudi!AU8+Vendredi!AU8+Samedii!AU8+lundi!AU8+'Jr non travaillé'!AU8</f>
        <v>9</v>
      </c>
      <c r="AV8" s="6">
        <f>Mercredi!AV8+jeudi!AV8+Vendredi!AV8+Samedii!AV8+lundi!AV8+'Jr non travaillé'!AV8</f>
        <v>19</v>
      </c>
      <c r="AW8" s="7">
        <f>Mercredi!AW8+jeudi!AW8+Vendredi!AW8+Samedii!AW8+lundi!AW8+'Jr non travaillé'!AW8</f>
        <v>19</v>
      </c>
      <c r="AX8" s="7">
        <f>Mercredi!AX8+jeudi!AX8+Vendredi!AX8+Samedii!AX8+lundi!AX8+'Jr non travaillé'!AX8</f>
        <v>19</v>
      </c>
      <c r="AY8" s="7">
        <f>Mercredi!AY8+jeudi!AY8+Vendredi!AY8+Samedii!AY8+lundi!AY8+'Jr non travaillé'!AY8</f>
        <v>0</v>
      </c>
      <c r="AZ8" s="8">
        <f>Mercredi!AZ8+jeudi!AZ8+Vendredi!AZ8+Samedii!AZ8+lundi!AZ8+'Jr non travaillé'!AZ8</f>
        <v>0</v>
      </c>
      <c r="BA8" s="6">
        <f>Mercredi!BA8+jeudi!BA8+Vendredi!BA8+Samedii!BA8+lundi!BA8+'Jr non travaillé'!BA8</f>
        <v>37</v>
      </c>
      <c r="BB8" s="7">
        <f>Mercredi!BB8+jeudi!BB8+Vendredi!BB8+Samedii!BB8+lundi!BB8+'Jr non travaillé'!BB8</f>
        <v>0</v>
      </c>
      <c r="BC8" s="8">
        <f>Mercredi!BC8+jeudi!BC8+Vendredi!BC8+Samedii!BC8+lundi!BC8+'Jr non travaillé'!BC8</f>
        <v>95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>
        <f>Mercredi!W9+jeudi!W9+Vendredi!W9+Samedii!W9+lundi!W9+'Jr non travaillé'!W9</f>
        <v>124</v>
      </c>
      <c r="X9" s="7">
        <f>Mercredi!X9+jeudi!X9+Vendredi!X9+Samedii!X9+lundi!X9+'Jr non travaillé'!X9</f>
        <v>0</v>
      </c>
      <c r="Y9" s="7">
        <f>Mercredi!Y9+jeudi!Y9+Vendredi!Y9+Samedii!Y9+lundi!Y9+'Jr non travaillé'!Y9</f>
        <v>0</v>
      </c>
      <c r="Z9" s="7">
        <f>Mercredi!Z9+jeudi!Z9+Vendredi!Z9+Samedii!Z9+lundi!Z9+'Jr non travaillé'!Z9</f>
        <v>0</v>
      </c>
      <c r="AA9" s="8">
        <f>Mercredi!AA9+jeudi!AA9+Vendredi!AA9+Samedii!AA9+lundi!AA9+'Jr non travaillé'!AA9</f>
        <v>0</v>
      </c>
      <c r="AB9" s="10">
        <f>Mercredi!AB9+jeudi!AB9+Vendredi!AB9+Samedii!AB9+lundi!AB9+'Jr non travaillé'!AB9</f>
        <v>0</v>
      </c>
      <c r="AC9" s="10">
        <f>Mercredi!AC9+jeudi!AC9+Vendredi!AC9+Samedii!AC9+lundi!AC9+'Jr non travaillé'!AC9</f>
        <v>0</v>
      </c>
      <c r="AD9" s="10">
        <f>Mercredi!AD9+jeudi!AD9+Vendredi!AD9+Samedii!AD9+lundi!AD9+'Jr non travaillé'!AD9</f>
        <v>1</v>
      </c>
      <c r="AE9" s="10">
        <f>Mercredi!AE9+jeudi!AE9+Vendredi!AE9+Samedii!AE9+lundi!AE9+'Jr non travaillé'!AE9</f>
        <v>1</v>
      </c>
      <c r="AF9" s="10">
        <f>Mercredi!AF9+jeudi!AF9+Vendredi!AF9+Samedii!AF9+lundi!AF9+'Jr non travaillé'!AF9</f>
        <v>0</v>
      </c>
      <c r="AG9" s="6" t="e">
        <f>Mercredi!AG9+jeudi!AG9+Vendredi!AG9+Samedii!AG9+lundi!AG9+'Jr non travaillé'!AG9</f>
        <v>#VALUE!</v>
      </c>
      <c r="AH9" s="7">
        <f>Mercredi!AH9+jeudi!AH9+Vendredi!AH9+Samedii!AH9+lundi!AH9+'Jr non travaillé'!AH9</f>
        <v>0</v>
      </c>
      <c r="AI9" s="7">
        <f>Mercredi!AI9+jeudi!AI9+Vendredi!AI9+Samedii!AI9+lundi!AI9+'Jr non travaillé'!AI9</f>
        <v>0</v>
      </c>
      <c r="AJ9" s="7">
        <f>Mercredi!AJ9+jeudi!AJ9+Vendredi!AJ9+Samedii!AJ9+lundi!AJ9+'Jr non travaillé'!AJ9</f>
        <v>0</v>
      </c>
      <c r="AK9" s="8">
        <f>Mercredi!AK9+jeudi!AK9+Vendredi!AK9+Samedii!AK9+lundi!AK9+'Jr non travaillé'!AK9</f>
        <v>0</v>
      </c>
      <c r="AL9" s="9">
        <f>Mercredi!AL9+jeudi!AL9+Vendredi!AL9+Samedii!AL9+lundi!AL9+'Jr non travaillé'!AL9</f>
        <v>5</v>
      </c>
      <c r="AM9" s="10">
        <f>Mercredi!AM9+jeudi!AM9+Vendredi!AM9+Samedii!AM9+lundi!AM9+'Jr non travaillé'!AM9</f>
        <v>0</v>
      </c>
      <c r="AN9" s="10">
        <f>Mercredi!AN9+jeudi!AN9+Vendredi!AN9+Samedii!AN9+lundi!AN9+'Jr non travaillé'!AN9</f>
        <v>7</v>
      </c>
      <c r="AO9" s="10">
        <f>Mercredi!AO9+jeudi!AO9+Vendredi!AO9+Samedii!AO9+lundi!AO9+'Jr non travaillé'!AO9</f>
        <v>3</v>
      </c>
      <c r="AP9" s="11">
        <f>Mercredi!AP9+jeudi!AP9+Vendredi!AP9+Samedii!AP9+lundi!AP9+'Jr non travaillé'!AP9</f>
        <v>24</v>
      </c>
      <c r="AQ9" s="91">
        <f>Mercredi!AQ9+jeudi!AQ9+Vendredi!AQ9+Samedii!AQ9+lundi!AQ9+'Jr non travaillé'!AQ9</f>
        <v>2.1666666666666665</v>
      </c>
      <c r="AR9" s="10">
        <f>Mercredi!AR9+jeudi!AR9+Vendredi!AR9+Samedii!AR9+lundi!AR9+'Jr non travaillé'!AR9</f>
        <v>0</v>
      </c>
      <c r="AS9" s="10">
        <f>Mercredi!AS9+jeudi!AS9+Vendredi!AS9+Samedii!AS9+lundi!AS9+'Jr non travaillé'!AS9</f>
        <v>1</v>
      </c>
      <c r="AT9" s="10">
        <f>Mercredi!AT9+jeudi!AT9+Vendredi!AT9+Samedii!AT9+lundi!AT9+'Jr non travaillé'!AT9</f>
        <v>0.9</v>
      </c>
      <c r="AU9" s="10">
        <f>Mercredi!AU9+jeudi!AU9+Vendredi!AU9+Samedii!AU9+lundi!AU9+'Jr non travaillé'!AU9</f>
        <v>9.5</v>
      </c>
      <c r="AV9" s="6">
        <f>Mercredi!AV9+jeudi!AV9+Vendredi!AV9+Samedii!AV9+lundi!AV9+'Jr non travaillé'!AV9</f>
        <v>19</v>
      </c>
      <c r="AW9" s="7">
        <f>Mercredi!AW9+jeudi!AW9+Vendredi!AW9+Samedii!AW9+lundi!AW9+'Jr non travaillé'!AW9</f>
        <v>19</v>
      </c>
      <c r="AX9" s="7">
        <f>Mercredi!AX9+jeudi!AX9+Vendredi!AX9+Samedii!AX9+lundi!AX9+'Jr non travaillé'!AX9</f>
        <v>19</v>
      </c>
      <c r="AY9" s="7">
        <f>Mercredi!AY9+jeudi!AY9+Vendredi!AY9+Samedii!AY9+lundi!AY9+'Jr non travaillé'!AY9</f>
        <v>0</v>
      </c>
      <c r="AZ9" s="8">
        <f>Mercredi!AZ9+jeudi!AZ9+Vendredi!AZ9+Samedii!AZ9+lundi!AZ9+'Jr non travaillé'!AZ9</f>
        <v>0</v>
      </c>
      <c r="BA9" s="6">
        <f>Mercredi!BA9+jeudi!BA9+Vendredi!BA9+Samedii!BA9+lundi!BA9+'Jr non travaillé'!BA9</f>
        <v>51</v>
      </c>
      <c r="BB9" s="7">
        <f>Mercredi!BB9+jeudi!BB9+Vendredi!BB9+Samedii!BB9+lundi!BB9+'Jr non travaillé'!BB9</f>
        <v>0</v>
      </c>
      <c r="BC9" s="8">
        <f>Mercredi!BC9+jeudi!BC9+Vendredi!BC9+Samedii!BC9+lundi!BC9+'Jr non travaillé'!BC9</f>
        <v>93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>
        <f>Mercredi!W10+jeudi!W10+Vendredi!W10+Samedii!W10+lundi!W10+'Jr non travaillé'!W10</f>
        <v>121</v>
      </c>
      <c r="X10" s="7">
        <f>Mercredi!X10+jeudi!X10+Vendredi!X10+Samedii!X10+lundi!X10+'Jr non travaillé'!X10</f>
        <v>0</v>
      </c>
      <c r="Y10" s="7">
        <f>Mercredi!Y10+jeudi!Y10+Vendredi!Y10+Samedii!Y10+lundi!Y10+'Jr non travaillé'!Y10</f>
        <v>0</v>
      </c>
      <c r="Z10" s="7">
        <f>Mercredi!Z10+jeudi!Z10+Vendredi!Z10+Samedii!Z10+lundi!Z10+'Jr non travaillé'!Z10</f>
        <v>0</v>
      </c>
      <c r="AA10" s="8">
        <f>Mercredi!AA10+jeudi!AA10+Vendredi!AA10+Samedii!AA10+lundi!AA10+'Jr non travaillé'!AA10</f>
        <v>0</v>
      </c>
      <c r="AB10" s="10">
        <f>Mercredi!AB10+jeudi!AB10+Vendredi!AB10+Samedii!AB10+lundi!AB10+'Jr non travaillé'!AB10</f>
        <v>0</v>
      </c>
      <c r="AC10" s="10">
        <f>Mercredi!AC10+jeudi!AC10+Vendredi!AC10+Samedii!AC10+lundi!AC10+'Jr non travaillé'!AC10</f>
        <v>1</v>
      </c>
      <c r="AD10" s="10">
        <f>Mercredi!AD10+jeudi!AD10+Vendredi!AD10+Samedii!AD10+lundi!AD10+'Jr non travaillé'!AD10</f>
        <v>0</v>
      </c>
      <c r="AE10" s="10">
        <f>Mercredi!AE10+jeudi!AE10+Vendredi!AE10+Samedii!AE10+lundi!AE10+'Jr non travaillé'!AE10</f>
        <v>2</v>
      </c>
      <c r="AF10" s="10">
        <f>Mercredi!AF10+jeudi!AF10+Vendredi!AF10+Samedii!AF10+lundi!AF10+'Jr non travaillé'!AF10</f>
        <v>0</v>
      </c>
      <c r="AG10" s="6" t="e">
        <f>Mercredi!AG10+jeudi!AG10+Vendredi!AG10+Samedii!AG10+lundi!AG10+'Jr non travaillé'!AG10</f>
        <v>#VALUE!</v>
      </c>
      <c r="AH10" s="7">
        <f>Mercredi!AH10+jeudi!AH10+Vendredi!AH10+Samedii!AH10+lundi!AH10+'Jr non travaillé'!AH10</f>
        <v>0</v>
      </c>
      <c r="AI10" s="7">
        <f>Mercredi!AI10+jeudi!AI10+Vendredi!AI10+Samedii!AI10+lundi!AI10+'Jr non travaillé'!AI10</f>
        <v>0</v>
      </c>
      <c r="AJ10" s="7">
        <f>Mercredi!AJ10+jeudi!AJ10+Vendredi!AJ10+Samedii!AJ10+lundi!AJ10+'Jr non travaillé'!AJ10</f>
        <v>0</v>
      </c>
      <c r="AK10" s="8">
        <f>Mercredi!AK10+jeudi!AK10+Vendredi!AK10+Samedii!AK10+lundi!AK10+'Jr non travaillé'!AK10</f>
        <v>0</v>
      </c>
      <c r="AL10" s="9">
        <f>Mercredi!AL10+jeudi!AL10+Vendredi!AL10+Samedii!AL10+lundi!AL10+'Jr non travaillé'!AL10</f>
        <v>4</v>
      </c>
      <c r="AM10" s="10">
        <f>Mercredi!AM10+jeudi!AM10+Vendredi!AM10+Samedii!AM10+lundi!AM10+'Jr non travaillé'!AM10</f>
        <v>1</v>
      </c>
      <c r="AN10" s="10">
        <f>Mercredi!AN10+jeudi!AN10+Vendredi!AN10+Samedii!AN10+lundi!AN10+'Jr non travaillé'!AN10</f>
        <v>4</v>
      </c>
      <c r="AO10" s="10">
        <f>Mercredi!AO10+jeudi!AO10+Vendredi!AO10+Samedii!AO10+lundi!AO10+'Jr non travaillé'!AO10</f>
        <v>4</v>
      </c>
      <c r="AP10" s="11">
        <f>Mercredi!AP10+jeudi!AP10+Vendredi!AP10+Samedii!AP10+lundi!AP10+'Jr non travaillé'!AP10</f>
        <v>23</v>
      </c>
      <c r="AQ10" s="91">
        <f>Mercredi!AQ10+jeudi!AQ10+Vendredi!AQ10+Samedii!AQ10+lundi!AQ10+'Jr non travaillé'!AQ10</f>
        <v>1.4999999999999998</v>
      </c>
      <c r="AR10" s="10">
        <f>Mercredi!AR10+jeudi!AR10+Vendredi!AR10+Samedii!AR10+lundi!AR10+'Jr non travaillé'!AR10</f>
        <v>0</v>
      </c>
      <c r="AS10" s="10">
        <f>Mercredi!AS10+jeudi!AS10+Vendredi!AS10+Samedii!AS10+lundi!AS10+'Jr non travaillé'!AS10</f>
        <v>0.75</v>
      </c>
      <c r="AT10" s="10">
        <f>Mercredi!AT10+jeudi!AT10+Vendredi!AT10+Samedii!AT10+lundi!AT10+'Jr non travaillé'!AT10</f>
        <v>1.3</v>
      </c>
      <c r="AU10" s="10">
        <f>Mercredi!AU10+jeudi!AU10+Vendredi!AU10+Samedii!AU10+lundi!AU10+'Jr non travaillé'!AU10</f>
        <v>8.5</v>
      </c>
      <c r="AV10" s="6">
        <f>Mercredi!AV10+jeudi!AV10+Vendredi!AV10+Samedii!AV10+lundi!AV10+'Jr non travaillé'!AV10</f>
        <v>19</v>
      </c>
      <c r="AW10" s="7">
        <f>Mercredi!AW10+jeudi!AW10+Vendredi!AW10+Samedii!AW10+lundi!AW10+'Jr non travaillé'!AW10</f>
        <v>19</v>
      </c>
      <c r="AX10" s="7">
        <f>Mercredi!AX10+jeudi!AX10+Vendredi!AX10+Samedii!AX10+lundi!AX10+'Jr non travaillé'!AX10</f>
        <v>19</v>
      </c>
      <c r="AY10" s="7">
        <f>Mercredi!AY10+jeudi!AY10+Vendredi!AY10+Samedii!AY10+lundi!AY10+'Jr non travaillé'!AY10</f>
        <v>0</v>
      </c>
      <c r="AZ10" s="8">
        <f>Mercredi!AZ10+jeudi!AZ10+Vendredi!AZ10+Samedii!AZ10+lundi!AZ10+'Jr non travaillé'!AZ10</f>
        <v>0</v>
      </c>
      <c r="BA10" s="6">
        <f>Mercredi!BA10+jeudi!BA10+Vendredi!BA10+Samedii!BA10+lundi!BA10+'Jr non travaillé'!BA10</f>
        <v>38</v>
      </c>
      <c r="BB10" s="7">
        <f>Mercredi!BB10+jeudi!BB10+Vendredi!BB10+Samedii!BB10+lundi!BB10+'Jr non travaillé'!BB10</f>
        <v>0</v>
      </c>
      <c r="BC10" s="8">
        <f>Mercredi!BC10+jeudi!BC10+Vendredi!BC10+Samedii!BC10+lundi!BC10+'Jr non travaillé'!BC10</f>
        <v>73</v>
      </c>
      <c r="BD10" s="165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>
        <f>Mercredi!W11+jeudi!W11+Vendredi!W11+Samedii!W11+lundi!W11+'Jr non travaillé'!W11</f>
        <v>121</v>
      </c>
      <c r="X11" s="7">
        <f>Mercredi!X11+jeudi!X11+Vendredi!X11+Samedii!X11+lundi!X11+'Jr non travaillé'!X11</f>
        <v>0</v>
      </c>
      <c r="Y11" s="7">
        <f>Mercredi!Y11+jeudi!Y11+Vendredi!Y11+Samedii!Y11+lundi!Y11+'Jr non travaillé'!Y11</f>
        <v>0</v>
      </c>
      <c r="Z11" s="7">
        <f>Mercredi!Z11+jeudi!Z11+Vendredi!Z11+Samedii!Z11+lundi!Z11+'Jr non travaillé'!Z11</f>
        <v>0</v>
      </c>
      <c r="AA11" s="8">
        <f>Mercredi!AA11+jeudi!AA11+Vendredi!AA11+Samedii!AA11+lundi!AA11+'Jr non travaillé'!AA11</f>
        <v>0</v>
      </c>
      <c r="AB11" s="10">
        <f>Mercredi!AB11+jeudi!AB11+Vendredi!AB11+Samedii!AB11+lundi!AB11+'Jr non travaillé'!AB11</f>
        <v>1</v>
      </c>
      <c r="AC11" s="10">
        <f>Mercredi!AC11+jeudi!AC11+Vendredi!AC11+Samedii!AC11+lundi!AC11+'Jr non travaillé'!AC11</f>
        <v>0</v>
      </c>
      <c r="AD11" s="10">
        <f>Mercredi!AD11+jeudi!AD11+Vendredi!AD11+Samedii!AD11+lundi!AD11+'Jr non travaillé'!AD11</f>
        <v>0</v>
      </c>
      <c r="AE11" s="10">
        <f>Mercredi!AE11+jeudi!AE11+Vendredi!AE11+Samedii!AE11+lundi!AE11+'Jr non travaillé'!AE11</f>
        <v>2</v>
      </c>
      <c r="AF11" s="10">
        <f>Mercredi!AF11+jeudi!AF11+Vendredi!AF11+Samedii!AF11+lundi!AF11+'Jr non travaillé'!AF11</f>
        <v>1</v>
      </c>
      <c r="AG11" s="6" t="e">
        <f>Mercredi!AG11+jeudi!AG11+Vendredi!AG11+Samedii!AG11+lundi!AG11+'Jr non travaillé'!AG11</f>
        <v>#VALUE!</v>
      </c>
      <c r="AH11" s="7">
        <f>Mercredi!AH11+jeudi!AH11+Vendredi!AH11+Samedii!AH11+lundi!AH11+'Jr non travaillé'!AH11</f>
        <v>0</v>
      </c>
      <c r="AI11" s="7">
        <f>Mercredi!AI11+jeudi!AI11+Vendredi!AI11+Samedii!AI11+lundi!AI11+'Jr non travaillé'!AI11</f>
        <v>0</v>
      </c>
      <c r="AJ11" s="7">
        <f>Mercredi!AJ11+jeudi!AJ11+Vendredi!AJ11+Samedii!AJ11+lundi!AJ11+'Jr non travaillé'!AJ11</f>
        <v>0</v>
      </c>
      <c r="AK11" s="8">
        <f>Mercredi!AK11+jeudi!AK11+Vendredi!AK11+Samedii!AK11+lundi!AK11+'Jr non travaillé'!AK11</f>
        <v>0</v>
      </c>
      <c r="AL11" s="9">
        <f>Mercredi!AL11+jeudi!AL11+Vendredi!AL11+Samedii!AL11+lundi!AL11+'Jr non travaillé'!AL11</f>
        <v>4</v>
      </c>
      <c r="AM11" s="10">
        <f>Mercredi!AM11+jeudi!AM11+Vendredi!AM11+Samedii!AM11+lundi!AM11+'Jr non travaillé'!AM11</f>
        <v>0</v>
      </c>
      <c r="AN11" s="10">
        <f>Mercredi!AN11+jeudi!AN11+Vendredi!AN11+Samedii!AN11+lundi!AN11+'Jr non travaillé'!AN11</f>
        <v>3</v>
      </c>
      <c r="AO11" s="10">
        <f>Mercredi!AO11+jeudi!AO11+Vendredi!AO11+Samedii!AO11+lundi!AO11+'Jr non travaillé'!AO11</f>
        <v>5</v>
      </c>
      <c r="AP11" s="11">
        <f>Mercredi!AP11+jeudi!AP11+Vendredi!AP11+Samedii!AP11+lundi!AP11+'Jr non travaillé'!AP11</f>
        <v>32</v>
      </c>
      <c r="AQ11" s="91">
        <f>Mercredi!AQ11+jeudi!AQ11+Vendredi!AQ11+Samedii!AQ11+lundi!AQ11+'Jr non travaillé'!AQ11</f>
        <v>1.8333333333333333</v>
      </c>
      <c r="AR11" s="10">
        <f>Mercredi!AR11+jeudi!AR11+Vendredi!AR11+Samedii!AR11+lundi!AR11+'Jr non travaillé'!AR11</f>
        <v>0</v>
      </c>
      <c r="AS11" s="10">
        <f>Mercredi!AS11+jeudi!AS11+Vendredi!AS11+Samedii!AS11+lundi!AS11+'Jr non travaillé'!AS11</f>
        <v>0.44999999999999996</v>
      </c>
      <c r="AT11" s="10">
        <f>Mercredi!AT11+jeudi!AT11+Vendredi!AT11+Samedii!AT11+lundi!AT11+'Jr non travaillé'!AT11</f>
        <v>1.6</v>
      </c>
      <c r="AU11" s="10">
        <f>Mercredi!AU11+jeudi!AU11+Vendredi!AU11+Samedii!AU11+lundi!AU11+'Jr non travaillé'!AU11</f>
        <v>11.5</v>
      </c>
      <c r="AV11" s="6">
        <f>Mercredi!AV11+jeudi!AV11+Vendredi!AV11+Samedii!AV11+lundi!AV11+'Jr non travaillé'!AV11</f>
        <v>19</v>
      </c>
      <c r="AW11" s="7">
        <f>Mercredi!AW11+jeudi!AW11+Vendredi!AW11+Samedii!AW11+lundi!AW11+'Jr non travaillé'!AW11</f>
        <v>19</v>
      </c>
      <c r="AX11" s="7">
        <f>Mercredi!AX11+jeudi!AX11+Vendredi!AX11+Samedii!AX11+lundi!AX11+'Jr non travaillé'!AX11</f>
        <v>19</v>
      </c>
      <c r="AY11" s="7">
        <f>Mercredi!AY11+jeudi!AY11+Vendredi!AY11+Samedii!AY11+lundi!AY11+'Jr non travaillé'!AY11</f>
        <v>0</v>
      </c>
      <c r="AZ11" s="8">
        <f>Mercredi!AZ11+jeudi!AZ11+Vendredi!AZ11+Samedii!AZ11+lundi!AZ11+'Jr non travaillé'!AZ11</f>
        <v>0</v>
      </c>
      <c r="BA11" s="6">
        <f>Mercredi!BA11+jeudi!BA11+Vendredi!BA11+Samedii!BA11+lundi!BA11+'Jr non travaillé'!BA11</f>
        <v>26</v>
      </c>
      <c r="BB11" s="7">
        <f>Mercredi!BB11+jeudi!BB11+Vendredi!BB11+Samedii!BB11+lundi!BB11+'Jr non travaillé'!BB11</f>
        <v>0</v>
      </c>
      <c r="BC11" s="8">
        <f>Mercredi!BC11+jeudi!BC11+Vendredi!BC11+Samedii!BC11+lundi!BC11+'Jr non travaillé'!BC11</f>
        <v>110</v>
      </c>
      <c r="BD11" s="166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>
        <f>Mercredi!W12+jeudi!W12+Vendredi!W12+Samedii!W12+lundi!W12+'Jr non travaillé'!W12</f>
        <v>126</v>
      </c>
      <c r="X12" s="7">
        <f>Mercredi!X12+jeudi!X12+Vendredi!X12+Samedii!X12+lundi!X12+'Jr non travaillé'!X12</f>
        <v>0</v>
      </c>
      <c r="Y12" s="7">
        <f>Mercredi!Y12+jeudi!Y12+Vendredi!Y12+Samedii!Y12+lundi!Y12+'Jr non travaillé'!Y12</f>
        <v>0</v>
      </c>
      <c r="Z12" s="7">
        <f>Mercredi!Z12+jeudi!Z12+Vendredi!Z12+Samedii!Z12+lundi!Z12+'Jr non travaillé'!Z12</f>
        <v>0</v>
      </c>
      <c r="AA12" s="8">
        <f>Mercredi!AA12+jeudi!AA12+Vendredi!AA12+Samedii!AA12+lundi!AA12+'Jr non travaillé'!AA12</f>
        <v>0</v>
      </c>
      <c r="AB12" s="10">
        <f>Mercredi!AB12+jeudi!AB12+Vendredi!AB12+Samedii!AB12+lundi!AB12+'Jr non travaillé'!AB12</f>
        <v>2</v>
      </c>
      <c r="AC12" s="10">
        <f>Mercredi!AC12+jeudi!AC12+Vendredi!AC12+Samedii!AC12+lundi!AC12+'Jr non travaillé'!AC12</f>
        <v>0</v>
      </c>
      <c r="AD12" s="10">
        <f>Mercredi!AD12+jeudi!AD12+Vendredi!AD12+Samedii!AD12+lundi!AD12+'Jr non travaillé'!AD12</f>
        <v>0</v>
      </c>
      <c r="AE12" s="10">
        <f>Mercredi!AE12+jeudi!AE12+Vendredi!AE12+Samedii!AE12+lundi!AE12+'Jr non travaillé'!AE12</f>
        <v>1</v>
      </c>
      <c r="AF12" s="10">
        <f>Mercredi!AF12+jeudi!AF12+Vendredi!AF12+Samedii!AF12+lundi!AF12+'Jr non travaillé'!AF12</f>
        <v>0</v>
      </c>
      <c r="AG12" s="6" t="e">
        <f>Mercredi!AG12+jeudi!AG12+Vendredi!AG12+Samedii!AG12+lundi!AG12+'Jr non travaillé'!AG12</f>
        <v>#VALUE!</v>
      </c>
      <c r="AH12" s="7">
        <f>Mercredi!AH12+jeudi!AH12+Vendredi!AH12+Samedii!AH12+lundi!AH12+'Jr non travaillé'!AH12</f>
        <v>0</v>
      </c>
      <c r="AI12" s="7">
        <f>Mercredi!AI12+jeudi!AI12+Vendredi!AI12+Samedii!AI12+lundi!AI12+'Jr non travaillé'!AI12</f>
        <v>0</v>
      </c>
      <c r="AJ12" s="7">
        <f>Mercredi!AJ12+jeudi!AJ12+Vendredi!AJ12+Samedii!AJ12+lundi!AJ12+'Jr non travaillé'!AJ12</f>
        <v>0</v>
      </c>
      <c r="AK12" s="8">
        <f>Mercredi!AK12+jeudi!AK12+Vendredi!AK12+Samedii!AK12+lundi!AK12+'Jr non travaillé'!AK12</f>
        <v>0</v>
      </c>
      <c r="AL12" s="9">
        <f>Mercredi!AL12+jeudi!AL12+Vendredi!AL12+Samedii!AL12+lundi!AL12+'Jr non travaillé'!AL12</f>
        <v>6</v>
      </c>
      <c r="AM12" s="10">
        <f>Mercredi!AM12+jeudi!AM12+Vendredi!AM12+Samedii!AM12+lundi!AM12+'Jr non travaillé'!AM12</f>
        <v>0</v>
      </c>
      <c r="AN12" s="10">
        <f>Mercredi!AN12+jeudi!AN12+Vendredi!AN12+Samedii!AN12+lundi!AN12+'Jr non travaillé'!AN12</f>
        <v>5</v>
      </c>
      <c r="AO12" s="10">
        <f>Mercredi!AO12+jeudi!AO12+Vendredi!AO12+Samedii!AO12+lundi!AO12+'Jr non travaillé'!AO12</f>
        <v>5</v>
      </c>
      <c r="AP12" s="11">
        <f>Mercredi!AP12+jeudi!AP12+Vendredi!AP12+Samedii!AP12+lundi!AP12+'Jr non travaillé'!AP12</f>
        <v>30</v>
      </c>
      <c r="AQ12" s="91">
        <f>Mercredi!AQ12+jeudi!AQ12+Vendredi!AQ12+Samedii!AQ12+lundi!AQ12+'Jr non travaillé'!AQ12</f>
        <v>2.25</v>
      </c>
      <c r="AR12" s="10">
        <f>Mercredi!AR12+jeudi!AR12+Vendredi!AR12+Samedii!AR12+lundi!AR12+'Jr non travaillé'!AR12</f>
        <v>0</v>
      </c>
      <c r="AS12" s="10">
        <f>Mercredi!AS12+jeudi!AS12+Vendredi!AS12+Samedii!AS12+lundi!AS12+'Jr non travaillé'!AS12</f>
        <v>1.05</v>
      </c>
      <c r="AT12" s="10">
        <f>Mercredi!AT12+jeudi!AT12+Vendredi!AT12+Samedii!AT12+lundi!AT12+'Jr non travaillé'!AT12</f>
        <v>1.9</v>
      </c>
      <c r="AU12" s="10">
        <f>Mercredi!AU12+jeudi!AU12+Vendredi!AU12+Samedii!AU12+lundi!AU12+'Jr non travaillé'!AU12</f>
        <v>10.5</v>
      </c>
      <c r="AV12" s="6">
        <f>Mercredi!AV12+jeudi!AV12+Vendredi!AV12+Samedii!AV12+lundi!AV12+'Jr non travaillé'!AV12</f>
        <v>19</v>
      </c>
      <c r="AW12" s="7">
        <f>Mercredi!AW12+jeudi!AW12+Vendredi!AW12+Samedii!AW12+lundi!AW12+'Jr non travaillé'!AW12</f>
        <v>19</v>
      </c>
      <c r="AX12" s="7">
        <f>Mercredi!AX12+jeudi!AX12+Vendredi!AX12+Samedii!AX12+lundi!AX12+'Jr non travaillé'!AX12</f>
        <v>19</v>
      </c>
      <c r="AY12" s="7">
        <f>Mercredi!AY12+jeudi!AY12+Vendredi!AY12+Samedii!AY12+lundi!AY12+'Jr non travaillé'!AY12</f>
        <v>0</v>
      </c>
      <c r="AZ12" s="8">
        <f>Mercredi!AZ12+jeudi!AZ12+Vendredi!AZ12+Samedii!AZ12+lundi!AZ12+'Jr non travaillé'!AZ12</f>
        <v>0</v>
      </c>
      <c r="BA12" s="6">
        <f>Mercredi!BA12+jeudi!BA12+Vendredi!BA12+Samedii!BA12+lundi!BA12+'Jr non travaillé'!BA12</f>
        <v>57</v>
      </c>
      <c r="BB12" s="7">
        <f>Mercredi!BB12+jeudi!BB12+Vendredi!BB12+Samedii!BB12+lundi!BB12+'Jr non travaillé'!BB12</f>
        <v>0</v>
      </c>
      <c r="BC12" s="8">
        <f>Mercredi!BC12+jeudi!BC12+Vendredi!BC12+Samedii!BC12+lundi!BC12+'Jr non travaillé'!BC12</f>
        <v>113</v>
      </c>
      <c r="BD12" s="167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>
        <f>Mercredi!W13+jeudi!W13+Vendredi!W13+Samedii!W13+lundi!W13+'Jr non travaillé'!W13</f>
        <v>118</v>
      </c>
      <c r="X13" s="7">
        <f>Mercredi!X13+jeudi!X13+Vendredi!X13+Samedii!X13+lundi!X13+'Jr non travaillé'!X13</f>
        <v>0</v>
      </c>
      <c r="Y13" s="7">
        <f>Mercredi!Y13+jeudi!Y13+Vendredi!Y13+Samedii!Y13+lundi!Y13+'Jr non travaillé'!Y13</f>
        <v>0</v>
      </c>
      <c r="Z13" s="7">
        <f>Mercredi!Z13+jeudi!Z13+Vendredi!Z13+Samedii!Z13+lundi!Z13+'Jr non travaillé'!Z13</f>
        <v>0</v>
      </c>
      <c r="AA13" s="8">
        <f>Mercredi!AA13+jeudi!AA13+Vendredi!AA13+Samedii!AA13+lundi!AA13+'Jr non travaillé'!AA13</f>
        <v>0</v>
      </c>
      <c r="AB13" s="10">
        <f>Mercredi!AB13+jeudi!AB13+Vendredi!AB13+Samedii!AB13+lundi!AB13+'Jr non travaillé'!AB13</f>
        <v>1</v>
      </c>
      <c r="AC13" s="10">
        <f>Mercredi!AC13+jeudi!AC13+Vendredi!AC13+Samedii!AC13+lundi!AC13+'Jr non travaillé'!AC13</f>
        <v>0</v>
      </c>
      <c r="AD13" s="10">
        <f>Mercredi!AD13+jeudi!AD13+Vendredi!AD13+Samedii!AD13+lundi!AD13+'Jr non travaillé'!AD13</f>
        <v>1</v>
      </c>
      <c r="AE13" s="10">
        <f>Mercredi!AE13+jeudi!AE13+Vendredi!AE13+Samedii!AE13+lundi!AE13+'Jr non travaillé'!AE13</f>
        <v>4</v>
      </c>
      <c r="AF13" s="10">
        <f>Mercredi!AF13+jeudi!AF13+Vendredi!AF13+Samedii!AF13+lundi!AF13+'Jr non travaillé'!AF13</f>
        <v>0</v>
      </c>
      <c r="AG13" s="6" t="e">
        <f>Mercredi!AG13+jeudi!AG13+Vendredi!AG13+Samedii!AG13+lundi!AG13+'Jr non travaillé'!AG13</f>
        <v>#VALUE!</v>
      </c>
      <c r="AH13" s="7">
        <f>Mercredi!AH13+jeudi!AH13+Vendredi!AH13+Samedii!AH13+lundi!AH13+'Jr non travaillé'!AH13</f>
        <v>0</v>
      </c>
      <c r="AI13" s="7">
        <f>Mercredi!AI13+jeudi!AI13+Vendredi!AI13+Samedii!AI13+lundi!AI13+'Jr non travaillé'!AI13</f>
        <v>0</v>
      </c>
      <c r="AJ13" s="7">
        <f>Mercredi!AJ13+jeudi!AJ13+Vendredi!AJ13+Samedii!AJ13+lundi!AJ13+'Jr non travaillé'!AJ13</f>
        <v>0</v>
      </c>
      <c r="AK13" s="8">
        <f>Mercredi!AK13+jeudi!AK13+Vendredi!AK13+Samedii!AK13+lundi!AK13+'Jr non travaillé'!AK13</f>
        <v>0</v>
      </c>
      <c r="AL13" s="9">
        <f>Mercredi!AL13+jeudi!AL13+Vendredi!AL13+Samedii!AL13+lundi!AL13+'Jr non travaillé'!AL13</f>
        <v>8</v>
      </c>
      <c r="AM13" s="10">
        <f>Mercredi!AM13+jeudi!AM13+Vendredi!AM13+Samedii!AM13+lundi!AM13+'Jr non travaillé'!AM13</f>
        <v>0</v>
      </c>
      <c r="AN13" s="10">
        <f>Mercredi!AN13+jeudi!AN13+Vendredi!AN13+Samedii!AN13+lundi!AN13+'Jr non travaillé'!AN13</f>
        <v>5</v>
      </c>
      <c r="AO13" s="10">
        <f>Mercredi!AO13+jeudi!AO13+Vendredi!AO13+Samedii!AO13+lundi!AO13+'Jr non travaillé'!AO13</f>
        <v>9</v>
      </c>
      <c r="AP13" s="11">
        <f>Mercredi!AP13+jeudi!AP13+Vendredi!AP13+Samedii!AP13+lundi!AP13+'Jr non travaillé'!AP13</f>
        <v>20</v>
      </c>
      <c r="AQ13" s="91">
        <f>Mercredi!AQ13+jeudi!AQ13+Vendredi!AQ13+Samedii!AQ13+lundi!AQ13+'Jr non travaillé'!AQ13</f>
        <v>2.75</v>
      </c>
      <c r="AR13" s="10">
        <f>Mercredi!AR13+jeudi!AR13+Vendredi!AR13+Samedii!AR13+lundi!AR13+'Jr non travaillé'!AR13</f>
        <v>0</v>
      </c>
      <c r="AS13" s="10">
        <f>Mercredi!AS13+jeudi!AS13+Vendredi!AS13+Samedii!AS13+lundi!AS13+'Jr non travaillé'!AS13</f>
        <v>1.1999999999999997</v>
      </c>
      <c r="AT13" s="10">
        <f>Mercredi!AT13+jeudi!AT13+Vendredi!AT13+Samedii!AT13+lundi!AT13+'Jr non travaillé'!AT13</f>
        <v>2.3000000000000003</v>
      </c>
      <c r="AU13" s="10">
        <f>Mercredi!AU13+jeudi!AU13+Vendredi!AU13+Samedii!AU13+lundi!AU13+'Jr non travaillé'!AU13</f>
        <v>8</v>
      </c>
      <c r="AV13" s="6">
        <f>Mercredi!AV13+jeudi!AV13+Vendredi!AV13+Samedii!AV13+lundi!AV13+'Jr non travaillé'!AV13</f>
        <v>19</v>
      </c>
      <c r="AW13" s="7">
        <f>Mercredi!AW13+jeudi!AW13+Vendredi!AW13+Samedii!AW13+lundi!AW13+'Jr non travaillé'!AW13</f>
        <v>19</v>
      </c>
      <c r="AX13" s="7">
        <f>Mercredi!AX13+jeudi!AX13+Vendredi!AX13+Samedii!AX13+lundi!AX13+'Jr non travaillé'!AX13</f>
        <v>19</v>
      </c>
      <c r="AY13" s="7">
        <f>Mercredi!AY13+jeudi!AY13+Vendredi!AY13+Samedii!AY13+lundi!AY13+'Jr non travaillé'!AY13</f>
        <v>0</v>
      </c>
      <c r="AZ13" s="8">
        <f>Mercredi!AZ13+jeudi!AZ13+Vendredi!AZ13+Samedii!AZ13+lundi!AZ13+'Jr non travaillé'!AZ13</f>
        <v>0</v>
      </c>
      <c r="BA13" s="6">
        <f>Mercredi!BA13+jeudi!BA13+Vendredi!BA13+Samedii!BA13+lundi!BA13+'Jr non travaillé'!BA13</f>
        <v>64</v>
      </c>
      <c r="BB13" s="7">
        <f>Mercredi!BB13+jeudi!BB13+Vendredi!BB13+Samedii!BB13+lundi!BB13+'Jr non travaillé'!BB13</f>
        <v>0</v>
      </c>
      <c r="BC13" s="8">
        <f>Mercredi!BC13+jeudi!BC13+Vendredi!BC13+Samedii!BC13+lundi!BC13+'Jr non travaillé'!BC13</f>
        <v>91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>
        <f>Mercredi!W14+jeudi!W14+Vendredi!W14+Samedii!W14+lundi!W14+'Jr non travaillé'!W14</f>
        <v>115</v>
      </c>
      <c r="X14" s="7">
        <f>Mercredi!X14+jeudi!X14+Vendredi!X14+Samedii!X14+lundi!X14+'Jr non travaillé'!X14</f>
        <v>0</v>
      </c>
      <c r="Y14" s="7">
        <f>Mercredi!Y14+jeudi!Y14+Vendredi!Y14+Samedii!Y14+lundi!Y14+'Jr non travaillé'!Y14</f>
        <v>0</v>
      </c>
      <c r="Z14" s="7">
        <f>Mercredi!Z14+jeudi!Z14+Vendredi!Z14+Samedii!Z14+lundi!Z14+'Jr non travaillé'!Z14</f>
        <v>0</v>
      </c>
      <c r="AA14" s="8">
        <f>Mercredi!AA14+jeudi!AA14+Vendredi!AA14+Samedii!AA14+lundi!AA14+'Jr non travaillé'!AA14</f>
        <v>0</v>
      </c>
      <c r="AB14" s="10">
        <f>Mercredi!AB14+jeudi!AB14+Vendredi!AB14+Samedii!AB14+lundi!AB14+'Jr non travaillé'!AB14</f>
        <v>1</v>
      </c>
      <c r="AC14" s="10">
        <f>Mercredi!AC14+jeudi!AC14+Vendredi!AC14+Samedii!AC14+lundi!AC14+'Jr non travaillé'!AC14</f>
        <v>0</v>
      </c>
      <c r="AD14" s="10">
        <f>Mercredi!AD14+jeudi!AD14+Vendredi!AD14+Samedii!AD14+lundi!AD14+'Jr non travaillé'!AD14</f>
        <v>0</v>
      </c>
      <c r="AE14" s="10">
        <f>Mercredi!AE14+jeudi!AE14+Vendredi!AE14+Samedii!AE14+lundi!AE14+'Jr non travaillé'!AE14</f>
        <v>0</v>
      </c>
      <c r="AF14" s="10">
        <f>Mercredi!AF14+jeudi!AF14+Vendredi!AF14+Samedii!AF14+lundi!AF14+'Jr non travaillé'!AF14</f>
        <v>0</v>
      </c>
      <c r="AG14" s="6" t="e">
        <f>Mercredi!AG14+jeudi!AG14+Vendredi!AG14+Samedii!AG14+lundi!AG14+'Jr non travaillé'!AG14</f>
        <v>#VALUE!</v>
      </c>
      <c r="AH14" s="7">
        <f>Mercredi!AH14+jeudi!AH14+Vendredi!AH14+Samedii!AH14+lundi!AH14+'Jr non travaillé'!AH14</f>
        <v>0</v>
      </c>
      <c r="AI14" s="7">
        <f>Mercredi!AI14+jeudi!AI14+Vendredi!AI14+Samedii!AI14+lundi!AI14+'Jr non travaillé'!AI14</f>
        <v>0</v>
      </c>
      <c r="AJ14" s="7">
        <f>Mercredi!AJ14+jeudi!AJ14+Vendredi!AJ14+Samedii!AJ14+lundi!AJ14+'Jr non travaillé'!AJ14</f>
        <v>0</v>
      </c>
      <c r="AK14" s="8">
        <f>Mercredi!AK14+jeudi!AK14+Vendredi!AK14+Samedii!AK14+lundi!AK14+'Jr non travaillé'!AK14</f>
        <v>0</v>
      </c>
      <c r="AL14" s="9">
        <f>Mercredi!AL14+jeudi!AL14+Vendredi!AL14+Samedii!AL14+lundi!AL14+'Jr non travaillé'!AL14</f>
        <v>5</v>
      </c>
      <c r="AM14" s="10">
        <f>Mercredi!AM14+jeudi!AM14+Vendredi!AM14+Samedii!AM14+lundi!AM14+'Jr non travaillé'!AM14</f>
        <v>0</v>
      </c>
      <c r="AN14" s="10">
        <f>Mercredi!AN14+jeudi!AN14+Vendredi!AN14+Samedii!AN14+lundi!AN14+'Jr non travaillé'!AN14</f>
        <v>4</v>
      </c>
      <c r="AO14" s="10">
        <f>Mercredi!AO14+jeudi!AO14+Vendredi!AO14+Samedii!AO14+lundi!AO14+'Jr non travaillé'!AO14</f>
        <v>1</v>
      </c>
      <c r="AP14" s="11">
        <f>Mercredi!AP14+jeudi!AP14+Vendredi!AP14+Samedii!AP14+lundi!AP14+'Jr non travaillé'!AP14</f>
        <v>18</v>
      </c>
      <c r="AQ14" s="91">
        <f>Mercredi!AQ14+jeudi!AQ14+Vendredi!AQ14+Samedii!AQ14+lundi!AQ14+'Jr non travaillé'!AQ14</f>
        <v>2.083333333333333</v>
      </c>
      <c r="AR14" s="10">
        <f>Mercredi!AR14+jeudi!AR14+Vendredi!AR14+Samedii!AR14+lundi!AR14+'Jr non travaillé'!AR14</f>
        <v>0</v>
      </c>
      <c r="AS14" s="10">
        <f>Mercredi!AS14+jeudi!AS14+Vendredi!AS14+Samedii!AS14+lundi!AS14+'Jr non travaillé'!AS14</f>
        <v>0.95000000000000007</v>
      </c>
      <c r="AT14" s="10">
        <f>Mercredi!AT14+jeudi!AT14+Vendredi!AT14+Samedii!AT14+lundi!AT14+'Jr non travaillé'!AT14</f>
        <v>0.5</v>
      </c>
      <c r="AU14" s="10">
        <f>Mercredi!AU14+jeudi!AU14+Vendredi!AU14+Samedii!AU14+lundi!AU14+'Jr non travaillé'!AU14</f>
        <v>8.5</v>
      </c>
      <c r="AV14" s="6">
        <f>Mercredi!AV14+jeudi!AV14+Vendredi!AV14+Samedii!AV14+lundi!AV14+'Jr non travaillé'!AV14</f>
        <v>19</v>
      </c>
      <c r="AW14" s="7">
        <f>Mercredi!AW14+jeudi!AW14+Vendredi!AW14+Samedii!AW14+lundi!AW14+'Jr non travaillé'!AW14</f>
        <v>19</v>
      </c>
      <c r="AX14" s="7">
        <f>Mercredi!AX14+jeudi!AX14+Vendredi!AX14+Samedii!AX14+lundi!AX14+'Jr non travaillé'!AX14</f>
        <v>19</v>
      </c>
      <c r="AY14" s="7">
        <f>Mercredi!AY14+jeudi!AY14+Vendredi!AY14+Samedii!AY14+lundi!AY14+'Jr non travaillé'!AY14</f>
        <v>0</v>
      </c>
      <c r="AZ14" s="8">
        <f>Mercredi!AZ14+jeudi!AZ14+Vendredi!AZ14+Samedii!AZ14+lundi!AZ14+'Jr non travaillé'!AZ14</f>
        <v>0</v>
      </c>
      <c r="BA14" s="6">
        <f>Mercredi!BA14+jeudi!BA14+Vendredi!BA14+Samedii!BA14+lundi!BA14+'Jr non travaillé'!BA14</f>
        <v>45</v>
      </c>
      <c r="BB14" s="7">
        <f>Mercredi!BB14+jeudi!BB14+Vendredi!BB14+Samedii!BB14+lundi!BB14+'Jr non travaillé'!BB14</f>
        <v>0</v>
      </c>
      <c r="BC14" s="8">
        <f>Mercredi!BC14+jeudi!BC14+Vendredi!BC14+Samedii!BC14+lundi!BC14+'Jr non travaillé'!BC14</f>
        <v>85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>
        <f>Mercredi!W15+jeudi!W15+Vendredi!W15+Samedii!W15+lundi!W15+'Jr non travaillé'!W15</f>
        <v>105</v>
      </c>
      <c r="X15" s="7">
        <f>Mercredi!X15+jeudi!X15+Vendredi!X15+Samedii!X15+lundi!X15+'Jr non travaillé'!X15</f>
        <v>0</v>
      </c>
      <c r="Y15" s="7">
        <f>Mercredi!Y15+jeudi!Y15+Vendredi!Y15+Samedii!Y15+lundi!Y15+'Jr non travaillé'!Y15</f>
        <v>0</v>
      </c>
      <c r="Z15" s="7">
        <f>Mercredi!Z15+jeudi!Z15+Vendredi!Z15+Samedii!Z15+lundi!Z15+'Jr non travaillé'!Z15</f>
        <v>0</v>
      </c>
      <c r="AA15" s="8">
        <f>Mercredi!AA15+jeudi!AA15+Vendredi!AA15+Samedii!AA15+lundi!AA15+'Jr non travaillé'!AA15</f>
        <v>0</v>
      </c>
      <c r="AB15" s="10">
        <f>Mercredi!AB15+jeudi!AB15+Vendredi!AB15+Samedii!AB15+lundi!AB15+'Jr non travaillé'!AB15</f>
        <v>0</v>
      </c>
      <c r="AC15" s="10">
        <f>Mercredi!AC15+jeudi!AC15+Vendredi!AC15+Samedii!AC15+lundi!AC15+'Jr non travaillé'!AC15</f>
        <v>0</v>
      </c>
      <c r="AD15" s="10">
        <f>Mercredi!AD15+jeudi!AD15+Vendredi!AD15+Samedii!AD15+lundi!AD15+'Jr non travaillé'!AD15</f>
        <v>2</v>
      </c>
      <c r="AE15" s="10">
        <f>Mercredi!AE15+jeudi!AE15+Vendredi!AE15+Samedii!AE15+lundi!AE15+'Jr non travaillé'!AE15</f>
        <v>3</v>
      </c>
      <c r="AF15" s="10">
        <f>Mercredi!AF15+jeudi!AF15+Vendredi!AF15+Samedii!AF15+lundi!AF15+'Jr non travaillé'!AF15</f>
        <v>1</v>
      </c>
      <c r="AG15" s="6" t="e">
        <f>Mercredi!AG15+jeudi!AG15+Vendredi!AG15+Samedii!AG15+lundi!AG15+'Jr non travaillé'!AG15</f>
        <v>#VALUE!</v>
      </c>
      <c r="AH15" s="7">
        <f>Mercredi!AH15+jeudi!AH15+Vendredi!AH15+Samedii!AH15+lundi!AH15+'Jr non travaillé'!AH15</f>
        <v>0</v>
      </c>
      <c r="AI15" s="7">
        <f>Mercredi!AI15+jeudi!AI15+Vendredi!AI15+Samedii!AI15+lundi!AI15+'Jr non travaillé'!AI15</f>
        <v>0</v>
      </c>
      <c r="AJ15" s="7">
        <f>Mercredi!AJ15+jeudi!AJ15+Vendredi!AJ15+Samedii!AJ15+lundi!AJ15+'Jr non travaillé'!AJ15</f>
        <v>0</v>
      </c>
      <c r="AK15" s="8">
        <f>Mercredi!AK15+jeudi!AK15+Vendredi!AK15+Samedii!AK15+lundi!AK15+'Jr non travaillé'!AK15</f>
        <v>0</v>
      </c>
      <c r="AL15" s="9">
        <f>Mercredi!AL15+jeudi!AL15+Vendredi!AL15+Samedii!AL15+lundi!AL15+'Jr non travaillé'!AL15</f>
        <v>6</v>
      </c>
      <c r="AM15" s="10">
        <f>Mercredi!AM15+jeudi!AM15+Vendredi!AM15+Samedii!AM15+lundi!AM15+'Jr non travaillé'!AM15</f>
        <v>0</v>
      </c>
      <c r="AN15" s="10">
        <f>Mercredi!AN15+jeudi!AN15+Vendredi!AN15+Samedii!AN15+lundi!AN15+'Jr non travaillé'!AN15</f>
        <v>6</v>
      </c>
      <c r="AO15" s="10">
        <f>Mercredi!AO15+jeudi!AO15+Vendredi!AO15+Samedii!AO15+lundi!AO15+'Jr non travaillé'!AO15</f>
        <v>9</v>
      </c>
      <c r="AP15" s="11">
        <f>Mercredi!AP15+jeudi!AP15+Vendredi!AP15+Samedii!AP15+lundi!AP15+'Jr non travaillé'!AP15</f>
        <v>25</v>
      </c>
      <c r="AQ15" s="91">
        <f>Mercredi!AQ15+jeudi!AQ15+Vendredi!AQ15+Samedii!AQ15+lundi!AQ15+'Jr non travaillé'!AQ15</f>
        <v>3.333333333333333</v>
      </c>
      <c r="AR15" s="10">
        <f>Mercredi!AR15+jeudi!AR15+Vendredi!AR15+Samedii!AR15+lundi!AR15+'Jr non travaillé'!AR15</f>
        <v>0</v>
      </c>
      <c r="AS15" s="10">
        <f>Mercredi!AS15+jeudi!AS15+Vendredi!AS15+Samedii!AS15+lundi!AS15+'Jr non travaillé'!AS15</f>
        <v>0.75</v>
      </c>
      <c r="AT15" s="10">
        <f>Mercredi!AT15+jeudi!AT15+Vendredi!AT15+Samedii!AT15+lundi!AT15+'Jr non travaillé'!AT15</f>
        <v>2.2999999999999998</v>
      </c>
      <c r="AU15" s="10">
        <f>Mercredi!AU15+jeudi!AU15+Vendredi!AU15+Samedii!AU15+lundi!AU15+'Jr non travaillé'!AU15</f>
        <v>8.5</v>
      </c>
      <c r="AV15" s="6">
        <f>Mercredi!AV15+jeudi!AV15+Vendredi!AV15+Samedii!AV15+lundi!AV15+'Jr non travaillé'!AV15</f>
        <v>19</v>
      </c>
      <c r="AW15" s="7">
        <f>Mercredi!AW15+jeudi!AW15+Vendredi!AW15+Samedii!AW15+lundi!AW15+'Jr non travaillé'!AW15</f>
        <v>19</v>
      </c>
      <c r="AX15" s="7">
        <f>Mercredi!AX15+jeudi!AX15+Vendredi!AX15+Samedii!AX15+lundi!AX15+'Jr non travaillé'!AX15</f>
        <v>19</v>
      </c>
      <c r="AY15" s="7">
        <f>Mercredi!AY15+jeudi!AY15+Vendredi!AY15+Samedii!AY15+lundi!AY15+'Jr non travaillé'!AY15</f>
        <v>0</v>
      </c>
      <c r="AZ15" s="8">
        <f>Mercredi!AZ15+jeudi!AZ15+Vendredi!AZ15+Samedii!AZ15+lundi!AZ15+'Jr non travaillé'!AZ15</f>
        <v>0</v>
      </c>
      <c r="BA15" s="6">
        <f>Mercredi!BA15+jeudi!BA15+Vendredi!BA15+Samedii!BA15+lundi!BA15+'Jr non travaillé'!BA15</f>
        <v>55</v>
      </c>
      <c r="BB15" s="7">
        <f>Mercredi!BB15+jeudi!BB15+Vendredi!BB15+Samedii!BB15+lundi!BB15+'Jr non travaillé'!BB15</f>
        <v>0</v>
      </c>
      <c r="BC15" s="8">
        <f>Mercredi!BC15+jeudi!BC15+Vendredi!BC15+Samedii!BC15+lundi!BC15+'Jr non travaillé'!BC15</f>
        <v>84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>
        <f>Mercredi!W16+jeudi!W16+Vendredi!W16+Samedii!W16+lundi!W16+'Jr non travaillé'!W16</f>
        <v>120</v>
      </c>
      <c r="X16" s="7">
        <f>Mercredi!X16+jeudi!X16+Vendredi!X16+Samedii!X16+lundi!X16+'Jr non travaillé'!X16</f>
        <v>0</v>
      </c>
      <c r="Y16" s="7">
        <f>Mercredi!Y16+jeudi!Y16+Vendredi!Y16+Samedii!Y16+lundi!Y16+'Jr non travaillé'!Y16</f>
        <v>0</v>
      </c>
      <c r="Z16" s="7">
        <f>Mercredi!Z16+jeudi!Z16+Vendredi!Z16+Samedii!Z16+lundi!Z16+'Jr non travaillé'!Z16</f>
        <v>0</v>
      </c>
      <c r="AA16" s="8">
        <f>Mercredi!AA16+jeudi!AA16+Vendredi!AA16+Samedii!AA16+lundi!AA16+'Jr non travaillé'!AA16</f>
        <v>0</v>
      </c>
      <c r="AB16" s="10">
        <f>Mercredi!AB16+jeudi!AB16+Vendredi!AB16+Samedii!AB16+lundi!AB16+'Jr non travaillé'!AB16</f>
        <v>2</v>
      </c>
      <c r="AC16" s="10">
        <f>Mercredi!AC16+jeudi!AC16+Vendredi!AC16+Samedii!AC16+lundi!AC16+'Jr non travaillé'!AC16</f>
        <v>0</v>
      </c>
      <c r="AD16" s="10">
        <f>Mercredi!AD16+jeudi!AD16+Vendredi!AD16+Samedii!AD16+lundi!AD16+'Jr non travaillé'!AD16</f>
        <v>0</v>
      </c>
      <c r="AE16" s="10">
        <f>Mercredi!AE16+jeudi!AE16+Vendredi!AE16+Samedii!AE16+lundi!AE16+'Jr non travaillé'!AE16</f>
        <v>0</v>
      </c>
      <c r="AF16" s="10">
        <f>Mercredi!AF16+jeudi!AF16+Vendredi!AF16+Samedii!AF16+lundi!AF16+'Jr non travaillé'!AF16</f>
        <v>0</v>
      </c>
      <c r="AG16" s="6" t="e">
        <f>Mercredi!AG16+jeudi!AG16+Vendredi!AG16+Samedii!AG16+lundi!AG16+'Jr non travaillé'!AG16</f>
        <v>#VALUE!</v>
      </c>
      <c r="AH16" s="7">
        <f>Mercredi!AH16+jeudi!AH16+Vendredi!AH16+Samedii!AH16+lundi!AH16+'Jr non travaillé'!AH16</f>
        <v>0</v>
      </c>
      <c r="AI16" s="7">
        <f>Mercredi!AI16+jeudi!AI16+Vendredi!AI16+Samedii!AI16+lundi!AI16+'Jr non travaillé'!AI16</f>
        <v>0</v>
      </c>
      <c r="AJ16" s="7">
        <f>Mercredi!AJ16+jeudi!AJ16+Vendredi!AJ16+Samedii!AJ16+lundi!AJ16+'Jr non travaillé'!AJ16</f>
        <v>0</v>
      </c>
      <c r="AK16" s="8">
        <f>Mercredi!AK16+jeudi!AK16+Vendredi!AK16+Samedii!AK16+lundi!AK16+'Jr non travaillé'!AK16</f>
        <v>0</v>
      </c>
      <c r="AL16" s="9">
        <f>Mercredi!AL16+jeudi!AL16+Vendredi!AL16+Samedii!AL16+lundi!AL16+'Jr non travaillé'!AL16</f>
        <v>6</v>
      </c>
      <c r="AM16" s="10">
        <f>Mercredi!AM16+jeudi!AM16+Vendredi!AM16+Samedii!AM16+lundi!AM16+'Jr non travaillé'!AM16</f>
        <v>0</v>
      </c>
      <c r="AN16" s="10">
        <f>Mercredi!AN16+jeudi!AN16+Vendredi!AN16+Samedii!AN16+lundi!AN16+'Jr non travaillé'!AN16</f>
        <v>5</v>
      </c>
      <c r="AO16" s="10">
        <f>Mercredi!AO16+jeudi!AO16+Vendredi!AO16+Samedii!AO16+lundi!AO16+'Jr non travaillé'!AO16</f>
        <v>3</v>
      </c>
      <c r="AP16" s="11">
        <f>Mercredi!AP16+jeudi!AP16+Vendredi!AP16+Samedii!AP16+lundi!AP16+'Jr non travaillé'!AP16</f>
        <v>23</v>
      </c>
      <c r="AQ16" s="91">
        <f>Mercredi!AQ16+jeudi!AQ16+Vendredi!AQ16+Samedii!AQ16+lundi!AQ16+'Jr non travaillé'!AQ16</f>
        <v>1.8333333333333333</v>
      </c>
      <c r="AR16" s="10">
        <f>Mercredi!AR16+jeudi!AR16+Vendredi!AR16+Samedii!AR16+lundi!AR16+'Jr non travaillé'!AR16</f>
        <v>0</v>
      </c>
      <c r="AS16" s="10">
        <f>Mercredi!AS16+jeudi!AS16+Vendredi!AS16+Samedii!AS16+lundi!AS16+'Jr non travaillé'!AS16</f>
        <v>0.75</v>
      </c>
      <c r="AT16" s="10">
        <f>Mercredi!AT16+jeudi!AT16+Vendredi!AT16+Samedii!AT16+lundi!AT16+'Jr non travaillé'!AT16</f>
        <v>1</v>
      </c>
      <c r="AU16" s="10">
        <f>Mercredi!AU16+jeudi!AU16+Vendredi!AU16+Samedii!AU16+lundi!AU16+'Jr non travaillé'!AU16</f>
        <v>8</v>
      </c>
      <c r="AV16" s="6">
        <f>Mercredi!AV16+jeudi!AV16+Vendredi!AV16+Samedii!AV16+lundi!AV16+'Jr non travaillé'!AV16</f>
        <v>19</v>
      </c>
      <c r="AW16" s="7">
        <f>Mercredi!AW16+jeudi!AW16+Vendredi!AW16+Samedii!AW16+lundi!AW16+'Jr non travaillé'!AW16</f>
        <v>19</v>
      </c>
      <c r="AX16" s="7">
        <f>Mercredi!AX16+jeudi!AX16+Vendredi!AX16+Samedii!AX16+lundi!AX16+'Jr non travaillé'!AX16</f>
        <v>19</v>
      </c>
      <c r="AY16" s="7">
        <f>Mercredi!AY16+jeudi!AY16+Vendredi!AY16+Samedii!AY16+lundi!AY16+'Jr non travaillé'!AY16</f>
        <v>0</v>
      </c>
      <c r="AZ16" s="8">
        <f>Mercredi!AZ16+jeudi!AZ16+Vendredi!AZ16+Samedii!AZ16+lundi!AZ16+'Jr non travaillé'!AZ16</f>
        <v>0</v>
      </c>
      <c r="BA16" s="6">
        <f>Mercredi!BA16+jeudi!BA16+Vendredi!BA16+Samedii!BA16+lundi!BA16+'Jr non travaillé'!BA16</f>
        <v>38</v>
      </c>
      <c r="BB16" s="7">
        <f>Mercredi!BB16+jeudi!BB16+Vendredi!BB16+Samedii!BB16+lundi!BB16+'Jr non travaillé'!BB16</f>
        <v>0</v>
      </c>
      <c r="BC16" s="8">
        <f>Mercredi!BC16+jeudi!BC16+Vendredi!BC16+Samedii!BC16+lundi!BC16+'Jr non travaillé'!BC16</f>
        <v>59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>
        <f>Mercredi!W17+jeudi!W17+Vendredi!W17+Samedii!W17+lundi!W17+'Jr non travaillé'!W17</f>
        <v>116</v>
      </c>
      <c r="X17" s="7">
        <f>Mercredi!X17+jeudi!X17+Vendredi!X17+Samedii!X17+lundi!X17+'Jr non travaillé'!X17</f>
        <v>0</v>
      </c>
      <c r="Y17" s="7">
        <f>Mercredi!Y17+jeudi!Y17+Vendredi!Y17+Samedii!Y17+lundi!Y17+'Jr non travaillé'!Y17</f>
        <v>0</v>
      </c>
      <c r="Z17" s="7">
        <f>Mercredi!Z17+jeudi!Z17+Vendredi!Z17+Samedii!Z17+lundi!Z17+'Jr non travaillé'!Z17</f>
        <v>0</v>
      </c>
      <c r="AA17" s="8">
        <f>Mercredi!AA17+jeudi!AA17+Vendredi!AA17+Samedii!AA17+lundi!AA17+'Jr non travaillé'!AA17</f>
        <v>0</v>
      </c>
      <c r="AB17" s="10">
        <f>Mercredi!AB17+jeudi!AB17+Vendredi!AB17+Samedii!AB17+lundi!AB17+'Jr non travaillé'!AB17</f>
        <v>0</v>
      </c>
      <c r="AC17" s="10">
        <f>Mercredi!AC17+jeudi!AC17+Vendredi!AC17+Samedii!AC17+lundi!AC17+'Jr non travaillé'!AC17</f>
        <v>0</v>
      </c>
      <c r="AD17" s="10">
        <f>Mercredi!AD17+jeudi!AD17+Vendredi!AD17+Samedii!AD17+lundi!AD17+'Jr non travaillé'!AD17</f>
        <v>0</v>
      </c>
      <c r="AE17" s="10">
        <f>Mercredi!AE17+jeudi!AE17+Vendredi!AE17+Samedii!AE17+lundi!AE17+'Jr non travaillé'!AE17</f>
        <v>0</v>
      </c>
      <c r="AF17" s="10">
        <f>Mercredi!AF17+jeudi!AF17+Vendredi!AF17+Samedii!AF17+lundi!AF17+'Jr non travaillé'!AF17</f>
        <v>1</v>
      </c>
      <c r="AG17" s="6">
        <f>Mercredi!AG17+jeudi!AG17+Vendredi!AG17+Samedii!AG17+lundi!AG17+'Jr non travaillé'!AG17</f>
        <v>41</v>
      </c>
      <c r="AH17" s="7">
        <f>Mercredi!AH17+jeudi!AH17+Vendredi!AH17+Samedii!AH17+lundi!AH17+'Jr non travaillé'!AH17</f>
        <v>0</v>
      </c>
      <c r="AI17" s="7">
        <f>Mercredi!AI17+jeudi!AI17+Vendredi!AI17+Samedii!AI17+lundi!AI17+'Jr non travaillé'!AI17</f>
        <v>0</v>
      </c>
      <c r="AJ17" s="7">
        <f>Mercredi!AJ17+jeudi!AJ17+Vendredi!AJ17+Samedii!AJ17+lundi!AJ17+'Jr non travaillé'!AJ17</f>
        <v>0</v>
      </c>
      <c r="AK17" s="8">
        <f>Mercredi!AK17+jeudi!AK17+Vendredi!AK17+Samedii!AK17+lundi!AK17+'Jr non travaillé'!AK17</f>
        <v>0</v>
      </c>
      <c r="AL17" s="9">
        <f>Mercredi!AL17+jeudi!AL17+Vendredi!AL17+Samedii!AL17+lundi!AL17+'Jr non travaillé'!AL17</f>
        <v>8</v>
      </c>
      <c r="AM17" s="10">
        <f>Mercredi!AM17+jeudi!AM17+Vendredi!AM17+Samedii!AM17+lundi!AM17+'Jr non travaillé'!AM17</f>
        <v>0</v>
      </c>
      <c r="AN17" s="10">
        <f>Mercredi!AN17+jeudi!AN17+Vendredi!AN17+Samedii!AN17+lundi!AN17+'Jr non travaillé'!AN17</f>
        <v>4</v>
      </c>
      <c r="AO17" s="10">
        <f>Mercredi!AO17+jeudi!AO17+Vendredi!AO17+Samedii!AO17+lundi!AO17+'Jr non travaillé'!AO17</f>
        <v>3</v>
      </c>
      <c r="AP17" s="11">
        <f>Mercredi!AP17+jeudi!AP17+Vendredi!AP17+Samedii!AP17+lundi!AP17+'Jr non travaillé'!AP17</f>
        <v>27</v>
      </c>
      <c r="AQ17" s="91">
        <f>Mercredi!AQ17+jeudi!AQ17+Vendredi!AQ17+Samedii!AQ17+lundi!AQ17+'Jr non travaillé'!AQ17</f>
        <v>3.9166666666666665</v>
      </c>
      <c r="AR17" s="10">
        <f>Mercredi!AR17+jeudi!AR17+Vendredi!AR17+Samedii!AR17+lundi!AR17+'Jr non travaillé'!AR17</f>
        <v>0</v>
      </c>
      <c r="AS17" s="10">
        <f>Mercredi!AS17+jeudi!AS17+Vendredi!AS17+Samedii!AS17+lundi!AS17+'Jr non travaillé'!AS17</f>
        <v>0.75</v>
      </c>
      <c r="AT17" s="10">
        <f>Mercredi!AT17+jeudi!AT17+Vendredi!AT17+Samedii!AT17+lundi!AT17+'Jr non travaillé'!AT17</f>
        <v>1.7999999999999998</v>
      </c>
      <c r="AU17" s="10">
        <f>Mercredi!AU17+jeudi!AU17+Vendredi!AU17+Samedii!AU17+lundi!AU17+'Jr non travaillé'!AU17</f>
        <v>8</v>
      </c>
      <c r="AV17" s="6">
        <f>Mercredi!AV17+jeudi!AV17+Vendredi!AV17+Samedii!AV17+lundi!AV17+'Jr non travaillé'!AV17</f>
        <v>19</v>
      </c>
      <c r="AW17" s="7">
        <f>Mercredi!AW17+jeudi!AW17+Vendredi!AW17+Samedii!AW17+lundi!AW17+'Jr non travaillé'!AW17</f>
        <v>19</v>
      </c>
      <c r="AX17" s="7">
        <f>Mercredi!AX17+jeudi!AX17+Vendredi!AX17+Samedii!AX17+lundi!AX17+'Jr non travaillé'!AX17</f>
        <v>19</v>
      </c>
      <c r="AY17" s="7">
        <f>Mercredi!AY17+jeudi!AY17+Vendredi!AY17+Samedii!AY17+lundi!AY17+'Jr non travaillé'!AY17</f>
        <v>0</v>
      </c>
      <c r="AZ17" s="8">
        <f>Mercredi!AZ17+jeudi!AZ17+Vendredi!AZ17+Samedii!AZ17+lundi!AZ17+'Jr non travaillé'!AZ17</f>
        <v>0</v>
      </c>
      <c r="BA17" s="6">
        <f>Mercredi!BA17+jeudi!BA17+Vendredi!BA17+Samedii!BA17+lundi!BA17+'Jr non travaillé'!BA17</f>
        <v>65</v>
      </c>
      <c r="BB17" s="7">
        <f>Mercredi!BB17+jeudi!BB17+Vendredi!BB17+Samedii!BB17+lundi!BB17+'Jr non travaillé'!BB17</f>
        <v>0</v>
      </c>
      <c r="BC17" s="8">
        <f>Mercredi!BC17+jeudi!BC17+Vendredi!BC17+Samedii!BC17+lundi!BC17+'Jr non travaillé'!BC17</f>
        <v>98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>
        <f>Mercredi!W18+jeudi!W18+Vendredi!W18+Samedii!W18+lundi!W18+'Jr non travaillé'!W18</f>
        <v>110</v>
      </c>
      <c r="X18" s="7">
        <f>Mercredi!X18+jeudi!X18+Vendredi!X18+Samedii!X18+lundi!X18+'Jr non travaillé'!X18</f>
        <v>0</v>
      </c>
      <c r="Y18" s="7">
        <f>Mercredi!Y18+jeudi!Y18+Vendredi!Y18+Samedii!Y18+lundi!Y18+'Jr non travaillé'!Y18</f>
        <v>0</v>
      </c>
      <c r="Z18" s="7">
        <f>Mercredi!Z18+jeudi!Z18+Vendredi!Z18+Samedii!Z18+lundi!Z18+'Jr non travaillé'!Z18</f>
        <v>0</v>
      </c>
      <c r="AA18" s="8">
        <f>Mercredi!AA18+jeudi!AA18+Vendredi!AA18+Samedii!AA18+lundi!AA18+'Jr non travaillé'!AA18</f>
        <v>0</v>
      </c>
      <c r="AB18" s="10">
        <f>Mercredi!AB18+jeudi!AB18+Vendredi!AB18+Samedii!AB18+lundi!AB18+'Jr non travaillé'!AB18</f>
        <v>4</v>
      </c>
      <c r="AC18" s="10">
        <f>Mercredi!AC18+jeudi!AC18+Vendredi!AC18+Samedii!AC18+lundi!AC18+'Jr non travaillé'!AC18</f>
        <v>0</v>
      </c>
      <c r="AD18" s="10">
        <f>Mercredi!AD18+jeudi!AD18+Vendredi!AD18+Samedii!AD18+lundi!AD18+'Jr non travaillé'!AD18</f>
        <v>1</v>
      </c>
      <c r="AE18" s="10">
        <f>Mercredi!AE18+jeudi!AE18+Vendredi!AE18+Samedii!AE18+lundi!AE18+'Jr non travaillé'!AE18</f>
        <v>3</v>
      </c>
      <c r="AF18" s="10">
        <f>Mercredi!AF18+jeudi!AF18+Vendredi!AF18+Samedii!AF18+lundi!AF18+'Jr non travaillé'!AF18</f>
        <v>2</v>
      </c>
      <c r="AG18" s="6" t="e">
        <f>Mercredi!AG18+jeudi!AG18+Vendredi!AG18+Samedii!AG18+lundi!AG18+'Jr non travaillé'!AG18</f>
        <v>#VALUE!</v>
      </c>
      <c r="AH18" s="7">
        <f>Mercredi!AH18+jeudi!AH18+Vendredi!AH18+Samedii!AH18+lundi!AH18+'Jr non travaillé'!AH18</f>
        <v>0</v>
      </c>
      <c r="AI18" s="7">
        <f>Mercredi!AI18+jeudi!AI18+Vendredi!AI18+Samedii!AI18+lundi!AI18+'Jr non travaillé'!AI18</f>
        <v>0</v>
      </c>
      <c r="AJ18" s="7">
        <f>Mercredi!AJ18+jeudi!AJ18+Vendredi!AJ18+Samedii!AJ18+lundi!AJ18+'Jr non travaillé'!AJ18</f>
        <v>0</v>
      </c>
      <c r="AK18" s="8">
        <f>Mercredi!AK18+jeudi!AK18+Vendredi!AK18+Samedii!AK18+lundi!AK18+'Jr non travaillé'!AK18</f>
        <v>0</v>
      </c>
      <c r="AL18" s="9">
        <f>Mercredi!AL18+jeudi!AL18+Vendredi!AL18+Samedii!AL18+lundi!AL18+'Jr non travaillé'!AL18</f>
        <v>9</v>
      </c>
      <c r="AM18" s="10">
        <f>Mercredi!AM18+jeudi!AM18+Vendredi!AM18+Samedii!AM18+lundi!AM18+'Jr non travaillé'!AM18</f>
        <v>0</v>
      </c>
      <c r="AN18" s="10">
        <f>Mercredi!AN18+jeudi!AN18+Vendredi!AN18+Samedii!AN18+lundi!AN18+'Jr non travaillé'!AN18</f>
        <v>5</v>
      </c>
      <c r="AO18" s="10">
        <f>Mercredi!AO18+jeudi!AO18+Vendredi!AO18+Samedii!AO18+lundi!AO18+'Jr non travaillé'!AO18</f>
        <v>9</v>
      </c>
      <c r="AP18" s="11">
        <f>Mercredi!AP18+jeudi!AP18+Vendredi!AP18+Samedii!AP18+lundi!AP18+'Jr non travaillé'!AP18</f>
        <v>39</v>
      </c>
      <c r="AQ18" s="91">
        <f>Mercredi!AQ18+jeudi!AQ18+Vendredi!AQ18+Samedii!AQ18+lundi!AQ18+'Jr non travaillé'!AQ18</f>
        <v>2.3333333333333335</v>
      </c>
      <c r="AR18" s="10">
        <f>Mercredi!AR18+jeudi!AR18+Vendredi!AR18+Samedii!AR18+lundi!AR18+'Jr non travaillé'!AR18</f>
        <v>0</v>
      </c>
      <c r="AS18" s="10">
        <f>Mercredi!AS18+jeudi!AS18+Vendredi!AS18+Samedii!AS18+lundi!AS18+'Jr non travaillé'!AS18</f>
        <v>0.6</v>
      </c>
      <c r="AT18" s="10">
        <f>Mercredi!AT18+jeudi!AT18+Vendredi!AT18+Samedii!AT18+lundi!AT18+'Jr non travaillé'!AT18</f>
        <v>2.2999999999999998</v>
      </c>
      <c r="AU18" s="10">
        <f>Mercredi!AU18+jeudi!AU18+Vendredi!AU18+Samedii!AU18+lundi!AU18+'Jr non travaillé'!AU18</f>
        <v>12.5</v>
      </c>
      <c r="AV18" s="6">
        <f>Mercredi!AV18+jeudi!AV18+Vendredi!AV18+Samedii!AV18+lundi!AV18+'Jr non travaillé'!AV18</f>
        <v>19</v>
      </c>
      <c r="AW18" s="7">
        <f>Mercredi!AW18+jeudi!AW18+Vendredi!AW18+Samedii!AW18+lundi!AW18+'Jr non travaillé'!AW18</f>
        <v>19</v>
      </c>
      <c r="AX18" s="7">
        <f>Mercredi!AX18+jeudi!AX18+Vendredi!AX18+Samedii!AX18+lundi!AX18+'Jr non travaillé'!AX18</f>
        <v>19</v>
      </c>
      <c r="AY18" s="7">
        <f>Mercredi!AY18+jeudi!AY18+Vendredi!AY18+Samedii!AY18+lundi!AY18+'Jr non travaillé'!AY18</f>
        <v>0</v>
      </c>
      <c r="AZ18" s="8">
        <f>Mercredi!AZ18+jeudi!AZ18+Vendredi!AZ18+Samedii!AZ18+lundi!AZ18+'Jr non travaillé'!AZ18</f>
        <v>0</v>
      </c>
      <c r="BA18" s="6">
        <f>Mercredi!BA18+jeudi!BA18+Vendredi!BA18+Samedii!BA18+lundi!BA18+'Jr non travaillé'!BA18</f>
        <v>37</v>
      </c>
      <c r="BB18" s="7">
        <f>Mercredi!BB18+jeudi!BB18+Vendredi!BB18+Samedii!BB18+lundi!BB18+'Jr non travaillé'!BB18</f>
        <v>0</v>
      </c>
      <c r="BC18" s="8">
        <f>Mercredi!BC18+jeudi!BC18+Vendredi!BC18+Samedii!BC18+lundi!BC18+'Jr non travaillé'!BC18</f>
        <v>123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>
        <f>Mercredi!W19+jeudi!W19+Vendredi!W19+Samedii!W19+lundi!W19+'Jr non travaillé'!W19</f>
        <v>122</v>
      </c>
      <c r="X19" s="7">
        <f>Mercredi!X19+jeudi!X19+Vendredi!X19+Samedii!X19+lundi!X19+'Jr non travaillé'!X19</f>
        <v>0</v>
      </c>
      <c r="Y19" s="7">
        <f>Mercredi!Y19+jeudi!Y19+Vendredi!Y19+Samedii!Y19+lundi!Y19+'Jr non travaillé'!Y19</f>
        <v>0</v>
      </c>
      <c r="Z19" s="7">
        <f>Mercredi!Z19+jeudi!Z19+Vendredi!Z19+Samedii!Z19+lundi!Z19+'Jr non travaillé'!Z19</f>
        <v>0</v>
      </c>
      <c r="AA19" s="8">
        <f>Mercredi!AA19+jeudi!AA19+Vendredi!AA19+Samedii!AA19+lundi!AA19+'Jr non travaillé'!AA19</f>
        <v>0</v>
      </c>
      <c r="AB19" s="10">
        <f>Mercredi!AB19+jeudi!AB19+Vendredi!AB19+Samedii!AB19+lundi!AB19+'Jr non travaillé'!AB19</f>
        <v>1</v>
      </c>
      <c r="AC19" s="10">
        <f>Mercredi!AC19+jeudi!AC19+Vendredi!AC19+Samedii!AC19+lundi!AC19+'Jr non travaillé'!AC19</f>
        <v>0</v>
      </c>
      <c r="AD19" s="10">
        <f>Mercredi!AD19+jeudi!AD19+Vendredi!AD19+Samedii!AD19+lundi!AD19+'Jr non travaillé'!AD19</f>
        <v>1</v>
      </c>
      <c r="AE19" s="10">
        <f>Mercredi!AE19+jeudi!AE19+Vendredi!AE19+Samedii!AE19+lundi!AE19+'Jr non travaillé'!AE19</f>
        <v>1</v>
      </c>
      <c r="AF19" s="10">
        <f>Mercredi!AF19+jeudi!AF19+Vendredi!AF19+Samedii!AF19+lundi!AF19+'Jr non travaillé'!AF19</f>
        <v>0</v>
      </c>
      <c r="AG19" s="6" t="e">
        <f>Mercredi!AG19+jeudi!AG19+Vendredi!AG19+Samedii!AG19+lundi!AG19+'Jr non travaillé'!AG19</f>
        <v>#VALUE!</v>
      </c>
      <c r="AH19" s="7">
        <f>Mercredi!AH19+jeudi!AH19+Vendredi!AH19+Samedii!AH19+lundi!AH19+'Jr non travaillé'!AH19</f>
        <v>0</v>
      </c>
      <c r="AI19" s="7">
        <f>Mercredi!AI19+jeudi!AI19+Vendredi!AI19+Samedii!AI19+lundi!AI19+'Jr non travaillé'!AI19</f>
        <v>0</v>
      </c>
      <c r="AJ19" s="7">
        <f>Mercredi!AJ19+jeudi!AJ19+Vendredi!AJ19+Samedii!AJ19+lundi!AJ19+'Jr non travaillé'!AJ19</f>
        <v>0</v>
      </c>
      <c r="AK19" s="8">
        <f>Mercredi!AK19+jeudi!AK19+Vendredi!AK19+Samedii!AK19+lundi!AK19+'Jr non travaillé'!AK19</f>
        <v>0</v>
      </c>
      <c r="AL19" s="9">
        <f>Mercredi!AL19+jeudi!AL19+Vendredi!AL19+Samedii!AL19+lundi!AL19+'Jr non travaillé'!AL19</f>
        <v>4</v>
      </c>
      <c r="AM19" s="10">
        <f>Mercredi!AM19+jeudi!AM19+Vendredi!AM19+Samedii!AM19+lundi!AM19+'Jr non travaillé'!AM19</f>
        <v>0</v>
      </c>
      <c r="AN19" s="10">
        <f>Mercredi!AN19+jeudi!AN19+Vendredi!AN19+Samedii!AN19+lundi!AN19+'Jr non travaillé'!AN19</f>
        <v>4</v>
      </c>
      <c r="AO19" s="10">
        <f>Mercredi!AO19+jeudi!AO19+Vendredi!AO19+Samedii!AO19+lundi!AO19+'Jr non travaillé'!AO19</f>
        <v>2</v>
      </c>
      <c r="AP19" s="11">
        <f>Mercredi!AP19+jeudi!AP19+Vendredi!AP19+Samedii!AP19+lundi!AP19+'Jr non travaillé'!AP19</f>
        <v>30</v>
      </c>
      <c r="AQ19" s="91">
        <f>Mercredi!AQ19+jeudi!AQ19+Vendredi!AQ19+Samedii!AQ19+lundi!AQ19+'Jr non travaillé'!AQ19</f>
        <v>1.6666666666666665</v>
      </c>
      <c r="AR19" s="10">
        <f>Mercredi!AR19+jeudi!AR19+Vendredi!AR19+Samedii!AR19+lundi!AR19+'Jr non travaillé'!AR19</f>
        <v>0</v>
      </c>
      <c r="AS19" s="10">
        <f>Mercredi!AS19+jeudi!AS19+Vendredi!AS19+Samedii!AS19+lundi!AS19+'Jr non travaillé'!AS19</f>
        <v>0.64999999999999991</v>
      </c>
      <c r="AT19" s="10">
        <f>Mercredi!AT19+jeudi!AT19+Vendredi!AT19+Samedii!AT19+lundi!AT19+'Jr non travaillé'!AT19</f>
        <v>0.6</v>
      </c>
      <c r="AU19" s="10">
        <f>Mercredi!AU19+jeudi!AU19+Vendredi!AU19+Samedii!AU19+lundi!AU19+'Jr non travaillé'!AU19</f>
        <v>11</v>
      </c>
      <c r="AV19" s="6">
        <f>Mercredi!AV19+jeudi!AV19+Vendredi!AV19+Samedii!AV19+lundi!AV19+'Jr non travaillé'!AV19</f>
        <v>19</v>
      </c>
      <c r="AW19" s="7">
        <f>Mercredi!AW19+jeudi!AW19+Vendredi!AW19+Samedii!AW19+lundi!AW19+'Jr non travaillé'!AW19</f>
        <v>19</v>
      </c>
      <c r="AX19" s="7">
        <f>Mercredi!AX19+jeudi!AX19+Vendredi!AX19+Samedii!AX19+lundi!AX19+'Jr non travaillé'!AX19</f>
        <v>19</v>
      </c>
      <c r="AY19" s="7">
        <f>Mercredi!AY19+jeudi!AY19+Vendredi!AY19+Samedii!AY19+lundi!AY19+'Jr non travaillé'!AY19</f>
        <v>0</v>
      </c>
      <c r="AZ19" s="8">
        <f>Mercredi!AZ19+jeudi!AZ19+Vendredi!AZ19+Samedii!AZ19+lundi!AZ19+'Jr non travaillé'!AZ19</f>
        <v>0</v>
      </c>
      <c r="BA19" s="6">
        <f>Mercredi!BA19+jeudi!BA19+Vendredi!BA19+Samedii!BA19+lundi!BA19+'Jr non travaillé'!BA19</f>
        <v>35</v>
      </c>
      <c r="BB19" s="7">
        <f>Mercredi!BB19+jeudi!BB19+Vendredi!BB19+Samedii!BB19+lundi!BB19+'Jr non travaillé'!BB19</f>
        <v>0</v>
      </c>
      <c r="BC19" s="8">
        <f>Mercredi!BC19+jeudi!BC19+Vendredi!BC19+Samedii!BC19+lundi!BC19+'Jr non travaillé'!BC19</f>
        <v>96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>
        <f>Mercredi!W20+jeudi!W20+Vendredi!W20+Samedii!W20+lundi!W20+'Jr non travaillé'!W20</f>
        <v>118</v>
      </c>
      <c r="X20" s="7">
        <f>Mercredi!X20+jeudi!X20+Vendredi!X20+Samedii!X20+lundi!X20+'Jr non travaillé'!X20</f>
        <v>0</v>
      </c>
      <c r="Y20" s="7">
        <f>Mercredi!Y20+jeudi!Y20+Vendredi!Y20+Samedii!Y20+lundi!Y20+'Jr non travaillé'!Y20</f>
        <v>0</v>
      </c>
      <c r="Z20" s="7">
        <f>Mercredi!Z20+jeudi!Z20+Vendredi!Z20+Samedii!Z20+lundi!Z20+'Jr non travaillé'!Z20</f>
        <v>0</v>
      </c>
      <c r="AA20" s="8">
        <f>Mercredi!AA20+jeudi!AA20+Vendredi!AA20+Samedii!AA20+lundi!AA20+'Jr non travaillé'!AA20</f>
        <v>0</v>
      </c>
      <c r="AB20" s="10">
        <f>Mercredi!AB20+jeudi!AB20+Vendredi!AB20+Samedii!AB20+lundi!AB20+'Jr non travaillé'!AB20</f>
        <v>0</v>
      </c>
      <c r="AC20" s="10">
        <f>Mercredi!AC20+jeudi!AC20+Vendredi!AC20+Samedii!AC20+lundi!AC20+'Jr non travaillé'!AC20</f>
        <v>0</v>
      </c>
      <c r="AD20" s="10">
        <f>Mercredi!AD20+jeudi!AD20+Vendredi!AD20+Samedii!AD20+lundi!AD20+'Jr non travaillé'!AD20</f>
        <v>0</v>
      </c>
      <c r="AE20" s="10">
        <f>Mercredi!AE20+jeudi!AE20+Vendredi!AE20+Samedii!AE20+lundi!AE20+'Jr non travaillé'!AE20</f>
        <v>3</v>
      </c>
      <c r="AF20" s="10">
        <f>Mercredi!AF20+jeudi!AF20+Vendredi!AF20+Samedii!AF20+lundi!AF20+'Jr non travaillé'!AF20</f>
        <v>0</v>
      </c>
      <c r="AG20" s="6" t="e">
        <f>Mercredi!AG20+jeudi!AG20+Vendredi!AG20+Samedii!AG20+lundi!AG20+'Jr non travaillé'!AG20</f>
        <v>#VALUE!</v>
      </c>
      <c r="AH20" s="7">
        <f>Mercredi!AH20+jeudi!AH20+Vendredi!AH20+Samedii!AH20+lundi!AH20+'Jr non travaillé'!AH20</f>
        <v>0</v>
      </c>
      <c r="AI20" s="7">
        <f>Mercredi!AI20+jeudi!AI20+Vendredi!AI20+Samedii!AI20+lundi!AI20+'Jr non travaillé'!AI20</f>
        <v>0</v>
      </c>
      <c r="AJ20" s="7">
        <f>Mercredi!AJ20+jeudi!AJ20+Vendredi!AJ20+Samedii!AJ20+lundi!AJ20+'Jr non travaillé'!AJ20</f>
        <v>0</v>
      </c>
      <c r="AK20" s="8">
        <f>Mercredi!AK20+jeudi!AK20+Vendredi!AK20+Samedii!AK20+lundi!AK20+'Jr non travaillé'!AK20</f>
        <v>0</v>
      </c>
      <c r="AL20" s="9">
        <f>Mercredi!AL20+jeudi!AL20+Vendredi!AL20+Samedii!AL20+lundi!AL20+'Jr non travaillé'!AL20</f>
        <v>3</v>
      </c>
      <c r="AM20" s="10">
        <f>Mercredi!AM20+jeudi!AM20+Vendredi!AM20+Samedii!AM20+lundi!AM20+'Jr non travaillé'!AM20</f>
        <v>0</v>
      </c>
      <c r="AN20" s="10">
        <f>Mercredi!AN20+jeudi!AN20+Vendredi!AN20+Samedii!AN20+lundi!AN20+'Jr non travaillé'!AN20</f>
        <v>3</v>
      </c>
      <c r="AO20" s="10">
        <f>Mercredi!AO20+jeudi!AO20+Vendredi!AO20+Samedii!AO20+lundi!AO20+'Jr non travaillé'!AO20</f>
        <v>6</v>
      </c>
      <c r="AP20" s="11">
        <f>Mercredi!AP20+jeudi!AP20+Vendredi!AP20+Samedii!AP20+lundi!AP20+'Jr non travaillé'!AP20</f>
        <v>22</v>
      </c>
      <c r="AQ20" s="91">
        <f>Mercredi!AQ20+jeudi!AQ20+Vendredi!AQ20+Samedii!AQ20+lundi!AQ20+'Jr non travaillé'!AQ20</f>
        <v>1</v>
      </c>
      <c r="AR20" s="10">
        <f>Mercredi!AR20+jeudi!AR20+Vendredi!AR20+Samedii!AR20+lundi!AR20+'Jr non travaillé'!AR20</f>
        <v>0</v>
      </c>
      <c r="AS20" s="10">
        <f>Mercredi!AS20+jeudi!AS20+Vendredi!AS20+Samedii!AS20+lundi!AS20+'Jr non travaillé'!AS20</f>
        <v>0.75</v>
      </c>
      <c r="AT20" s="10">
        <f>Mercredi!AT20+jeudi!AT20+Vendredi!AT20+Samedii!AT20+lundi!AT20+'Jr non travaillé'!AT20</f>
        <v>1.3</v>
      </c>
      <c r="AU20" s="10">
        <f>Mercredi!AU20+jeudi!AU20+Vendredi!AU20+Samedii!AU20+lundi!AU20+'Jr non travaillé'!AU20</f>
        <v>8.5</v>
      </c>
      <c r="AV20" s="6">
        <f>Mercredi!AV20+jeudi!AV20+Vendredi!AV20+Samedii!AV20+lundi!AV20+'Jr non travaillé'!AV20</f>
        <v>19</v>
      </c>
      <c r="AW20" s="7">
        <f>Mercredi!AW20+jeudi!AW20+Vendredi!AW20+Samedii!AW20+lundi!AW20+'Jr non travaillé'!AW20</f>
        <v>19</v>
      </c>
      <c r="AX20" s="7">
        <f>Mercredi!AX20+jeudi!AX20+Vendredi!AX20+Samedii!AX20+lundi!AX20+'Jr non travaillé'!AX20</f>
        <v>19</v>
      </c>
      <c r="AY20" s="7">
        <f>Mercredi!AY20+jeudi!AY20+Vendredi!AY20+Samedii!AY20+lundi!AY20+'Jr non travaillé'!AY20</f>
        <v>0</v>
      </c>
      <c r="AZ20" s="8">
        <f>Mercredi!AZ20+jeudi!AZ20+Vendredi!AZ20+Samedii!AZ20+lundi!AZ20+'Jr non travaillé'!AZ20</f>
        <v>0</v>
      </c>
      <c r="BA20" s="6">
        <f>Mercredi!BA20+jeudi!BA20+Vendredi!BA20+Samedii!BA20+lundi!BA20+'Jr non travaillé'!BA20</f>
        <v>32</v>
      </c>
      <c r="BB20" s="7">
        <f>Mercredi!BB20+jeudi!BB20+Vendredi!BB20+Samedii!BB20+lundi!BB20+'Jr non travaillé'!BB20</f>
        <v>0</v>
      </c>
      <c r="BC20" s="8">
        <f>Mercredi!BC20+jeudi!BC20+Vendredi!BC20+Samedii!BC20+lundi!BC20+'Jr non travaillé'!BC20</f>
        <v>91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>
        <f>Mercredi!W21+jeudi!W21+Vendredi!W21+Samedii!W21+lundi!W21+'Jr non travaillé'!W21</f>
        <v>125</v>
      </c>
      <c r="X21" s="7">
        <f>Mercredi!X21+jeudi!X21+Vendredi!X21+Samedii!X21+lundi!X21+'Jr non travaillé'!X21</f>
        <v>0</v>
      </c>
      <c r="Y21" s="7">
        <f>Mercredi!Y21+jeudi!Y21+Vendredi!Y21+Samedii!Y21+lundi!Y21+'Jr non travaillé'!Y21</f>
        <v>0</v>
      </c>
      <c r="Z21" s="7">
        <f>Mercredi!Z21+jeudi!Z21+Vendredi!Z21+Samedii!Z21+lundi!Z21+'Jr non travaillé'!Z21</f>
        <v>0</v>
      </c>
      <c r="AA21" s="8">
        <f>Mercredi!AA21+jeudi!AA21+Vendredi!AA21+Samedii!AA21+lundi!AA21+'Jr non travaillé'!AA21</f>
        <v>0</v>
      </c>
      <c r="AB21" s="10">
        <f>Mercredi!AB21+jeudi!AB21+Vendredi!AB21+Samedii!AB21+lundi!AB21+'Jr non travaillé'!AB21</f>
        <v>2</v>
      </c>
      <c r="AC21" s="10">
        <f>Mercredi!AC21+jeudi!AC21+Vendredi!AC21+Samedii!AC21+lundi!AC21+'Jr non travaillé'!AC21</f>
        <v>0</v>
      </c>
      <c r="AD21" s="10">
        <f>Mercredi!AD21+jeudi!AD21+Vendredi!AD21+Samedii!AD21+lundi!AD21+'Jr non travaillé'!AD21</f>
        <v>0</v>
      </c>
      <c r="AE21" s="10">
        <f>Mercredi!AE21+jeudi!AE21+Vendredi!AE21+Samedii!AE21+lundi!AE21+'Jr non travaillé'!AE21</f>
        <v>2</v>
      </c>
      <c r="AF21" s="10">
        <f>Mercredi!AF21+jeudi!AF21+Vendredi!AF21+Samedii!AF21+lundi!AF21+'Jr non travaillé'!AF21</f>
        <v>0</v>
      </c>
      <c r="AG21" s="6" t="e">
        <f>Mercredi!AG21+jeudi!AG21+Vendredi!AG21+Samedii!AG21+lundi!AG21+'Jr non travaillé'!AG21</f>
        <v>#VALUE!</v>
      </c>
      <c r="AH21" s="7">
        <f>Mercredi!AH21+jeudi!AH21+Vendredi!AH21+Samedii!AH21+lundi!AH21+'Jr non travaillé'!AH21</f>
        <v>0</v>
      </c>
      <c r="AI21" s="7">
        <f>Mercredi!AI21+jeudi!AI21+Vendredi!AI21+Samedii!AI21+lundi!AI21+'Jr non travaillé'!AI21</f>
        <v>0</v>
      </c>
      <c r="AJ21" s="7">
        <f>Mercredi!AJ21+jeudi!AJ21+Vendredi!AJ21+Samedii!AJ21+lundi!AJ21+'Jr non travaillé'!AJ21</f>
        <v>0</v>
      </c>
      <c r="AK21" s="8">
        <f>Mercredi!AK21+jeudi!AK21+Vendredi!AK21+Samedii!AK21+lundi!AK21+'Jr non travaillé'!AK21</f>
        <v>0</v>
      </c>
      <c r="AL21" s="9">
        <f>Mercredi!AL21+jeudi!AL21+Vendredi!AL21+Samedii!AL21+lundi!AL21+'Jr non travaillé'!AL21</f>
        <v>7</v>
      </c>
      <c r="AM21" s="10">
        <f>Mercredi!AM21+jeudi!AM21+Vendredi!AM21+Samedii!AM21+lundi!AM21+'Jr non travaillé'!AM21</f>
        <v>0</v>
      </c>
      <c r="AN21" s="10">
        <f>Mercredi!AN21+jeudi!AN21+Vendredi!AN21+Samedii!AN21+lundi!AN21+'Jr non travaillé'!AN21</f>
        <v>5</v>
      </c>
      <c r="AO21" s="10">
        <f>Mercredi!AO21+jeudi!AO21+Vendredi!AO21+Samedii!AO21+lundi!AO21+'Jr non travaillé'!AO21</f>
        <v>5</v>
      </c>
      <c r="AP21" s="11">
        <f>Mercredi!AP21+jeudi!AP21+Vendredi!AP21+Samedii!AP21+lundi!AP21+'Jr non travaillé'!AP21</f>
        <v>25</v>
      </c>
      <c r="AQ21" s="91">
        <f>Mercredi!AQ21+jeudi!AQ21+Vendredi!AQ21+Samedii!AQ21+lundi!AQ21+'Jr non travaillé'!AQ21</f>
        <v>2.8333333333333335</v>
      </c>
      <c r="AR21" s="10">
        <f>Mercredi!AR21+jeudi!AR21+Vendredi!AR21+Samedii!AR21+lundi!AR21+'Jr non travaillé'!AR21</f>
        <v>0</v>
      </c>
      <c r="AS21" s="10">
        <f>Mercredi!AS21+jeudi!AS21+Vendredi!AS21+Samedii!AS21+lundi!AS21+'Jr non travaillé'!AS21</f>
        <v>0.9</v>
      </c>
      <c r="AT21" s="10">
        <f>Mercredi!AT21+jeudi!AT21+Vendredi!AT21+Samedii!AT21+lundi!AT21+'Jr non travaillé'!AT21</f>
        <v>1.4</v>
      </c>
      <c r="AU21" s="10">
        <f>Mercredi!AU21+jeudi!AU21+Vendredi!AU21+Samedii!AU21+lundi!AU21+'Jr non travaillé'!AU21</f>
        <v>9</v>
      </c>
      <c r="AV21" s="6">
        <f>Mercredi!AV21+jeudi!AV21+Vendredi!AV21+Samedii!AV21+lundi!AV21+'Jr non travaillé'!AV21</f>
        <v>19</v>
      </c>
      <c r="AW21" s="7">
        <f>Mercredi!AW21+jeudi!AW21+Vendredi!AW21+Samedii!AW21+lundi!AW21+'Jr non travaillé'!AW21</f>
        <v>19</v>
      </c>
      <c r="AX21" s="7">
        <f>Mercredi!AX21+jeudi!AX21+Vendredi!AX21+Samedii!AX21+lundi!AX21+'Jr non travaillé'!AX21</f>
        <v>19</v>
      </c>
      <c r="AY21" s="7">
        <f>Mercredi!AY21+jeudi!AY21+Vendredi!AY21+Samedii!AY21+lundi!AY21+'Jr non travaillé'!AY21</f>
        <v>0</v>
      </c>
      <c r="AZ21" s="8">
        <f>Mercredi!AZ21+jeudi!AZ21+Vendredi!AZ21+Samedii!AZ21+lundi!AZ21+'Jr non travaillé'!AZ21</f>
        <v>0</v>
      </c>
      <c r="BA21" s="6">
        <f>Mercredi!BA21+jeudi!BA21+Vendredi!BA21+Samedii!BA21+lundi!BA21+'Jr non travaillé'!BA21</f>
        <v>52</v>
      </c>
      <c r="BB21" s="7">
        <f>Mercredi!BB21+jeudi!BB21+Vendredi!BB21+Samedii!BB21+lundi!BB21+'Jr non travaillé'!BB21</f>
        <v>0</v>
      </c>
      <c r="BC21" s="8">
        <f>Mercredi!BC21+jeudi!BC21+Vendredi!BC21+Samedii!BC21+lundi!BC21+'Jr non travaillé'!BC21</f>
        <v>89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>
        <f>Mercredi!W22+jeudi!W22+Vendredi!W22+Samedii!W22+lundi!W22+'Jr non travaillé'!W22</f>
        <v>114</v>
      </c>
      <c r="X22" s="7">
        <f>Mercredi!X22+jeudi!X22+Vendredi!X22+Samedii!X22+lundi!X22+'Jr non travaillé'!X22</f>
        <v>0</v>
      </c>
      <c r="Y22" s="7">
        <f>Mercredi!Y22+jeudi!Y22+Vendredi!Y22+Samedii!Y22+lundi!Y22+'Jr non travaillé'!Y22</f>
        <v>0</v>
      </c>
      <c r="Z22" s="7">
        <f>Mercredi!Z22+jeudi!Z22+Vendredi!Z22+Samedii!Z22+lundi!Z22+'Jr non travaillé'!Z22</f>
        <v>0</v>
      </c>
      <c r="AA22" s="8">
        <f>Mercredi!AA22+jeudi!AA22+Vendredi!AA22+Samedii!AA22+lundi!AA22+'Jr non travaillé'!AA22</f>
        <v>0</v>
      </c>
      <c r="AB22" s="10">
        <f>Mercredi!AB22+jeudi!AB22+Vendredi!AB22+Samedii!AB22+lundi!AB22+'Jr non travaillé'!AB22</f>
        <v>0</v>
      </c>
      <c r="AC22" s="10">
        <f>Mercredi!AC22+jeudi!AC22+Vendredi!AC22+Samedii!AC22+lundi!AC22+'Jr non travaillé'!AC22</f>
        <v>0</v>
      </c>
      <c r="AD22" s="10">
        <f>Mercredi!AD22+jeudi!AD22+Vendredi!AD22+Samedii!AD22+lundi!AD22+'Jr non travaillé'!AD22</f>
        <v>0</v>
      </c>
      <c r="AE22" s="10">
        <f>Mercredi!AE22+jeudi!AE22+Vendredi!AE22+Samedii!AE22+lundi!AE22+'Jr non travaillé'!AE22</f>
        <v>1</v>
      </c>
      <c r="AF22" s="10">
        <f>Mercredi!AF22+jeudi!AF22+Vendredi!AF22+Samedii!AF22+lundi!AF22+'Jr non travaillé'!AF22</f>
        <v>0</v>
      </c>
      <c r="AG22" s="6" t="e">
        <f>Mercredi!AG22+jeudi!AG22+Vendredi!AG22+Samedii!AG22+lundi!AG22+'Jr non travaillé'!AG22</f>
        <v>#VALUE!</v>
      </c>
      <c r="AH22" s="7">
        <f>Mercredi!AH22+jeudi!AH22+Vendredi!AH22+Samedii!AH22+lundi!AH22+'Jr non travaillé'!AH22</f>
        <v>0</v>
      </c>
      <c r="AI22" s="7">
        <f>Mercredi!AI22+jeudi!AI22+Vendredi!AI22+Samedii!AI22+lundi!AI22+'Jr non travaillé'!AI22</f>
        <v>0</v>
      </c>
      <c r="AJ22" s="7">
        <f>Mercredi!AJ22+jeudi!AJ22+Vendredi!AJ22+Samedii!AJ22+lundi!AJ22+'Jr non travaillé'!AJ22</f>
        <v>0</v>
      </c>
      <c r="AK22" s="8">
        <f>Mercredi!AK22+jeudi!AK22+Vendredi!AK22+Samedii!AK22+lundi!AK22+'Jr non travaillé'!AK22</f>
        <v>0</v>
      </c>
      <c r="AL22" s="9">
        <f>Mercredi!AL22+jeudi!AL22+Vendredi!AL22+Samedii!AL22+lundi!AL22+'Jr non travaillé'!AL22</f>
        <v>8</v>
      </c>
      <c r="AM22" s="10">
        <f>Mercredi!AM22+jeudi!AM22+Vendredi!AM22+Samedii!AM22+lundi!AM22+'Jr non travaillé'!AM22</f>
        <v>0</v>
      </c>
      <c r="AN22" s="10">
        <f>Mercredi!AN22+jeudi!AN22+Vendredi!AN22+Samedii!AN22+lundi!AN22+'Jr non travaillé'!AN22</f>
        <v>2</v>
      </c>
      <c r="AO22" s="10">
        <f>Mercredi!AO22+jeudi!AO22+Vendredi!AO22+Samedii!AO22+lundi!AO22+'Jr non travaillé'!AO22</f>
        <v>5</v>
      </c>
      <c r="AP22" s="11">
        <f>Mercredi!AP22+jeudi!AP22+Vendredi!AP22+Samedii!AP22+lundi!AP22+'Jr non travaillé'!AP22</f>
        <v>30</v>
      </c>
      <c r="AQ22" s="91">
        <f>Mercredi!AQ22+jeudi!AQ22+Vendredi!AQ22+Samedii!AQ22+lundi!AQ22+'Jr non travaillé'!AQ22</f>
        <v>3.9166666666666665</v>
      </c>
      <c r="AR22" s="10">
        <f>Mercredi!AR22+jeudi!AR22+Vendredi!AR22+Samedii!AR22+lundi!AR22+'Jr non travaillé'!AR22</f>
        <v>0</v>
      </c>
      <c r="AS22" s="10">
        <f>Mercredi!AS22+jeudi!AS22+Vendredi!AS22+Samedii!AS22+lundi!AS22+'Jr non travaillé'!AS22</f>
        <v>0.8</v>
      </c>
      <c r="AT22" s="10">
        <f>Mercredi!AT22+jeudi!AT22+Vendredi!AT22+Samedii!AT22+lundi!AT22+'Jr non travaillé'!AT22</f>
        <v>1.8</v>
      </c>
      <c r="AU22" s="10">
        <f>Mercredi!AU22+jeudi!AU22+Vendredi!AU22+Samedii!AU22+lundi!AU22+'Jr non travaillé'!AU22</f>
        <v>12</v>
      </c>
      <c r="AV22" s="6">
        <f>Mercredi!AV22+jeudi!AV22+Vendredi!AV22+Samedii!AV22+lundi!AV22+'Jr non travaillé'!AV22</f>
        <v>19</v>
      </c>
      <c r="AW22" s="7">
        <f>Mercredi!AW22+jeudi!AW22+Vendredi!AW22+Samedii!AW22+lundi!AW22+'Jr non travaillé'!AW22</f>
        <v>19</v>
      </c>
      <c r="AX22" s="7">
        <f>Mercredi!AX22+jeudi!AX22+Vendredi!AX22+Samedii!AX22+lundi!AX22+'Jr non travaillé'!AX22</f>
        <v>19</v>
      </c>
      <c r="AY22" s="7">
        <f>Mercredi!AY22+jeudi!AY22+Vendredi!AY22+Samedii!AY22+lundi!AY22+'Jr non travaillé'!AY22</f>
        <v>0</v>
      </c>
      <c r="AZ22" s="8">
        <f>Mercredi!AZ22+jeudi!AZ22+Vendredi!AZ22+Samedii!AZ22+lundi!AZ22+'Jr non travaillé'!AZ22</f>
        <v>0</v>
      </c>
      <c r="BA22" s="6">
        <f>Mercredi!BA22+jeudi!BA22+Vendredi!BA22+Samedii!BA22+lundi!BA22+'Jr non travaillé'!BA22</f>
        <v>63</v>
      </c>
      <c r="BB22" s="7">
        <f>Mercredi!BB22+jeudi!BB22+Vendredi!BB22+Samedii!BB22+lundi!BB22+'Jr non travaillé'!BB22</f>
        <v>0</v>
      </c>
      <c r="BC22" s="8">
        <f>Mercredi!BC22+jeudi!BC22+Vendredi!BC22+Samedii!BC22+lundi!BC22+'Jr non travaillé'!BC22</f>
        <v>132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>
        <f>Mercredi!W23+jeudi!W23+Vendredi!W23+Samedii!W23+lundi!W23+'Jr non travaillé'!W23</f>
        <v>118</v>
      </c>
      <c r="X23" s="7">
        <f>Mercredi!X23+jeudi!X23+Vendredi!X23+Samedii!X23+lundi!X23+'Jr non travaillé'!X23</f>
        <v>0</v>
      </c>
      <c r="Y23" s="7">
        <f>Mercredi!Y23+jeudi!Y23+Vendredi!Y23+Samedii!Y23+lundi!Y23+'Jr non travaillé'!Y23</f>
        <v>0</v>
      </c>
      <c r="Z23" s="7">
        <f>Mercredi!Z23+jeudi!Z23+Vendredi!Z23+Samedii!Z23+lundi!Z23+'Jr non travaillé'!Z23</f>
        <v>0</v>
      </c>
      <c r="AA23" s="8">
        <f>Mercredi!AA23+jeudi!AA23+Vendredi!AA23+Samedii!AA23+lundi!AA23+'Jr non travaillé'!AA23</f>
        <v>0</v>
      </c>
      <c r="AB23" s="10">
        <f>Mercredi!AB23+jeudi!AB23+Vendredi!AB23+Samedii!AB23+lundi!AB23+'Jr non travaillé'!AB23</f>
        <v>2</v>
      </c>
      <c r="AC23" s="10">
        <f>Mercredi!AC23+jeudi!AC23+Vendredi!AC23+Samedii!AC23+lundi!AC23+'Jr non travaillé'!AC23</f>
        <v>0</v>
      </c>
      <c r="AD23" s="10">
        <f>Mercredi!AD23+jeudi!AD23+Vendredi!AD23+Samedii!AD23+lundi!AD23+'Jr non travaillé'!AD23</f>
        <v>0</v>
      </c>
      <c r="AE23" s="10">
        <f>Mercredi!AE23+jeudi!AE23+Vendredi!AE23+Samedii!AE23+lundi!AE23+'Jr non travaillé'!AE23</f>
        <v>1</v>
      </c>
      <c r="AF23" s="10">
        <f>Mercredi!AF23+jeudi!AF23+Vendredi!AF23+Samedii!AF23+lundi!AF23+'Jr non travaillé'!AF23</f>
        <v>1</v>
      </c>
      <c r="AG23" s="6" t="e">
        <f>Mercredi!AG23+jeudi!AG23+Vendredi!AG23+Samedii!AG23+lundi!AG23+'Jr non travaillé'!AG23</f>
        <v>#VALUE!</v>
      </c>
      <c r="AH23" s="7">
        <f>Mercredi!AH23+jeudi!AH23+Vendredi!AH23+Samedii!AH23+lundi!AH23+'Jr non travaillé'!AH23</f>
        <v>0</v>
      </c>
      <c r="AI23" s="7">
        <f>Mercredi!AI23+jeudi!AI23+Vendredi!AI23+Samedii!AI23+lundi!AI23+'Jr non travaillé'!AI23</f>
        <v>0</v>
      </c>
      <c r="AJ23" s="7">
        <f>Mercredi!AJ23+jeudi!AJ23+Vendredi!AJ23+Samedii!AJ23+lundi!AJ23+'Jr non travaillé'!AJ23</f>
        <v>0</v>
      </c>
      <c r="AK23" s="8">
        <f>Mercredi!AK23+jeudi!AK23+Vendredi!AK23+Samedii!AK23+lundi!AK23+'Jr non travaillé'!AK23</f>
        <v>0</v>
      </c>
      <c r="AL23" s="9">
        <f>Mercredi!AL23+jeudi!AL23+Vendredi!AL23+Samedii!AL23+lundi!AL23+'Jr non travaillé'!AL23</f>
        <v>6</v>
      </c>
      <c r="AM23" s="10">
        <f>Mercredi!AM23+jeudi!AM23+Vendredi!AM23+Samedii!AM23+lundi!AM23+'Jr non travaillé'!AM23</f>
        <v>0</v>
      </c>
      <c r="AN23" s="10">
        <f>Mercredi!AN23+jeudi!AN23+Vendredi!AN23+Samedii!AN23+lundi!AN23+'Jr non travaillé'!AN23</f>
        <v>3</v>
      </c>
      <c r="AO23" s="10">
        <f>Mercredi!AO23+jeudi!AO23+Vendredi!AO23+Samedii!AO23+lundi!AO23+'Jr non travaillé'!AO23</f>
        <v>4</v>
      </c>
      <c r="AP23" s="11">
        <f>Mercredi!AP23+jeudi!AP23+Vendredi!AP23+Samedii!AP23+lundi!AP23+'Jr non travaillé'!AP23</f>
        <v>24</v>
      </c>
      <c r="AQ23" s="91">
        <f>Mercredi!AQ23+jeudi!AQ23+Vendredi!AQ23+Samedii!AQ23+lundi!AQ23+'Jr non travaillé'!AQ23</f>
        <v>2.6</v>
      </c>
      <c r="AR23" s="10">
        <f>Mercredi!AR23+jeudi!AR23+Vendredi!AR23+Samedii!AR23+lundi!AR23+'Jr non travaillé'!AR23</f>
        <v>0</v>
      </c>
      <c r="AS23" s="10">
        <f>Mercredi!AS23+jeudi!AS23+Vendredi!AS23+Samedii!AS23+lundi!AS23+'Jr non travaillé'!AS23</f>
        <v>0.44999999999999996</v>
      </c>
      <c r="AT23" s="10">
        <f>Mercredi!AT23+jeudi!AT23+Vendredi!AT23+Samedii!AT23+lundi!AT23+'Jr non travaillé'!AT23</f>
        <v>1.4</v>
      </c>
      <c r="AU23" s="10">
        <f>Mercredi!AU23+jeudi!AU23+Vendredi!AU23+Samedii!AU23+lundi!AU23+'Jr non travaillé'!AU23</f>
        <v>10</v>
      </c>
      <c r="AV23" s="6">
        <f>Mercredi!AV23+jeudi!AV23+Vendredi!AV23+Samedii!AV23+lundi!AV23+'Jr non travaillé'!AV23</f>
        <v>19</v>
      </c>
      <c r="AW23" s="7">
        <f>Mercredi!AW23+jeudi!AW23+Vendredi!AW23+Samedii!AW23+lundi!AW23+'Jr non travaillé'!AW23</f>
        <v>19</v>
      </c>
      <c r="AX23" s="7">
        <f>Mercredi!AX23+jeudi!AX23+Vendredi!AX23+Samedii!AX23+lundi!AX23+'Jr non travaillé'!AX23</f>
        <v>19</v>
      </c>
      <c r="AY23" s="7">
        <f>Mercredi!AY23+jeudi!AY23+Vendredi!AY23+Samedii!AY23+lundi!AY23+'Jr non travaillé'!AY23</f>
        <v>0</v>
      </c>
      <c r="AZ23" s="8">
        <f>Mercredi!AZ23+jeudi!AZ23+Vendredi!AZ23+Samedii!AZ23+lundi!AZ23+'Jr non travaillé'!AZ23</f>
        <v>0</v>
      </c>
      <c r="BA23" s="6">
        <f>Mercredi!BA23+jeudi!BA23+Vendredi!BA23+Samedii!BA23+lundi!BA23+'Jr non travaillé'!BA23</f>
        <v>40</v>
      </c>
      <c r="BB23" s="7">
        <f>Mercredi!BB23+jeudi!BB23+Vendredi!BB23+Samedii!BB23+lundi!BB23+'Jr non travaillé'!BB23</f>
        <v>0</v>
      </c>
      <c r="BC23" s="8">
        <f>Mercredi!BC23+jeudi!BC23+Vendredi!BC23+Samedii!BC23+lundi!BC23+'Jr non travaillé'!BC23</f>
        <v>102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>
        <f>Mercredi!W24+jeudi!W24+Vendredi!W24+Samedii!W24+lundi!W24+'Jr non travaillé'!W24</f>
        <v>114</v>
      </c>
      <c r="X24" s="7">
        <f>Mercredi!X24+jeudi!X24+Vendredi!X24+Samedii!X24+lundi!X24+'Jr non travaillé'!X24</f>
        <v>0</v>
      </c>
      <c r="Y24" s="7">
        <f>Mercredi!Y24+jeudi!Y24+Vendredi!Y24+Samedii!Y24+lundi!Y24+'Jr non travaillé'!Y24</f>
        <v>0</v>
      </c>
      <c r="Z24" s="7">
        <f>Mercredi!Z24+jeudi!Z24+Vendredi!Z24+Samedii!Z24+lundi!Z24+'Jr non travaillé'!Z24</f>
        <v>0</v>
      </c>
      <c r="AA24" s="8">
        <f>Mercredi!AA24+jeudi!AA24+Vendredi!AA24+Samedii!AA24+lundi!AA24+'Jr non travaillé'!AA24</f>
        <v>0</v>
      </c>
      <c r="AB24" s="10">
        <f>Mercredi!AB24+jeudi!AB24+Vendredi!AB24+Samedii!AB24+lundi!AB24+'Jr non travaillé'!AB24</f>
        <v>1</v>
      </c>
      <c r="AC24" s="10">
        <f>Mercredi!AC24+jeudi!AC24+Vendredi!AC24+Samedii!AC24+lundi!AC24+'Jr non travaillé'!AC24</f>
        <v>0</v>
      </c>
      <c r="AD24" s="10">
        <f>Mercredi!AD24+jeudi!AD24+Vendredi!AD24+Samedii!AD24+lundi!AD24+'Jr non travaillé'!AD24</f>
        <v>1</v>
      </c>
      <c r="AE24" s="10">
        <f>Mercredi!AE24+jeudi!AE24+Vendredi!AE24+Samedii!AE24+lundi!AE24+'Jr non travaillé'!AE24</f>
        <v>0</v>
      </c>
      <c r="AF24" s="10">
        <f>Mercredi!AF24+jeudi!AF24+Vendredi!AF24+Samedii!AF24+lundi!AF24+'Jr non travaillé'!AF24</f>
        <v>2</v>
      </c>
      <c r="AG24" s="6" t="e">
        <f>Mercredi!AG24+jeudi!AG24+Vendredi!AG24+Samedii!AG24+lundi!AG24+'Jr non travaillé'!AG24</f>
        <v>#VALUE!</v>
      </c>
      <c r="AH24" s="7">
        <f>Mercredi!AH24+jeudi!AH24+Vendredi!AH24+Samedii!AH24+lundi!AH24+'Jr non travaillé'!AH24</f>
        <v>0</v>
      </c>
      <c r="AI24" s="7">
        <f>Mercredi!AI24+jeudi!AI24+Vendredi!AI24+Samedii!AI24+lundi!AI24+'Jr non travaillé'!AI24</f>
        <v>0</v>
      </c>
      <c r="AJ24" s="7">
        <f>Mercredi!AJ24+jeudi!AJ24+Vendredi!AJ24+Samedii!AJ24+lundi!AJ24+'Jr non travaillé'!AJ24</f>
        <v>0</v>
      </c>
      <c r="AK24" s="8">
        <f>Mercredi!AK24+jeudi!AK24+Vendredi!AK24+Samedii!AK24+lundi!AK24+'Jr non travaillé'!AK24</f>
        <v>0</v>
      </c>
      <c r="AL24" s="9">
        <f>Mercredi!AL24+jeudi!AL24+Vendredi!AL24+Samedii!AL24+lundi!AL24+'Jr non travaillé'!AL24</f>
        <v>5</v>
      </c>
      <c r="AM24" s="10">
        <f>Mercredi!AM24+jeudi!AM24+Vendredi!AM24+Samedii!AM24+lundi!AM24+'Jr non travaillé'!AM24</f>
        <v>0</v>
      </c>
      <c r="AN24" s="10">
        <f>Mercredi!AN24+jeudi!AN24+Vendredi!AN24+Samedii!AN24+lundi!AN24+'Jr non travaillé'!AN24</f>
        <v>6</v>
      </c>
      <c r="AO24" s="10">
        <f>Mercredi!AO24+jeudi!AO24+Vendredi!AO24+Samedii!AO24+lundi!AO24+'Jr non travaillé'!AO24</f>
        <v>3</v>
      </c>
      <c r="AP24" s="11">
        <f>Mercredi!AP24+jeudi!AP24+Vendredi!AP24+Samedii!AP24+lundi!AP24+'Jr non travaillé'!AP24</f>
        <v>20</v>
      </c>
      <c r="AQ24" s="91">
        <f>Mercredi!AQ24+jeudi!AQ24+Vendredi!AQ24+Samedii!AQ24+lundi!AQ24+'Jr non travaillé'!AQ24</f>
        <v>3.1666666666666665</v>
      </c>
      <c r="AR24" s="10">
        <f>Mercredi!AR24+jeudi!AR24+Vendredi!AR24+Samedii!AR24+lundi!AR24+'Jr non travaillé'!AR24</f>
        <v>0</v>
      </c>
      <c r="AS24" s="10">
        <f>Mercredi!AS24+jeudi!AS24+Vendredi!AS24+Samedii!AS24+lundi!AS24+'Jr non travaillé'!AS24</f>
        <v>0.75</v>
      </c>
      <c r="AT24" s="10">
        <f>Mercredi!AT24+jeudi!AT24+Vendredi!AT24+Samedii!AT24+lundi!AT24+'Jr non travaillé'!AT24</f>
        <v>1.3</v>
      </c>
      <c r="AU24" s="10">
        <f>Mercredi!AU24+jeudi!AU24+Vendredi!AU24+Samedii!AU24+lundi!AU24+'Jr non travaillé'!AU24</f>
        <v>7.5</v>
      </c>
      <c r="AV24" s="6">
        <f>Mercredi!AV24+jeudi!AV24+Vendredi!AV24+Samedii!AV24+lundi!AV24+'Jr non travaillé'!AV24</f>
        <v>19</v>
      </c>
      <c r="AW24" s="7">
        <f>Mercredi!AW24+jeudi!AW24+Vendredi!AW24+Samedii!AW24+lundi!AW24+'Jr non travaillé'!AW24</f>
        <v>19</v>
      </c>
      <c r="AX24" s="7">
        <f>Mercredi!AX24+jeudi!AX24+Vendredi!AX24+Samedii!AX24+lundi!AX24+'Jr non travaillé'!AX24</f>
        <v>19</v>
      </c>
      <c r="AY24" s="7">
        <f>Mercredi!AY24+jeudi!AY24+Vendredi!AY24+Samedii!AY24+lundi!AY24+'Jr non travaillé'!AY24</f>
        <v>0</v>
      </c>
      <c r="AZ24" s="8">
        <f>Mercredi!AZ24+jeudi!AZ24+Vendredi!AZ24+Samedii!AZ24+lundi!AZ24+'Jr non travaillé'!AZ24</f>
        <v>0</v>
      </c>
      <c r="BA24" s="6">
        <f>Mercredi!BA24+jeudi!BA24+Vendredi!BA24+Samedii!BA24+lundi!BA24+'Jr non travaillé'!BA24</f>
        <v>68</v>
      </c>
      <c r="BB24" s="7">
        <f>Mercredi!BB24+jeudi!BB24+Vendredi!BB24+Samedii!BB24+lundi!BB24+'Jr non travaillé'!BB24</f>
        <v>0</v>
      </c>
      <c r="BC24" s="8">
        <f>Mercredi!BC24+jeudi!BC24+Vendredi!BC24+Samedii!BC24+lundi!BC24+'Jr non travaillé'!BC24</f>
        <v>72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>
        <f>Mercredi!W25+jeudi!W25+Vendredi!W25+Samedii!W25+lundi!W25+'Jr non travaillé'!W25</f>
        <v>115</v>
      </c>
      <c r="X25" s="7">
        <f>Mercredi!X25+jeudi!X25+Vendredi!X25+Samedii!X25+lundi!X25+'Jr non travaillé'!X25</f>
        <v>0</v>
      </c>
      <c r="Y25" s="7">
        <f>Mercredi!Y25+jeudi!Y25+Vendredi!Y25+Samedii!Y25+lundi!Y25+'Jr non travaillé'!Y25</f>
        <v>0</v>
      </c>
      <c r="Z25" s="7">
        <f>Mercredi!Z25+jeudi!Z25+Vendredi!Z25+Samedii!Z25+lundi!Z25+'Jr non travaillé'!Z25</f>
        <v>0</v>
      </c>
      <c r="AA25" s="8">
        <f>Mercredi!AA25+jeudi!AA25+Vendredi!AA25+Samedii!AA25+lundi!AA25+'Jr non travaillé'!AA25</f>
        <v>0</v>
      </c>
      <c r="AB25" s="10">
        <f>Mercredi!AB25+jeudi!AB25+Vendredi!AB25+Samedii!AB25+lundi!AB25+'Jr non travaillé'!AB25</f>
        <v>1</v>
      </c>
      <c r="AC25" s="10">
        <f>Mercredi!AC25+jeudi!AC25+Vendredi!AC25+Samedii!AC25+lundi!AC25+'Jr non travaillé'!AC25</f>
        <v>0</v>
      </c>
      <c r="AD25" s="10">
        <f>Mercredi!AD25+jeudi!AD25+Vendredi!AD25+Samedii!AD25+lundi!AD25+'Jr non travaillé'!AD25</f>
        <v>1</v>
      </c>
      <c r="AE25" s="10">
        <f>Mercredi!AE25+jeudi!AE25+Vendredi!AE25+Samedii!AE25+lundi!AE25+'Jr non travaillé'!AE25</f>
        <v>1</v>
      </c>
      <c r="AF25" s="10">
        <f>Mercredi!AF25+jeudi!AF25+Vendredi!AF25+Samedii!AF25+lundi!AF25+'Jr non travaillé'!AF25</f>
        <v>0</v>
      </c>
      <c r="AG25" s="6" t="e">
        <f>Mercredi!AG25+jeudi!AG25+Vendredi!AG25+Samedii!AG25+lundi!AG25+'Jr non travaillé'!AG25</f>
        <v>#VALUE!</v>
      </c>
      <c r="AH25" s="7">
        <f>Mercredi!AH25+jeudi!AH25+Vendredi!AH25+Samedii!AH25+lundi!AH25+'Jr non travaillé'!AH25</f>
        <v>0</v>
      </c>
      <c r="AI25" s="7">
        <f>Mercredi!AI25+jeudi!AI25+Vendredi!AI25+Samedii!AI25+lundi!AI25+'Jr non travaillé'!AI25</f>
        <v>0</v>
      </c>
      <c r="AJ25" s="7">
        <f>Mercredi!AJ25+jeudi!AJ25+Vendredi!AJ25+Samedii!AJ25+lundi!AJ25+'Jr non travaillé'!AJ25</f>
        <v>0</v>
      </c>
      <c r="AK25" s="8">
        <f>Mercredi!AK25+jeudi!AK25+Vendredi!AK25+Samedii!AK25+lundi!AK25+'Jr non travaillé'!AK25</f>
        <v>0</v>
      </c>
      <c r="AL25" s="9">
        <f>Mercredi!AL25+jeudi!AL25+Vendredi!AL25+Samedii!AL25+lundi!AL25+'Jr non travaillé'!AL25</f>
        <v>6</v>
      </c>
      <c r="AM25" s="10">
        <f>Mercredi!AM25+jeudi!AM25+Vendredi!AM25+Samedii!AM25+lundi!AM25+'Jr non travaillé'!AM25</f>
        <v>0</v>
      </c>
      <c r="AN25" s="10">
        <f>Mercredi!AN25+jeudi!AN25+Vendredi!AN25+Samedii!AN25+lundi!AN25+'Jr non travaillé'!AN25</f>
        <v>4</v>
      </c>
      <c r="AO25" s="10">
        <f>Mercredi!AO25+jeudi!AO25+Vendredi!AO25+Samedii!AO25+lundi!AO25+'Jr non travaillé'!AO25</f>
        <v>5</v>
      </c>
      <c r="AP25" s="11">
        <f>Mercredi!AP25+jeudi!AP25+Vendredi!AP25+Samedii!AP25+lundi!AP25+'Jr non travaillé'!AP25</f>
        <v>33</v>
      </c>
      <c r="AQ25" s="91">
        <f>Mercredi!AQ25+jeudi!AQ25+Vendredi!AQ25+Samedii!AQ25+lundi!AQ25+'Jr non travaillé'!AQ25</f>
        <v>1.75</v>
      </c>
      <c r="AR25" s="10">
        <f>Mercredi!AR25+jeudi!AR25+Vendredi!AR25+Samedii!AR25+lundi!AR25+'Jr non travaillé'!AR25</f>
        <v>0</v>
      </c>
      <c r="AS25" s="10">
        <f>Mercredi!AS25+jeudi!AS25+Vendredi!AS25+Samedii!AS25+lundi!AS25+'Jr non travaillé'!AS25</f>
        <v>0.6</v>
      </c>
      <c r="AT25" s="10">
        <f>Mercredi!AT25+jeudi!AT25+Vendredi!AT25+Samedii!AT25+lundi!AT25+'Jr non travaillé'!AT25</f>
        <v>2</v>
      </c>
      <c r="AU25" s="10">
        <f>Mercredi!AU25+jeudi!AU25+Vendredi!AU25+Samedii!AU25+lundi!AU25+'Jr non travaillé'!AU25</f>
        <v>10.5</v>
      </c>
      <c r="AV25" s="6">
        <f>Mercredi!AV25+jeudi!AV25+Vendredi!AV25+Samedii!AV25+lundi!AV25+'Jr non travaillé'!AV25</f>
        <v>19</v>
      </c>
      <c r="AW25" s="7">
        <f>Mercredi!AW25+jeudi!AW25+Vendredi!AW25+Samedii!AW25+lundi!AW25+'Jr non travaillé'!AW25</f>
        <v>19</v>
      </c>
      <c r="AX25" s="7">
        <f>Mercredi!AX25+jeudi!AX25+Vendredi!AX25+Samedii!AX25+lundi!AX25+'Jr non travaillé'!AX25</f>
        <v>19</v>
      </c>
      <c r="AY25" s="7">
        <f>Mercredi!AY25+jeudi!AY25+Vendredi!AY25+Samedii!AY25+lundi!AY25+'Jr non travaillé'!AY25</f>
        <v>0</v>
      </c>
      <c r="AZ25" s="8">
        <f>Mercredi!AZ25+jeudi!AZ25+Vendredi!AZ25+Samedii!AZ25+lundi!AZ25+'Jr non travaillé'!AZ25</f>
        <v>0</v>
      </c>
      <c r="BA25" s="6">
        <f>Mercredi!BA25+jeudi!BA25+Vendredi!BA25+Samedii!BA25+lundi!BA25+'Jr non travaillé'!BA25</f>
        <v>32</v>
      </c>
      <c r="BB25" s="7">
        <f>Mercredi!BB25+jeudi!BB25+Vendredi!BB25+Samedii!BB25+lundi!BB25+'Jr non travaillé'!BB25</f>
        <v>0</v>
      </c>
      <c r="BC25" s="8">
        <f>Mercredi!BC25+jeudi!BC25+Vendredi!BC25+Samedii!BC25+lundi!BC25+'Jr non travaillé'!BC25</f>
        <v>100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>
        <f>Mercredi!W26+jeudi!W26+Vendredi!W26+Samedii!W26+lundi!W26+'Jr non travaillé'!W26</f>
        <v>127</v>
      </c>
      <c r="X26" s="7">
        <f>Mercredi!X26+jeudi!X26+Vendredi!X26+Samedii!X26+lundi!X26+'Jr non travaillé'!X26</f>
        <v>0</v>
      </c>
      <c r="Y26" s="7">
        <f>Mercredi!Y26+jeudi!Y26+Vendredi!Y26+Samedii!Y26+lundi!Y26+'Jr non travaillé'!Y26</f>
        <v>0</v>
      </c>
      <c r="Z26" s="7">
        <f>Mercredi!Z26+jeudi!Z26+Vendredi!Z26+Samedii!Z26+lundi!Z26+'Jr non travaillé'!Z26</f>
        <v>0</v>
      </c>
      <c r="AA26" s="8">
        <f>Mercredi!AA26+jeudi!AA26+Vendredi!AA26+Samedii!AA26+lundi!AA26+'Jr non travaillé'!AA26</f>
        <v>0</v>
      </c>
      <c r="AB26" s="10">
        <f>Mercredi!AB26+jeudi!AB26+Vendredi!AB26+Samedii!AB26+lundi!AB26+'Jr non travaillé'!AB26</f>
        <v>0</v>
      </c>
      <c r="AC26" s="10">
        <f>Mercredi!AC26+jeudi!AC26+Vendredi!AC26+Samedii!AC26+lundi!AC26+'Jr non travaillé'!AC26</f>
        <v>0</v>
      </c>
      <c r="AD26" s="10">
        <f>Mercredi!AD26+jeudi!AD26+Vendredi!AD26+Samedii!AD26+lundi!AD26+'Jr non travaillé'!AD26</f>
        <v>0</v>
      </c>
      <c r="AE26" s="10">
        <f>Mercredi!AE26+jeudi!AE26+Vendredi!AE26+Samedii!AE26+lundi!AE26+'Jr non travaillé'!AE26</f>
        <v>2</v>
      </c>
      <c r="AF26" s="10">
        <f>Mercredi!AF26+jeudi!AF26+Vendredi!AF26+Samedii!AF26+lundi!AF26+'Jr non travaillé'!AF26</f>
        <v>1</v>
      </c>
      <c r="AG26" s="6" t="e">
        <f>Mercredi!AG26+jeudi!AG26+Vendredi!AG26+Samedii!AG26+lundi!AG26+'Jr non travaillé'!AG26</f>
        <v>#VALUE!</v>
      </c>
      <c r="AH26" s="7">
        <f>Mercredi!AH26+jeudi!AH26+Vendredi!AH26+Samedii!AH26+lundi!AH26+'Jr non travaillé'!AH26</f>
        <v>0</v>
      </c>
      <c r="AI26" s="7">
        <f>Mercredi!AI26+jeudi!AI26+Vendredi!AI26+Samedii!AI26+lundi!AI26+'Jr non travaillé'!AI26</f>
        <v>0</v>
      </c>
      <c r="AJ26" s="7">
        <f>Mercredi!AJ26+jeudi!AJ26+Vendredi!AJ26+Samedii!AJ26+lundi!AJ26+'Jr non travaillé'!AJ26</f>
        <v>0</v>
      </c>
      <c r="AK26" s="8">
        <f>Mercredi!AK26+jeudi!AK26+Vendredi!AK26+Samedii!AK26+lundi!AK26+'Jr non travaillé'!AK26</f>
        <v>0</v>
      </c>
      <c r="AL26" s="9">
        <f>Mercredi!AL26+jeudi!AL26+Vendredi!AL26+Samedii!AL26+lundi!AL26+'Jr non travaillé'!AL26</f>
        <v>6</v>
      </c>
      <c r="AM26" s="10">
        <f>Mercredi!AM26+jeudi!AM26+Vendredi!AM26+Samedii!AM26+lundi!AM26+'Jr non travaillé'!AM26</f>
        <v>0</v>
      </c>
      <c r="AN26" s="10">
        <f>Mercredi!AN26+jeudi!AN26+Vendredi!AN26+Samedii!AN26+lundi!AN26+'Jr non travaillé'!AN26</f>
        <v>3</v>
      </c>
      <c r="AO26" s="10">
        <f>Mercredi!AO26+jeudi!AO26+Vendredi!AO26+Samedii!AO26+lundi!AO26+'Jr non travaillé'!AO26</f>
        <v>5</v>
      </c>
      <c r="AP26" s="11">
        <f>Mercredi!AP26+jeudi!AP26+Vendredi!AP26+Samedii!AP26+lundi!AP26+'Jr non travaillé'!AP26</f>
        <v>30</v>
      </c>
      <c r="AQ26" s="91">
        <f>Mercredi!AQ26+jeudi!AQ26+Vendredi!AQ26+Samedii!AQ26+lundi!AQ26+'Jr non travaillé'!AQ26</f>
        <v>2.9166666666666665</v>
      </c>
      <c r="AR26" s="10">
        <f>Mercredi!AR26+jeudi!AR26+Vendredi!AR26+Samedii!AR26+lundi!AR26+'Jr non travaillé'!AR26</f>
        <v>0</v>
      </c>
      <c r="AS26" s="10">
        <f>Mercredi!AS26+jeudi!AS26+Vendredi!AS26+Samedii!AS26+lundi!AS26+'Jr non travaillé'!AS26</f>
        <v>0.44999999999999996</v>
      </c>
      <c r="AT26" s="10">
        <f>Mercredi!AT26+jeudi!AT26+Vendredi!AT26+Samedii!AT26+lundi!AT26+'Jr non travaillé'!AT26</f>
        <v>1.7999999999999998</v>
      </c>
      <c r="AU26" s="10">
        <f>Mercredi!AU26+jeudi!AU26+Vendredi!AU26+Samedii!AU26+lundi!AU26+'Jr non travaillé'!AU26</f>
        <v>11</v>
      </c>
      <c r="AV26" s="6">
        <f>Mercredi!AV26+jeudi!AV26+Vendredi!AV26+Samedii!AV26+lundi!AV26+'Jr non travaillé'!AV26</f>
        <v>19</v>
      </c>
      <c r="AW26" s="7">
        <f>Mercredi!AW26+jeudi!AW26+Vendredi!AW26+Samedii!AW26+lundi!AW26+'Jr non travaillé'!AW26</f>
        <v>19</v>
      </c>
      <c r="AX26" s="7">
        <f>Mercredi!AX26+jeudi!AX26+Vendredi!AX26+Samedii!AX26+lundi!AX26+'Jr non travaillé'!AX26</f>
        <v>19</v>
      </c>
      <c r="AY26" s="7">
        <f>Mercredi!AY26+jeudi!AY26+Vendredi!AY26+Samedii!AY26+lundi!AY26+'Jr non travaillé'!AY26</f>
        <v>0</v>
      </c>
      <c r="AZ26" s="8">
        <f>Mercredi!AZ26+jeudi!AZ26+Vendredi!AZ26+Samedii!AZ26+lundi!AZ26+'Jr non travaillé'!AZ26</f>
        <v>0</v>
      </c>
      <c r="BA26" s="6">
        <f>Mercredi!BA26+jeudi!BA26+Vendredi!BA26+Samedii!BA26+lundi!BA26+'Jr non travaillé'!BA26</f>
        <v>43</v>
      </c>
      <c r="BB26" s="7">
        <f>Mercredi!BB26+jeudi!BB26+Vendredi!BB26+Samedii!BB26+lundi!BB26+'Jr non travaillé'!BB26</f>
        <v>0</v>
      </c>
      <c r="BC26" s="8">
        <f>Mercredi!BC26+jeudi!BC26+Vendredi!BC26+Samedii!BC26+lundi!BC26+'Jr non travaillé'!BC26</f>
        <v>118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>
        <f>Mercredi!W27+jeudi!W27+Vendredi!W27+Samedii!W27+lundi!W27+'Jr non travaillé'!W27</f>
        <v>120</v>
      </c>
      <c r="X27" s="93">
        <f>Mercredi!X27+jeudi!X27+Vendredi!X27+Samedii!X27+lundi!X27+'Jr non travaillé'!X27</f>
        <v>0</v>
      </c>
      <c r="Y27" s="93">
        <f>Mercredi!Y27+jeudi!Y27+Vendredi!Y27+Samedii!Y27+lundi!Y27+'Jr non travaillé'!Y27</f>
        <v>0</v>
      </c>
      <c r="Z27" s="93">
        <f>Mercredi!Z27+jeudi!Z27+Vendredi!Z27+Samedii!Z27+lundi!Z27+'Jr non travaillé'!Z27</f>
        <v>0</v>
      </c>
      <c r="AA27" s="94">
        <f>Mercredi!AA27+jeudi!AA27+Vendredi!AA27+Samedii!AA27+lundi!AA27+'Jr non travaillé'!AA27</f>
        <v>0</v>
      </c>
      <c r="AB27" s="22">
        <f>Mercredi!AB27+jeudi!AB27+Vendredi!AB27+Samedii!AB27+lundi!AB27+'Jr non travaillé'!AB27</f>
        <v>3</v>
      </c>
      <c r="AC27" s="22">
        <f>Mercredi!AC27+jeudi!AC27+Vendredi!AC27+Samedii!AC27+lundi!AC27+'Jr non travaillé'!AC27</f>
        <v>0</v>
      </c>
      <c r="AD27" s="22">
        <f>Mercredi!AD27+jeudi!AD27+Vendredi!AD27+Samedii!AD27+lundi!AD27+'Jr non travaillé'!AD27</f>
        <v>1</v>
      </c>
      <c r="AE27" s="22">
        <f>Mercredi!AE27+jeudi!AE27+Vendredi!AE27+Samedii!AE27+lundi!AE27+'Jr non travaillé'!AE27</f>
        <v>4</v>
      </c>
      <c r="AF27" s="22">
        <f>Mercredi!AF27+jeudi!AF27+Vendredi!AF27+Samedii!AF27+lundi!AF27+'Jr non travaillé'!AF27</f>
        <v>2</v>
      </c>
      <c r="AG27" s="92" t="e">
        <f>Mercredi!AG27+jeudi!AG27+Vendredi!AG27+Samedii!AG27+lundi!AG27+'Jr non travaillé'!AG27</f>
        <v>#VALUE!</v>
      </c>
      <c r="AH27" s="93">
        <f>Mercredi!AH27+jeudi!AH27+Vendredi!AH27+Samedii!AH27+lundi!AH27+'Jr non travaillé'!AH27</f>
        <v>0</v>
      </c>
      <c r="AI27" s="93">
        <f>Mercredi!AI27+jeudi!AI27+Vendredi!AI27+Samedii!AI27+lundi!AI27+'Jr non travaillé'!AI27</f>
        <v>0</v>
      </c>
      <c r="AJ27" s="93">
        <f>Mercredi!AJ27+jeudi!AJ27+Vendredi!AJ27+Samedii!AJ27+lundi!AJ27+'Jr non travaillé'!AJ27</f>
        <v>0</v>
      </c>
      <c r="AK27" s="94">
        <f>Mercredi!AK27+jeudi!AK27+Vendredi!AK27+Samedii!AK27+lundi!AK27+'Jr non travaillé'!AK27</f>
        <v>0</v>
      </c>
      <c r="AL27" s="21">
        <f>Mercredi!AL27+jeudi!AL27+Vendredi!AL27+Samedii!AL27+lundi!AL27+'Jr non travaillé'!AL27</f>
        <v>11</v>
      </c>
      <c r="AM27" s="22">
        <f>Mercredi!AM27+jeudi!AM27+Vendredi!AM27+Samedii!AM27+lundi!AM27+'Jr non travaillé'!AM27</f>
        <v>0</v>
      </c>
      <c r="AN27" s="22">
        <f>Mercredi!AN27+jeudi!AN27+Vendredi!AN27+Samedii!AN27+lundi!AN27+'Jr non travaillé'!AN27</f>
        <v>5</v>
      </c>
      <c r="AO27" s="22">
        <f>Mercredi!AO27+jeudi!AO27+Vendredi!AO27+Samedii!AO27+lundi!AO27+'Jr non travaillé'!AO27</f>
        <v>8</v>
      </c>
      <c r="AP27" s="23">
        <f>Mercredi!AP27+jeudi!AP27+Vendredi!AP27+Samedii!AP27+lundi!AP27+'Jr non travaillé'!AP27</f>
        <v>23</v>
      </c>
      <c r="AQ27" s="95">
        <f>Mercredi!AQ27+jeudi!AQ27+Vendredi!AQ27+Samedii!AQ27+lundi!AQ27+'Jr non travaillé'!AQ27</f>
        <v>3.166666666666667</v>
      </c>
      <c r="AR27" s="22">
        <f>Mercredi!AR27+jeudi!AR27+Vendredi!AR27+Samedii!AR27+lundi!AR27+'Jr non travaillé'!AR27</f>
        <v>0</v>
      </c>
      <c r="AS27" s="22">
        <f>Mercredi!AS27+jeudi!AS27+Vendredi!AS27+Samedii!AS27+lundi!AS27+'Jr non travaillé'!AS27</f>
        <v>1.05</v>
      </c>
      <c r="AT27" s="22">
        <f>Mercredi!AT27+jeudi!AT27+Vendredi!AT27+Samedii!AT27+lundi!AT27+'Jr non travaillé'!AT27</f>
        <v>1.9</v>
      </c>
      <c r="AU27" s="22">
        <f>Mercredi!AU27+jeudi!AU27+Vendredi!AU27+Samedii!AU27+lundi!AU27+'Jr non travaillé'!AU27</f>
        <v>8.5</v>
      </c>
      <c r="AV27" s="92">
        <f>Mercredi!AV27+jeudi!AV27+Vendredi!AV27+Samedii!AV27+lundi!AV27+'Jr non travaillé'!AV27</f>
        <v>19</v>
      </c>
      <c r="AW27" s="93">
        <f>Mercredi!AW27+jeudi!AW27+Vendredi!AW27+Samedii!AW27+lundi!AW27+'Jr non travaillé'!AW27</f>
        <v>19</v>
      </c>
      <c r="AX27" s="93">
        <f>Mercredi!AX27+jeudi!AX27+Vendredi!AX27+Samedii!AX27+lundi!AX27+'Jr non travaillé'!AX27</f>
        <v>19</v>
      </c>
      <c r="AY27" s="93">
        <f>Mercredi!AY27+jeudi!AY27+Vendredi!AY27+Samedii!AY27+lundi!AY27+'Jr non travaillé'!AY27</f>
        <v>0</v>
      </c>
      <c r="AZ27" s="94">
        <f>Mercredi!AZ27+jeudi!AZ27+Vendredi!AZ27+Samedii!AZ27+lundi!AZ27+'Jr non travaillé'!AZ27</f>
        <v>0</v>
      </c>
      <c r="BA27" s="92">
        <f>Mercredi!BA27+jeudi!BA27+Vendredi!BA27+Samedii!BA27+lundi!BA27+'Jr non travaillé'!BA27</f>
        <v>59</v>
      </c>
      <c r="BB27" s="93">
        <f>Mercredi!BB27+jeudi!BB27+Vendredi!BB27+Samedii!BB27+lundi!BB27+'Jr non travaillé'!BB27</f>
        <v>0</v>
      </c>
      <c r="BC27" s="94">
        <f>Mercredi!BC27+jeudi!BC27+Vendredi!BC27+Samedii!BC27+lundi!BC27+'Jr non travaillé'!BC27</f>
        <v>89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>
        <f t="shared" si="3"/>
        <v>2361</v>
      </c>
      <c r="X28" s="97">
        <f t="shared" si="3"/>
        <v>0</v>
      </c>
      <c r="Y28" s="97">
        <f t="shared" si="3"/>
        <v>0</v>
      </c>
      <c r="Z28" s="97">
        <f t="shared" si="3"/>
        <v>0</v>
      </c>
      <c r="AA28" s="98">
        <f t="shared" si="3"/>
        <v>0</v>
      </c>
      <c r="AB28" s="97">
        <f t="shared" si="3"/>
        <v>23</v>
      </c>
      <c r="AC28" s="97">
        <f t="shared" si="3"/>
        <v>1</v>
      </c>
      <c r="AD28" s="97">
        <f t="shared" si="3"/>
        <v>9</v>
      </c>
      <c r="AE28" s="97">
        <f t="shared" si="3"/>
        <v>33</v>
      </c>
      <c r="AF28" s="97">
        <f t="shared" si="3"/>
        <v>11</v>
      </c>
      <c r="AG28" s="96" t="e">
        <f t="shared" si="3"/>
        <v>#VALUE!</v>
      </c>
      <c r="AH28" s="97">
        <f t="shared" si="3"/>
        <v>0</v>
      </c>
      <c r="AI28" s="97">
        <f t="shared" ref="AI28:BE28" si="4">SUM(AI8:AI27)</f>
        <v>0</v>
      </c>
      <c r="AJ28" s="97">
        <f t="shared" si="4"/>
        <v>0</v>
      </c>
      <c r="AK28" s="98">
        <f t="shared" si="4"/>
        <v>0</v>
      </c>
      <c r="AL28" s="96">
        <f t="shared" si="4"/>
        <v>127</v>
      </c>
      <c r="AM28" s="97">
        <f t="shared" si="4"/>
        <v>1</v>
      </c>
      <c r="AN28" s="97">
        <f t="shared" si="4"/>
        <v>85</v>
      </c>
      <c r="AO28" s="97">
        <f t="shared" si="4"/>
        <v>101</v>
      </c>
      <c r="AP28" s="98">
        <f t="shared" si="4"/>
        <v>526</v>
      </c>
      <c r="AQ28" s="99">
        <f t="shared" si="4"/>
        <v>49.849999999999994</v>
      </c>
      <c r="AR28" s="97">
        <f t="shared" si="4"/>
        <v>0</v>
      </c>
      <c r="AS28" s="97">
        <f t="shared" si="4"/>
        <v>14.950000000000001</v>
      </c>
      <c r="AT28" s="97">
        <f t="shared" si="4"/>
        <v>31.3</v>
      </c>
      <c r="AU28" s="97">
        <f t="shared" si="4"/>
        <v>190.5</v>
      </c>
      <c r="AV28" s="96">
        <f t="shared" si="4"/>
        <v>380</v>
      </c>
      <c r="AW28" s="97">
        <f t="shared" si="4"/>
        <v>380</v>
      </c>
      <c r="AX28" s="97">
        <f t="shared" si="4"/>
        <v>380</v>
      </c>
      <c r="AY28" s="97">
        <f t="shared" si="4"/>
        <v>0</v>
      </c>
      <c r="AZ28" s="98">
        <f t="shared" si="4"/>
        <v>0</v>
      </c>
      <c r="BA28" s="96">
        <f t="shared" si="4"/>
        <v>937</v>
      </c>
      <c r="BB28" s="97">
        <f t="shared" si="4"/>
        <v>0</v>
      </c>
      <c r="BC28" s="98">
        <f t="shared" si="4"/>
        <v>1913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Mercredi</vt:lpstr>
      <vt:lpstr>jeudi</vt:lpstr>
      <vt:lpstr>Vendredi</vt:lpstr>
      <vt:lpstr>Samedii</vt:lpstr>
      <vt:lpstr>lundi</vt:lpstr>
      <vt:lpstr>Jr non travaillé</vt:lpstr>
      <vt:lpstr>Synthèse semaine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BLANCH</cp:lastModifiedBy>
  <cp:lastPrinted>2024-06-29T11:58:54Z</cp:lastPrinted>
  <dcterms:created xsi:type="dcterms:W3CDTF">2015-06-05T18:17:20Z</dcterms:created>
  <dcterms:modified xsi:type="dcterms:W3CDTF">2026-01-19T16:23:05Z</dcterms:modified>
</cp:coreProperties>
</file>