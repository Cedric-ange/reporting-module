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TANOH ERNEST\Desktop\BIBLOS INDUSTRIE\PROPOSITION CDO REFERENCEMENT\RAPPORT\REPORTING DES VENTES\"/>
    </mc:Choice>
  </mc:AlternateContent>
  <xr:revisionPtr revIDLastSave="0" documentId="13_ncr:1_{D52853C8-139F-47BB-9492-A75D41212990}" xr6:coauthVersionLast="47" xr6:coauthVersionMax="47" xr10:uidLastSave="{00000000-0000-0000-0000-000000000000}"/>
  <bookViews>
    <workbookView xWindow="-120" yWindow="-120" windowWidth="29040" windowHeight="15060" activeTab="1" xr2:uid="{00000000-000D-0000-FFFF-FFFF00000000}"/>
  </bookViews>
  <sheets>
    <sheet name="SAM 07 FEV" sheetId="58" r:id="rId1"/>
    <sheet name="LUN 09 FEV" sheetId="178" r:id="rId2"/>
    <sheet name="Synthèse semaine" sheetId="18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28" i="178" l="1"/>
  <c r="AS11" i="58"/>
  <c r="AS18" i="58"/>
  <c r="AW3" i="178" l="1"/>
  <c r="BC27" i="183" l="1"/>
  <c r="BB27" i="183"/>
  <c r="BA27" i="183"/>
  <c r="AZ27" i="183"/>
  <c r="AY27" i="183"/>
  <c r="AX27" i="183"/>
  <c r="AW27" i="183"/>
  <c r="AV27" i="183"/>
  <c r="AU27" i="183"/>
  <c r="AT27" i="183"/>
  <c r="AS27" i="183"/>
  <c r="AR27" i="183"/>
  <c r="AQ27" i="183"/>
  <c r="AP27" i="183"/>
  <c r="AO27" i="183"/>
  <c r="AN27" i="183"/>
  <c r="AM27" i="183"/>
  <c r="AL27" i="183"/>
  <c r="AK27" i="183"/>
  <c r="AJ27" i="183"/>
  <c r="AI27" i="183"/>
  <c r="AH27" i="183"/>
  <c r="AG27" i="183"/>
  <c r="AF27" i="183"/>
  <c r="AE27" i="183"/>
  <c r="AD27" i="183"/>
  <c r="AC27" i="183"/>
  <c r="AB27" i="183"/>
  <c r="AA27" i="183"/>
  <c r="Z27" i="183"/>
  <c r="Y27" i="183"/>
  <c r="X27" i="183"/>
  <c r="W27" i="183"/>
  <c r="BC26" i="183"/>
  <c r="BB26" i="183"/>
  <c r="BA26" i="183"/>
  <c r="AZ26" i="183"/>
  <c r="AY26" i="183"/>
  <c r="AX26" i="183"/>
  <c r="AW26" i="183"/>
  <c r="AV26" i="183"/>
  <c r="AU26" i="183"/>
  <c r="AT26" i="183"/>
  <c r="AS26" i="183"/>
  <c r="AR26" i="183"/>
  <c r="AQ26" i="183"/>
  <c r="AP26" i="183"/>
  <c r="AO26" i="183"/>
  <c r="AN26" i="183"/>
  <c r="AM26" i="183"/>
  <c r="AL26" i="183"/>
  <c r="AK26" i="183"/>
  <c r="AJ26" i="183"/>
  <c r="AI26" i="183"/>
  <c r="AH26" i="183"/>
  <c r="AG26" i="183"/>
  <c r="AF26" i="183"/>
  <c r="AE26" i="183"/>
  <c r="AD26" i="183"/>
  <c r="AC26" i="183"/>
  <c r="AB26" i="183"/>
  <c r="AA26" i="183"/>
  <c r="Z26" i="183"/>
  <c r="Y26" i="183"/>
  <c r="X26" i="183"/>
  <c r="W26" i="183"/>
  <c r="BC25" i="183"/>
  <c r="BB25" i="183"/>
  <c r="BA25" i="183"/>
  <c r="AZ25" i="183"/>
  <c r="AY25" i="183"/>
  <c r="AX25" i="183"/>
  <c r="AW25" i="183"/>
  <c r="AV25" i="183"/>
  <c r="AU25" i="183"/>
  <c r="AT25" i="183"/>
  <c r="AS25" i="183"/>
  <c r="AR25" i="183"/>
  <c r="AQ25" i="183"/>
  <c r="AP25" i="183"/>
  <c r="AO25" i="183"/>
  <c r="AN25" i="183"/>
  <c r="AM25" i="183"/>
  <c r="AL25" i="183"/>
  <c r="AK25" i="183"/>
  <c r="AJ25" i="183"/>
  <c r="AI25" i="183"/>
  <c r="AH25" i="183"/>
  <c r="AG25" i="183"/>
  <c r="AF25" i="183"/>
  <c r="AE25" i="183"/>
  <c r="AD25" i="183"/>
  <c r="AC25" i="183"/>
  <c r="AB25" i="183"/>
  <c r="AA25" i="183"/>
  <c r="Z25" i="183"/>
  <c r="Y25" i="183"/>
  <c r="X25" i="183"/>
  <c r="W25" i="183"/>
  <c r="BC24" i="183"/>
  <c r="BB24" i="183"/>
  <c r="BA24" i="183"/>
  <c r="AZ24" i="183"/>
  <c r="AY24" i="183"/>
  <c r="AX24" i="183"/>
  <c r="AW24" i="183"/>
  <c r="AV24" i="183"/>
  <c r="AU24" i="183"/>
  <c r="AT24" i="183"/>
  <c r="AS24" i="183"/>
  <c r="AR24" i="183"/>
  <c r="AQ24" i="183"/>
  <c r="AP24" i="183"/>
  <c r="AO24" i="183"/>
  <c r="AN24" i="183"/>
  <c r="AM24" i="183"/>
  <c r="AL24" i="183"/>
  <c r="AK24" i="183"/>
  <c r="AJ24" i="183"/>
  <c r="AI24" i="183"/>
  <c r="AH24" i="183"/>
  <c r="AG24" i="183"/>
  <c r="AF24" i="183"/>
  <c r="AE24" i="183"/>
  <c r="AD24" i="183"/>
  <c r="AC24" i="183"/>
  <c r="AB24" i="183"/>
  <c r="AA24" i="183"/>
  <c r="Z24" i="183"/>
  <c r="Y24" i="183"/>
  <c r="X24" i="183"/>
  <c r="W24" i="183"/>
  <c r="BC23" i="183"/>
  <c r="BB23" i="183"/>
  <c r="BA23" i="183"/>
  <c r="AZ23" i="183"/>
  <c r="AY23" i="183"/>
  <c r="AX23" i="183"/>
  <c r="AW23" i="183"/>
  <c r="AV23" i="183"/>
  <c r="AU23" i="183"/>
  <c r="AT23" i="183"/>
  <c r="AS23" i="183"/>
  <c r="AR23" i="183"/>
  <c r="AQ23" i="183"/>
  <c r="AP23" i="183"/>
  <c r="AO23" i="183"/>
  <c r="AN23" i="183"/>
  <c r="AM23" i="183"/>
  <c r="AL23" i="183"/>
  <c r="AK23" i="183"/>
  <c r="AJ23" i="183"/>
  <c r="AI23" i="183"/>
  <c r="AH23" i="183"/>
  <c r="AG23" i="183"/>
  <c r="AF23" i="183"/>
  <c r="AE23" i="183"/>
  <c r="AD23" i="183"/>
  <c r="AC23" i="183"/>
  <c r="AB23" i="183"/>
  <c r="AA23" i="183"/>
  <c r="Z23" i="183"/>
  <c r="Y23" i="183"/>
  <c r="X23" i="183"/>
  <c r="W23" i="183"/>
  <c r="BC22" i="183"/>
  <c r="BB22" i="183"/>
  <c r="BA22" i="183"/>
  <c r="AZ22" i="183"/>
  <c r="AY22" i="183"/>
  <c r="AX22" i="183"/>
  <c r="AW22" i="183"/>
  <c r="AV22" i="183"/>
  <c r="AU22" i="183"/>
  <c r="AT22" i="183"/>
  <c r="AS22" i="183"/>
  <c r="AR22" i="183"/>
  <c r="AQ22" i="183"/>
  <c r="AP22" i="183"/>
  <c r="AO22" i="183"/>
  <c r="AN22" i="183"/>
  <c r="AM22" i="183"/>
  <c r="AL22" i="183"/>
  <c r="AK22" i="183"/>
  <c r="AJ22" i="183"/>
  <c r="AI22" i="183"/>
  <c r="AH22" i="183"/>
  <c r="AG22" i="183"/>
  <c r="AF22" i="183"/>
  <c r="AE22" i="183"/>
  <c r="AD22" i="183"/>
  <c r="AC22" i="183"/>
  <c r="AB22" i="183"/>
  <c r="AA22" i="183"/>
  <c r="Z22" i="183"/>
  <c r="Y22" i="183"/>
  <c r="X22" i="183"/>
  <c r="W22" i="183"/>
  <c r="BC21" i="183"/>
  <c r="BB21" i="183"/>
  <c r="BA21" i="183"/>
  <c r="AZ21" i="183"/>
  <c r="AY21" i="183"/>
  <c r="AX21" i="183"/>
  <c r="AW21" i="183"/>
  <c r="AV21" i="183"/>
  <c r="AU21" i="183"/>
  <c r="AT21" i="183"/>
  <c r="AS21" i="183"/>
  <c r="AR21" i="183"/>
  <c r="AQ21" i="183"/>
  <c r="AP21" i="183"/>
  <c r="AO21" i="183"/>
  <c r="AN21" i="183"/>
  <c r="AM21" i="183"/>
  <c r="AL21" i="183"/>
  <c r="AK21" i="183"/>
  <c r="AJ21" i="183"/>
  <c r="AI21" i="183"/>
  <c r="AH21" i="183"/>
  <c r="AG21" i="183"/>
  <c r="AF21" i="183"/>
  <c r="AE21" i="183"/>
  <c r="AD21" i="183"/>
  <c r="AC21" i="183"/>
  <c r="AB21" i="183"/>
  <c r="AA21" i="183"/>
  <c r="Z21" i="183"/>
  <c r="Y21" i="183"/>
  <c r="X21" i="183"/>
  <c r="W21" i="183"/>
  <c r="BC20" i="183"/>
  <c r="BB20" i="183"/>
  <c r="BA20" i="183"/>
  <c r="AZ20" i="183"/>
  <c r="AY20" i="183"/>
  <c r="AX20" i="183"/>
  <c r="AW20" i="183"/>
  <c r="AV20" i="183"/>
  <c r="AU20" i="183"/>
  <c r="AT20" i="183"/>
  <c r="AS20" i="183"/>
  <c r="AR20" i="183"/>
  <c r="AQ20" i="183"/>
  <c r="AP20" i="183"/>
  <c r="AO20" i="183"/>
  <c r="AN20" i="183"/>
  <c r="AM20" i="183"/>
  <c r="AL20" i="183"/>
  <c r="AK20" i="183"/>
  <c r="AJ20" i="183"/>
  <c r="AI20" i="183"/>
  <c r="AH20" i="183"/>
  <c r="AG20" i="183"/>
  <c r="AF20" i="183"/>
  <c r="AE20" i="183"/>
  <c r="AD20" i="183"/>
  <c r="AC20" i="183"/>
  <c r="AB20" i="183"/>
  <c r="AA20" i="183"/>
  <c r="Z20" i="183"/>
  <c r="Y20" i="183"/>
  <c r="X20" i="183"/>
  <c r="W20" i="183"/>
  <c r="BC19" i="183"/>
  <c r="BB19" i="183"/>
  <c r="BA19" i="183"/>
  <c r="AZ19" i="183"/>
  <c r="AY19" i="183"/>
  <c r="AX19" i="183"/>
  <c r="AW19" i="183"/>
  <c r="AV19" i="183"/>
  <c r="AU19" i="183"/>
  <c r="AT19" i="183"/>
  <c r="AS19" i="183"/>
  <c r="AR19" i="183"/>
  <c r="AQ19" i="183"/>
  <c r="AP19" i="183"/>
  <c r="AO19" i="183"/>
  <c r="AN19" i="183"/>
  <c r="AM19" i="183"/>
  <c r="AL19" i="183"/>
  <c r="AK19" i="183"/>
  <c r="AJ19" i="183"/>
  <c r="AI19" i="183"/>
  <c r="AH19" i="183"/>
  <c r="AG19" i="183"/>
  <c r="AF19" i="183"/>
  <c r="AE19" i="183"/>
  <c r="AD19" i="183"/>
  <c r="AC19" i="183"/>
  <c r="AB19" i="183"/>
  <c r="AA19" i="183"/>
  <c r="Z19" i="183"/>
  <c r="Y19" i="183"/>
  <c r="X19" i="183"/>
  <c r="W19" i="183"/>
  <c r="BC18" i="183"/>
  <c r="BB18" i="183"/>
  <c r="BA18" i="183"/>
  <c r="AZ18" i="183"/>
  <c r="AY18" i="183"/>
  <c r="AX18" i="183"/>
  <c r="AW18" i="183"/>
  <c r="AV18" i="183"/>
  <c r="AU18" i="183"/>
  <c r="AT18" i="183"/>
  <c r="AS18" i="183"/>
  <c r="AR18" i="183"/>
  <c r="AQ18" i="183"/>
  <c r="AP18" i="183"/>
  <c r="AO18" i="183"/>
  <c r="AN18" i="183"/>
  <c r="AM18" i="183"/>
  <c r="AL18" i="183"/>
  <c r="AK18" i="183"/>
  <c r="AJ18" i="183"/>
  <c r="AI18" i="183"/>
  <c r="AH18" i="183"/>
  <c r="AG18" i="183"/>
  <c r="AF18" i="183"/>
  <c r="AE18" i="183"/>
  <c r="AD18" i="183"/>
  <c r="AC18" i="183"/>
  <c r="AB18" i="183"/>
  <c r="AA18" i="183"/>
  <c r="Z18" i="183"/>
  <c r="Y18" i="183"/>
  <c r="X18" i="183"/>
  <c r="W18" i="183"/>
  <c r="BC17" i="183"/>
  <c r="BB17" i="183"/>
  <c r="BA17" i="183"/>
  <c r="AZ17" i="183"/>
  <c r="AY17" i="183"/>
  <c r="AX17" i="183"/>
  <c r="AW17" i="183"/>
  <c r="AV17" i="183"/>
  <c r="AU17" i="183"/>
  <c r="AT17" i="183"/>
  <c r="AS17" i="183"/>
  <c r="AR17" i="183"/>
  <c r="AQ17" i="183"/>
  <c r="AP17" i="183"/>
  <c r="AO17" i="183"/>
  <c r="AN17" i="183"/>
  <c r="AM17" i="183"/>
  <c r="AL17" i="183"/>
  <c r="AK17" i="183"/>
  <c r="AJ17" i="183"/>
  <c r="AI17" i="183"/>
  <c r="AH17" i="183"/>
  <c r="AG17" i="183"/>
  <c r="AF17" i="183"/>
  <c r="AE17" i="183"/>
  <c r="AD17" i="183"/>
  <c r="AC17" i="183"/>
  <c r="AB17" i="183"/>
  <c r="AA17" i="183"/>
  <c r="Z17" i="183"/>
  <c r="Y17" i="183"/>
  <c r="X17" i="183"/>
  <c r="W17" i="183"/>
  <c r="BC16" i="183"/>
  <c r="BB16" i="183"/>
  <c r="BA16" i="183"/>
  <c r="AZ16" i="183"/>
  <c r="AY16" i="183"/>
  <c r="AX16" i="183"/>
  <c r="AW16" i="183"/>
  <c r="AV16" i="183"/>
  <c r="AU16" i="183"/>
  <c r="AT16" i="183"/>
  <c r="AS16" i="183"/>
  <c r="AR16" i="183"/>
  <c r="AQ16" i="183"/>
  <c r="AP16" i="183"/>
  <c r="AO16" i="183"/>
  <c r="AN16" i="183"/>
  <c r="AM16" i="183"/>
  <c r="AL16" i="183"/>
  <c r="AK16" i="183"/>
  <c r="AJ16" i="183"/>
  <c r="AI16" i="183"/>
  <c r="AH16" i="183"/>
  <c r="AG16" i="183"/>
  <c r="AF16" i="183"/>
  <c r="AE16" i="183"/>
  <c r="AD16" i="183"/>
  <c r="AC16" i="183"/>
  <c r="AB16" i="183"/>
  <c r="AA16" i="183"/>
  <c r="Z16" i="183"/>
  <c r="Y16" i="183"/>
  <c r="X16" i="183"/>
  <c r="W16" i="183"/>
  <c r="BC15" i="183"/>
  <c r="BB15" i="183"/>
  <c r="BA15" i="183"/>
  <c r="AZ15" i="183"/>
  <c r="AY15" i="183"/>
  <c r="AX15" i="183"/>
  <c r="AW15" i="183"/>
  <c r="AV15" i="183"/>
  <c r="AU15" i="183"/>
  <c r="AT15" i="183"/>
  <c r="AS15" i="183"/>
  <c r="AR15" i="183"/>
  <c r="AQ15" i="183"/>
  <c r="AP15" i="183"/>
  <c r="AO15" i="183"/>
  <c r="AN15" i="183"/>
  <c r="AM15" i="183"/>
  <c r="AL15" i="183"/>
  <c r="AK15" i="183"/>
  <c r="AJ15" i="183"/>
  <c r="AI15" i="183"/>
  <c r="AH15" i="183"/>
  <c r="AG15" i="183"/>
  <c r="AF15" i="183"/>
  <c r="AE15" i="183"/>
  <c r="AD15" i="183"/>
  <c r="AC15" i="183"/>
  <c r="AB15" i="183"/>
  <c r="AA15" i="183"/>
  <c r="Z15" i="183"/>
  <c r="Y15" i="183"/>
  <c r="X15" i="183"/>
  <c r="W15" i="183"/>
  <c r="BC14" i="183"/>
  <c r="BB14" i="183"/>
  <c r="BA14" i="183"/>
  <c r="AZ14" i="183"/>
  <c r="AY14" i="183"/>
  <c r="AX14" i="183"/>
  <c r="AW14" i="183"/>
  <c r="AV14" i="183"/>
  <c r="AU14" i="183"/>
  <c r="AT14" i="183"/>
  <c r="AS14" i="183"/>
  <c r="AR14" i="183"/>
  <c r="AQ14" i="183"/>
  <c r="AP14" i="183"/>
  <c r="AO14" i="183"/>
  <c r="AN14" i="183"/>
  <c r="AM14" i="183"/>
  <c r="AL14" i="183"/>
  <c r="AK14" i="183"/>
  <c r="AJ14" i="183"/>
  <c r="AI14" i="183"/>
  <c r="AH14" i="183"/>
  <c r="AG14" i="183"/>
  <c r="AF14" i="183"/>
  <c r="AE14" i="183"/>
  <c r="AD14" i="183"/>
  <c r="AC14" i="183"/>
  <c r="AB14" i="183"/>
  <c r="AA14" i="183"/>
  <c r="Z14" i="183"/>
  <c r="Y14" i="183"/>
  <c r="X14" i="183"/>
  <c r="W14" i="183"/>
  <c r="BC13" i="183"/>
  <c r="BB13" i="183"/>
  <c r="BA13" i="183"/>
  <c r="AZ13" i="183"/>
  <c r="AY13" i="183"/>
  <c r="AX13" i="183"/>
  <c r="AW13" i="183"/>
  <c r="AV13" i="183"/>
  <c r="AU13" i="183"/>
  <c r="AT13" i="183"/>
  <c r="AS13" i="183"/>
  <c r="AR13" i="183"/>
  <c r="AQ13" i="183"/>
  <c r="AP13" i="183"/>
  <c r="AO13" i="183"/>
  <c r="AN13" i="183"/>
  <c r="AM13" i="183"/>
  <c r="AL13" i="183"/>
  <c r="AK13" i="183"/>
  <c r="AJ13" i="183"/>
  <c r="AI13" i="183"/>
  <c r="AH13" i="183"/>
  <c r="AG13" i="183"/>
  <c r="AF13" i="183"/>
  <c r="AE13" i="183"/>
  <c r="AD13" i="183"/>
  <c r="AC13" i="183"/>
  <c r="AB13" i="183"/>
  <c r="AA13" i="183"/>
  <c r="Z13" i="183"/>
  <c r="Y13" i="183"/>
  <c r="X13" i="183"/>
  <c r="W13" i="183"/>
  <c r="BC12" i="183"/>
  <c r="BB12" i="183"/>
  <c r="BA12" i="183"/>
  <c r="AZ12" i="183"/>
  <c r="AY12" i="183"/>
  <c r="AX12" i="183"/>
  <c r="AW12" i="183"/>
  <c r="AV12" i="183"/>
  <c r="AU12" i="183"/>
  <c r="AT12" i="183"/>
  <c r="AS12" i="183"/>
  <c r="AR12" i="183"/>
  <c r="AQ12" i="183"/>
  <c r="AP12" i="183"/>
  <c r="AO12" i="183"/>
  <c r="AN12" i="183"/>
  <c r="AM12" i="183"/>
  <c r="AL12" i="183"/>
  <c r="AK12" i="183"/>
  <c r="AJ12" i="183"/>
  <c r="AI12" i="183"/>
  <c r="AH12" i="183"/>
  <c r="AG12" i="183"/>
  <c r="AF12" i="183"/>
  <c r="AE12" i="183"/>
  <c r="AD12" i="183"/>
  <c r="AC12" i="183"/>
  <c r="AB12" i="183"/>
  <c r="AA12" i="183"/>
  <c r="Z12" i="183"/>
  <c r="Y12" i="183"/>
  <c r="X12" i="183"/>
  <c r="W12" i="183"/>
  <c r="BC11" i="183"/>
  <c r="BB11" i="183"/>
  <c r="BA11" i="183"/>
  <c r="AZ11" i="183"/>
  <c r="AY11" i="183"/>
  <c r="AX11" i="183"/>
  <c r="AW11" i="183"/>
  <c r="AV11" i="183"/>
  <c r="AU11" i="183"/>
  <c r="AT11" i="183"/>
  <c r="AS11" i="183"/>
  <c r="AR11" i="183"/>
  <c r="AQ11" i="183"/>
  <c r="AP11" i="183"/>
  <c r="AO11" i="183"/>
  <c r="AN11" i="183"/>
  <c r="AM11" i="183"/>
  <c r="AL11" i="183"/>
  <c r="AK11" i="183"/>
  <c r="AJ11" i="183"/>
  <c r="AI11" i="183"/>
  <c r="AH11" i="183"/>
  <c r="AG11" i="183"/>
  <c r="AF11" i="183"/>
  <c r="AE11" i="183"/>
  <c r="AD11" i="183"/>
  <c r="AC11" i="183"/>
  <c r="AB11" i="183"/>
  <c r="AA11" i="183"/>
  <c r="Z11" i="183"/>
  <c r="Y11" i="183"/>
  <c r="X11" i="183"/>
  <c r="W11" i="183"/>
  <c r="BC10" i="183"/>
  <c r="BB10" i="183"/>
  <c r="BA10" i="183"/>
  <c r="AZ10" i="183"/>
  <c r="AY10" i="183"/>
  <c r="AX10" i="183"/>
  <c r="AW10" i="183"/>
  <c r="AV10" i="183"/>
  <c r="AU10" i="183"/>
  <c r="AT10" i="183"/>
  <c r="AS10" i="183"/>
  <c r="AR10" i="183"/>
  <c r="AQ10" i="183"/>
  <c r="AP10" i="183"/>
  <c r="AO10" i="183"/>
  <c r="AN10" i="183"/>
  <c r="AM10" i="183"/>
  <c r="AL10" i="183"/>
  <c r="AK10" i="183"/>
  <c r="AJ10" i="183"/>
  <c r="AI10" i="183"/>
  <c r="AH10" i="183"/>
  <c r="AG10" i="183"/>
  <c r="AF10" i="183"/>
  <c r="AE10" i="183"/>
  <c r="AD10" i="183"/>
  <c r="AC10" i="183"/>
  <c r="AB10" i="183"/>
  <c r="AA10" i="183"/>
  <c r="Z10" i="183"/>
  <c r="Y10" i="183"/>
  <c r="X10" i="183"/>
  <c r="W10" i="183"/>
  <c r="BC9" i="183"/>
  <c r="BB9" i="183"/>
  <c r="BA9" i="183"/>
  <c r="AZ9" i="183"/>
  <c r="AY9" i="183"/>
  <c r="AX9" i="183"/>
  <c r="AW9" i="183"/>
  <c r="AV9" i="183"/>
  <c r="AU9" i="183"/>
  <c r="AT9" i="183"/>
  <c r="AS9" i="183"/>
  <c r="AR9" i="183"/>
  <c r="AQ9" i="183"/>
  <c r="AP9" i="183"/>
  <c r="AO9" i="183"/>
  <c r="AN9" i="183"/>
  <c r="AM9" i="183"/>
  <c r="AL9" i="183"/>
  <c r="AK9" i="183"/>
  <c r="AJ9" i="183"/>
  <c r="AI9" i="183"/>
  <c r="AH9" i="183"/>
  <c r="AG9" i="183"/>
  <c r="AF9" i="183"/>
  <c r="AE9" i="183"/>
  <c r="AD9" i="183"/>
  <c r="AC9" i="183"/>
  <c r="AB9" i="183"/>
  <c r="AA9" i="183"/>
  <c r="Z9" i="183"/>
  <c r="Y9" i="183"/>
  <c r="X9" i="183"/>
  <c r="W9" i="183"/>
  <c r="BC8" i="183"/>
  <c r="BB8" i="183"/>
  <c r="BA8" i="183"/>
  <c r="AZ8" i="183"/>
  <c r="AY8" i="183"/>
  <c r="AX8" i="183"/>
  <c r="AW8" i="183"/>
  <c r="AV8" i="183"/>
  <c r="AU8" i="183"/>
  <c r="AT8" i="183"/>
  <c r="AS8" i="183"/>
  <c r="AR8" i="183"/>
  <c r="AQ8" i="183"/>
  <c r="AP8" i="183"/>
  <c r="AO8" i="183"/>
  <c r="AN8" i="183"/>
  <c r="AM8" i="183"/>
  <c r="AL8" i="183"/>
  <c r="AK8" i="183"/>
  <c r="AJ8" i="183"/>
  <c r="AI8" i="183"/>
  <c r="AH8" i="183"/>
  <c r="AG8" i="183"/>
  <c r="AF8" i="183"/>
  <c r="AE8" i="183"/>
  <c r="AD8" i="183"/>
  <c r="AB8" i="183"/>
  <c r="AA8" i="183"/>
  <c r="Z8" i="183"/>
  <c r="Y8" i="183"/>
  <c r="X8" i="183"/>
  <c r="W8" i="183"/>
  <c r="J16" i="183"/>
  <c r="BE28" i="183"/>
  <c r="BD28" i="183"/>
  <c r="U27" i="183"/>
  <c r="Q27" i="183"/>
  <c r="P27" i="183"/>
  <c r="N27" i="183"/>
  <c r="L27" i="183"/>
  <c r="K27" i="183"/>
  <c r="J27" i="183"/>
  <c r="I27" i="183"/>
  <c r="H27" i="183"/>
  <c r="G27" i="183"/>
  <c r="F27" i="183"/>
  <c r="E27" i="183"/>
  <c r="D27" i="183"/>
  <c r="C27" i="183"/>
  <c r="U26" i="183"/>
  <c r="T26" i="183"/>
  <c r="Q26" i="183"/>
  <c r="P26" i="183"/>
  <c r="N26" i="183"/>
  <c r="L26" i="183"/>
  <c r="K26" i="183"/>
  <c r="J26" i="183"/>
  <c r="I26" i="183"/>
  <c r="H26" i="183"/>
  <c r="G26" i="183"/>
  <c r="F26" i="183"/>
  <c r="E26" i="183"/>
  <c r="D26" i="183"/>
  <c r="C26" i="183"/>
  <c r="Q25" i="183"/>
  <c r="P25" i="183"/>
  <c r="N25" i="183"/>
  <c r="L25" i="183"/>
  <c r="K25" i="183"/>
  <c r="J25" i="183"/>
  <c r="I25" i="183"/>
  <c r="H25" i="183"/>
  <c r="G25" i="183"/>
  <c r="F25" i="183"/>
  <c r="E25" i="183"/>
  <c r="D25" i="183"/>
  <c r="C25" i="183"/>
  <c r="U24" i="183"/>
  <c r="T24" i="183"/>
  <c r="Q24" i="183"/>
  <c r="P24" i="183"/>
  <c r="N24" i="183"/>
  <c r="L24" i="183"/>
  <c r="K24" i="183"/>
  <c r="J24" i="183"/>
  <c r="I24" i="183"/>
  <c r="H24" i="183"/>
  <c r="G24" i="183"/>
  <c r="F24" i="183"/>
  <c r="E24" i="183"/>
  <c r="D24" i="183"/>
  <c r="C24" i="183"/>
  <c r="U23" i="183"/>
  <c r="T23" i="183"/>
  <c r="Q23" i="183"/>
  <c r="P23" i="183"/>
  <c r="N23" i="183"/>
  <c r="L23" i="183"/>
  <c r="K23" i="183"/>
  <c r="J23" i="183"/>
  <c r="I23" i="183"/>
  <c r="H23" i="183"/>
  <c r="G23" i="183"/>
  <c r="F23" i="183"/>
  <c r="E23" i="183"/>
  <c r="D23" i="183"/>
  <c r="C23" i="183"/>
  <c r="Q22" i="183"/>
  <c r="P22" i="183"/>
  <c r="N22" i="183"/>
  <c r="L22" i="183"/>
  <c r="K22" i="183"/>
  <c r="J22" i="183"/>
  <c r="I22" i="183"/>
  <c r="H22" i="183"/>
  <c r="G22" i="183"/>
  <c r="F22" i="183"/>
  <c r="E22" i="183"/>
  <c r="D22" i="183"/>
  <c r="C22" i="183"/>
  <c r="U21" i="183"/>
  <c r="T21" i="183"/>
  <c r="Q21" i="183"/>
  <c r="P21" i="183"/>
  <c r="N21" i="183"/>
  <c r="L21" i="183"/>
  <c r="K21" i="183"/>
  <c r="J21" i="183"/>
  <c r="I21" i="183"/>
  <c r="H21" i="183"/>
  <c r="G21" i="183"/>
  <c r="F21" i="183"/>
  <c r="E21" i="183"/>
  <c r="D21" i="183"/>
  <c r="C21" i="183"/>
  <c r="U20" i="183"/>
  <c r="T20" i="183"/>
  <c r="Q20" i="183"/>
  <c r="P20" i="183"/>
  <c r="N20" i="183"/>
  <c r="L20" i="183"/>
  <c r="K20" i="183"/>
  <c r="J20" i="183"/>
  <c r="I20" i="183"/>
  <c r="H20" i="183"/>
  <c r="G20" i="183"/>
  <c r="F20" i="183"/>
  <c r="E20" i="183"/>
  <c r="D20" i="183"/>
  <c r="C20" i="183"/>
  <c r="Q19" i="183"/>
  <c r="P19" i="183"/>
  <c r="N19" i="183"/>
  <c r="L19" i="183"/>
  <c r="K19" i="183"/>
  <c r="J19" i="183"/>
  <c r="I19" i="183"/>
  <c r="H19" i="183"/>
  <c r="G19" i="183"/>
  <c r="F19" i="183"/>
  <c r="E19" i="183"/>
  <c r="D19" i="183"/>
  <c r="C19" i="183"/>
  <c r="U18" i="183"/>
  <c r="T18" i="183"/>
  <c r="Q18" i="183"/>
  <c r="P18" i="183"/>
  <c r="N18" i="183"/>
  <c r="L18" i="183"/>
  <c r="K18" i="183"/>
  <c r="J18" i="183"/>
  <c r="I18" i="183"/>
  <c r="H18" i="183"/>
  <c r="G18" i="183"/>
  <c r="F18" i="183"/>
  <c r="E18" i="183"/>
  <c r="D18" i="183"/>
  <c r="C18" i="183"/>
  <c r="U17" i="183"/>
  <c r="T17" i="183"/>
  <c r="Q17" i="183"/>
  <c r="P17" i="183"/>
  <c r="N17" i="183"/>
  <c r="L17" i="183"/>
  <c r="K17" i="183"/>
  <c r="J17" i="183"/>
  <c r="I17" i="183"/>
  <c r="H17" i="183"/>
  <c r="G17" i="183"/>
  <c r="F17" i="183"/>
  <c r="E17" i="183"/>
  <c r="D17" i="183"/>
  <c r="C17" i="183"/>
  <c r="Q16" i="183"/>
  <c r="P16" i="183"/>
  <c r="N16" i="183"/>
  <c r="L16" i="183"/>
  <c r="K16" i="183"/>
  <c r="I16" i="183"/>
  <c r="H16" i="183"/>
  <c r="G16" i="183"/>
  <c r="F16" i="183"/>
  <c r="E16" i="183"/>
  <c r="D16" i="183"/>
  <c r="C16" i="183"/>
  <c r="T15" i="183"/>
  <c r="S15" i="183"/>
  <c r="Q15" i="183"/>
  <c r="P15" i="183"/>
  <c r="N15" i="183"/>
  <c r="L15" i="183"/>
  <c r="K15" i="183"/>
  <c r="J15" i="183"/>
  <c r="I15" i="183"/>
  <c r="H15" i="183"/>
  <c r="G15" i="183"/>
  <c r="F15" i="183"/>
  <c r="E15" i="183"/>
  <c r="D15" i="183"/>
  <c r="C15" i="183"/>
  <c r="T14" i="183"/>
  <c r="S14" i="183"/>
  <c r="Q14" i="183"/>
  <c r="P14" i="183"/>
  <c r="N14" i="183"/>
  <c r="L14" i="183"/>
  <c r="K14" i="183"/>
  <c r="J14" i="183"/>
  <c r="I14" i="183"/>
  <c r="H14" i="183"/>
  <c r="G14" i="183"/>
  <c r="F14" i="183"/>
  <c r="E14" i="183"/>
  <c r="D14" i="183"/>
  <c r="C14" i="183"/>
  <c r="Q13" i="183"/>
  <c r="P13" i="183"/>
  <c r="N13" i="183"/>
  <c r="M13" i="183"/>
  <c r="L13" i="183"/>
  <c r="K13" i="183"/>
  <c r="J13" i="183"/>
  <c r="I13" i="183"/>
  <c r="H13" i="183"/>
  <c r="G13" i="183"/>
  <c r="F13" i="183"/>
  <c r="E13" i="183"/>
  <c r="D13" i="183"/>
  <c r="C13" i="183"/>
  <c r="T12" i="183"/>
  <c r="S12" i="183"/>
  <c r="Q12" i="183"/>
  <c r="P12" i="183"/>
  <c r="N12" i="183"/>
  <c r="L12" i="183"/>
  <c r="K12" i="183"/>
  <c r="J12" i="183"/>
  <c r="I12" i="183"/>
  <c r="H12" i="183"/>
  <c r="G12" i="183"/>
  <c r="F12" i="183"/>
  <c r="E12" i="183"/>
  <c r="D12" i="183"/>
  <c r="C12" i="183"/>
  <c r="T11" i="183"/>
  <c r="S11" i="183"/>
  <c r="Q11" i="183"/>
  <c r="P11" i="183"/>
  <c r="N11" i="183"/>
  <c r="L11" i="183"/>
  <c r="K11" i="183"/>
  <c r="J11" i="183"/>
  <c r="I11" i="183"/>
  <c r="H11" i="183"/>
  <c r="G11" i="183"/>
  <c r="F11" i="183"/>
  <c r="E11" i="183"/>
  <c r="D11" i="183"/>
  <c r="C11" i="183"/>
  <c r="Q10" i="183"/>
  <c r="P10" i="183"/>
  <c r="N10" i="183"/>
  <c r="M10" i="183"/>
  <c r="L10" i="183"/>
  <c r="K10" i="183"/>
  <c r="J10" i="183"/>
  <c r="I10" i="183"/>
  <c r="H10" i="183"/>
  <c r="G10" i="183"/>
  <c r="F10" i="183"/>
  <c r="E10" i="183"/>
  <c r="D10" i="183"/>
  <c r="C10" i="183"/>
  <c r="T9" i="183"/>
  <c r="S9" i="183"/>
  <c r="Q9" i="183"/>
  <c r="P9" i="183"/>
  <c r="N9" i="183"/>
  <c r="L9" i="183"/>
  <c r="K9" i="183"/>
  <c r="J9" i="183"/>
  <c r="I9" i="183"/>
  <c r="H9" i="183"/>
  <c r="G9" i="183"/>
  <c r="F9" i="183"/>
  <c r="E9" i="183"/>
  <c r="D9" i="183"/>
  <c r="C9" i="183"/>
  <c r="T8" i="183"/>
  <c r="S8" i="183"/>
  <c r="Q8" i="183"/>
  <c r="P8" i="183"/>
  <c r="N8" i="183"/>
  <c r="L8" i="183"/>
  <c r="K8" i="183"/>
  <c r="J8" i="183"/>
  <c r="I8" i="183"/>
  <c r="H8" i="183"/>
  <c r="G8" i="183"/>
  <c r="F8" i="183"/>
  <c r="F28" i="183" s="1"/>
  <c r="E8" i="183"/>
  <c r="D8" i="183"/>
  <c r="C8" i="183"/>
  <c r="V3" i="183"/>
  <c r="V17" i="183" s="1"/>
  <c r="U3" i="183"/>
  <c r="U25" i="183" s="1"/>
  <c r="T3" i="183"/>
  <c r="T25" i="183" s="1"/>
  <c r="S3" i="183"/>
  <c r="S22" i="183" s="1"/>
  <c r="O3" i="183"/>
  <c r="O21" i="183" s="1"/>
  <c r="M3" i="183"/>
  <c r="M26" i="183" s="1"/>
  <c r="BE28" i="178"/>
  <c r="BD28" i="178"/>
  <c r="BC28" i="178"/>
  <c r="BB28" i="178"/>
  <c r="BA28" i="178"/>
  <c r="AZ28" i="178"/>
  <c r="AY28" i="178"/>
  <c r="AX28" i="178"/>
  <c r="AW28" i="178"/>
  <c r="AV28" i="178"/>
  <c r="AT28" i="178"/>
  <c r="AS28" i="178"/>
  <c r="AR28" i="178"/>
  <c r="AQ28" i="178"/>
  <c r="AP28" i="178"/>
  <c r="AO28" i="178"/>
  <c r="AN28" i="178"/>
  <c r="AM28" i="178"/>
  <c r="AL28" i="178"/>
  <c r="AK28" i="178"/>
  <c r="AJ28" i="178"/>
  <c r="AI28" i="178"/>
  <c r="AH28" i="178"/>
  <c r="AG28" i="178"/>
  <c r="AF28" i="178"/>
  <c r="AE28" i="178"/>
  <c r="AD28" i="178"/>
  <c r="AC28" i="178"/>
  <c r="AB28" i="178"/>
  <c r="AA28" i="178"/>
  <c r="Z28" i="178"/>
  <c r="Y28" i="178"/>
  <c r="X28" i="178"/>
  <c r="W28" i="178"/>
  <c r="Q27" i="178"/>
  <c r="P27" i="178"/>
  <c r="N27" i="178"/>
  <c r="L27" i="178"/>
  <c r="K27" i="178"/>
  <c r="J27" i="178"/>
  <c r="I27" i="178"/>
  <c r="H27" i="178"/>
  <c r="G27" i="178"/>
  <c r="F27" i="178"/>
  <c r="E27" i="178"/>
  <c r="D27" i="178"/>
  <c r="C27" i="178"/>
  <c r="Q26" i="178"/>
  <c r="P26" i="178"/>
  <c r="N26" i="178"/>
  <c r="L26" i="178"/>
  <c r="K26" i="178"/>
  <c r="J26" i="178"/>
  <c r="I26" i="178"/>
  <c r="H26" i="178"/>
  <c r="G26" i="178"/>
  <c r="F26" i="178"/>
  <c r="E26" i="178"/>
  <c r="D26" i="178"/>
  <c r="C26" i="178"/>
  <c r="Q25" i="178"/>
  <c r="P25" i="178"/>
  <c r="N25" i="178"/>
  <c r="L25" i="178"/>
  <c r="K25" i="178"/>
  <c r="J25" i="178"/>
  <c r="I25" i="178"/>
  <c r="H25" i="178"/>
  <c r="G25" i="178"/>
  <c r="F25" i="178"/>
  <c r="E25" i="178"/>
  <c r="D25" i="178"/>
  <c r="C25" i="178"/>
  <c r="Q24" i="178"/>
  <c r="P24" i="178"/>
  <c r="N24" i="178"/>
  <c r="L24" i="178"/>
  <c r="K24" i="178"/>
  <c r="J24" i="178"/>
  <c r="I24" i="178"/>
  <c r="H24" i="178"/>
  <c r="G24" i="178"/>
  <c r="F24" i="178"/>
  <c r="E24" i="178"/>
  <c r="D24" i="178"/>
  <c r="C24" i="178"/>
  <c r="S23" i="178"/>
  <c r="Q23" i="178"/>
  <c r="P23" i="178"/>
  <c r="N23" i="178"/>
  <c r="L23" i="178"/>
  <c r="K23" i="178"/>
  <c r="J23" i="178"/>
  <c r="I23" i="178"/>
  <c r="H23" i="178"/>
  <c r="G23" i="178"/>
  <c r="F23" i="178"/>
  <c r="E23" i="178"/>
  <c r="D23" i="178"/>
  <c r="C23" i="178"/>
  <c r="Q22" i="178"/>
  <c r="P22" i="178"/>
  <c r="N22" i="178"/>
  <c r="L22" i="178"/>
  <c r="K22" i="178"/>
  <c r="J22" i="178"/>
  <c r="I22" i="178"/>
  <c r="H22" i="178"/>
  <c r="G22" i="178"/>
  <c r="F22" i="178"/>
  <c r="E22" i="178"/>
  <c r="D22" i="178"/>
  <c r="C22" i="178"/>
  <c r="Q21" i="178"/>
  <c r="P21" i="178"/>
  <c r="N21" i="178"/>
  <c r="L21" i="178"/>
  <c r="K21" i="178"/>
  <c r="J21" i="178"/>
  <c r="I21" i="178"/>
  <c r="H21" i="178"/>
  <c r="G21" i="178"/>
  <c r="F21" i="178"/>
  <c r="E21" i="178"/>
  <c r="D21" i="178"/>
  <c r="C21" i="178"/>
  <c r="Q20" i="178"/>
  <c r="P20" i="178"/>
  <c r="N20" i="178"/>
  <c r="L20" i="178"/>
  <c r="K20" i="178"/>
  <c r="J20" i="178"/>
  <c r="I20" i="178"/>
  <c r="H20" i="178"/>
  <c r="G20" i="178"/>
  <c r="F20" i="178"/>
  <c r="E20" i="178"/>
  <c r="D20" i="178"/>
  <c r="C20" i="178"/>
  <c r="Q19" i="178"/>
  <c r="P19" i="178"/>
  <c r="N19" i="178"/>
  <c r="L19" i="178"/>
  <c r="K19" i="178"/>
  <c r="J19" i="178"/>
  <c r="I19" i="178"/>
  <c r="H19" i="178"/>
  <c r="G19" i="178"/>
  <c r="F19" i="178"/>
  <c r="E19" i="178"/>
  <c r="D19" i="178"/>
  <c r="C19" i="178"/>
  <c r="S18" i="178"/>
  <c r="Q18" i="178"/>
  <c r="P18" i="178"/>
  <c r="N18" i="178"/>
  <c r="L18" i="178"/>
  <c r="K18" i="178"/>
  <c r="J18" i="178"/>
  <c r="I18" i="178"/>
  <c r="H18" i="178"/>
  <c r="G18" i="178"/>
  <c r="F18" i="178"/>
  <c r="E18" i="178"/>
  <c r="D18" i="178"/>
  <c r="C18" i="178"/>
  <c r="Q17" i="178"/>
  <c r="P17" i="178"/>
  <c r="N17" i="178"/>
  <c r="L17" i="178"/>
  <c r="K17" i="178"/>
  <c r="J17" i="178"/>
  <c r="I17" i="178"/>
  <c r="H17" i="178"/>
  <c r="G17" i="178"/>
  <c r="F17" i="178"/>
  <c r="E17" i="178"/>
  <c r="D17" i="178"/>
  <c r="C17" i="178"/>
  <c r="Q16" i="178"/>
  <c r="P16" i="178"/>
  <c r="N16" i="178"/>
  <c r="L16" i="178"/>
  <c r="K16" i="178"/>
  <c r="J16" i="178"/>
  <c r="I16" i="178"/>
  <c r="H16" i="178"/>
  <c r="G16" i="178"/>
  <c r="F16" i="178"/>
  <c r="E16" i="178"/>
  <c r="D16" i="178"/>
  <c r="C16" i="178"/>
  <c r="Q15" i="178"/>
  <c r="P15" i="178"/>
  <c r="N15" i="178"/>
  <c r="L15" i="178"/>
  <c r="K15" i="178"/>
  <c r="J15" i="178"/>
  <c r="I15" i="178"/>
  <c r="H15" i="178"/>
  <c r="G15" i="178"/>
  <c r="F15" i="178"/>
  <c r="E15" i="178"/>
  <c r="D15" i="178"/>
  <c r="C15" i="178"/>
  <c r="Q14" i="178"/>
  <c r="P14" i="178"/>
  <c r="N14" i="178"/>
  <c r="L14" i="178"/>
  <c r="K14" i="178"/>
  <c r="J14" i="178"/>
  <c r="I14" i="178"/>
  <c r="H14" i="178"/>
  <c r="G14" i="178"/>
  <c r="F14" i="178"/>
  <c r="E14" i="178"/>
  <c r="D14" i="178"/>
  <c r="C14" i="178"/>
  <c r="Q13" i="178"/>
  <c r="P13" i="178"/>
  <c r="N13" i="178"/>
  <c r="L13" i="178"/>
  <c r="K13" i="178"/>
  <c r="J13" i="178"/>
  <c r="I13" i="178"/>
  <c r="H13" i="178"/>
  <c r="G13" i="178"/>
  <c r="F13" i="178"/>
  <c r="E13" i="178"/>
  <c r="D13" i="178"/>
  <c r="C13" i="178"/>
  <c r="Q12" i="178"/>
  <c r="P12" i="178"/>
  <c r="N12" i="178"/>
  <c r="L12" i="178"/>
  <c r="K12" i="178"/>
  <c r="J12" i="178"/>
  <c r="I12" i="178"/>
  <c r="H12" i="178"/>
  <c r="G12" i="178"/>
  <c r="F12" i="178"/>
  <c r="E12" i="178"/>
  <c r="D12" i="178"/>
  <c r="C12" i="178"/>
  <c r="S11" i="178"/>
  <c r="Q11" i="178"/>
  <c r="P11" i="178"/>
  <c r="N11" i="178"/>
  <c r="L11" i="178"/>
  <c r="K11" i="178"/>
  <c r="J11" i="178"/>
  <c r="I11" i="178"/>
  <c r="H11" i="178"/>
  <c r="G11" i="178"/>
  <c r="F11" i="178"/>
  <c r="E11" i="178"/>
  <c r="D11" i="178"/>
  <c r="C11" i="178"/>
  <c r="Q10" i="178"/>
  <c r="P10" i="178"/>
  <c r="N10" i="178"/>
  <c r="L10" i="178"/>
  <c r="K10" i="178"/>
  <c r="J10" i="178"/>
  <c r="I10" i="178"/>
  <c r="H10" i="178"/>
  <c r="G10" i="178"/>
  <c r="F10" i="178"/>
  <c r="E10" i="178"/>
  <c r="D10" i="178"/>
  <c r="C10" i="178"/>
  <c r="Q9" i="178"/>
  <c r="P9" i="178"/>
  <c r="N9" i="178"/>
  <c r="L9" i="178"/>
  <c r="K9" i="178"/>
  <c r="J9" i="178"/>
  <c r="I9" i="178"/>
  <c r="H9" i="178"/>
  <c r="G9" i="178"/>
  <c r="F9" i="178"/>
  <c r="E9" i="178"/>
  <c r="D9" i="178"/>
  <c r="C9" i="178"/>
  <c r="Q8" i="178"/>
  <c r="P8" i="178"/>
  <c r="N8" i="178"/>
  <c r="N28" i="178" s="1"/>
  <c r="L8" i="178"/>
  <c r="K8" i="178"/>
  <c r="J8" i="178"/>
  <c r="I8" i="178"/>
  <c r="I28" i="178" s="1"/>
  <c r="H8" i="178"/>
  <c r="G8" i="178"/>
  <c r="F8" i="178"/>
  <c r="E8" i="178"/>
  <c r="E28" i="178" s="1"/>
  <c r="D8" i="178"/>
  <c r="C8" i="178"/>
  <c r="V3" i="178"/>
  <c r="V26" i="178" s="1"/>
  <c r="U3" i="178"/>
  <c r="U25" i="178" s="1"/>
  <c r="T3" i="178"/>
  <c r="T25" i="178" s="1"/>
  <c r="S3" i="178"/>
  <c r="S25" i="178" s="1"/>
  <c r="O3" i="178"/>
  <c r="O27" i="178" s="1"/>
  <c r="M3" i="178"/>
  <c r="M26" i="178" s="1"/>
  <c r="AU28" i="58"/>
  <c r="AT28" i="58"/>
  <c r="AS28" i="58"/>
  <c r="AR28" i="58"/>
  <c r="AQ28" i="58"/>
  <c r="AF28" i="58"/>
  <c r="AE28" i="58"/>
  <c r="AD28" i="58"/>
  <c r="AB28" i="58"/>
  <c r="Q27" i="58"/>
  <c r="P27" i="58"/>
  <c r="N27" i="58"/>
  <c r="L27" i="58"/>
  <c r="K27" i="58"/>
  <c r="J27" i="58"/>
  <c r="I27" i="58"/>
  <c r="H27" i="58"/>
  <c r="G27" i="58"/>
  <c r="F27" i="58"/>
  <c r="E27" i="58"/>
  <c r="D27" i="58"/>
  <c r="C27" i="58"/>
  <c r="AP28" i="58"/>
  <c r="AM28" i="58"/>
  <c r="AL28" i="58"/>
  <c r="AO28" i="58"/>
  <c r="O8" i="183" l="1"/>
  <c r="S9" i="178"/>
  <c r="S14" i="178"/>
  <c r="S21" i="178"/>
  <c r="C28" i="183"/>
  <c r="G28" i="183"/>
  <c r="P28" i="183"/>
  <c r="U8" i="183"/>
  <c r="U9" i="183"/>
  <c r="J28" i="183"/>
  <c r="U11" i="183"/>
  <c r="U12" i="183"/>
  <c r="U14" i="183"/>
  <c r="U15" i="183"/>
  <c r="O16" i="183"/>
  <c r="O19" i="183"/>
  <c r="O22" i="183"/>
  <c r="O25" i="183"/>
  <c r="D28" i="183"/>
  <c r="H28" i="183"/>
  <c r="Q28" i="183"/>
  <c r="K28" i="183"/>
  <c r="O10" i="183"/>
  <c r="O13" i="183"/>
  <c r="S17" i="183"/>
  <c r="S18" i="183"/>
  <c r="S20" i="183"/>
  <c r="S21" i="183"/>
  <c r="S23" i="183"/>
  <c r="S24" i="183"/>
  <c r="S26" i="183"/>
  <c r="S27" i="183"/>
  <c r="O11" i="183"/>
  <c r="O14" i="183"/>
  <c r="C28" i="178"/>
  <c r="G28" i="178"/>
  <c r="Q28" i="178"/>
  <c r="S12" i="178"/>
  <c r="S17" i="178"/>
  <c r="S24" i="178"/>
  <c r="S8" i="178"/>
  <c r="S15" i="178"/>
  <c r="S20" i="178"/>
  <c r="E28" i="183"/>
  <c r="I28" i="183"/>
  <c r="N28" i="183"/>
  <c r="L28" i="183"/>
  <c r="M16" i="183"/>
  <c r="O17" i="183"/>
  <c r="M19" i="183"/>
  <c r="O20" i="183"/>
  <c r="M22" i="183"/>
  <c r="O23" i="183"/>
  <c r="M25" i="183"/>
  <c r="O26" i="183"/>
  <c r="T27" i="183"/>
  <c r="S26" i="178"/>
  <c r="F28" i="178"/>
  <c r="O8" i="178"/>
  <c r="T8" i="178"/>
  <c r="T9" i="178"/>
  <c r="M10" i="178"/>
  <c r="O11" i="178"/>
  <c r="T11" i="178"/>
  <c r="T12" i="178"/>
  <c r="M13" i="178"/>
  <c r="O14" i="178"/>
  <c r="T14" i="178"/>
  <c r="T15" i="178"/>
  <c r="M16" i="178"/>
  <c r="O17" i="178"/>
  <c r="T17" i="178"/>
  <c r="T18" i="178"/>
  <c r="M19" i="178"/>
  <c r="O20" i="178"/>
  <c r="T20" i="178"/>
  <c r="T21" i="178"/>
  <c r="M22" i="178"/>
  <c r="O23" i="178"/>
  <c r="T23" i="178"/>
  <c r="T24" i="178"/>
  <c r="M25" i="178"/>
  <c r="O26" i="178"/>
  <c r="T26" i="178"/>
  <c r="T27" i="178"/>
  <c r="L28" i="178"/>
  <c r="P28" i="178"/>
  <c r="U8" i="178"/>
  <c r="U9" i="178"/>
  <c r="J28" i="178"/>
  <c r="U11" i="178"/>
  <c r="U12" i="178"/>
  <c r="U14" i="178"/>
  <c r="U15" i="178"/>
  <c r="U17" i="178"/>
  <c r="U18" i="178"/>
  <c r="U20" i="178"/>
  <c r="U21" i="178"/>
  <c r="U23" i="178"/>
  <c r="U24" i="178"/>
  <c r="U26" i="178"/>
  <c r="U27" i="178"/>
  <c r="D28" i="178"/>
  <c r="H28" i="178"/>
  <c r="K28" i="178"/>
  <c r="O10" i="178"/>
  <c r="O13" i="178"/>
  <c r="O16" i="178"/>
  <c r="O19" i="178"/>
  <c r="O22" i="178"/>
  <c r="O25" i="178"/>
  <c r="S27" i="178"/>
  <c r="Y28" i="183"/>
  <c r="Z28" i="183"/>
  <c r="AI28" i="183"/>
  <c r="AK28" i="183"/>
  <c r="X28" i="183"/>
  <c r="AY28" i="183"/>
  <c r="AZ28" i="183"/>
  <c r="AA28" i="183"/>
  <c r="AJ28" i="183"/>
  <c r="AW28" i="183"/>
  <c r="BC28" i="183"/>
  <c r="BB28" i="183"/>
  <c r="BA28" i="183"/>
  <c r="AQ28" i="183"/>
  <c r="AF28" i="183"/>
  <c r="AU28" i="183"/>
  <c r="AP28" i="183"/>
  <c r="AO28" i="183"/>
  <c r="AN28" i="183"/>
  <c r="AL28" i="183"/>
  <c r="AV28" i="183"/>
  <c r="AE28" i="183"/>
  <c r="AD28" i="183"/>
  <c r="W28" i="183"/>
  <c r="AX28" i="183"/>
  <c r="AM28" i="183"/>
  <c r="AG28" i="183"/>
  <c r="AS28" i="183"/>
  <c r="AB28" i="183"/>
  <c r="AR28" i="183"/>
  <c r="AH28" i="183"/>
  <c r="AT28" i="183"/>
  <c r="V10" i="183"/>
  <c r="V13" i="183"/>
  <c r="M9" i="183"/>
  <c r="M21" i="183"/>
  <c r="R3" i="183"/>
  <c r="V8" i="183"/>
  <c r="V11" i="183"/>
  <c r="V20" i="183"/>
  <c r="V23" i="183"/>
  <c r="V26" i="183"/>
  <c r="O9" i="183"/>
  <c r="S10" i="183"/>
  <c r="S13" i="183"/>
  <c r="O15" i="183"/>
  <c r="S16" i="183"/>
  <c r="O18" i="183"/>
  <c r="S19" i="183"/>
  <c r="O24" i="183"/>
  <c r="S25" i="183"/>
  <c r="O27" i="183"/>
  <c r="T10" i="183"/>
  <c r="T13" i="183"/>
  <c r="T28" i="183" s="1"/>
  <c r="T16" i="183"/>
  <c r="T19" i="183"/>
  <c r="T22" i="183"/>
  <c r="V16" i="183"/>
  <c r="V19" i="183"/>
  <c r="V22" i="183"/>
  <c r="V25" i="183"/>
  <c r="V9" i="183"/>
  <c r="V12" i="183"/>
  <c r="V15" i="183"/>
  <c r="V18" i="183"/>
  <c r="V21" i="183"/>
  <c r="V24" i="183"/>
  <c r="V27" i="183"/>
  <c r="M12" i="183"/>
  <c r="M15" i="183"/>
  <c r="M18" i="183"/>
  <c r="M24" i="183"/>
  <c r="M27" i="183"/>
  <c r="V14" i="183"/>
  <c r="O12" i="183"/>
  <c r="M8" i="183"/>
  <c r="U10" i="183"/>
  <c r="M11" i="183"/>
  <c r="U13" i="183"/>
  <c r="M14" i="183"/>
  <c r="U16" i="183"/>
  <c r="M17" i="183"/>
  <c r="U19" i="183"/>
  <c r="M20" i="183"/>
  <c r="U22" i="183"/>
  <c r="M23" i="183"/>
  <c r="V16" i="178"/>
  <c r="V22" i="178"/>
  <c r="V12" i="178"/>
  <c r="V19" i="178"/>
  <c r="V25" i="178"/>
  <c r="V15" i="178"/>
  <c r="V18" i="178"/>
  <c r="V21" i="178"/>
  <c r="M12" i="178"/>
  <c r="M18" i="178"/>
  <c r="M21" i="178"/>
  <c r="M27" i="178"/>
  <c r="V8" i="178"/>
  <c r="V17" i="178"/>
  <c r="V20" i="178"/>
  <c r="O15" i="178"/>
  <c r="V10" i="178"/>
  <c r="V13" i="178"/>
  <c r="V9" i="178"/>
  <c r="V24" i="178"/>
  <c r="V27" i="178"/>
  <c r="M9" i="178"/>
  <c r="M15" i="178"/>
  <c r="M24" i="178"/>
  <c r="R3" i="178"/>
  <c r="V11" i="178"/>
  <c r="V14" i="178"/>
  <c r="V23" i="178"/>
  <c r="O9" i="178"/>
  <c r="O28" i="178" s="1"/>
  <c r="S10" i="178"/>
  <c r="O12" i="178"/>
  <c r="S13" i="178"/>
  <c r="S16" i="178"/>
  <c r="O18" i="178"/>
  <c r="S19" i="178"/>
  <c r="O21" i="178"/>
  <c r="S22" i="178"/>
  <c r="O24" i="178"/>
  <c r="T10" i="178"/>
  <c r="T13" i="178"/>
  <c r="T16" i="178"/>
  <c r="T19" i="178"/>
  <c r="T22" i="178"/>
  <c r="M8" i="178"/>
  <c r="U10" i="178"/>
  <c r="M11" i="178"/>
  <c r="U13" i="178"/>
  <c r="M14" i="178"/>
  <c r="U16" i="178"/>
  <c r="U28" i="178" s="1"/>
  <c r="M17" i="178"/>
  <c r="U19" i="178"/>
  <c r="M20" i="178"/>
  <c r="U22" i="178"/>
  <c r="M23" i="178"/>
  <c r="AN28" i="58"/>
  <c r="M28" i="183" l="1"/>
  <c r="S28" i="183"/>
  <c r="U28" i="183"/>
  <c r="O28" i="183"/>
  <c r="T28" i="178"/>
  <c r="S28" i="178"/>
  <c r="V28" i="178"/>
  <c r="M28" i="178"/>
  <c r="V28" i="183"/>
  <c r="R19" i="183"/>
  <c r="R13" i="183"/>
  <c r="R23" i="183"/>
  <c r="R17" i="183"/>
  <c r="R11" i="183"/>
  <c r="R27" i="183"/>
  <c r="R24" i="183"/>
  <c r="R18" i="183"/>
  <c r="R9" i="183"/>
  <c r="R25" i="183"/>
  <c r="R22" i="183"/>
  <c r="R16" i="183"/>
  <c r="R10" i="183"/>
  <c r="R26" i="183"/>
  <c r="R20" i="183"/>
  <c r="R14" i="183"/>
  <c r="R8" i="183"/>
  <c r="R21" i="183"/>
  <c r="R15" i="183"/>
  <c r="R12" i="183"/>
  <c r="R19" i="178"/>
  <c r="R13" i="178"/>
  <c r="R10" i="178"/>
  <c r="R26" i="178"/>
  <c r="R14" i="178"/>
  <c r="R11" i="178"/>
  <c r="R27" i="178"/>
  <c r="R18" i="178"/>
  <c r="R15" i="178"/>
  <c r="R25" i="178"/>
  <c r="R22" i="178"/>
  <c r="R16" i="178"/>
  <c r="R23" i="178"/>
  <c r="R17" i="178"/>
  <c r="R8" i="178"/>
  <c r="R21" i="178"/>
  <c r="R12" i="178"/>
  <c r="R20" i="178"/>
  <c r="R24" i="178"/>
  <c r="R9" i="178"/>
  <c r="R28" i="183" l="1"/>
  <c r="R28" i="178"/>
  <c r="U3" i="58" l="1"/>
  <c r="U27" i="58" s="1"/>
  <c r="T3" i="58"/>
  <c r="T27" i="58" s="1"/>
  <c r="S3" i="58"/>
  <c r="S27" i="58" s="1"/>
  <c r="V3" i="58"/>
  <c r="V27" i="58" s="1"/>
  <c r="M3" i="58"/>
  <c r="O3" i="58"/>
  <c r="O27" i="58" s="1"/>
  <c r="R3" i="58" l="1"/>
  <c r="R27" i="58" s="1"/>
  <c r="M27" i="58"/>
  <c r="BC28" i="58"/>
  <c r="BB28" i="58" l="1"/>
  <c r="BA28" i="58"/>
  <c r="AZ28" i="58"/>
  <c r="AY28" i="58"/>
  <c r="AX28" i="58"/>
  <c r="AW28" i="58"/>
  <c r="AV28" i="58"/>
  <c r="AK28" i="58"/>
  <c r="AJ28" i="58"/>
  <c r="AI28" i="58"/>
  <c r="AH28" i="58"/>
  <c r="AG28" i="58"/>
  <c r="AA28" i="58"/>
  <c r="Z28" i="58"/>
  <c r="Y28" i="58"/>
  <c r="X28" i="58"/>
  <c r="W28" i="58"/>
  <c r="V26" i="58"/>
  <c r="U26" i="58"/>
  <c r="T26" i="58"/>
  <c r="S26" i="58"/>
  <c r="R26" i="58"/>
  <c r="Q26" i="58"/>
  <c r="P26" i="58"/>
  <c r="O26" i="58"/>
  <c r="N26" i="58"/>
  <c r="M26" i="58"/>
  <c r="L26" i="58"/>
  <c r="K26" i="58"/>
  <c r="J26" i="58"/>
  <c r="I26" i="58"/>
  <c r="H26" i="58"/>
  <c r="G26" i="58"/>
  <c r="F26" i="58"/>
  <c r="E26" i="58"/>
  <c r="D26" i="58"/>
  <c r="C26" i="58"/>
  <c r="V25" i="58"/>
  <c r="U25" i="58"/>
  <c r="T25" i="58"/>
  <c r="S25" i="58"/>
  <c r="R25" i="58"/>
  <c r="Q25" i="58"/>
  <c r="P25" i="58"/>
  <c r="O25" i="58"/>
  <c r="N25" i="58"/>
  <c r="M25" i="58"/>
  <c r="L25" i="58"/>
  <c r="K25" i="58"/>
  <c r="J25" i="58"/>
  <c r="I25" i="58"/>
  <c r="H25" i="58"/>
  <c r="G25" i="58"/>
  <c r="F25" i="58"/>
  <c r="E25" i="58"/>
  <c r="D25" i="58"/>
  <c r="C25" i="58"/>
  <c r="V24" i="58"/>
  <c r="U24" i="58"/>
  <c r="T24" i="58"/>
  <c r="S24" i="58"/>
  <c r="R24" i="58"/>
  <c r="Q24" i="58"/>
  <c r="P24" i="58"/>
  <c r="O24" i="58"/>
  <c r="N24" i="58"/>
  <c r="M24" i="58"/>
  <c r="L24" i="58"/>
  <c r="K24" i="58"/>
  <c r="J24" i="58"/>
  <c r="I24" i="58"/>
  <c r="H24" i="58"/>
  <c r="G24" i="58"/>
  <c r="F24" i="58"/>
  <c r="E24" i="58"/>
  <c r="D24" i="58"/>
  <c r="C24" i="58"/>
  <c r="V23" i="58"/>
  <c r="U23" i="58"/>
  <c r="T23" i="58"/>
  <c r="S23" i="58"/>
  <c r="R23" i="58"/>
  <c r="Q23" i="58"/>
  <c r="P23" i="58"/>
  <c r="O23" i="58"/>
  <c r="N23" i="58"/>
  <c r="M23" i="58"/>
  <c r="L23" i="58"/>
  <c r="K23" i="58"/>
  <c r="J23" i="58"/>
  <c r="I23" i="58"/>
  <c r="H23" i="58"/>
  <c r="G23" i="58"/>
  <c r="F23" i="58"/>
  <c r="E23" i="58"/>
  <c r="D23" i="58"/>
  <c r="C23" i="58"/>
  <c r="V22" i="58"/>
  <c r="U22" i="58"/>
  <c r="T22" i="58"/>
  <c r="S22" i="58"/>
  <c r="R22" i="58"/>
  <c r="Q22" i="58"/>
  <c r="P22" i="58"/>
  <c r="O22" i="58"/>
  <c r="N22" i="58"/>
  <c r="M22" i="58"/>
  <c r="L22" i="58"/>
  <c r="K22" i="58"/>
  <c r="J22" i="58"/>
  <c r="I22" i="58"/>
  <c r="H22" i="58"/>
  <c r="G22" i="58"/>
  <c r="F22" i="58"/>
  <c r="E22" i="58"/>
  <c r="D22" i="58"/>
  <c r="C22" i="58"/>
  <c r="V21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H21" i="58"/>
  <c r="G21" i="58"/>
  <c r="F21" i="58"/>
  <c r="E21" i="58"/>
  <c r="D21" i="58"/>
  <c r="C21" i="58"/>
  <c r="V20" i="58"/>
  <c r="U20" i="58"/>
  <c r="T20" i="58"/>
  <c r="S20" i="58"/>
  <c r="R20" i="58"/>
  <c r="Q20" i="58"/>
  <c r="P20" i="58"/>
  <c r="O20" i="58"/>
  <c r="N20" i="58"/>
  <c r="M20" i="58"/>
  <c r="L20" i="58"/>
  <c r="K20" i="58"/>
  <c r="J20" i="58"/>
  <c r="I20" i="58"/>
  <c r="H20" i="58"/>
  <c r="G20" i="58"/>
  <c r="F20" i="58"/>
  <c r="E20" i="58"/>
  <c r="D20" i="58"/>
  <c r="C20" i="58"/>
  <c r="V19" i="58"/>
  <c r="U19" i="58"/>
  <c r="T19" i="58"/>
  <c r="S19" i="58"/>
  <c r="R19" i="58"/>
  <c r="Q19" i="58"/>
  <c r="P19" i="58"/>
  <c r="O19" i="58"/>
  <c r="N19" i="58"/>
  <c r="M19" i="58"/>
  <c r="L19" i="58"/>
  <c r="K19" i="58"/>
  <c r="J19" i="58"/>
  <c r="I19" i="58"/>
  <c r="H19" i="58"/>
  <c r="G19" i="58"/>
  <c r="F19" i="58"/>
  <c r="E19" i="58"/>
  <c r="D19" i="58"/>
  <c r="C19" i="58"/>
  <c r="V18" i="58"/>
  <c r="U18" i="58"/>
  <c r="T18" i="58"/>
  <c r="S18" i="58"/>
  <c r="R18" i="58"/>
  <c r="Q18" i="58"/>
  <c r="P18" i="58"/>
  <c r="O18" i="58"/>
  <c r="N18" i="58"/>
  <c r="M18" i="58"/>
  <c r="L18" i="58"/>
  <c r="K18" i="58"/>
  <c r="J18" i="58"/>
  <c r="I18" i="58"/>
  <c r="H18" i="58"/>
  <c r="G18" i="58"/>
  <c r="F18" i="58"/>
  <c r="E18" i="58"/>
  <c r="D18" i="58"/>
  <c r="C18" i="58"/>
  <c r="V17" i="58"/>
  <c r="U17" i="58"/>
  <c r="T17" i="58"/>
  <c r="S17" i="58"/>
  <c r="R17" i="58"/>
  <c r="Q17" i="58"/>
  <c r="P17" i="58"/>
  <c r="O17" i="58"/>
  <c r="N17" i="58"/>
  <c r="M17" i="58"/>
  <c r="L17" i="58"/>
  <c r="K17" i="58"/>
  <c r="J17" i="58"/>
  <c r="I17" i="58"/>
  <c r="H17" i="58"/>
  <c r="G17" i="58"/>
  <c r="F17" i="58"/>
  <c r="E17" i="58"/>
  <c r="D17" i="58"/>
  <c r="C17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D16" i="58"/>
  <c r="C16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D15" i="58"/>
  <c r="C15" i="58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H14" i="58"/>
  <c r="G14" i="58"/>
  <c r="F14" i="58"/>
  <c r="E14" i="58"/>
  <c r="D14" i="58"/>
  <c r="C14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H13" i="58"/>
  <c r="G13" i="58"/>
  <c r="F13" i="58"/>
  <c r="E13" i="58"/>
  <c r="D13" i="58"/>
  <c r="C13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H12" i="58"/>
  <c r="G12" i="58"/>
  <c r="F12" i="58"/>
  <c r="E12" i="58"/>
  <c r="D12" i="58"/>
  <c r="C12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G11" i="58"/>
  <c r="F11" i="58"/>
  <c r="E11" i="58"/>
  <c r="D11" i="58"/>
  <c r="C11" i="58"/>
  <c r="V10" i="58"/>
  <c r="U10" i="58"/>
  <c r="T10" i="58"/>
  <c r="S10" i="58"/>
  <c r="R10" i="58"/>
  <c r="Q10" i="58"/>
  <c r="P10" i="58"/>
  <c r="O10" i="58"/>
  <c r="N10" i="58"/>
  <c r="M10" i="58"/>
  <c r="L10" i="58"/>
  <c r="K10" i="58"/>
  <c r="J10" i="58"/>
  <c r="I10" i="58"/>
  <c r="H10" i="58"/>
  <c r="G10" i="58"/>
  <c r="F10" i="58"/>
  <c r="E10" i="58"/>
  <c r="D10" i="58"/>
  <c r="C10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C9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H8" i="58"/>
  <c r="G8" i="58"/>
  <c r="F8" i="58"/>
  <c r="E8" i="58"/>
  <c r="D8" i="58"/>
  <c r="C8" i="58"/>
  <c r="C28" i="58" l="1"/>
  <c r="D28" i="58"/>
  <c r="G28" i="58"/>
  <c r="K28" i="58"/>
  <c r="P28" i="58"/>
  <c r="I28" i="58"/>
  <c r="J28" i="58"/>
  <c r="L28" i="58"/>
  <c r="H28" i="58"/>
  <c r="R28" i="58"/>
  <c r="M28" i="58"/>
  <c r="V28" i="58"/>
  <c r="U28" i="58"/>
  <c r="T28" i="58"/>
  <c r="Q28" i="58"/>
  <c r="O28" i="58"/>
  <c r="N28" i="58"/>
  <c r="F28" i="58"/>
  <c r="E28" i="58"/>
  <c r="S28" i="58"/>
  <c r="BE28" i="58" l="1"/>
  <c r="BD28" i="58"/>
  <c r="AC8" i="183"/>
  <c r="AC28" i="183" s="1"/>
  <c r="AC28" i="58"/>
</calcChain>
</file>

<file path=xl/sharedStrings.xml><?xml version="1.0" encoding="utf-8"?>
<sst xmlns="http://schemas.openxmlformats.org/spreadsheetml/2006/main" count="251" uniqueCount="50">
  <si>
    <t xml:space="preserve">TOTAL </t>
  </si>
  <si>
    <t>OBJECTIFS JOURNALIERS</t>
  </si>
  <si>
    <t>Biblos Lait Premium 16g</t>
  </si>
  <si>
    <t>Biblos Lait Premium 360g</t>
  </si>
  <si>
    <t>Biblos Flocon d'avoine 50g</t>
  </si>
  <si>
    <t>Biblos Flocon d'avoine 400g</t>
  </si>
  <si>
    <t>Commentaires</t>
  </si>
  <si>
    <t>Impressions des PDV et des clients</t>
  </si>
  <si>
    <t>Agent promoteur</t>
  </si>
  <si>
    <t>Nombre de visite / Type de PDV</t>
  </si>
  <si>
    <t>Boutique</t>
  </si>
  <si>
    <t>Superette</t>
  </si>
  <si>
    <t>Kiosque</t>
  </si>
  <si>
    <t>Tablier</t>
  </si>
  <si>
    <t>Pushcart</t>
  </si>
  <si>
    <t>Nombre de référencement / Type de PDV</t>
  </si>
  <si>
    <t>Pose de matériel de visibilité</t>
  </si>
  <si>
    <t>Affiche Biblos Flocons d' Avoine</t>
  </si>
  <si>
    <t>Hanger</t>
  </si>
  <si>
    <t>Wobbler</t>
  </si>
  <si>
    <t>Affiche Biblos Lait  Prémium 16g &amp; 360g</t>
  </si>
  <si>
    <t>Affiche Biblos Lait Excellence</t>
  </si>
  <si>
    <t>REALISATIONS</t>
  </si>
  <si>
    <t>Biblos Lait Excellence 900g</t>
  </si>
  <si>
    <t>N°</t>
  </si>
  <si>
    <t>Vente en cartons</t>
  </si>
  <si>
    <t>Gratuits offerts en sachet</t>
  </si>
  <si>
    <t>Présence produits antérieure</t>
  </si>
  <si>
    <t>Nouveau Référencement par SKU</t>
  </si>
  <si>
    <t>DIBI SIMEON</t>
  </si>
  <si>
    <t>KRA EVAVARISTE</t>
  </si>
  <si>
    <t>DIOMANDE ESTHER</t>
  </si>
  <si>
    <t>BADA LANDRY</t>
  </si>
  <si>
    <t>KOUAME JOSE</t>
  </si>
  <si>
    <t>FANY BARAKISSA</t>
  </si>
  <si>
    <t>KONAN IVETTE</t>
  </si>
  <si>
    <t>KRA PACOME</t>
  </si>
  <si>
    <t>KONATE MARIAM</t>
  </si>
  <si>
    <t>OULAY WILFRIED</t>
  </si>
  <si>
    <t>NGUESSAN INNOCENT</t>
  </si>
  <si>
    <t>KOUAKOU ROSE</t>
  </si>
  <si>
    <t>ARISTIDE KOUAME</t>
  </si>
  <si>
    <t>ANGE STEPHANIE</t>
  </si>
  <si>
    <t>BONDOUKOU - 07 FEV 2026</t>
  </si>
  <si>
    <t>BONDOUKOU - 08 FEV 2026</t>
  </si>
  <si>
    <t xml:space="preserve">BONDOUKOU </t>
  </si>
  <si>
    <t>KOUA BRUNOT</t>
  </si>
  <si>
    <t>ASSEMIEN INESS</t>
  </si>
  <si>
    <t xml:space="preserve">YOLANDE </t>
  </si>
  <si>
    <t>SEYDOU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</si>
</sst>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"/>
    <numFmt numFmtId="165" formatCode="_-* #,##0.0_-;\-* #,##0.0_-;_-* &quot;-&quot;_-;_-@_-"/>
  </numFmts>
  <fonts count="22" x14ac:knownFonts="1">
    <font>
      <sz val="11"/>
      <color theme="1"/>
      <name val="Calibri"/>
      <family val="2"/>
      <scheme val="minor"/>
    </font>
    <font>
      <b/>
      <sz val="16"/>
      <name val="Verdana"/>
      <family val="2"/>
    </font>
    <font>
      <b/>
      <sz val="14"/>
      <name val="Verdana"/>
      <family val="2"/>
    </font>
    <font>
      <b/>
      <sz val="14"/>
      <color theme="1"/>
      <name val="Verdana"/>
      <family val="2"/>
    </font>
    <font>
      <sz val="11"/>
      <color theme="1"/>
      <name val="Verdana"/>
      <family val="2"/>
    </font>
    <font>
      <sz val="16"/>
      <name val="Verdana"/>
      <family val="2"/>
    </font>
    <font>
      <sz val="16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14"/>
      <name val="Verdana"/>
      <family val="2"/>
    </font>
    <font>
      <sz val="10"/>
      <name val="Verdana"/>
      <family val="2"/>
    </font>
    <font>
      <sz val="11"/>
      <name val="Verdana"/>
      <family val="2"/>
    </font>
    <font>
      <sz val="12"/>
      <name val="Verdana"/>
      <family val="2"/>
    </font>
    <font>
      <sz val="14"/>
      <color theme="1"/>
      <name val="Verdana"/>
      <family val="2"/>
    </font>
    <font>
      <b/>
      <sz val="14"/>
      <color rgb="FFFF0000"/>
      <name val="Verdana"/>
      <family val="2"/>
    </font>
    <font>
      <b/>
      <sz val="18"/>
      <color theme="1"/>
      <name val="Verdana"/>
      <family val="2"/>
    </font>
    <font>
      <sz val="12"/>
      <color theme="1"/>
      <name val="Verdana"/>
      <family val="2"/>
    </font>
    <font>
      <b/>
      <sz val="16"/>
      <color theme="1"/>
      <name val="Verdana"/>
      <family val="2"/>
    </font>
    <font>
      <sz val="14"/>
      <color rgb="FFFF0000"/>
      <name val="Verdana"/>
      <family val="2"/>
    </font>
    <font>
      <sz val="8"/>
      <name val="Calibri"/>
      <family val="2"/>
      <scheme val="minor"/>
    </font>
    <font>
      <sz val="18"/>
      <color theme="1"/>
      <name val="Verdana"/>
      <family val="2"/>
    </font>
    <font>
      <b/>
      <sz val="10"/>
      <color rgb="FFFF000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BEDEF"/>
        <bgColor indexed="64"/>
      </patternFill>
    </fill>
    <fill>
      <patternFill patternType="solid">
        <fgColor rgb="FFEEE0D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FECDB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9BAB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/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</borders>
  <cellStyleXfs count="3">
    <xf numFmtId="0" fontId="0" fillId="0" borderId="0"/>
    <xf numFmtId="41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2">
    <xf numFmtId="0" fontId="0" fillId="0" borderId="0" xfId="0"/>
    <xf numFmtId="0" fontId="4" fillId="0" borderId="0" xfId="0" applyFont="1"/>
    <xf numFmtId="3" fontId="5" fillId="3" borderId="2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center" wrapText="1"/>
    </xf>
    <xf numFmtId="41" fontId="9" fillId="4" borderId="10" xfId="1" applyFont="1" applyFill="1" applyBorder="1" applyAlignment="1">
      <alignment horizontal="center" vertical="center"/>
    </xf>
    <xf numFmtId="41" fontId="9" fillId="4" borderId="11" xfId="1" applyFont="1" applyFill="1" applyBorder="1" applyAlignment="1">
      <alignment horizontal="center" vertical="center"/>
    </xf>
    <xf numFmtId="41" fontId="9" fillId="4" borderId="12" xfId="1" applyFont="1" applyFill="1" applyBorder="1" applyAlignment="1">
      <alignment horizontal="center" vertical="center"/>
    </xf>
    <xf numFmtId="41" fontId="9" fillId="4" borderId="5" xfId="1" applyFont="1" applyFill="1" applyBorder="1" applyAlignment="1">
      <alignment horizontal="center" vertical="center"/>
    </xf>
    <xf numFmtId="41" fontId="9" fillId="4" borderId="6" xfId="1" applyFont="1" applyFill="1" applyBorder="1" applyAlignment="1">
      <alignment horizontal="center" vertical="center"/>
    </xf>
    <xf numFmtId="41" fontId="9" fillId="4" borderId="7" xfId="1" applyFont="1" applyFill="1" applyBorder="1" applyAlignment="1">
      <alignment horizontal="center" vertical="center"/>
    </xf>
    <xf numFmtId="41" fontId="12" fillId="4" borderId="9" xfId="1" applyFont="1" applyFill="1" applyBorder="1" applyAlignment="1">
      <alignment horizontal="center" vertical="center" wrapText="1"/>
    </xf>
    <xf numFmtId="41" fontId="10" fillId="4" borderId="9" xfId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 textRotation="90" wrapText="1"/>
    </xf>
    <xf numFmtId="0" fontId="2" fillId="2" borderId="19" xfId="0" applyFont="1" applyFill="1" applyBorder="1" applyAlignment="1">
      <alignment horizontal="center" vertical="center"/>
    </xf>
    <xf numFmtId="41" fontId="11" fillId="4" borderId="22" xfId="1" applyFont="1" applyFill="1" applyBorder="1" applyAlignment="1">
      <alignment horizontal="center" vertical="center"/>
    </xf>
    <xf numFmtId="41" fontId="11" fillId="4" borderId="20" xfId="1" applyFont="1" applyFill="1" applyBorder="1" applyAlignment="1">
      <alignment horizontal="center" vertical="center" wrapText="1"/>
    </xf>
    <xf numFmtId="3" fontId="5" fillId="3" borderId="24" xfId="0" applyNumberFormat="1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41" fontId="9" fillId="4" borderId="26" xfId="1" applyFont="1" applyFill="1" applyBorder="1" applyAlignment="1">
      <alignment horizontal="center" vertical="center"/>
    </xf>
    <xf numFmtId="41" fontId="9" fillId="4" borderId="27" xfId="1" applyFont="1" applyFill="1" applyBorder="1" applyAlignment="1">
      <alignment horizontal="center" vertical="center"/>
    </xf>
    <xf numFmtId="41" fontId="9" fillId="4" borderId="28" xfId="1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 textRotation="90" wrapText="1"/>
    </xf>
    <xf numFmtId="0" fontId="2" fillId="6" borderId="32" xfId="0" applyFont="1" applyFill="1" applyBorder="1" applyAlignment="1">
      <alignment horizontal="center" vertical="center" textRotation="90" wrapText="1"/>
    </xf>
    <xf numFmtId="0" fontId="2" fillId="7" borderId="31" xfId="0" applyFont="1" applyFill="1" applyBorder="1" applyAlignment="1">
      <alignment horizontal="center" vertical="center" textRotation="90" wrapText="1"/>
    </xf>
    <xf numFmtId="0" fontId="2" fillId="7" borderId="32" xfId="0" applyFont="1" applyFill="1" applyBorder="1" applyAlignment="1">
      <alignment horizontal="center" vertical="center" textRotation="90" wrapText="1"/>
    </xf>
    <xf numFmtId="0" fontId="13" fillId="0" borderId="0" xfId="0" applyFont="1" applyAlignment="1">
      <alignment horizontal="center" wrapText="1"/>
    </xf>
    <xf numFmtId="3" fontId="9" fillId="3" borderId="13" xfId="0" applyNumberFormat="1" applyFont="1" applyFill="1" applyBorder="1" applyAlignment="1">
      <alignment horizontal="center" vertical="center"/>
    </xf>
    <xf numFmtId="3" fontId="9" fillId="3" borderId="14" xfId="0" applyNumberFormat="1" applyFont="1" applyFill="1" applyBorder="1" applyAlignment="1">
      <alignment horizontal="center" vertical="center"/>
    </xf>
    <xf numFmtId="3" fontId="9" fillId="3" borderId="15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center" wrapText="1"/>
    </xf>
    <xf numFmtId="165" fontId="9" fillId="4" borderId="10" xfId="1" applyNumberFormat="1" applyFont="1" applyFill="1" applyBorder="1" applyAlignment="1">
      <alignment horizontal="center" vertical="center"/>
    </xf>
    <xf numFmtId="165" fontId="9" fillId="4" borderId="11" xfId="1" applyNumberFormat="1" applyFont="1" applyFill="1" applyBorder="1" applyAlignment="1">
      <alignment horizontal="center" vertical="center"/>
    </xf>
    <xf numFmtId="165" fontId="9" fillId="4" borderId="12" xfId="1" applyNumberFormat="1" applyFont="1" applyFill="1" applyBorder="1" applyAlignment="1">
      <alignment horizontal="center" vertical="center"/>
    </xf>
    <xf numFmtId="165" fontId="9" fillId="4" borderId="5" xfId="1" applyNumberFormat="1" applyFont="1" applyFill="1" applyBorder="1" applyAlignment="1">
      <alignment horizontal="center" vertical="center"/>
    </xf>
    <xf numFmtId="165" fontId="9" fillId="4" borderId="6" xfId="1" applyNumberFormat="1" applyFont="1" applyFill="1" applyBorder="1" applyAlignment="1">
      <alignment horizontal="center" vertical="center"/>
    </xf>
    <xf numFmtId="165" fontId="9" fillId="4" borderId="7" xfId="1" applyNumberFormat="1" applyFont="1" applyFill="1" applyBorder="1" applyAlignment="1">
      <alignment horizontal="center" vertical="center"/>
    </xf>
    <xf numFmtId="9" fontId="3" fillId="0" borderId="0" xfId="2" applyFont="1" applyFill="1" applyAlignment="1">
      <alignment horizontal="center" wrapText="1"/>
    </xf>
    <xf numFmtId="0" fontId="9" fillId="4" borderId="10" xfId="1" applyNumberFormat="1" applyFont="1" applyFill="1" applyBorder="1" applyAlignment="1">
      <alignment horizontal="center" vertical="center"/>
    </xf>
    <xf numFmtId="0" fontId="9" fillId="4" borderId="11" xfId="1" applyNumberFormat="1" applyFont="1" applyFill="1" applyBorder="1" applyAlignment="1">
      <alignment horizontal="center" vertical="center"/>
    </xf>
    <xf numFmtId="0" fontId="9" fillId="4" borderId="12" xfId="1" applyNumberFormat="1" applyFont="1" applyFill="1" applyBorder="1" applyAlignment="1">
      <alignment horizontal="center" vertical="center"/>
    </xf>
    <xf numFmtId="0" fontId="9" fillId="4" borderId="5" xfId="1" applyNumberFormat="1" applyFont="1" applyFill="1" applyBorder="1" applyAlignment="1">
      <alignment horizontal="center" vertical="center"/>
    </xf>
    <xf numFmtId="0" fontId="9" fillId="4" borderId="6" xfId="1" applyNumberFormat="1" applyFont="1" applyFill="1" applyBorder="1" applyAlignment="1">
      <alignment horizontal="center" vertical="center"/>
    </xf>
    <xf numFmtId="0" fontId="9" fillId="4" borderId="7" xfId="1" applyNumberFormat="1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3" fillId="4" borderId="7" xfId="1" applyNumberFormat="1" applyFont="1" applyFill="1" applyBorder="1" applyAlignment="1">
      <alignment horizontal="center" vertical="center"/>
    </xf>
    <xf numFmtId="41" fontId="9" fillId="3" borderId="15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41" fontId="13" fillId="4" borderId="5" xfId="1" applyFont="1" applyFill="1" applyBorder="1" applyAlignment="1">
      <alignment horizontal="center" vertical="center"/>
    </xf>
    <xf numFmtId="41" fontId="13" fillId="4" borderId="6" xfId="1" applyFont="1" applyFill="1" applyBorder="1" applyAlignment="1">
      <alignment horizontal="center" vertical="center"/>
    </xf>
    <xf numFmtId="41" fontId="13" fillId="4" borderId="7" xfId="1" applyFont="1" applyFill="1" applyBorder="1" applyAlignment="1">
      <alignment horizontal="center" vertical="center"/>
    </xf>
    <xf numFmtId="165" fontId="13" fillId="4" borderId="5" xfId="1" applyNumberFormat="1" applyFont="1" applyFill="1" applyBorder="1" applyAlignment="1">
      <alignment horizontal="center" vertical="center"/>
    </xf>
    <xf numFmtId="165" fontId="13" fillId="4" borderId="6" xfId="1" applyNumberFormat="1" applyFont="1" applyFill="1" applyBorder="1" applyAlignment="1">
      <alignment horizontal="center" vertical="center"/>
    </xf>
    <xf numFmtId="165" fontId="13" fillId="4" borderId="7" xfId="1" applyNumberFormat="1" applyFont="1" applyFill="1" applyBorder="1" applyAlignment="1">
      <alignment horizontal="center" vertical="center"/>
    </xf>
    <xf numFmtId="0" fontId="13" fillId="4" borderId="5" xfId="1" applyNumberFormat="1" applyFont="1" applyFill="1" applyBorder="1" applyAlignment="1">
      <alignment horizontal="center" vertical="center"/>
    </xf>
    <xf numFmtId="0" fontId="13" fillId="4" borderId="6" xfId="1" applyNumberFormat="1" applyFont="1" applyFill="1" applyBorder="1" applyAlignment="1">
      <alignment horizontal="center" vertical="center"/>
    </xf>
    <xf numFmtId="41" fontId="4" fillId="4" borderId="20" xfId="1" applyFont="1" applyFill="1" applyBorder="1" applyAlignment="1">
      <alignment horizontal="center" vertical="center" wrapText="1"/>
    </xf>
    <xf numFmtId="41" fontId="16" fillId="4" borderId="9" xfId="1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textRotation="90" wrapText="1"/>
    </xf>
    <xf numFmtId="0" fontId="15" fillId="0" borderId="0" xfId="0" applyFont="1"/>
    <xf numFmtId="1" fontId="9" fillId="3" borderId="13" xfId="0" applyNumberFormat="1" applyFont="1" applyFill="1" applyBorder="1" applyAlignment="1">
      <alignment horizontal="center" vertical="center"/>
    </xf>
    <xf numFmtId="1" fontId="9" fillId="3" borderId="14" xfId="0" applyNumberFormat="1" applyFont="1" applyFill="1" applyBorder="1" applyAlignment="1">
      <alignment horizontal="center" vertical="center"/>
    </xf>
    <xf numFmtId="1" fontId="9" fillId="3" borderId="15" xfId="0" applyNumberFormat="1" applyFont="1" applyFill="1" applyBorder="1" applyAlignment="1">
      <alignment horizontal="center" vertical="center"/>
    </xf>
    <xf numFmtId="1" fontId="13" fillId="4" borderId="5" xfId="1" applyNumberFormat="1" applyFont="1" applyFill="1" applyBorder="1" applyAlignment="1">
      <alignment horizontal="center" vertical="center"/>
    </xf>
    <xf numFmtId="1" fontId="13" fillId="4" borderId="6" xfId="1" applyNumberFormat="1" applyFont="1" applyFill="1" applyBorder="1" applyAlignment="1">
      <alignment horizontal="center" vertical="center"/>
    </xf>
    <xf numFmtId="1" fontId="13" fillId="4" borderId="7" xfId="1" applyNumberFormat="1" applyFont="1" applyFill="1" applyBorder="1" applyAlignment="1">
      <alignment horizontal="center" vertical="center"/>
    </xf>
    <xf numFmtId="41" fontId="11" fillId="4" borderId="22" xfId="1" applyFont="1" applyFill="1" applyBorder="1" applyAlignment="1">
      <alignment horizontal="left" vertical="center" wrapText="1"/>
    </xf>
    <xf numFmtId="0" fontId="2" fillId="9" borderId="31" xfId="0" applyFont="1" applyFill="1" applyBorder="1" applyAlignment="1">
      <alignment horizontal="center" vertical="center" textRotation="90" wrapText="1"/>
    </xf>
    <xf numFmtId="0" fontId="2" fillId="9" borderId="16" xfId="0" applyFont="1" applyFill="1" applyBorder="1" applyAlignment="1">
      <alignment horizontal="center" vertical="center" textRotation="90" wrapText="1"/>
    </xf>
    <xf numFmtId="0" fontId="2" fillId="9" borderId="32" xfId="0" applyFont="1" applyFill="1" applyBorder="1" applyAlignment="1">
      <alignment horizontal="center" vertical="center" textRotation="90" wrapText="1"/>
    </xf>
    <xf numFmtId="0" fontId="2" fillId="10" borderId="31" xfId="0" applyFont="1" applyFill="1" applyBorder="1" applyAlignment="1">
      <alignment horizontal="center" vertical="center" textRotation="90" wrapText="1"/>
    </xf>
    <xf numFmtId="0" fontId="2" fillId="10" borderId="16" xfId="0" applyFont="1" applyFill="1" applyBorder="1" applyAlignment="1">
      <alignment horizontal="center" vertical="center" textRotation="90" wrapText="1"/>
    </xf>
    <xf numFmtId="0" fontId="2" fillId="10" borderId="32" xfId="0" applyFont="1" applyFill="1" applyBorder="1" applyAlignment="1">
      <alignment horizontal="center" vertical="center" textRotation="90" wrapText="1"/>
    </xf>
    <xf numFmtId="0" fontId="2" fillId="11" borderId="31" xfId="0" applyFont="1" applyFill="1" applyBorder="1" applyAlignment="1">
      <alignment horizontal="center" vertical="center" textRotation="90" wrapText="1"/>
    </xf>
    <xf numFmtId="0" fontId="2" fillId="11" borderId="16" xfId="0" applyFont="1" applyFill="1" applyBorder="1" applyAlignment="1">
      <alignment horizontal="center" vertical="center" textRotation="90" wrapText="1"/>
    </xf>
    <xf numFmtId="0" fontId="2" fillId="11" borderId="32" xfId="0" applyFont="1" applyFill="1" applyBorder="1" applyAlignment="1">
      <alignment horizontal="center" vertical="center" textRotation="90" wrapText="1"/>
    </xf>
    <xf numFmtId="0" fontId="2" fillId="12" borderId="31" xfId="0" applyFont="1" applyFill="1" applyBorder="1" applyAlignment="1">
      <alignment horizontal="center" vertical="center" textRotation="90" wrapText="1"/>
    </xf>
    <xf numFmtId="0" fontId="2" fillId="12" borderId="16" xfId="0" applyFont="1" applyFill="1" applyBorder="1" applyAlignment="1">
      <alignment horizontal="center" vertical="center" textRotation="90" wrapText="1"/>
    </xf>
    <xf numFmtId="0" fontId="2" fillId="12" borderId="32" xfId="0" applyFont="1" applyFill="1" applyBorder="1" applyAlignment="1">
      <alignment horizontal="center" vertical="center" textRotation="90" wrapText="1"/>
    </xf>
    <xf numFmtId="0" fontId="2" fillId="13" borderId="31" xfId="0" applyFont="1" applyFill="1" applyBorder="1" applyAlignment="1">
      <alignment horizontal="center" vertical="center" textRotation="90" wrapText="1"/>
    </xf>
    <xf numFmtId="0" fontId="2" fillId="13" borderId="16" xfId="0" applyFont="1" applyFill="1" applyBorder="1" applyAlignment="1">
      <alignment horizontal="center" vertical="center" textRotation="90" wrapText="1"/>
    </xf>
    <xf numFmtId="0" fontId="2" fillId="13" borderId="32" xfId="0" applyFont="1" applyFill="1" applyBorder="1" applyAlignment="1">
      <alignment horizontal="center" vertical="center" textRotation="90" wrapText="1"/>
    </xf>
    <xf numFmtId="0" fontId="2" fillId="14" borderId="31" xfId="0" applyFont="1" applyFill="1" applyBorder="1" applyAlignment="1">
      <alignment horizontal="center" vertical="center" textRotation="90" wrapText="1"/>
    </xf>
    <xf numFmtId="0" fontId="2" fillId="14" borderId="16" xfId="0" applyFont="1" applyFill="1" applyBorder="1" applyAlignment="1">
      <alignment horizontal="center" vertical="center" textRotation="90" wrapText="1"/>
    </xf>
    <xf numFmtId="0" fontId="2" fillId="14" borderId="32" xfId="0" applyFont="1" applyFill="1" applyBorder="1" applyAlignment="1">
      <alignment horizontal="center" vertical="center" textRotation="90" wrapText="1"/>
    </xf>
    <xf numFmtId="0" fontId="2" fillId="13" borderId="34" xfId="0" applyFont="1" applyFill="1" applyBorder="1" applyAlignment="1">
      <alignment horizontal="center" vertical="center" textRotation="90" wrapText="1"/>
    </xf>
    <xf numFmtId="41" fontId="9" fillId="4" borderId="23" xfId="1" applyFont="1" applyFill="1" applyBorder="1" applyAlignment="1">
      <alignment horizontal="center" vertical="center"/>
    </xf>
    <xf numFmtId="41" fontId="9" fillId="4" borderId="35" xfId="1" applyFont="1" applyFill="1" applyBorder="1" applyAlignment="1">
      <alignment horizontal="center" vertical="center"/>
    </xf>
    <xf numFmtId="41" fontId="9" fillId="4" borderId="36" xfId="1" applyFont="1" applyFill="1" applyBorder="1" applyAlignment="1">
      <alignment horizontal="center" vertical="center"/>
    </xf>
    <xf numFmtId="41" fontId="9" fillId="4" borderId="33" xfId="1" applyFont="1" applyFill="1" applyBorder="1" applyAlignment="1">
      <alignment horizontal="center" vertical="center"/>
    </xf>
    <xf numFmtId="41" fontId="9" fillId="4" borderId="29" xfId="1" applyFont="1" applyFill="1" applyBorder="1" applyAlignment="1">
      <alignment horizontal="center" vertical="center"/>
    </xf>
    <xf numFmtId="41" fontId="9" fillId="3" borderId="13" xfId="1" applyFont="1" applyFill="1" applyBorder="1" applyAlignment="1">
      <alignment horizontal="center" vertical="center"/>
    </xf>
    <xf numFmtId="41" fontId="9" fillId="3" borderId="14" xfId="1" applyFont="1" applyFill="1" applyBorder="1" applyAlignment="1">
      <alignment horizontal="center" vertical="center"/>
    </xf>
    <xf numFmtId="41" fontId="9" fillId="3" borderId="15" xfId="1" applyFont="1" applyFill="1" applyBorder="1" applyAlignment="1">
      <alignment horizontal="center" vertical="center"/>
    </xf>
    <xf numFmtId="41" fontId="9" fillId="3" borderId="24" xfId="1" applyFont="1" applyFill="1" applyBorder="1" applyAlignment="1">
      <alignment horizontal="center" vertical="center"/>
    </xf>
    <xf numFmtId="0" fontId="1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2" borderId="19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2" fontId="9" fillId="4" borderId="5" xfId="1" applyNumberFormat="1" applyFont="1" applyFill="1" applyBorder="1" applyAlignment="1">
      <alignment horizontal="center" vertical="center"/>
    </xf>
    <xf numFmtId="2" fontId="9" fillId="4" borderId="10" xfId="1" applyNumberFormat="1" applyFont="1" applyFill="1" applyBorder="1" applyAlignment="1">
      <alignment horizontal="center" vertical="center"/>
    </xf>
    <xf numFmtId="2" fontId="9" fillId="4" borderId="11" xfId="1" applyNumberFormat="1" applyFont="1" applyFill="1" applyBorder="1" applyAlignment="1">
      <alignment horizontal="center" vertical="center"/>
    </xf>
    <xf numFmtId="2" fontId="9" fillId="4" borderId="12" xfId="1" applyNumberFormat="1" applyFont="1" applyFill="1" applyBorder="1" applyAlignment="1">
      <alignment horizontal="center" vertical="center"/>
    </xf>
    <xf numFmtId="2" fontId="9" fillId="4" borderId="6" xfId="1" applyNumberFormat="1" applyFont="1" applyFill="1" applyBorder="1" applyAlignment="1">
      <alignment horizontal="center" vertical="center"/>
    </xf>
    <xf numFmtId="2" fontId="9" fillId="4" borderId="7" xfId="1" applyNumberFormat="1" applyFont="1" applyFill="1" applyBorder="1" applyAlignment="1">
      <alignment horizontal="center" vertical="center"/>
    </xf>
    <xf numFmtId="2" fontId="13" fillId="4" borderId="5" xfId="1" applyNumberFormat="1" applyFont="1" applyFill="1" applyBorder="1" applyAlignment="1">
      <alignment horizontal="center" vertical="center"/>
    </xf>
    <xf numFmtId="2" fontId="13" fillId="4" borderId="6" xfId="1" applyNumberFormat="1" applyFont="1" applyFill="1" applyBorder="1" applyAlignment="1">
      <alignment horizontal="center" vertical="center"/>
    </xf>
    <xf numFmtId="2" fontId="13" fillId="4" borderId="7" xfId="1" applyNumberFormat="1" applyFont="1" applyFill="1" applyBorder="1" applyAlignment="1">
      <alignment horizontal="center" vertical="center"/>
    </xf>
    <xf numFmtId="2" fontId="9" fillId="3" borderId="14" xfId="0" applyNumberFormat="1" applyFont="1" applyFill="1" applyBorder="1" applyAlignment="1">
      <alignment horizontal="center" vertical="center"/>
    </xf>
    <xf numFmtId="0" fontId="18" fillId="4" borderId="11" xfId="1" applyNumberFormat="1" applyFont="1" applyFill="1" applyBorder="1" applyAlignment="1">
      <alignment horizontal="center" vertical="center"/>
    </xf>
    <xf numFmtId="0" fontId="18" fillId="4" borderId="6" xfId="1" applyNumberFormat="1" applyFont="1" applyFill="1" applyBorder="1" applyAlignment="1">
      <alignment horizontal="center" vertical="center"/>
    </xf>
    <xf numFmtId="2" fontId="9" fillId="3" borderId="13" xfId="0" applyNumberFormat="1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 wrapText="1"/>
    </xf>
    <xf numFmtId="0" fontId="13" fillId="4" borderId="10" xfId="1" applyNumberFormat="1" applyFont="1" applyFill="1" applyBorder="1" applyAlignment="1">
      <alignment horizontal="center" vertical="center"/>
    </xf>
    <xf numFmtId="0" fontId="5" fillId="0" borderId="0" xfId="0" applyFont="1"/>
    <xf numFmtId="0" fontId="20" fillId="0" borderId="0" xfId="0" applyFont="1"/>
    <xf numFmtId="2" fontId="3" fillId="0" borderId="0" xfId="0" applyNumberFormat="1" applyFont="1" applyAlignment="1">
      <alignment horizontal="center" wrapText="1"/>
    </xf>
    <xf numFmtId="0" fontId="21" fillId="0" borderId="0" xfId="0" applyFont="1" applyFill="1" applyAlignment="1">
      <alignment horizontal="center" vertical="center" wrapText="1"/>
    </xf>
    <xf numFmtId="0" fontId="11" fillId="0" borderId="0" xfId="0" applyFont="1"/>
    <xf numFmtId="3" fontId="13" fillId="0" borderId="0" xfId="0" applyNumberFormat="1" applyFont="1" applyAlignment="1">
      <alignment horizont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41" fontId="11" fillId="4" borderId="30" xfId="1" applyFont="1" applyFill="1" applyBorder="1" applyAlignment="1">
      <alignment horizontal="left" vertical="center" wrapText="1"/>
    </xf>
    <xf numFmtId="41" fontId="11" fillId="4" borderId="25" xfId="1" applyFont="1" applyFill="1" applyBorder="1" applyAlignment="1">
      <alignment horizontal="left" vertical="center" wrapText="1"/>
    </xf>
    <xf numFmtId="41" fontId="11" fillId="4" borderId="9" xfId="1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14" fillId="8" borderId="0" xfId="0" applyFont="1" applyFill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9BAB1"/>
      <color rgb="FFFFCCCC"/>
      <color rgb="FFEFECDB"/>
      <color rgb="FFFFFFCC"/>
      <color rgb="FFEEE0DC"/>
      <color rgb="FFDBEDEF"/>
      <color rgb="FFCCFFFF"/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40"/>
  <sheetViews>
    <sheetView zoomScale="90" zoomScaleNormal="90" workbookViewId="0">
      <pane xSplit="2" ySplit="7" topLeftCell="M23" activePane="bottomRight" state="frozen"/>
      <selection activeCell="C3" sqref="C3"/>
      <selection pane="topRight" activeCell="C3" sqref="C3"/>
      <selection pane="bottomLeft" activeCell="C3" sqref="C3"/>
      <selection pane="bottomRight" activeCell="U26" sqref="U26"/>
    </sheetView>
  </sheetViews>
  <sheetFormatPr defaultColWidth="9.28515625" defaultRowHeight="18" x14ac:dyDescent="0.25"/>
  <cols>
    <col min="1" max="1" width="10.28515625" style="4" customWidth="1"/>
    <col min="2" max="2" width="47.28515625" style="100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12.28515625" style="28" customWidth="1"/>
    <col min="44" max="44" width="8.85546875" style="28" customWidth="1"/>
    <col min="45" max="45" width="10" style="28" customWidth="1"/>
    <col min="46" max="46" width="10.85546875" style="28" customWidth="1"/>
    <col min="47" max="47" width="10.42578125" style="28" customWidth="1"/>
    <col min="48" max="54" width="8.85546875" style="28" customWidth="1"/>
    <col min="55" max="55" width="14.71093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99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22.5" x14ac:dyDescent="0.3">
      <c r="A2" s="137" t="s">
        <v>43</v>
      </c>
      <c r="B2" s="137"/>
      <c r="AP2" s="123"/>
      <c r="AQ2" s="123"/>
      <c r="AR2" s="123"/>
      <c r="AS2" s="123"/>
      <c r="AT2" s="123"/>
      <c r="AU2" s="123"/>
      <c r="AV2" s="123"/>
      <c r="AW2" s="123"/>
      <c r="AX2" s="123"/>
      <c r="AY2" s="123"/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P3" s="124"/>
      <c r="AQ3" s="124"/>
      <c r="AR3" s="124"/>
      <c r="AS3" s="124"/>
      <c r="AT3" s="124"/>
      <c r="AU3" s="124"/>
      <c r="AV3" s="124"/>
      <c r="AW3" s="124"/>
      <c r="AX3" s="124"/>
      <c r="AY3" s="124"/>
    </row>
    <row r="4" spans="1:57" ht="18.75" thickBot="1" x14ac:dyDescent="0.3">
      <c r="A4" s="147"/>
      <c r="B4" s="147"/>
    </row>
    <row r="5" spans="1:57" ht="57.75" customHeight="1" thickBot="1" x14ac:dyDescent="0.25">
      <c r="C5" s="167" t="s">
        <v>1</v>
      </c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4" t="s">
        <v>22</v>
      </c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66"/>
      <c r="BD5" s="144" t="s">
        <v>6</v>
      </c>
      <c r="BE5" s="144" t="s">
        <v>7</v>
      </c>
    </row>
    <row r="6" spans="1:57" ht="69.75" customHeight="1" thickBot="1" x14ac:dyDescent="0.25">
      <c r="A6" s="148" t="s">
        <v>24</v>
      </c>
      <c r="B6" s="150" t="s">
        <v>8</v>
      </c>
      <c r="C6" s="169" t="s">
        <v>9</v>
      </c>
      <c r="D6" s="170"/>
      <c r="E6" s="170"/>
      <c r="F6" s="170"/>
      <c r="G6" s="171"/>
      <c r="H6" s="169" t="s">
        <v>15</v>
      </c>
      <c r="I6" s="170"/>
      <c r="J6" s="170"/>
      <c r="K6" s="170"/>
      <c r="L6" s="171"/>
      <c r="M6" s="152" t="s">
        <v>16</v>
      </c>
      <c r="N6" s="153"/>
      <c r="O6" s="153"/>
      <c r="P6" s="153"/>
      <c r="Q6" s="154"/>
      <c r="R6" s="152" t="s">
        <v>25</v>
      </c>
      <c r="S6" s="153"/>
      <c r="T6" s="153"/>
      <c r="U6" s="153"/>
      <c r="V6" s="154"/>
      <c r="W6" s="155" t="s">
        <v>9</v>
      </c>
      <c r="X6" s="156"/>
      <c r="Y6" s="156"/>
      <c r="Z6" s="156"/>
      <c r="AA6" s="157"/>
      <c r="AB6" s="131" t="s">
        <v>27</v>
      </c>
      <c r="AC6" s="132"/>
      <c r="AD6" s="132"/>
      <c r="AE6" s="132"/>
      <c r="AF6" s="133"/>
      <c r="AG6" s="158" t="s">
        <v>15</v>
      </c>
      <c r="AH6" s="159"/>
      <c r="AI6" s="159"/>
      <c r="AJ6" s="159"/>
      <c r="AK6" s="160"/>
      <c r="AL6" s="128" t="s">
        <v>28</v>
      </c>
      <c r="AM6" s="129"/>
      <c r="AN6" s="129"/>
      <c r="AO6" s="129"/>
      <c r="AP6" s="130"/>
      <c r="AQ6" s="134" t="s">
        <v>25</v>
      </c>
      <c r="AR6" s="135"/>
      <c r="AS6" s="135"/>
      <c r="AT6" s="135"/>
      <c r="AU6" s="136"/>
      <c r="AV6" s="161" t="s">
        <v>16</v>
      </c>
      <c r="AW6" s="162"/>
      <c r="AX6" s="162"/>
      <c r="AY6" s="162"/>
      <c r="AZ6" s="163"/>
      <c r="BA6" s="141" t="s">
        <v>26</v>
      </c>
      <c r="BB6" s="142"/>
      <c r="BC6" s="143"/>
      <c r="BD6" s="145"/>
      <c r="BE6" s="145"/>
    </row>
    <row r="7" spans="1:57" ht="222.75" customHeight="1" thickBot="1" x14ac:dyDescent="0.25">
      <c r="A7" s="149"/>
      <c r="B7" s="151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6"/>
      <c r="BE7" s="146"/>
    </row>
    <row r="8" spans="1:57" ht="31.9" customHeight="1" x14ac:dyDescent="0.2">
      <c r="A8" s="20">
        <v>1</v>
      </c>
      <c r="B8" s="101" t="s">
        <v>29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22</v>
      </c>
      <c r="X8" s="7"/>
      <c r="Y8" s="7"/>
      <c r="Z8" s="7"/>
      <c r="AA8" s="8"/>
      <c r="AB8" s="40">
        <v>1</v>
      </c>
      <c r="AC8" s="41"/>
      <c r="AD8" s="41"/>
      <c r="AE8" s="41">
        <v>1</v>
      </c>
      <c r="AF8" s="42"/>
      <c r="AG8" s="121">
        <v>6</v>
      </c>
      <c r="AH8" s="114"/>
      <c r="AI8" s="114"/>
      <c r="AJ8" s="41"/>
      <c r="AK8" s="42"/>
      <c r="AL8" s="40">
        <v>3</v>
      </c>
      <c r="AM8" s="41"/>
      <c r="AN8" s="41">
        <v>1</v>
      </c>
      <c r="AO8" s="41">
        <v>2</v>
      </c>
      <c r="AP8" s="42">
        <v>2</v>
      </c>
      <c r="AQ8" s="105">
        <v>1</v>
      </c>
      <c r="AR8" s="106"/>
      <c r="AS8" s="106">
        <v>0.15</v>
      </c>
      <c r="AT8" s="106">
        <v>0.5</v>
      </c>
      <c r="AU8" s="107">
        <v>1</v>
      </c>
      <c r="AV8" s="6">
        <v>5</v>
      </c>
      <c r="AW8" s="7">
        <v>5</v>
      </c>
      <c r="AX8" s="7">
        <v>5</v>
      </c>
      <c r="AY8" s="7"/>
      <c r="AZ8" s="8"/>
      <c r="BA8" s="6">
        <v>18</v>
      </c>
      <c r="BB8" s="7"/>
      <c r="BC8" s="8">
        <v>15</v>
      </c>
      <c r="BD8" s="17"/>
      <c r="BE8" s="13"/>
    </row>
    <row r="9" spans="1:57" ht="31.9" customHeight="1" x14ac:dyDescent="0.2">
      <c r="A9" s="20">
        <v>2</v>
      </c>
      <c r="B9" s="101" t="s">
        <v>30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23</v>
      </c>
      <c r="X9" s="10"/>
      <c r="Y9" s="10"/>
      <c r="Z9" s="10"/>
      <c r="AA9" s="11"/>
      <c r="AB9" s="43"/>
      <c r="AC9" s="44"/>
      <c r="AD9" s="44"/>
      <c r="AE9" s="44">
        <v>1</v>
      </c>
      <c r="AF9" s="45">
        <v>2</v>
      </c>
      <c r="AG9" s="58">
        <v>5</v>
      </c>
      <c r="AH9" s="115"/>
      <c r="AI9" s="115"/>
      <c r="AJ9" s="44"/>
      <c r="AK9" s="45"/>
      <c r="AL9" s="43">
        <v>1</v>
      </c>
      <c r="AM9" s="44"/>
      <c r="AN9" s="44"/>
      <c r="AO9" s="44">
        <v>2</v>
      </c>
      <c r="AP9" s="45">
        <v>5</v>
      </c>
      <c r="AQ9" s="104">
        <v>0.5</v>
      </c>
      <c r="AR9" s="108"/>
      <c r="AS9" s="108">
        <v>0.15</v>
      </c>
      <c r="AT9" s="108"/>
      <c r="AU9" s="109">
        <v>2</v>
      </c>
      <c r="AV9" s="6">
        <v>5</v>
      </c>
      <c r="AW9" s="7">
        <v>5</v>
      </c>
      <c r="AX9" s="7">
        <v>5</v>
      </c>
      <c r="AY9" s="10"/>
      <c r="AZ9" s="11"/>
      <c r="BA9" s="9">
        <v>12</v>
      </c>
      <c r="BB9" s="10"/>
      <c r="BC9" s="11">
        <v>20</v>
      </c>
      <c r="BD9" s="70"/>
      <c r="BE9" s="12"/>
    </row>
    <row r="10" spans="1:57" ht="31.9" customHeight="1" x14ac:dyDescent="0.2">
      <c r="A10" s="20">
        <v>3</v>
      </c>
      <c r="B10" s="101" t="s">
        <v>31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25</v>
      </c>
      <c r="X10" s="10"/>
      <c r="Y10" s="10"/>
      <c r="Z10" s="10"/>
      <c r="AA10" s="11"/>
      <c r="AB10" s="43">
        <v>1</v>
      </c>
      <c r="AC10" s="44"/>
      <c r="AD10" s="44">
        <v>1</v>
      </c>
      <c r="AE10" s="44">
        <v>2</v>
      </c>
      <c r="AF10" s="45"/>
      <c r="AG10" s="58">
        <v>5</v>
      </c>
      <c r="AH10" s="115"/>
      <c r="AI10" s="115"/>
      <c r="AJ10" s="44"/>
      <c r="AK10" s="45"/>
      <c r="AL10" s="43">
        <v>2</v>
      </c>
      <c r="AM10" s="44"/>
      <c r="AN10" s="44">
        <v>1</v>
      </c>
      <c r="AO10" s="44">
        <v>2</v>
      </c>
      <c r="AP10" s="45">
        <v>3</v>
      </c>
      <c r="AQ10" s="104">
        <v>0.42</v>
      </c>
      <c r="AR10" s="108"/>
      <c r="AS10" s="108"/>
      <c r="AT10" s="108">
        <v>0.5</v>
      </c>
      <c r="AU10" s="109">
        <v>2</v>
      </c>
      <c r="AV10" s="6">
        <v>5</v>
      </c>
      <c r="AW10" s="7">
        <v>5</v>
      </c>
      <c r="AX10" s="7">
        <v>5</v>
      </c>
      <c r="AY10" s="10"/>
      <c r="AZ10" s="11"/>
      <c r="BA10" s="9">
        <v>5</v>
      </c>
      <c r="BB10" s="10"/>
      <c r="BC10" s="11">
        <v>25</v>
      </c>
      <c r="BD10" s="138"/>
      <c r="BE10" s="12"/>
    </row>
    <row r="11" spans="1:57" ht="31.9" customHeight="1" x14ac:dyDescent="0.2">
      <c r="A11" s="20">
        <v>4</v>
      </c>
      <c r="B11" s="101" t="s">
        <v>32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21</v>
      </c>
      <c r="X11" s="10"/>
      <c r="Y11" s="10"/>
      <c r="Z11" s="10"/>
      <c r="AA11" s="11"/>
      <c r="AB11" s="43">
        <v>2</v>
      </c>
      <c r="AC11" s="44"/>
      <c r="AD11" s="44"/>
      <c r="AE11" s="44"/>
      <c r="AF11" s="45">
        <v>1</v>
      </c>
      <c r="AG11" s="58">
        <v>5</v>
      </c>
      <c r="AH11" s="115"/>
      <c r="AI11" s="115"/>
      <c r="AJ11" s="44"/>
      <c r="AK11" s="45"/>
      <c r="AL11" s="43">
        <v>3</v>
      </c>
      <c r="AM11" s="44"/>
      <c r="AN11" s="44">
        <v>1</v>
      </c>
      <c r="AO11" s="44">
        <v>1</v>
      </c>
      <c r="AP11" s="45">
        <v>3</v>
      </c>
      <c r="AQ11" s="104">
        <v>0.42</v>
      </c>
      <c r="AR11" s="108"/>
      <c r="AS11" s="108">
        <f>3/20</f>
        <v>0.15</v>
      </c>
      <c r="AT11" s="108">
        <v>0.5</v>
      </c>
      <c r="AU11" s="109">
        <v>1.5</v>
      </c>
      <c r="AV11" s="6">
        <v>5</v>
      </c>
      <c r="AW11" s="7">
        <v>5</v>
      </c>
      <c r="AX11" s="7">
        <v>5</v>
      </c>
      <c r="AY11" s="10"/>
      <c r="AZ11" s="11"/>
      <c r="BA11" s="9">
        <v>11</v>
      </c>
      <c r="BB11" s="10"/>
      <c r="BC11" s="11">
        <v>20</v>
      </c>
      <c r="BD11" s="139"/>
      <c r="BE11" s="12"/>
    </row>
    <row r="12" spans="1:57" ht="31.9" customHeight="1" x14ac:dyDescent="0.2">
      <c r="A12" s="20">
        <v>5</v>
      </c>
      <c r="B12" s="101" t="s">
        <v>33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18</v>
      </c>
      <c r="X12" s="10"/>
      <c r="Y12" s="10"/>
      <c r="Z12" s="10"/>
      <c r="AA12" s="11"/>
      <c r="AB12" s="43">
        <v>2</v>
      </c>
      <c r="AC12" s="44"/>
      <c r="AD12" s="44"/>
      <c r="AE12" s="44"/>
      <c r="AF12" s="45"/>
      <c r="AG12" s="58">
        <v>3</v>
      </c>
      <c r="AH12" s="115"/>
      <c r="AI12" s="115"/>
      <c r="AJ12" s="44"/>
      <c r="AK12" s="45"/>
      <c r="AL12" s="43">
        <v>2</v>
      </c>
      <c r="AM12" s="44"/>
      <c r="AN12" s="44"/>
      <c r="AO12" s="44">
        <v>1</v>
      </c>
      <c r="AP12" s="45">
        <v>2</v>
      </c>
      <c r="AQ12" s="104"/>
      <c r="AR12" s="108"/>
      <c r="AS12" s="108"/>
      <c r="AT12" s="108">
        <v>0.6</v>
      </c>
      <c r="AU12" s="109">
        <v>2</v>
      </c>
      <c r="AV12" s="6">
        <v>5</v>
      </c>
      <c r="AW12" s="7">
        <v>5</v>
      </c>
      <c r="AX12" s="7">
        <v>5</v>
      </c>
      <c r="AY12" s="10"/>
      <c r="AZ12" s="11"/>
      <c r="BA12" s="9"/>
      <c r="BB12" s="10"/>
      <c r="BC12" s="11">
        <v>26</v>
      </c>
      <c r="BD12" s="140"/>
      <c r="BE12" s="12"/>
    </row>
    <row r="13" spans="1:57" ht="31.9" customHeight="1" x14ac:dyDescent="0.2">
      <c r="A13" s="20">
        <v>6</v>
      </c>
      <c r="B13" s="101" t="s">
        <v>34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20</v>
      </c>
      <c r="X13" s="10"/>
      <c r="Y13" s="10"/>
      <c r="Z13" s="10"/>
      <c r="AA13" s="11"/>
      <c r="AB13" s="43"/>
      <c r="AC13" s="44"/>
      <c r="AD13" s="44"/>
      <c r="AE13" s="44">
        <v>2</v>
      </c>
      <c r="AF13" s="45">
        <v>1</v>
      </c>
      <c r="AG13" s="43">
        <v>3</v>
      </c>
      <c r="AH13" s="44"/>
      <c r="AI13" s="44"/>
      <c r="AJ13" s="44"/>
      <c r="AK13" s="45"/>
      <c r="AL13" s="43">
        <v>1</v>
      </c>
      <c r="AM13" s="44"/>
      <c r="AN13" s="44"/>
      <c r="AO13" s="44">
        <v>3</v>
      </c>
      <c r="AP13" s="45">
        <v>2</v>
      </c>
      <c r="AQ13" s="104">
        <v>0.5</v>
      </c>
      <c r="AR13" s="108"/>
      <c r="AS13" s="108"/>
      <c r="AT13" s="108">
        <v>0.5</v>
      </c>
      <c r="AU13" s="109">
        <v>1</v>
      </c>
      <c r="AV13" s="6">
        <v>5</v>
      </c>
      <c r="AW13" s="7">
        <v>5</v>
      </c>
      <c r="AX13" s="7">
        <v>5</v>
      </c>
      <c r="AY13" s="10"/>
      <c r="AZ13" s="11"/>
      <c r="BA13" s="9">
        <v>6</v>
      </c>
      <c r="BB13" s="10"/>
      <c r="BC13" s="11">
        <v>15</v>
      </c>
      <c r="BD13" s="18"/>
      <c r="BE13" s="12"/>
    </row>
    <row r="14" spans="1:57" ht="31.9" customHeight="1" x14ac:dyDescent="0.2">
      <c r="A14" s="20">
        <v>7</v>
      </c>
      <c r="B14" s="101" t="s">
        <v>35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19</v>
      </c>
      <c r="X14" s="10"/>
      <c r="Y14" s="10"/>
      <c r="Z14" s="10"/>
      <c r="AA14" s="11"/>
      <c r="AB14" s="43"/>
      <c r="AC14" s="44"/>
      <c r="AD14" s="44"/>
      <c r="AE14" s="44"/>
      <c r="AF14" s="45">
        <v>1</v>
      </c>
      <c r="AG14" s="43">
        <v>5</v>
      </c>
      <c r="AH14" s="44"/>
      <c r="AI14" s="44"/>
      <c r="AJ14" s="44"/>
      <c r="AK14" s="45"/>
      <c r="AL14" s="43">
        <v>1</v>
      </c>
      <c r="AM14" s="59"/>
      <c r="AN14" s="59"/>
      <c r="AO14" s="59">
        <v>1</v>
      </c>
      <c r="AP14" s="45">
        <v>4</v>
      </c>
      <c r="AQ14" s="104">
        <v>0.33</v>
      </c>
      <c r="AR14" s="108"/>
      <c r="AS14" s="108"/>
      <c r="AT14" s="108">
        <v>0.5</v>
      </c>
      <c r="AU14" s="109">
        <v>2</v>
      </c>
      <c r="AV14" s="6">
        <v>5</v>
      </c>
      <c r="AW14" s="7">
        <v>5</v>
      </c>
      <c r="AX14" s="7">
        <v>5</v>
      </c>
      <c r="AY14" s="10"/>
      <c r="AZ14" s="11"/>
      <c r="BA14" s="9">
        <v>4</v>
      </c>
      <c r="BB14" s="10"/>
      <c r="BC14" s="11">
        <v>25</v>
      </c>
      <c r="BD14" s="18"/>
      <c r="BE14" s="12"/>
    </row>
    <row r="15" spans="1:57" ht="31.9" customHeight="1" x14ac:dyDescent="0.2">
      <c r="A15" s="20">
        <v>8</v>
      </c>
      <c r="B15" s="101" t="s">
        <v>36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19</v>
      </c>
      <c r="X15" s="10"/>
      <c r="Y15" s="10"/>
      <c r="Z15" s="10"/>
      <c r="AA15" s="11"/>
      <c r="AB15" s="43">
        <v>1</v>
      </c>
      <c r="AC15" s="44"/>
      <c r="AD15" s="44"/>
      <c r="AE15" s="44">
        <v>1</v>
      </c>
      <c r="AF15" s="45">
        <v>1</v>
      </c>
      <c r="AG15" s="43">
        <v>3</v>
      </c>
      <c r="AH15" s="44"/>
      <c r="AI15" s="44"/>
      <c r="AJ15" s="44"/>
      <c r="AK15" s="45"/>
      <c r="AL15" s="43">
        <v>2</v>
      </c>
      <c r="AM15" s="59"/>
      <c r="AN15" s="59"/>
      <c r="AO15" s="59">
        <v>1</v>
      </c>
      <c r="AP15" s="45">
        <v>3</v>
      </c>
      <c r="AQ15" s="104">
        <v>0.33</v>
      </c>
      <c r="AR15" s="108"/>
      <c r="AS15" s="108"/>
      <c r="AT15" s="108"/>
      <c r="AU15" s="109">
        <v>2</v>
      </c>
      <c r="AV15" s="6">
        <v>5</v>
      </c>
      <c r="AW15" s="7">
        <v>5</v>
      </c>
      <c r="AX15" s="7">
        <v>5</v>
      </c>
      <c r="AY15" s="10"/>
      <c r="AZ15" s="11"/>
      <c r="BA15" s="9">
        <v>4</v>
      </c>
      <c r="BB15" s="10"/>
      <c r="BC15" s="11">
        <v>20</v>
      </c>
      <c r="BD15" s="18"/>
      <c r="BE15" s="12"/>
    </row>
    <row r="16" spans="1:57" ht="31.9" customHeight="1" x14ac:dyDescent="0.2">
      <c r="A16" s="20">
        <v>9</v>
      </c>
      <c r="B16" s="101" t="s">
        <v>37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17</v>
      </c>
      <c r="X16" s="10"/>
      <c r="Y16" s="10"/>
      <c r="Z16" s="10"/>
      <c r="AA16" s="11"/>
      <c r="AB16" s="43"/>
      <c r="AC16" s="44"/>
      <c r="AD16" s="44"/>
      <c r="AE16" s="44"/>
      <c r="AF16" s="45">
        <v>3</v>
      </c>
      <c r="AG16" s="43">
        <v>5</v>
      </c>
      <c r="AH16" s="44"/>
      <c r="AI16" s="44"/>
      <c r="AJ16" s="44"/>
      <c r="AK16" s="45"/>
      <c r="AL16" s="43">
        <v>1</v>
      </c>
      <c r="AM16" s="59"/>
      <c r="AN16" s="59"/>
      <c r="AO16" s="59">
        <v>1</v>
      </c>
      <c r="AP16" s="45">
        <v>6</v>
      </c>
      <c r="AQ16" s="104">
        <v>0.5</v>
      </c>
      <c r="AR16" s="108"/>
      <c r="AS16" s="108"/>
      <c r="AT16" s="108">
        <v>0.5</v>
      </c>
      <c r="AU16" s="109">
        <v>3</v>
      </c>
      <c r="AV16" s="6">
        <v>5</v>
      </c>
      <c r="AW16" s="7">
        <v>5</v>
      </c>
      <c r="AX16" s="7">
        <v>5</v>
      </c>
      <c r="AY16" s="10"/>
      <c r="AZ16" s="11"/>
      <c r="BA16" s="9">
        <v>6</v>
      </c>
      <c r="BB16" s="10"/>
      <c r="BC16" s="11">
        <v>35</v>
      </c>
      <c r="BD16" s="18"/>
      <c r="BE16" s="12"/>
    </row>
    <row r="17" spans="1:57" ht="31.9" customHeight="1" x14ac:dyDescent="0.2">
      <c r="A17" s="20">
        <v>10</v>
      </c>
      <c r="B17" s="101" t="s">
        <v>40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18</v>
      </c>
      <c r="X17" s="10"/>
      <c r="Y17" s="10"/>
      <c r="Z17" s="10"/>
      <c r="AA17" s="11"/>
      <c r="AB17" s="43">
        <v>1</v>
      </c>
      <c r="AC17" s="44"/>
      <c r="AD17" s="44"/>
      <c r="AE17" s="44">
        <v>2</v>
      </c>
      <c r="AF17" s="45">
        <v>1</v>
      </c>
      <c r="AG17" s="43">
        <v>5</v>
      </c>
      <c r="AH17" s="44"/>
      <c r="AI17" s="44"/>
      <c r="AJ17" s="44"/>
      <c r="AK17" s="45"/>
      <c r="AL17" s="43">
        <v>2</v>
      </c>
      <c r="AM17" s="44"/>
      <c r="AN17" s="44"/>
      <c r="AO17" s="44">
        <v>4</v>
      </c>
      <c r="AP17" s="45">
        <v>3</v>
      </c>
      <c r="AQ17" s="104">
        <v>0.5</v>
      </c>
      <c r="AR17" s="108"/>
      <c r="AS17" s="108"/>
      <c r="AT17" s="108">
        <v>1</v>
      </c>
      <c r="AU17" s="109">
        <v>2</v>
      </c>
      <c r="AV17" s="6">
        <v>5</v>
      </c>
      <c r="AW17" s="7">
        <v>5</v>
      </c>
      <c r="AX17" s="7">
        <v>5</v>
      </c>
      <c r="AY17" s="10"/>
      <c r="AZ17" s="11"/>
      <c r="BA17" s="9">
        <v>6</v>
      </c>
      <c r="BB17" s="10"/>
      <c r="BC17" s="11">
        <v>30</v>
      </c>
      <c r="BD17" s="18"/>
      <c r="BE17" s="12"/>
    </row>
    <row r="18" spans="1:57" ht="31.9" customHeight="1" x14ac:dyDescent="0.2">
      <c r="A18" s="20">
        <v>11</v>
      </c>
      <c r="B18" s="101" t="s">
        <v>38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20</v>
      </c>
      <c r="X18" s="10"/>
      <c r="Y18" s="10"/>
      <c r="Z18" s="10"/>
      <c r="AA18" s="11"/>
      <c r="AB18" s="43"/>
      <c r="AC18" s="44"/>
      <c r="AD18" s="44"/>
      <c r="AE18" s="44"/>
      <c r="AF18" s="45"/>
      <c r="AG18" s="43">
        <v>6</v>
      </c>
      <c r="AH18" s="44"/>
      <c r="AI18" s="44"/>
      <c r="AJ18" s="44"/>
      <c r="AK18" s="45"/>
      <c r="AL18" s="43">
        <v>1</v>
      </c>
      <c r="AM18" s="44"/>
      <c r="AN18" s="44">
        <v>1</v>
      </c>
      <c r="AO18" s="44">
        <v>1</v>
      </c>
      <c r="AP18" s="45">
        <v>3</v>
      </c>
      <c r="AQ18" s="104">
        <v>0.83</v>
      </c>
      <c r="AR18" s="108"/>
      <c r="AS18" s="108">
        <f>2/20</f>
        <v>0.1</v>
      </c>
      <c r="AT18" s="108">
        <v>0.5</v>
      </c>
      <c r="AU18" s="109">
        <v>2</v>
      </c>
      <c r="AV18" s="6">
        <v>5</v>
      </c>
      <c r="AW18" s="7">
        <v>5</v>
      </c>
      <c r="AX18" s="7">
        <v>5</v>
      </c>
      <c r="AY18" s="10"/>
      <c r="AZ18" s="11"/>
      <c r="BA18" s="9">
        <v>10</v>
      </c>
      <c r="BB18" s="10"/>
      <c r="BC18" s="11">
        <v>25</v>
      </c>
      <c r="BD18" s="18"/>
      <c r="BE18" s="12"/>
    </row>
    <row r="19" spans="1:57" ht="31.9" customHeight="1" x14ac:dyDescent="0.2">
      <c r="A19" s="20">
        <v>12</v>
      </c>
      <c r="B19" s="101" t="s">
        <v>39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21</v>
      </c>
      <c r="X19" s="10"/>
      <c r="Y19" s="10"/>
      <c r="Z19" s="10"/>
      <c r="AA19" s="11"/>
      <c r="AB19" s="43">
        <v>1</v>
      </c>
      <c r="AC19" s="44"/>
      <c r="AD19" s="44">
        <v>1</v>
      </c>
      <c r="AE19" s="44">
        <v>1</v>
      </c>
      <c r="AF19" s="45">
        <v>1</v>
      </c>
      <c r="AG19" s="43">
        <v>4</v>
      </c>
      <c r="AH19" s="44"/>
      <c r="AI19" s="44"/>
      <c r="AJ19" s="44"/>
      <c r="AK19" s="45"/>
      <c r="AL19" s="43">
        <v>2</v>
      </c>
      <c r="AM19" s="44"/>
      <c r="AN19" s="44">
        <v>1</v>
      </c>
      <c r="AO19" s="44">
        <v>2</v>
      </c>
      <c r="AP19" s="45">
        <v>3</v>
      </c>
      <c r="AQ19" s="104">
        <v>0.5</v>
      </c>
      <c r="AR19" s="108"/>
      <c r="AS19" s="108"/>
      <c r="AT19" s="108">
        <v>1</v>
      </c>
      <c r="AU19" s="109">
        <v>2</v>
      </c>
      <c r="AV19" s="6">
        <v>5</v>
      </c>
      <c r="AW19" s="7">
        <v>5</v>
      </c>
      <c r="AX19" s="7">
        <v>5</v>
      </c>
      <c r="AY19" s="10"/>
      <c r="AZ19" s="11"/>
      <c r="BA19" s="9">
        <v>6</v>
      </c>
      <c r="BB19" s="10"/>
      <c r="BC19" s="11">
        <v>30</v>
      </c>
      <c r="BD19" s="18"/>
      <c r="BE19" s="12"/>
    </row>
    <row r="20" spans="1:57" ht="31.9" customHeight="1" x14ac:dyDescent="0.2">
      <c r="A20" s="20">
        <v>13</v>
      </c>
      <c r="B20" s="101" t="s">
        <v>41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22</v>
      </c>
      <c r="X20" s="10"/>
      <c r="Y20" s="10"/>
      <c r="Z20" s="10"/>
      <c r="AA20" s="11"/>
      <c r="AB20" s="43">
        <v>2</v>
      </c>
      <c r="AC20" s="44"/>
      <c r="AD20" s="44"/>
      <c r="AE20" s="44"/>
      <c r="AF20" s="45"/>
      <c r="AG20" s="118">
        <v>5</v>
      </c>
      <c r="AH20" s="44"/>
      <c r="AI20" s="44"/>
      <c r="AJ20" s="44"/>
      <c r="AK20" s="45"/>
      <c r="AL20" s="43">
        <v>3</v>
      </c>
      <c r="AM20" s="44"/>
      <c r="AN20" s="44">
        <v>1</v>
      </c>
      <c r="AO20" s="44">
        <v>1</v>
      </c>
      <c r="AP20" s="45">
        <v>2</v>
      </c>
      <c r="AQ20" s="104">
        <v>0.42</v>
      </c>
      <c r="AR20" s="108"/>
      <c r="AS20" s="108">
        <v>0.15</v>
      </c>
      <c r="AT20" s="108">
        <v>0.5</v>
      </c>
      <c r="AU20" s="109">
        <v>2</v>
      </c>
      <c r="AV20" s="6">
        <v>5</v>
      </c>
      <c r="AW20" s="7">
        <v>5</v>
      </c>
      <c r="AX20" s="7">
        <v>5</v>
      </c>
      <c r="AY20" s="10"/>
      <c r="AZ20" s="11"/>
      <c r="BA20" s="9">
        <v>11</v>
      </c>
      <c r="BB20" s="10"/>
      <c r="BC20" s="11">
        <v>25</v>
      </c>
      <c r="BD20" s="18"/>
      <c r="BE20" s="12"/>
    </row>
    <row r="21" spans="1:57" s="126" customFormat="1" ht="31.9" customHeight="1" x14ac:dyDescent="0.2">
      <c r="A21" s="20">
        <v>14</v>
      </c>
      <c r="B21" s="101" t="s">
        <v>42</v>
      </c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9">
        <v>18</v>
      </c>
      <c r="X21" s="10"/>
      <c r="Y21" s="10"/>
      <c r="Z21" s="10"/>
      <c r="AA21" s="11"/>
      <c r="AB21" s="43"/>
      <c r="AC21" s="44"/>
      <c r="AD21" s="44"/>
      <c r="AE21" s="44">
        <v>2</v>
      </c>
      <c r="AF21" s="45">
        <v>1</v>
      </c>
      <c r="AG21" s="43">
        <v>4</v>
      </c>
      <c r="AH21" s="44"/>
      <c r="AI21" s="44"/>
      <c r="AJ21" s="44"/>
      <c r="AK21" s="45"/>
      <c r="AL21" s="43">
        <v>1</v>
      </c>
      <c r="AM21" s="44"/>
      <c r="AN21" s="44"/>
      <c r="AO21" s="44">
        <v>3</v>
      </c>
      <c r="AP21" s="45">
        <v>3</v>
      </c>
      <c r="AQ21" s="104">
        <v>0.5</v>
      </c>
      <c r="AR21" s="108"/>
      <c r="AS21" s="108"/>
      <c r="AT21" s="108">
        <v>1</v>
      </c>
      <c r="AU21" s="109">
        <v>2</v>
      </c>
      <c r="AV21" s="6">
        <v>5</v>
      </c>
      <c r="AW21" s="7">
        <v>5</v>
      </c>
      <c r="AX21" s="7">
        <v>5</v>
      </c>
      <c r="AY21" s="10"/>
      <c r="AZ21" s="11"/>
      <c r="BA21" s="9">
        <v>6</v>
      </c>
      <c r="BB21" s="10"/>
      <c r="BC21" s="11">
        <v>30</v>
      </c>
      <c r="BD21" s="18"/>
      <c r="BE21" s="12"/>
    </row>
    <row r="22" spans="1:57" ht="31.9" customHeight="1" x14ac:dyDescent="0.2">
      <c r="A22" s="20">
        <v>15</v>
      </c>
      <c r="B22" s="101" t="s">
        <v>46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17</v>
      </c>
      <c r="X22" s="10"/>
      <c r="Y22" s="10"/>
      <c r="Z22" s="10"/>
      <c r="AA22" s="11"/>
      <c r="AB22" s="43">
        <v>1</v>
      </c>
      <c r="AC22" s="44"/>
      <c r="AD22" s="44"/>
      <c r="AE22" s="44"/>
      <c r="AF22" s="45">
        <v>1</v>
      </c>
      <c r="AG22" s="43">
        <v>4</v>
      </c>
      <c r="AH22" s="44"/>
      <c r="AI22" s="44"/>
      <c r="AJ22" s="44"/>
      <c r="AK22" s="45"/>
      <c r="AL22" s="43">
        <v>2</v>
      </c>
      <c r="AM22" s="44"/>
      <c r="AN22" s="44"/>
      <c r="AO22" s="44">
        <v>1</v>
      </c>
      <c r="AP22" s="45">
        <v>3</v>
      </c>
      <c r="AQ22" s="104">
        <v>0.33</v>
      </c>
      <c r="AR22" s="108"/>
      <c r="AS22" s="108"/>
      <c r="AT22" s="108">
        <v>1</v>
      </c>
      <c r="AU22" s="109">
        <v>1.5</v>
      </c>
      <c r="AV22" s="6">
        <v>5</v>
      </c>
      <c r="AW22" s="7">
        <v>5</v>
      </c>
      <c r="AX22" s="7">
        <v>5</v>
      </c>
      <c r="AY22" s="10"/>
      <c r="AZ22" s="11"/>
      <c r="BA22" s="9">
        <v>3</v>
      </c>
      <c r="BB22" s="10"/>
      <c r="BC22" s="11">
        <v>25</v>
      </c>
      <c r="BD22" s="18"/>
      <c r="BE22" s="12"/>
    </row>
    <row r="23" spans="1:57" ht="31.9" customHeight="1" x14ac:dyDescent="0.2">
      <c r="A23" s="20">
        <v>16</v>
      </c>
      <c r="B23" s="101" t="s">
        <v>47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20</v>
      </c>
      <c r="X23" s="10"/>
      <c r="Y23" s="10"/>
      <c r="Z23" s="10"/>
      <c r="AA23" s="11"/>
      <c r="AB23" s="43"/>
      <c r="AC23" s="44"/>
      <c r="AD23" s="44">
        <v>1</v>
      </c>
      <c r="AE23" s="44">
        <v>1</v>
      </c>
      <c r="AF23" s="45"/>
      <c r="AG23" s="43">
        <v>6</v>
      </c>
      <c r="AH23" s="44"/>
      <c r="AI23" s="44"/>
      <c r="AJ23" s="44"/>
      <c r="AK23" s="45"/>
      <c r="AL23" s="43">
        <v>1</v>
      </c>
      <c r="AM23" s="44"/>
      <c r="AN23" s="44">
        <v>2</v>
      </c>
      <c r="AO23" s="44">
        <v>2</v>
      </c>
      <c r="AP23" s="45">
        <v>3</v>
      </c>
      <c r="AQ23" s="104">
        <v>0.5</v>
      </c>
      <c r="AR23" s="108"/>
      <c r="AS23" s="108">
        <v>0.15</v>
      </c>
      <c r="AT23" s="108">
        <v>1</v>
      </c>
      <c r="AU23" s="109">
        <v>3</v>
      </c>
      <c r="AV23" s="6">
        <v>5</v>
      </c>
      <c r="AW23" s="7">
        <v>5</v>
      </c>
      <c r="AX23" s="7">
        <v>5</v>
      </c>
      <c r="AY23" s="10"/>
      <c r="AZ23" s="11"/>
      <c r="BA23" s="9">
        <v>12</v>
      </c>
      <c r="BB23" s="10"/>
      <c r="BC23" s="11">
        <v>40</v>
      </c>
      <c r="BD23" s="18"/>
      <c r="BE23" s="12"/>
    </row>
    <row r="24" spans="1:57" ht="31.9" customHeight="1" x14ac:dyDescent="0.2">
      <c r="A24" s="20">
        <v>17</v>
      </c>
      <c r="B24" s="101" t="s">
        <v>48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22</v>
      </c>
      <c r="X24" s="10"/>
      <c r="Y24" s="10"/>
      <c r="Z24" s="10"/>
      <c r="AA24" s="11"/>
      <c r="AB24" s="43"/>
      <c r="AC24" s="44"/>
      <c r="AD24" s="44"/>
      <c r="AE24" s="44">
        <v>1</v>
      </c>
      <c r="AF24" s="45"/>
      <c r="AG24" s="43">
        <v>6</v>
      </c>
      <c r="AH24" s="44"/>
      <c r="AI24" s="44"/>
      <c r="AJ24" s="44"/>
      <c r="AK24" s="45"/>
      <c r="AL24" s="43">
        <v>1</v>
      </c>
      <c r="AM24" s="44"/>
      <c r="AN24" s="44">
        <v>1</v>
      </c>
      <c r="AO24" s="44">
        <v>1</v>
      </c>
      <c r="AP24" s="45">
        <v>2</v>
      </c>
      <c r="AQ24" s="104">
        <v>0.42</v>
      </c>
      <c r="AR24" s="108"/>
      <c r="AS24" s="108">
        <v>0.15</v>
      </c>
      <c r="AT24" s="108">
        <v>0.5</v>
      </c>
      <c r="AU24" s="109">
        <v>2</v>
      </c>
      <c r="AV24" s="6">
        <v>5</v>
      </c>
      <c r="AW24" s="7">
        <v>5</v>
      </c>
      <c r="AX24" s="7">
        <v>5</v>
      </c>
      <c r="AY24" s="10"/>
      <c r="AZ24" s="11"/>
      <c r="BA24" s="9">
        <v>11</v>
      </c>
      <c r="BB24" s="10"/>
      <c r="BC24" s="11">
        <v>25</v>
      </c>
      <c r="BD24" s="18"/>
      <c r="BE24" s="12"/>
    </row>
    <row r="25" spans="1:57" ht="31.9" customHeight="1" x14ac:dyDescent="0.2">
      <c r="A25" s="20">
        <v>18</v>
      </c>
      <c r="B25" s="101" t="s">
        <v>49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25</v>
      </c>
      <c r="X25" s="10"/>
      <c r="Y25" s="10"/>
      <c r="Z25" s="10"/>
      <c r="AA25" s="11"/>
      <c r="AB25" s="43">
        <v>1</v>
      </c>
      <c r="AC25" s="44"/>
      <c r="AD25" s="44"/>
      <c r="AE25" s="44"/>
      <c r="AF25" s="45">
        <v>1</v>
      </c>
      <c r="AG25" s="43">
        <v>4</v>
      </c>
      <c r="AH25" s="44"/>
      <c r="AI25" s="44"/>
      <c r="AJ25" s="44"/>
      <c r="AK25" s="45"/>
      <c r="AL25" s="43">
        <v>2</v>
      </c>
      <c r="AM25" s="44"/>
      <c r="AN25" s="44"/>
      <c r="AO25" s="44">
        <v>1</v>
      </c>
      <c r="AP25" s="45">
        <v>3</v>
      </c>
      <c r="AQ25" s="104">
        <v>0.5</v>
      </c>
      <c r="AR25" s="108"/>
      <c r="AS25" s="108"/>
      <c r="AT25" s="108">
        <v>1</v>
      </c>
      <c r="AU25" s="109">
        <v>2</v>
      </c>
      <c r="AV25" s="6">
        <v>5</v>
      </c>
      <c r="AW25" s="7">
        <v>5</v>
      </c>
      <c r="AX25" s="7">
        <v>5</v>
      </c>
      <c r="AY25" s="10"/>
      <c r="AZ25" s="11"/>
      <c r="BA25" s="9">
        <v>6</v>
      </c>
      <c r="BB25" s="10"/>
      <c r="BC25" s="11">
        <v>30</v>
      </c>
      <c r="BD25" s="18"/>
      <c r="BE25" s="12"/>
    </row>
    <row r="26" spans="1:57" ht="31.9" customHeight="1" x14ac:dyDescent="0.2">
      <c r="A26" s="50">
        <v>19</v>
      </c>
      <c r="B26" s="102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/>
      <c r="X26" s="53"/>
      <c r="Y26" s="53"/>
      <c r="Z26" s="53"/>
      <c r="AA26" s="54"/>
      <c r="AB26" s="58"/>
      <c r="AC26" s="59"/>
      <c r="AD26" s="59"/>
      <c r="AE26" s="59"/>
      <c r="AF26" s="48"/>
      <c r="AG26" s="58"/>
      <c r="AH26" s="59"/>
      <c r="AI26" s="59"/>
      <c r="AJ26" s="59"/>
      <c r="AK26" s="48"/>
      <c r="AL26" s="58"/>
      <c r="AM26" s="59"/>
      <c r="AN26" s="59"/>
      <c r="AO26" s="59"/>
      <c r="AP26" s="48"/>
      <c r="AQ26" s="110"/>
      <c r="AR26" s="111"/>
      <c r="AS26" s="111"/>
      <c r="AT26" s="111"/>
      <c r="AU26" s="112"/>
      <c r="AV26" s="6"/>
      <c r="AW26" s="7"/>
      <c r="AX26" s="7"/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25">
      <c r="A27" s="50">
        <v>20</v>
      </c>
      <c r="B27" s="102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8"/>
      <c r="AH27" s="59"/>
      <c r="AI27" s="59"/>
      <c r="AJ27" s="59"/>
      <c r="AK27" s="48"/>
      <c r="AL27" s="67"/>
      <c r="AM27" s="68"/>
      <c r="AN27" s="68"/>
      <c r="AO27" s="68"/>
      <c r="AP27" s="69"/>
      <c r="AQ27" s="110"/>
      <c r="AR27" s="111"/>
      <c r="AS27" s="111"/>
      <c r="AT27" s="111"/>
      <c r="AU27" s="112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122" customFormat="1" ht="34.15" customHeight="1" thickBot="1" x14ac:dyDescent="0.3">
      <c r="A28" s="14"/>
      <c r="B28" s="103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29">
        <f t="shared" si="3"/>
        <v>367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13</v>
      </c>
      <c r="AC28" s="65">
        <f t="shared" si="3"/>
        <v>0</v>
      </c>
      <c r="AD28" s="65">
        <f t="shared" si="3"/>
        <v>3</v>
      </c>
      <c r="AE28" s="65">
        <f t="shared" si="3"/>
        <v>14</v>
      </c>
      <c r="AF28" s="66">
        <f t="shared" si="3"/>
        <v>14</v>
      </c>
      <c r="AG28" s="29">
        <f t="shared" si="3"/>
        <v>84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31</v>
      </c>
      <c r="AM28" s="65">
        <f t="shared" si="4"/>
        <v>0</v>
      </c>
      <c r="AN28" s="65">
        <f t="shared" si="4"/>
        <v>9</v>
      </c>
      <c r="AO28" s="65">
        <f t="shared" si="4"/>
        <v>30</v>
      </c>
      <c r="AP28" s="66">
        <f t="shared" si="4"/>
        <v>55</v>
      </c>
      <c r="AQ28" s="116">
        <f t="shared" si="4"/>
        <v>8.5</v>
      </c>
      <c r="AR28" s="113">
        <f t="shared" si="4"/>
        <v>0</v>
      </c>
      <c r="AS28" s="113">
        <f t="shared" si="4"/>
        <v>1</v>
      </c>
      <c r="AT28" s="113">
        <f t="shared" si="4"/>
        <v>11.1</v>
      </c>
      <c r="AU28" s="117">
        <f t="shared" si="4"/>
        <v>35</v>
      </c>
      <c r="AV28" s="29">
        <f t="shared" si="4"/>
        <v>90</v>
      </c>
      <c r="AW28" s="30">
        <f t="shared" si="4"/>
        <v>90</v>
      </c>
      <c r="AX28" s="30">
        <f t="shared" si="4"/>
        <v>90</v>
      </c>
      <c r="AY28" s="30">
        <f t="shared" si="4"/>
        <v>0</v>
      </c>
      <c r="AZ28" s="31">
        <f t="shared" si="4"/>
        <v>0</v>
      </c>
      <c r="BA28" s="46">
        <f t="shared" si="4"/>
        <v>137</v>
      </c>
      <c r="BB28" s="47">
        <f t="shared" si="4"/>
        <v>0</v>
      </c>
      <c r="BC28" s="49">
        <f t="shared" si="4"/>
        <v>461</v>
      </c>
      <c r="BD28" s="19">
        <f t="shared" si="4"/>
        <v>0</v>
      </c>
      <c r="BE28" s="2">
        <f t="shared" si="4"/>
        <v>0</v>
      </c>
    </row>
    <row r="29" spans="1:57" ht="6" customHeight="1" x14ac:dyDescent="0.25">
      <c r="AP29" s="119"/>
      <c r="AQ29" s="119"/>
      <c r="AR29" s="119"/>
      <c r="AT29" s="119"/>
      <c r="AU29" s="119"/>
      <c r="AV29" s="119"/>
      <c r="AW29" s="119"/>
    </row>
    <row r="30" spans="1:57" x14ac:dyDescent="0.25">
      <c r="W30" s="127"/>
      <c r="AP30" s="119"/>
      <c r="AQ30" s="125"/>
      <c r="AR30" s="125"/>
      <c r="AS30" s="125"/>
      <c r="AT30" s="125"/>
      <c r="AU30" s="125"/>
      <c r="AV30" s="119"/>
      <c r="AW30" s="119"/>
    </row>
    <row r="31" spans="1:57" x14ac:dyDescent="0.25">
      <c r="W31" s="127"/>
      <c r="AP31" s="119"/>
      <c r="AQ31" s="120"/>
      <c r="AR31" s="120"/>
      <c r="AS31" s="120"/>
      <c r="AT31" s="120"/>
      <c r="AU31" s="120"/>
      <c r="AV31" s="119"/>
      <c r="AW31" s="119"/>
    </row>
    <row r="32" spans="1:57" x14ac:dyDescent="0.25">
      <c r="W32" s="127"/>
      <c r="AP32" s="119"/>
      <c r="AQ32" s="119"/>
      <c r="AR32" s="119"/>
      <c r="AS32" s="119"/>
      <c r="AT32" s="119"/>
      <c r="AU32" s="119"/>
      <c r="AV32" s="119"/>
      <c r="AW32" s="119"/>
    </row>
    <row r="33" spans="42:49" x14ac:dyDescent="0.25">
      <c r="AP33" s="119"/>
      <c r="AQ33" s="119"/>
      <c r="AR33" s="119"/>
      <c r="AS33" s="119"/>
      <c r="AT33" s="119"/>
      <c r="AU33" s="119"/>
      <c r="AV33" s="119"/>
      <c r="AW33" s="119"/>
    </row>
    <row r="34" spans="42:49" x14ac:dyDescent="0.25">
      <c r="AP34" s="119"/>
      <c r="AQ34" s="119"/>
      <c r="AR34" s="119"/>
      <c r="AS34" s="119"/>
      <c r="AT34" s="119"/>
      <c r="AU34" s="119"/>
      <c r="AV34" s="119"/>
      <c r="AW34" s="119"/>
    </row>
    <row r="35" spans="42:49" x14ac:dyDescent="0.25">
      <c r="AP35" s="119"/>
      <c r="AQ35" s="119"/>
      <c r="AR35" s="119"/>
      <c r="AS35" s="119"/>
      <c r="AT35" s="119"/>
      <c r="AU35" s="119"/>
      <c r="AV35" s="119"/>
      <c r="AW35" s="119"/>
    </row>
    <row r="40" spans="42:49" x14ac:dyDescent="0.25">
      <c r="AT40" s="28">
        <v>4</v>
      </c>
    </row>
  </sheetData>
  <mergeCells count="20">
    <mergeCell ref="BE5:BE7"/>
    <mergeCell ref="A6:A7"/>
    <mergeCell ref="B6:B7"/>
    <mergeCell ref="R6:V6"/>
    <mergeCell ref="W6:AA6"/>
    <mergeCell ref="AG6:AK6"/>
    <mergeCell ref="AV6:AZ6"/>
    <mergeCell ref="W5:BC5"/>
    <mergeCell ref="C5:V5"/>
    <mergeCell ref="C6:G6"/>
    <mergeCell ref="H6:L6"/>
    <mergeCell ref="M6:Q6"/>
    <mergeCell ref="AL6:AP6"/>
    <mergeCell ref="AB6:AF6"/>
    <mergeCell ref="AQ6:AU6"/>
    <mergeCell ref="A2:B2"/>
    <mergeCell ref="BD10:BD12"/>
    <mergeCell ref="BA6:BC6"/>
    <mergeCell ref="BD5:BD7"/>
    <mergeCell ref="A4:B4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36"/>
  <sheetViews>
    <sheetView tabSelected="1" zoomScale="80" zoomScaleNormal="80" workbookViewId="0">
      <pane xSplit="2" ySplit="7" topLeftCell="T8" activePane="bottomRight" state="frozen"/>
      <selection activeCell="C3" sqref="C3"/>
      <selection pane="topRight" activeCell="C3" sqref="C3"/>
      <selection pane="bottomLeft" activeCell="C3" sqref="C3"/>
      <selection pane="bottomRight" activeCell="Y11" sqref="Y11"/>
    </sheetView>
  </sheetViews>
  <sheetFormatPr defaultColWidth="9.28515625" defaultRowHeight="18" x14ac:dyDescent="0.25"/>
  <cols>
    <col min="1" max="1" width="10.28515625" style="4" customWidth="1"/>
    <col min="2" max="2" width="47.28515625" style="100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42" width="8.85546875" style="28" customWidth="1"/>
    <col min="43" max="43" width="9.5703125" style="28" bestFit="1" customWidth="1"/>
    <col min="44" max="45" width="8.85546875" style="28" customWidth="1"/>
    <col min="46" max="46" width="15.42578125" style="28" bestFit="1" customWidth="1"/>
    <col min="47" max="47" width="9.5703125" style="28" bestFit="1" customWidth="1"/>
    <col min="48" max="52" width="8.85546875" style="28" customWidth="1"/>
    <col min="53" max="53" width="10.5703125" style="28" customWidth="1"/>
    <col min="54" max="54" width="8.85546875" style="28" customWidth="1"/>
    <col min="55" max="55" width="17.28515625" style="28" bestFit="1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99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A2" s="137" t="s">
        <v>44</v>
      </c>
      <c r="B2" s="137"/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  <c r="AW3" s="28">
        <f>18/20</f>
        <v>0.9</v>
      </c>
    </row>
    <row r="4" spans="1:57" ht="18.75" thickBot="1" x14ac:dyDescent="0.3">
      <c r="A4" s="147"/>
      <c r="B4" s="147"/>
    </row>
    <row r="5" spans="1:57" ht="57.75" customHeight="1" thickBot="1" x14ac:dyDescent="0.25">
      <c r="C5" s="167" t="s">
        <v>1</v>
      </c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4" t="s">
        <v>22</v>
      </c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66"/>
      <c r="BD5" s="144" t="s">
        <v>6</v>
      </c>
      <c r="BE5" s="144" t="s">
        <v>7</v>
      </c>
    </row>
    <row r="6" spans="1:57" ht="69.75" customHeight="1" thickBot="1" x14ac:dyDescent="0.25">
      <c r="A6" s="148" t="s">
        <v>24</v>
      </c>
      <c r="B6" s="150" t="s">
        <v>8</v>
      </c>
      <c r="C6" s="169" t="s">
        <v>9</v>
      </c>
      <c r="D6" s="170"/>
      <c r="E6" s="170"/>
      <c r="F6" s="170"/>
      <c r="G6" s="171"/>
      <c r="H6" s="169" t="s">
        <v>15</v>
      </c>
      <c r="I6" s="170"/>
      <c r="J6" s="170"/>
      <c r="K6" s="170"/>
      <c r="L6" s="171"/>
      <c r="M6" s="152" t="s">
        <v>16</v>
      </c>
      <c r="N6" s="153"/>
      <c r="O6" s="153"/>
      <c r="P6" s="153"/>
      <c r="Q6" s="154"/>
      <c r="R6" s="152" t="s">
        <v>25</v>
      </c>
      <c r="S6" s="153"/>
      <c r="T6" s="153"/>
      <c r="U6" s="153"/>
      <c r="V6" s="154"/>
      <c r="W6" s="155" t="s">
        <v>9</v>
      </c>
      <c r="X6" s="156"/>
      <c r="Y6" s="156"/>
      <c r="Z6" s="156"/>
      <c r="AA6" s="157"/>
      <c r="AB6" s="131" t="s">
        <v>27</v>
      </c>
      <c r="AC6" s="132"/>
      <c r="AD6" s="132"/>
      <c r="AE6" s="132"/>
      <c r="AF6" s="133"/>
      <c r="AG6" s="158" t="s">
        <v>15</v>
      </c>
      <c r="AH6" s="159"/>
      <c r="AI6" s="159"/>
      <c r="AJ6" s="159"/>
      <c r="AK6" s="160"/>
      <c r="AL6" s="128" t="s">
        <v>28</v>
      </c>
      <c r="AM6" s="129"/>
      <c r="AN6" s="129"/>
      <c r="AO6" s="129"/>
      <c r="AP6" s="130"/>
      <c r="AQ6" s="134" t="s">
        <v>25</v>
      </c>
      <c r="AR6" s="135"/>
      <c r="AS6" s="135"/>
      <c r="AT6" s="135"/>
      <c r="AU6" s="136"/>
      <c r="AV6" s="161" t="s">
        <v>16</v>
      </c>
      <c r="AW6" s="162"/>
      <c r="AX6" s="162"/>
      <c r="AY6" s="162"/>
      <c r="AZ6" s="163"/>
      <c r="BA6" s="141" t="s">
        <v>26</v>
      </c>
      <c r="BB6" s="142"/>
      <c r="BC6" s="143"/>
      <c r="BD6" s="145"/>
      <c r="BE6" s="145"/>
    </row>
    <row r="7" spans="1:57" ht="222.75" customHeight="1" thickBot="1" x14ac:dyDescent="0.25">
      <c r="A7" s="149"/>
      <c r="B7" s="151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3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6"/>
      <c r="BE7" s="146"/>
    </row>
    <row r="8" spans="1:57" ht="31.9" customHeight="1" x14ac:dyDescent="0.2">
      <c r="A8" s="20">
        <v>1</v>
      </c>
      <c r="B8" s="101" t="s">
        <v>29</v>
      </c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>
        <v>20</v>
      </c>
      <c r="X8" s="7"/>
      <c r="Y8" s="7"/>
      <c r="Z8" s="7"/>
      <c r="AA8" s="8"/>
      <c r="AB8" s="40">
        <v>1</v>
      </c>
      <c r="AC8" s="41"/>
      <c r="AD8" s="41">
        <v>1</v>
      </c>
      <c r="AE8" s="41">
        <v>1</v>
      </c>
      <c r="AF8" s="42"/>
      <c r="AG8" s="6">
        <v>5</v>
      </c>
      <c r="AH8" s="7"/>
      <c r="AI8" s="7"/>
      <c r="AJ8" s="7"/>
      <c r="AK8" s="8"/>
      <c r="AL8" s="40">
        <v>2</v>
      </c>
      <c r="AM8" s="41"/>
      <c r="AN8" s="41">
        <v>1</v>
      </c>
      <c r="AO8" s="41">
        <v>3</v>
      </c>
      <c r="AP8" s="42">
        <v>2</v>
      </c>
      <c r="AQ8" s="105">
        <v>0.5</v>
      </c>
      <c r="AR8" s="106"/>
      <c r="AS8" s="106"/>
      <c r="AT8" s="106">
        <v>1</v>
      </c>
      <c r="AU8" s="107">
        <v>1</v>
      </c>
      <c r="AV8" s="6">
        <v>5</v>
      </c>
      <c r="AW8" s="7">
        <v>5</v>
      </c>
      <c r="AX8" s="7">
        <v>5</v>
      </c>
      <c r="AY8" s="7"/>
      <c r="AZ8" s="8"/>
      <c r="BA8" s="6">
        <v>6</v>
      </c>
      <c r="BB8" s="7"/>
      <c r="BC8" s="8">
        <v>20</v>
      </c>
      <c r="BD8" s="17"/>
      <c r="BE8" s="13"/>
    </row>
    <row r="9" spans="1:57" ht="31.9" customHeight="1" x14ac:dyDescent="0.2">
      <c r="A9" s="20">
        <v>2</v>
      </c>
      <c r="B9" s="101" t="s">
        <v>30</v>
      </c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9">
        <v>19</v>
      </c>
      <c r="X9" s="10"/>
      <c r="Y9" s="10"/>
      <c r="Z9" s="10"/>
      <c r="AA9" s="11"/>
      <c r="AB9" s="43">
        <v>1</v>
      </c>
      <c r="AC9" s="44"/>
      <c r="AD9" s="44"/>
      <c r="AE9" s="44"/>
      <c r="AF9" s="45">
        <v>1</v>
      </c>
      <c r="AG9" s="9">
        <v>4</v>
      </c>
      <c r="AH9" s="10"/>
      <c r="AI9" s="10"/>
      <c r="AJ9" s="10"/>
      <c r="AK9" s="11"/>
      <c r="AL9" s="43">
        <v>3</v>
      </c>
      <c r="AM9" s="44"/>
      <c r="AN9" s="44"/>
      <c r="AO9" s="44">
        <v>1</v>
      </c>
      <c r="AP9" s="45">
        <v>2</v>
      </c>
      <c r="AQ9" s="104">
        <v>1</v>
      </c>
      <c r="AR9" s="108"/>
      <c r="AS9" s="108"/>
      <c r="AT9" s="108">
        <v>1</v>
      </c>
      <c r="AU9" s="109">
        <v>0.5</v>
      </c>
      <c r="AV9" s="6">
        <v>5</v>
      </c>
      <c r="AW9" s="7">
        <v>5</v>
      </c>
      <c r="AX9" s="7">
        <v>5</v>
      </c>
      <c r="AY9" s="10"/>
      <c r="AZ9" s="11"/>
      <c r="BA9" s="9">
        <v>12</v>
      </c>
      <c r="BB9" s="10"/>
      <c r="BC9" s="11">
        <v>15</v>
      </c>
      <c r="BD9" s="70"/>
      <c r="BE9" s="12"/>
    </row>
    <row r="10" spans="1:57" ht="31.9" customHeight="1" x14ac:dyDescent="0.2">
      <c r="A10" s="20">
        <v>3</v>
      </c>
      <c r="B10" s="101" t="s">
        <v>31</v>
      </c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9">
        <v>17</v>
      </c>
      <c r="X10" s="10"/>
      <c r="Y10" s="10"/>
      <c r="Z10" s="10"/>
      <c r="AA10" s="11"/>
      <c r="AB10" s="43">
        <v>1</v>
      </c>
      <c r="AC10" s="44"/>
      <c r="AD10" s="44"/>
      <c r="AE10" s="44">
        <v>1</v>
      </c>
      <c r="AF10" s="45"/>
      <c r="AG10" s="9">
        <v>3</v>
      </c>
      <c r="AH10" s="10"/>
      <c r="AI10" s="10"/>
      <c r="AJ10" s="10"/>
      <c r="AK10" s="11"/>
      <c r="AL10" s="43">
        <v>2</v>
      </c>
      <c r="AM10" s="44"/>
      <c r="AN10" s="44"/>
      <c r="AO10" s="44">
        <v>2</v>
      </c>
      <c r="AP10" s="45">
        <v>1</v>
      </c>
      <c r="AQ10" s="104">
        <v>0.5</v>
      </c>
      <c r="AR10" s="108"/>
      <c r="AS10" s="108"/>
      <c r="AT10" s="108">
        <v>1</v>
      </c>
      <c r="AU10" s="109">
        <v>1</v>
      </c>
      <c r="AV10" s="6">
        <v>5</v>
      </c>
      <c r="AW10" s="7">
        <v>5</v>
      </c>
      <c r="AX10" s="7">
        <v>5</v>
      </c>
      <c r="AY10" s="10"/>
      <c r="AZ10" s="11"/>
      <c r="BA10" s="9">
        <v>6</v>
      </c>
      <c r="BB10" s="10"/>
      <c r="BC10" s="11">
        <v>20</v>
      </c>
      <c r="BD10" s="138"/>
      <c r="BE10" s="12"/>
    </row>
    <row r="11" spans="1:57" ht="31.9" customHeight="1" x14ac:dyDescent="0.2">
      <c r="A11" s="20">
        <v>4</v>
      </c>
      <c r="B11" s="101" t="s">
        <v>32</v>
      </c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9">
        <v>23</v>
      </c>
      <c r="X11" s="10"/>
      <c r="Y11" s="10"/>
      <c r="Z11" s="10"/>
      <c r="AA11" s="11"/>
      <c r="AB11" s="43">
        <v>2</v>
      </c>
      <c r="AC11" s="44"/>
      <c r="AD11" s="44"/>
      <c r="AE11" s="44"/>
      <c r="AF11" s="45">
        <v>1</v>
      </c>
      <c r="AG11" s="9">
        <v>4</v>
      </c>
      <c r="AH11" s="10"/>
      <c r="AI11" s="10"/>
      <c r="AJ11" s="10"/>
      <c r="AK11" s="11"/>
      <c r="AL11" s="43">
        <v>4</v>
      </c>
      <c r="AM11" s="44"/>
      <c r="AN11" s="44"/>
      <c r="AO11" s="44">
        <v>1</v>
      </c>
      <c r="AP11" s="45">
        <v>2</v>
      </c>
      <c r="AQ11" s="104">
        <v>1</v>
      </c>
      <c r="AR11" s="108"/>
      <c r="AS11" s="108"/>
      <c r="AT11" s="108">
        <v>1</v>
      </c>
      <c r="AU11" s="109">
        <v>1</v>
      </c>
      <c r="AV11" s="6">
        <v>5</v>
      </c>
      <c r="AW11" s="7">
        <v>5</v>
      </c>
      <c r="AX11" s="7">
        <v>5</v>
      </c>
      <c r="AY11" s="10"/>
      <c r="AZ11" s="11"/>
      <c r="BA11" s="9">
        <v>12</v>
      </c>
      <c r="BB11" s="10"/>
      <c r="BC11" s="11">
        <v>20</v>
      </c>
      <c r="BD11" s="139"/>
      <c r="BE11" s="12"/>
    </row>
    <row r="12" spans="1:57" ht="31.9" customHeight="1" x14ac:dyDescent="0.2">
      <c r="A12" s="20">
        <v>5</v>
      </c>
      <c r="B12" s="101" t="s">
        <v>33</v>
      </c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9">
        <v>20</v>
      </c>
      <c r="X12" s="10"/>
      <c r="Y12" s="10"/>
      <c r="Z12" s="10"/>
      <c r="AA12" s="11"/>
      <c r="AB12" s="43"/>
      <c r="AC12" s="44"/>
      <c r="AD12" s="44"/>
      <c r="AE12" s="44">
        <v>1</v>
      </c>
      <c r="AF12" s="45">
        <v>1</v>
      </c>
      <c r="AG12" s="9">
        <v>5</v>
      </c>
      <c r="AH12" s="10"/>
      <c r="AI12" s="10"/>
      <c r="AJ12" s="10"/>
      <c r="AK12" s="11"/>
      <c r="AL12" s="43">
        <v>2</v>
      </c>
      <c r="AM12" s="44"/>
      <c r="AN12" s="44"/>
      <c r="AO12" s="44">
        <v>2</v>
      </c>
      <c r="AP12" s="45">
        <v>1</v>
      </c>
      <c r="AQ12" s="104">
        <v>1</v>
      </c>
      <c r="AR12" s="108"/>
      <c r="AS12" s="108"/>
      <c r="AT12" s="108">
        <v>1</v>
      </c>
      <c r="AU12" s="109">
        <v>0.5</v>
      </c>
      <c r="AV12" s="6">
        <v>5</v>
      </c>
      <c r="AW12" s="7">
        <v>5</v>
      </c>
      <c r="AX12" s="7">
        <v>5</v>
      </c>
      <c r="AY12" s="10"/>
      <c r="AZ12" s="11"/>
      <c r="BA12" s="9">
        <v>12</v>
      </c>
      <c r="BB12" s="10"/>
      <c r="BC12" s="11">
        <v>15</v>
      </c>
      <c r="BD12" s="140"/>
      <c r="BE12" s="12"/>
    </row>
    <row r="13" spans="1:57" ht="31.9" customHeight="1" x14ac:dyDescent="0.2">
      <c r="A13" s="20">
        <v>6</v>
      </c>
      <c r="B13" s="101" t="s">
        <v>34</v>
      </c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9">
        <v>18</v>
      </c>
      <c r="X13" s="10"/>
      <c r="Y13" s="10"/>
      <c r="Z13" s="10"/>
      <c r="AA13" s="11"/>
      <c r="AB13" s="43"/>
      <c r="AC13" s="44"/>
      <c r="AD13" s="44">
        <v>1</v>
      </c>
      <c r="AE13" s="44"/>
      <c r="AF13" s="45">
        <v>1</v>
      </c>
      <c r="AG13" s="9">
        <v>4</v>
      </c>
      <c r="AH13" s="10"/>
      <c r="AI13" s="10"/>
      <c r="AJ13" s="10"/>
      <c r="AK13" s="11"/>
      <c r="AL13" s="43">
        <v>1</v>
      </c>
      <c r="AM13" s="44"/>
      <c r="AN13" s="44">
        <v>1</v>
      </c>
      <c r="AO13" s="44">
        <v>2</v>
      </c>
      <c r="AP13" s="45">
        <v>2</v>
      </c>
      <c r="AQ13" s="104">
        <v>0.5</v>
      </c>
      <c r="AR13" s="108"/>
      <c r="AS13" s="108"/>
      <c r="AT13" s="108">
        <v>1</v>
      </c>
      <c r="AU13" s="109">
        <v>0.5</v>
      </c>
      <c r="AV13" s="6">
        <v>5</v>
      </c>
      <c r="AW13" s="7">
        <v>5</v>
      </c>
      <c r="AX13" s="7">
        <v>5</v>
      </c>
      <c r="AY13" s="10"/>
      <c r="AZ13" s="11"/>
      <c r="BA13" s="9">
        <v>6</v>
      </c>
      <c r="BB13" s="10"/>
      <c r="BC13" s="11">
        <v>15</v>
      </c>
      <c r="BD13" s="18"/>
      <c r="BE13" s="12"/>
    </row>
    <row r="14" spans="1:57" ht="31.9" customHeight="1" x14ac:dyDescent="0.2">
      <c r="A14" s="20">
        <v>7</v>
      </c>
      <c r="B14" s="101" t="s">
        <v>35</v>
      </c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9">
        <v>19</v>
      </c>
      <c r="X14" s="10"/>
      <c r="Y14" s="10"/>
      <c r="Z14" s="10"/>
      <c r="AA14" s="11"/>
      <c r="AB14" s="43">
        <v>1</v>
      </c>
      <c r="AC14" s="44"/>
      <c r="AD14" s="44"/>
      <c r="AE14" s="44">
        <v>1</v>
      </c>
      <c r="AF14" s="45">
        <v>1</v>
      </c>
      <c r="AG14" s="9">
        <v>3</v>
      </c>
      <c r="AH14" s="10"/>
      <c r="AI14" s="10"/>
      <c r="AJ14" s="10"/>
      <c r="AK14" s="11"/>
      <c r="AL14" s="43">
        <v>2</v>
      </c>
      <c r="AM14" s="44"/>
      <c r="AN14" s="44"/>
      <c r="AO14" s="44">
        <v>3</v>
      </c>
      <c r="AP14" s="45">
        <v>1</v>
      </c>
      <c r="AQ14" s="104">
        <v>0.5</v>
      </c>
      <c r="AR14" s="108"/>
      <c r="AS14" s="108"/>
      <c r="AT14" s="108">
        <v>1</v>
      </c>
      <c r="AU14" s="109"/>
      <c r="AV14" s="6">
        <v>5</v>
      </c>
      <c r="AW14" s="7">
        <v>5</v>
      </c>
      <c r="AX14" s="7">
        <v>5</v>
      </c>
      <c r="AY14" s="10"/>
      <c r="AZ14" s="11"/>
      <c r="BA14" s="9">
        <v>6</v>
      </c>
      <c r="BB14" s="10"/>
      <c r="BC14" s="11">
        <v>10</v>
      </c>
      <c r="BD14" s="18"/>
      <c r="BE14" s="12"/>
    </row>
    <row r="15" spans="1:57" ht="31.9" customHeight="1" x14ac:dyDescent="0.2">
      <c r="A15" s="20">
        <v>8</v>
      </c>
      <c r="B15" s="101" t="s">
        <v>36</v>
      </c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9">
        <v>23</v>
      </c>
      <c r="X15" s="10"/>
      <c r="Y15" s="10"/>
      <c r="Z15" s="10"/>
      <c r="AA15" s="11"/>
      <c r="AB15" s="43">
        <v>1</v>
      </c>
      <c r="AC15" s="44">
        <v>1</v>
      </c>
      <c r="AD15" s="44"/>
      <c r="AE15" s="44"/>
      <c r="AF15" s="45"/>
      <c r="AG15" s="9">
        <v>3</v>
      </c>
      <c r="AH15" s="10"/>
      <c r="AI15" s="10"/>
      <c r="AJ15" s="10"/>
      <c r="AK15" s="11"/>
      <c r="AL15" s="43">
        <v>1</v>
      </c>
      <c r="AM15" s="44"/>
      <c r="AN15" s="44"/>
      <c r="AO15" s="44">
        <v>1</v>
      </c>
      <c r="AP15" s="45">
        <v>1</v>
      </c>
      <c r="AQ15" s="104">
        <v>0.5</v>
      </c>
      <c r="AR15" s="108"/>
      <c r="AS15" s="108"/>
      <c r="AT15" s="108">
        <v>1</v>
      </c>
      <c r="AU15" s="109">
        <v>0.5</v>
      </c>
      <c r="AV15" s="6">
        <v>5</v>
      </c>
      <c r="AW15" s="7">
        <v>5</v>
      </c>
      <c r="AX15" s="7">
        <v>5</v>
      </c>
      <c r="AY15" s="10"/>
      <c r="AZ15" s="11"/>
      <c r="BA15" s="9">
        <v>6</v>
      </c>
      <c r="BB15" s="10"/>
      <c r="BC15" s="11">
        <v>15</v>
      </c>
      <c r="BD15" s="18"/>
      <c r="BE15" s="12"/>
    </row>
    <row r="16" spans="1:57" ht="31.9" customHeight="1" x14ac:dyDescent="0.2">
      <c r="A16" s="20">
        <v>9</v>
      </c>
      <c r="B16" s="101" t="s">
        <v>37</v>
      </c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9">
        <v>21</v>
      </c>
      <c r="X16" s="10"/>
      <c r="Y16" s="10"/>
      <c r="Z16" s="10"/>
      <c r="AA16" s="11"/>
      <c r="AB16" s="43"/>
      <c r="AC16" s="44"/>
      <c r="AD16" s="44"/>
      <c r="AE16" s="44"/>
      <c r="AF16" s="45">
        <v>1</v>
      </c>
      <c r="AG16" s="9">
        <v>3</v>
      </c>
      <c r="AH16" s="10"/>
      <c r="AI16" s="10"/>
      <c r="AJ16" s="10"/>
      <c r="AK16" s="11"/>
      <c r="AL16" s="43">
        <v>1</v>
      </c>
      <c r="AM16" s="44"/>
      <c r="AN16" s="44"/>
      <c r="AO16" s="44">
        <v>1</v>
      </c>
      <c r="AP16" s="45">
        <v>2</v>
      </c>
      <c r="AQ16" s="104">
        <v>0.5</v>
      </c>
      <c r="AR16" s="108"/>
      <c r="AS16" s="108"/>
      <c r="AT16" s="108">
        <v>1</v>
      </c>
      <c r="AU16" s="109">
        <v>0.5</v>
      </c>
      <c r="AV16" s="6">
        <v>5</v>
      </c>
      <c r="AW16" s="7">
        <v>5</v>
      </c>
      <c r="AX16" s="7">
        <v>5</v>
      </c>
      <c r="AY16" s="10"/>
      <c r="AZ16" s="11"/>
      <c r="BA16" s="9">
        <v>6</v>
      </c>
      <c r="BB16" s="10"/>
      <c r="BC16" s="11">
        <v>15</v>
      </c>
      <c r="BD16" s="18"/>
      <c r="BE16" s="12"/>
    </row>
    <row r="17" spans="1:57" ht="31.9" customHeight="1" x14ac:dyDescent="0.2">
      <c r="A17" s="20">
        <v>10</v>
      </c>
      <c r="B17" s="101" t="s">
        <v>40</v>
      </c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9">
        <v>16</v>
      </c>
      <c r="X17" s="10"/>
      <c r="Y17" s="10"/>
      <c r="Z17" s="10"/>
      <c r="AA17" s="11"/>
      <c r="AB17" s="43">
        <v>1</v>
      </c>
      <c r="AC17" s="44"/>
      <c r="AD17" s="44">
        <v>1</v>
      </c>
      <c r="AE17" s="44">
        <v>2</v>
      </c>
      <c r="AF17" s="45">
        <v>1</v>
      </c>
      <c r="AG17" s="9">
        <v>5</v>
      </c>
      <c r="AH17" s="10"/>
      <c r="AI17" s="10"/>
      <c r="AJ17" s="10"/>
      <c r="AK17" s="11"/>
      <c r="AL17" s="43">
        <v>1</v>
      </c>
      <c r="AM17" s="44"/>
      <c r="AN17" s="44"/>
      <c r="AO17" s="44">
        <v>2</v>
      </c>
      <c r="AP17" s="45">
        <v>2</v>
      </c>
      <c r="AQ17" s="104">
        <v>0.5</v>
      </c>
      <c r="AR17" s="108"/>
      <c r="AS17" s="108"/>
      <c r="AT17" s="108">
        <v>1</v>
      </c>
      <c r="AU17" s="109">
        <v>1</v>
      </c>
      <c r="AV17" s="6">
        <v>5</v>
      </c>
      <c r="AW17" s="7">
        <v>5</v>
      </c>
      <c r="AX17" s="7">
        <v>5</v>
      </c>
      <c r="AY17" s="10"/>
      <c r="AZ17" s="11"/>
      <c r="BA17" s="9">
        <v>6</v>
      </c>
      <c r="BB17" s="10"/>
      <c r="BC17" s="11">
        <v>20</v>
      </c>
      <c r="BD17" s="18"/>
      <c r="BE17" s="12"/>
    </row>
    <row r="18" spans="1:57" ht="31.9" customHeight="1" x14ac:dyDescent="0.2">
      <c r="A18" s="20">
        <v>11</v>
      </c>
      <c r="B18" s="101" t="s">
        <v>38</v>
      </c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9">
        <v>14</v>
      </c>
      <c r="X18" s="10"/>
      <c r="Y18" s="10"/>
      <c r="Z18" s="10"/>
      <c r="AA18" s="11"/>
      <c r="AB18" s="43">
        <v>1</v>
      </c>
      <c r="AC18" s="44">
        <v>1</v>
      </c>
      <c r="AD18" s="44"/>
      <c r="AE18" s="44"/>
      <c r="AF18" s="45">
        <v>1</v>
      </c>
      <c r="AG18" s="9">
        <v>5</v>
      </c>
      <c r="AH18" s="10"/>
      <c r="AI18" s="10"/>
      <c r="AJ18" s="10"/>
      <c r="AK18" s="11"/>
      <c r="AL18" s="43">
        <v>2</v>
      </c>
      <c r="AM18" s="44">
        <v>1</v>
      </c>
      <c r="AN18" s="44"/>
      <c r="AO18" s="44">
        <v>2</v>
      </c>
      <c r="AP18" s="45">
        <v>3</v>
      </c>
      <c r="AQ18" s="104">
        <v>0.5</v>
      </c>
      <c r="AR18" s="108"/>
      <c r="AS18" s="108"/>
      <c r="AT18" s="108">
        <v>1</v>
      </c>
      <c r="AU18" s="109">
        <v>1</v>
      </c>
      <c r="AV18" s="6">
        <v>5</v>
      </c>
      <c r="AW18" s="7">
        <v>5</v>
      </c>
      <c r="AX18" s="7">
        <v>5</v>
      </c>
      <c r="AY18" s="10"/>
      <c r="AZ18" s="11"/>
      <c r="BA18" s="9">
        <v>6</v>
      </c>
      <c r="BB18" s="10"/>
      <c r="BC18" s="11">
        <v>20</v>
      </c>
      <c r="BD18" s="18"/>
      <c r="BE18" s="12"/>
    </row>
    <row r="19" spans="1:57" ht="31.9" customHeight="1" x14ac:dyDescent="0.2">
      <c r="A19" s="20">
        <v>12</v>
      </c>
      <c r="B19" s="101" t="s">
        <v>39</v>
      </c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9">
        <v>15</v>
      </c>
      <c r="X19" s="10"/>
      <c r="Y19" s="10"/>
      <c r="Z19" s="10"/>
      <c r="AA19" s="11"/>
      <c r="AB19" s="43"/>
      <c r="AC19" s="44"/>
      <c r="AD19" s="44">
        <v>1</v>
      </c>
      <c r="AE19" s="44"/>
      <c r="AF19" s="45"/>
      <c r="AG19" s="9">
        <v>4</v>
      </c>
      <c r="AH19" s="10"/>
      <c r="AI19" s="10"/>
      <c r="AJ19" s="10"/>
      <c r="AK19" s="11"/>
      <c r="AL19" s="43">
        <v>1</v>
      </c>
      <c r="AM19" s="44"/>
      <c r="AN19" s="44">
        <v>1</v>
      </c>
      <c r="AO19" s="44">
        <v>1</v>
      </c>
      <c r="AP19" s="45">
        <v>2</v>
      </c>
      <c r="AQ19" s="104">
        <v>0.5</v>
      </c>
      <c r="AR19" s="108"/>
      <c r="AS19" s="108"/>
      <c r="AT19" s="108">
        <v>1</v>
      </c>
      <c r="AU19" s="109">
        <v>1</v>
      </c>
      <c r="AV19" s="6">
        <v>5</v>
      </c>
      <c r="AW19" s="7">
        <v>5</v>
      </c>
      <c r="AX19" s="7">
        <v>5</v>
      </c>
      <c r="AY19" s="10"/>
      <c r="AZ19" s="11"/>
      <c r="BA19" s="9">
        <v>6</v>
      </c>
      <c r="BB19" s="10"/>
      <c r="BC19" s="11">
        <v>20</v>
      </c>
      <c r="BD19" s="18"/>
      <c r="BE19" s="12"/>
    </row>
    <row r="20" spans="1:57" ht="31.9" customHeight="1" x14ac:dyDescent="0.2">
      <c r="A20" s="20">
        <v>13</v>
      </c>
      <c r="B20" s="101" t="s">
        <v>41</v>
      </c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9">
        <v>20</v>
      </c>
      <c r="X20" s="10"/>
      <c r="Y20" s="10"/>
      <c r="Z20" s="10"/>
      <c r="AA20" s="11"/>
      <c r="AB20" s="43">
        <v>2</v>
      </c>
      <c r="AC20" s="44"/>
      <c r="AD20" s="44"/>
      <c r="AE20" s="44"/>
      <c r="AF20" s="45">
        <v>1</v>
      </c>
      <c r="AG20" s="9">
        <v>3</v>
      </c>
      <c r="AH20" s="10"/>
      <c r="AI20" s="10"/>
      <c r="AJ20" s="10"/>
      <c r="AK20" s="11"/>
      <c r="AL20" s="43">
        <v>4</v>
      </c>
      <c r="AM20" s="44"/>
      <c r="AN20" s="44"/>
      <c r="AO20" s="44">
        <v>1</v>
      </c>
      <c r="AP20" s="45">
        <v>1</v>
      </c>
      <c r="AQ20" s="104">
        <v>1</v>
      </c>
      <c r="AR20" s="108"/>
      <c r="AS20" s="108"/>
      <c r="AT20" s="108">
        <v>1</v>
      </c>
      <c r="AU20" s="109"/>
      <c r="AV20" s="6">
        <v>5</v>
      </c>
      <c r="AW20" s="7">
        <v>5</v>
      </c>
      <c r="AX20" s="7">
        <v>5</v>
      </c>
      <c r="AY20" s="10"/>
      <c r="AZ20" s="11"/>
      <c r="BA20" s="9">
        <v>12</v>
      </c>
      <c r="BB20" s="10"/>
      <c r="BC20" s="11">
        <v>10</v>
      </c>
      <c r="BD20" s="18"/>
      <c r="BE20" s="12"/>
    </row>
    <row r="21" spans="1:57" ht="31.9" customHeight="1" x14ac:dyDescent="0.2">
      <c r="A21" s="50">
        <v>14</v>
      </c>
      <c r="B21" s="102" t="s">
        <v>42</v>
      </c>
      <c r="C21" s="52">
        <f t="shared" si="1"/>
        <v>10</v>
      </c>
      <c r="D21" s="53">
        <f t="shared" si="1"/>
        <v>3</v>
      </c>
      <c r="E21" s="53">
        <f t="shared" si="0"/>
        <v>2</v>
      </c>
      <c r="F21" s="53">
        <f t="shared" si="0"/>
        <v>2</v>
      </c>
      <c r="G21" s="54">
        <f t="shared" si="0"/>
        <v>3</v>
      </c>
      <c r="H21" s="52">
        <f t="shared" si="0"/>
        <v>3</v>
      </c>
      <c r="I21" s="53">
        <f t="shared" si="0"/>
        <v>1</v>
      </c>
      <c r="J21" s="53">
        <f t="shared" si="0"/>
        <v>1</v>
      </c>
      <c r="K21" s="53">
        <f t="shared" si="0"/>
        <v>1</v>
      </c>
      <c r="L21" s="54">
        <f t="shared" si="0"/>
        <v>1</v>
      </c>
      <c r="M21" s="52">
        <f t="shared" si="0"/>
        <v>3</v>
      </c>
      <c r="N21" s="53">
        <f t="shared" si="0"/>
        <v>1</v>
      </c>
      <c r="O21" s="53">
        <f t="shared" si="0"/>
        <v>3</v>
      </c>
      <c r="P21" s="53">
        <f t="shared" si="0"/>
        <v>0</v>
      </c>
      <c r="Q21" s="54">
        <f t="shared" si="0"/>
        <v>0</v>
      </c>
      <c r="R21" s="55">
        <f t="shared" si="0"/>
        <v>0.5</v>
      </c>
      <c r="S21" s="56">
        <f t="shared" si="0"/>
        <v>0.16666666666666666</v>
      </c>
      <c r="T21" s="56">
        <f t="shared" si="0"/>
        <v>0.1</v>
      </c>
      <c r="U21" s="56">
        <f t="shared" si="0"/>
        <v>0.6</v>
      </c>
      <c r="V21" s="57">
        <f t="shared" si="0"/>
        <v>0.15</v>
      </c>
      <c r="W21" s="52">
        <v>13</v>
      </c>
      <c r="X21" s="53"/>
      <c r="Y21" s="53"/>
      <c r="Z21" s="53"/>
      <c r="AA21" s="54"/>
      <c r="AB21" s="58"/>
      <c r="AC21" s="59"/>
      <c r="AD21" s="59">
        <v>1</v>
      </c>
      <c r="AE21" s="59">
        <v>1</v>
      </c>
      <c r="AF21" s="48">
        <v>1</v>
      </c>
      <c r="AG21" s="52">
        <v>5</v>
      </c>
      <c r="AH21" s="53"/>
      <c r="AI21" s="53"/>
      <c r="AJ21" s="53"/>
      <c r="AK21" s="54"/>
      <c r="AL21" s="58">
        <v>1</v>
      </c>
      <c r="AM21" s="59"/>
      <c r="AN21" s="59">
        <v>1</v>
      </c>
      <c r="AO21" s="59">
        <v>3</v>
      </c>
      <c r="AP21" s="48">
        <v>3</v>
      </c>
      <c r="AQ21" s="110">
        <v>1</v>
      </c>
      <c r="AR21" s="111"/>
      <c r="AS21" s="111"/>
      <c r="AT21" s="111">
        <v>1</v>
      </c>
      <c r="AU21" s="112">
        <v>1</v>
      </c>
      <c r="AV21" s="6">
        <v>5</v>
      </c>
      <c r="AW21" s="7">
        <v>5</v>
      </c>
      <c r="AX21" s="7">
        <v>5</v>
      </c>
      <c r="AY21" s="53"/>
      <c r="AZ21" s="54"/>
      <c r="BA21" s="52">
        <v>12</v>
      </c>
      <c r="BB21" s="53"/>
      <c r="BC21" s="54">
        <v>20</v>
      </c>
      <c r="BD21" s="60"/>
      <c r="BE21" s="61"/>
    </row>
    <row r="22" spans="1:57" ht="31.9" customHeight="1" x14ac:dyDescent="0.2">
      <c r="A22" s="20">
        <v>15</v>
      </c>
      <c r="B22" s="101" t="s">
        <v>46</v>
      </c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9">
        <v>18</v>
      </c>
      <c r="X22" s="10"/>
      <c r="Y22" s="10"/>
      <c r="Z22" s="10"/>
      <c r="AA22" s="11"/>
      <c r="AB22" s="43">
        <v>1</v>
      </c>
      <c r="AC22" s="44"/>
      <c r="AD22" s="44"/>
      <c r="AE22" s="44">
        <v>1</v>
      </c>
      <c r="AF22" s="45"/>
      <c r="AG22" s="9">
        <v>2</v>
      </c>
      <c r="AH22" s="10"/>
      <c r="AI22" s="10"/>
      <c r="AJ22" s="10"/>
      <c r="AK22" s="11"/>
      <c r="AL22" s="43">
        <v>2</v>
      </c>
      <c r="AM22" s="44"/>
      <c r="AN22" s="44"/>
      <c r="AO22" s="44">
        <v>2</v>
      </c>
      <c r="AP22" s="45"/>
      <c r="AQ22" s="104">
        <v>0.5</v>
      </c>
      <c r="AR22" s="108"/>
      <c r="AS22" s="108"/>
      <c r="AT22" s="108">
        <v>0.9</v>
      </c>
      <c r="AU22" s="109"/>
      <c r="AV22" s="6">
        <v>5</v>
      </c>
      <c r="AW22" s="7">
        <v>5</v>
      </c>
      <c r="AX22" s="7">
        <v>5</v>
      </c>
      <c r="AY22" s="10"/>
      <c r="AZ22" s="11"/>
      <c r="BA22" s="9">
        <v>6</v>
      </c>
      <c r="BB22" s="10"/>
      <c r="BC22" s="11">
        <v>9</v>
      </c>
      <c r="BD22" s="18"/>
      <c r="BE22" s="12"/>
    </row>
    <row r="23" spans="1:57" ht="31.9" customHeight="1" x14ac:dyDescent="0.2">
      <c r="A23" s="20">
        <v>16</v>
      </c>
      <c r="B23" s="101" t="s">
        <v>47</v>
      </c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9">
        <v>20</v>
      </c>
      <c r="X23" s="10"/>
      <c r="Y23" s="10"/>
      <c r="Z23" s="10"/>
      <c r="AA23" s="11"/>
      <c r="AB23" s="43"/>
      <c r="AC23" s="44"/>
      <c r="AD23" s="44"/>
      <c r="AE23" s="44"/>
      <c r="AF23" s="45"/>
      <c r="AG23" s="9">
        <v>2</v>
      </c>
      <c r="AH23" s="10"/>
      <c r="AI23" s="10"/>
      <c r="AJ23" s="10"/>
      <c r="AK23" s="11"/>
      <c r="AL23" s="43">
        <v>1</v>
      </c>
      <c r="AM23" s="44"/>
      <c r="AN23" s="44"/>
      <c r="AO23" s="44">
        <v>1</v>
      </c>
      <c r="AP23" s="45"/>
      <c r="AQ23" s="104">
        <v>0.5</v>
      </c>
      <c r="AR23" s="108"/>
      <c r="AS23" s="108"/>
      <c r="AT23" s="108">
        <v>0.5</v>
      </c>
      <c r="AU23" s="109"/>
      <c r="AV23" s="6">
        <v>5</v>
      </c>
      <c r="AW23" s="7">
        <v>5</v>
      </c>
      <c r="AX23" s="7">
        <v>5</v>
      </c>
      <c r="AY23" s="10"/>
      <c r="AZ23" s="11"/>
      <c r="BA23" s="9">
        <v>6</v>
      </c>
      <c r="BB23" s="10"/>
      <c r="BC23" s="11">
        <v>5</v>
      </c>
      <c r="BD23" s="18"/>
      <c r="BE23" s="12"/>
    </row>
    <row r="24" spans="1:57" ht="31.9" customHeight="1" x14ac:dyDescent="0.2">
      <c r="A24" s="20">
        <v>17</v>
      </c>
      <c r="B24" s="101" t="s">
        <v>48</v>
      </c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9">
        <v>23</v>
      </c>
      <c r="X24" s="10"/>
      <c r="Y24" s="10"/>
      <c r="Z24" s="10"/>
      <c r="AA24" s="11"/>
      <c r="AB24" s="43">
        <v>1</v>
      </c>
      <c r="AC24" s="44"/>
      <c r="AD24" s="44"/>
      <c r="AE24" s="44"/>
      <c r="AF24" s="45">
        <v>1</v>
      </c>
      <c r="AG24" s="9">
        <v>2</v>
      </c>
      <c r="AH24" s="10"/>
      <c r="AI24" s="10"/>
      <c r="AJ24" s="10"/>
      <c r="AK24" s="11"/>
      <c r="AL24" s="43">
        <v>2</v>
      </c>
      <c r="AM24" s="44"/>
      <c r="AN24" s="44"/>
      <c r="AO24" s="44">
        <v>1</v>
      </c>
      <c r="AP24" s="45">
        <v>1</v>
      </c>
      <c r="AQ24" s="104">
        <v>0.5</v>
      </c>
      <c r="AR24" s="108"/>
      <c r="AS24" s="108"/>
      <c r="AT24" s="108">
        <v>0.5</v>
      </c>
      <c r="AU24" s="109"/>
      <c r="AV24" s="6">
        <v>5</v>
      </c>
      <c r="AW24" s="7">
        <v>5</v>
      </c>
      <c r="AX24" s="7">
        <v>5</v>
      </c>
      <c r="AY24" s="10"/>
      <c r="AZ24" s="11"/>
      <c r="BA24" s="9">
        <v>6</v>
      </c>
      <c r="BB24" s="10"/>
      <c r="BC24" s="11">
        <v>5</v>
      </c>
      <c r="BD24" s="18"/>
      <c r="BE24" s="12"/>
    </row>
    <row r="25" spans="1:57" s="126" customFormat="1" ht="31.9" customHeight="1" x14ac:dyDescent="0.2">
      <c r="A25" s="20">
        <v>18</v>
      </c>
      <c r="B25" s="101" t="s">
        <v>49</v>
      </c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9">
        <v>16</v>
      </c>
      <c r="X25" s="10"/>
      <c r="Y25" s="10"/>
      <c r="Z25" s="10"/>
      <c r="AA25" s="11"/>
      <c r="AB25" s="43">
        <v>1</v>
      </c>
      <c r="AC25" s="44"/>
      <c r="AD25" s="44"/>
      <c r="AE25" s="44">
        <v>1</v>
      </c>
      <c r="AF25" s="45"/>
      <c r="AG25" s="9">
        <v>3</v>
      </c>
      <c r="AH25" s="10"/>
      <c r="AI25" s="10"/>
      <c r="AJ25" s="10"/>
      <c r="AK25" s="11"/>
      <c r="AL25" s="43">
        <v>2</v>
      </c>
      <c r="AM25" s="44"/>
      <c r="AN25" s="44"/>
      <c r="AO25" s="44">
        <v>2</v>
      </c>
      <c r="AP25" s="45">
        <v>1</v>
      </c>
      <c r="AQ25" s="104">
        <v>0.5</v>
      </c>
      <c r="AR25" s="108"/>
      <c r="AS25" s="108"/>
      <c r="AT25" s="108">
        <v>1</v>
      </c>
      <c r="AU25" s="109">
        <v>0.5</v>
      </c>
      <c r="AV25" s="6">
        <v>5</v>
      </c>
      <c r="AW25" s="7">
        <v>5</v>
      </c>
      <c r="AX25" s="7">
        <v>5</v>
      </c>
      <c r="AY25" s="10"/>
      <c r="AZ25" s="11"/>
      <c r="BA25" s="9">
        <v>6</v>
      </c>
      <c r="BB25" s="10"/>
      <c r="BC25" s="11">
        <v>15</v>
      </c>
      <c r="BD25" s="18"/>
      <c r="BE25" s="12"/>
    </row>
    <row r="26" spans="1:57" ht="31.9" customHeight="1" x14ac:dyDescent="0.2">
      <c r="A26" s="50">
        <v>19</v>
      </c>
      <c r="B26" s="102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52"/>
      <c r="X26" s="53"/>
      <c r="Y26" s="53"/>
      <c r="Z26" s="53"/>
      <c r="AA26" s="54"/>
      <c r="AB26" s="58"/>
      <c r="AC26" s="59"/>
      <c r="AD26" s="59"/>
      <c r="AE26" s="59"/>
      <c r="AF26" s="48"/>
      <c r="AG26" s="52"/>
      <c r="AH26" s="53"/>
      <c r="AI26" s="53"/>
      <c r="AJ26" s="53"/>
      <c r="AK26" s="54"/>
      <c r="AL26" s="58"/>
      <c r="AM26" s="59"/>
      <c r="AN26" s="59"/>
      <c r="AO26" s="59"/>
      <c r="AP26" s="48"/>
      <c r="AQ26" s="110"/>
      <c r="AR26" s="111"/>
      <c r="AS26" s="111"/>
      <c r="AT26" s="111"/>
      <c r="AU26" s="112"/>
      <c r="AV26" s="6"/>
      <c r="AW26" s="7"/>
      <c r="AX26" s="7"/>
      <c r="AY26" s="53"/>
      <c r="AZ26" s="54"/>
      <c r="BA26" s="52"/>
      <c r="BB26" s="53"/>
      <c r="BC26" s="54"/>
      <c r="BD26" s="60"/>
      <c r="BE26" s="61"/>
    </row>
    <row r="27" spans="1:57" ht="31.9" customHeight="1" thickBot="1" x14ac:dyDescent="0.25">
      <c r="A27" s="50">
        <v>20</v>
      </c>
      <c r="B27" s="102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52"/>
      <c r="X27" s="53"/>
      <c r="Y27" s="53"/>
      <c r="Z27" s="53"/>
      <c r="AA27" s="54"/>
      <c r="AB27" s="67"/>
      <c r="AC27" s="68"/>
      <c r="AD27" s="68"/>
      <c r="AE27" s="68"/>
      <c r="AF27" s="69"/>
      <c r="AG27" s="52"/>
      <c r="AH27" s="53"/>
      <c r="AI27" s="53"/>
      <c r="AJ27" s="53"/>
      <c r="AK27" s="54"/>
      <c r="AL27" s="67"/>
      <c r="AM27" s="68"/>
      <c r="AN27" s="68"/>
      <c r="AO27" s="68"/>
      <c r="AP27" s="69"/>
      <c r="AQ27" s="110"/>
      <c r="AR27" s="111"/>
      <c r="AS27" s="111"/>
      <c r="AT27" s="111"/>
      <c r="AU27" s="112"/>
      <c r="AV27" s="6"/>
      <c r="AW27" s="7"/>
      <c r="AX27" s="7"/>
      <c r="AY27" s="53"/>
      <c r="AZ27" s="54"/>
      <c r="BA27" s="52"/>
      <c r="BB27" s="53"/>
      <c r="BC27" s="54"/>
      <c r="BD27" s="60"/>
      <c r="BE27" s="61"/>
    </row>
    <row r="28" spans="1:57" s="3" customFormat="1" ht="34.15" customHeight="1" thickBot="1" x14ac:dyDescent="0.3">
      <c r="A28" s="14"/>
      <c r="B28" s="103"/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>SUM(V8:V27)</f>
        <v>2.9999999999999991</v>
      </c>
      <c r="W28" s="29">
        <f t="shared" si="3"/>
        <v>335</v>
      </c>
      <c r="X28" s="30">
        <f t="shared" si="3"/>
        <v>0</v>
      </c>
      <c r="Y28" s="30">
        <f t="shared" si="3"/>
        <v>0</v>
      </c>
      <c r="Z28" s="30">
        <f t="shared" si="3"/>
        <v>0</v>
      </c>
      <c r="AA28" s="31">
        <f t="shared" si="3"/>
        <v>0</v>
      </c>
      <c r="AB28" s="64">
        <f t="shared" si="3"/>
        <v>14</v>
      </c>
      <c r="AC28" s="65">
        <f t="shared" si="3"/>
        <v>2</v>
      </c>
      <c r="AD28" s="65">
        <f t="shared" si="3"/>
        <v>5</v>
      </c>
      <c r="AE28" s="65">
        <f t="shared" si="3"/>
        <v>9</v>
      </c>
      <c r="AF28" s="66">
        <f t="shared" si="3"/>
        <v>11</v>
      </c>
      <c r="AG28" s="29">
        <f t="shared" si="3"/>
        <v>65</v>
      </c>
      <c r="AH28" s="30">
        <f t="shared" si="3"/>
        <v>0</v>
      </c>
      <c r="AI28" s="30">
        <f t="shared" ref="AI28:BE28" si="4">SUM(AI8:AI27)</f>
        <v>0</v>
      </c>
      <c r="AJ28" s="30">
        <f t="shared" si="4"/>
        <v>0</v>
      </c>
      <c r="AK28" s="31">
        <f t="shared" si="4"/>
        <v>0</v>
      </c>
      <c r="AL28" s="64">
        <f t="shared" si="4"/>
        <v>34</v>
      </c>
      <c r="AM28" s="65">
        <f t="shared" si="4"/>
        <v>1</v>
      </c>
      <c r="AN28" s="65">
        <f t="shared" si="4"/>
        <v>4</v>
      </c>
      <c r="AO28" s="65">
        <f t="shared" si="4"/>
        <v>31</v>
      </c>
      <c r="AP28" s="66">
        <f t="shared" si="4"/>
        <v>27</v>
      </c>
      <c r="AQ28" s="116">
        <f t="shared" si="4"/>
        <v>11.5</v>
      </c>
      <c r="AR28" s="113">
        <f t="shared" si="4"/>
        <v>0</v>
      </c>
      <c r="AS28" s="113">
        <f t="shared" si="4"/>
        <v>0</v>
      </c>
      <c r="AT28" s="113">
        <f t="shared" si="4"/>
        <v>16.899999999999999</v>
      </c>
      <c r="AU28" s="117">
        <f>SUM(AU8:AU27)</f>
        <v>10</v>
      </c>
      <c r="AV28" s="29">
        <f t="shared" si="4"/>
        <v>90</v>
      </c>
      <c r="AW28" s="30">
        <f t="shared" si="4"/>
        <v>90</v>
      </c>
      <c r="AX28" s="30">
        <f t="shared" si="4"/>
        <v>90</v>
      </c>
      <c r="AY28" s="30">
        <f t="shared" si="4"/>
        <v>0</v>
      </c>
      <c r="AZ28" s="31">
        <f t="shared" si="4"/>
        <v>0</v>
      </c>
      <c r="BA28" s="46">
        <f t="shared" si="4"/>
        <v>138</v>
      </c>
      <c r="BB28" s="47">
        <f t="shared" si="4"/>
        <v>0</v>
      </c>
      <c r="BC28" s="49">
        <f t="shared" si="4"/>
        <v>269</v>
      </c>
      <c r="BD28" s="19">
        <f t="shared" si="4"/>
        <v>0</v>
      </c>
      <c r="BE28" s="2">
        <f t="shared" si="4"/>
        <v>0</v>
      </c>
    </row>
    <row r="30" spans="1:57" x14ac:dyDescent="0.25">
      <c r="Y30" s="127"/>
      <c r="AQ30" s="119"/>
      <c r="AR30" s="119"/>
      <c r="AS30" s="119"/>
      <c r="AT30" s="119"/>
      <c r="AU30" s="119"/>
      <c r="AV30" s="119"/>
      <c r="AW30" s="119"/>
      <c r="AX30" s="119"/>
      <c r="AY30" s="119"/>
    </row>
    <row r="31" spans="1:57" x14ac:dyDescent="0.25">
      <c r="AQ31" s="119"/>
      <c r="AR31" s="119"/>
      <c r="AS31" s="119"/>
      <c r="AT31" s="119"/>
      <c r="AU31" s="119"/>
      <c r="AV31" s="119"/>
      <c r="AW31" s="119"/>
      <c r="AX31" s="119"/>
      <c r="AY31" s="119"/>
    </row>
    <row r="32" spans="1:57" x14ac:dyDescent="0.25">
      <c r="AQ32" s="119"/>
      <c r="AR32" s="119"/>
      <c r="AS32" s="119"/>
      <c r="AT32" s="119"/>
      <c r="AU32" s="119"/>
      <c r="AV32" s="119"/>
      <c r="AW32" s="119"/>
      <c r="AX32" s="119"/>
      <c r="AY32" s="119"/>
    </row>
    <row r="33" spans="43:51" x14ac:dyDescent="0.25">
      <c r="AQ33" s="119"/>
      <c r="AR33" s="119"/>
      <c r="AS33" s="119"/>
      <c r="AT33" s="119"/>
      <c r="AU33" s="119"/>
      <c r="AV33" s="119"/>
      <c r="AW33" s="119"/>
      <c r="AX33" s="119"/>
      <c r="AY33" s="119"/>
    </row>
    <row r="34" spans="43:51" x14ac:dyDescent="0.25">
      <c r="AQ34" s="119"/>
      <c r="AR34" s="119"/>
      <c r="AS34" s="119"/>
      <c r="AT34" s="119"/>
      <c r="AU34" s="119"/>
      <c r="AV34" s="119"/>
      <c r="AW34" s="119"/>
      <c r="AX34" s="119"/>
      <c r="AY34" s="119"/>
    </row>
    <row r="35" spans="43:51" x14ac:dyDescent="0.25">
      <c r="AQ35" s="119"/>
      <c r="AR35" s="119"/>
      <c r="AS35" s="119"/>
      <c r="AT35" s="119"/>
      <c r="AU35" s="119"/>
      <c r="AV35" s="119"/>
      <c r="AW35" s="119"/>
      <c r="AX35" s="119"/>
      <c r="AY35" s="119"/>
    </row>
    <row r="36" spans="43:51" x14ac:dyDescent="0.25">
      <c r="AQ36" s="119"/>
      <c r="AR36" s="119"/>
      <c r="AS36" s="119"/>
      <c r="AT36" s="119"/>
      <c r="AU36" s="119"/>
      <c r="AV36" s="119"/>
      <c r="AW36" s="119"/>
      <c r="AX36" s="119"/>
      <c r="AY36" s="119"/>
    </row>
  </sheetData>
  <mergeCells count="20">
    <mergeCell ref="BD10:BD12"/>
    <mergeCell ref="R6:V6"/>
    <mergeCell ref="W6:AA6"/>
    <mergeCell ref="AB6:AF6"/>
    <mergeCell ref="AG6:AK6"/>
    <mergeCell ref="AL6:AP6"/>
    <mergeCell ref="AQ6:AU6"/>
    <mergeCell ref="BE5:BE7"/>
    <mergeCell ref="A6:A7"/>
    <mergeCell ref="B6:B7"/>
    <mergeCell ref="C6:G6"/>
    <mergeCell ref="H6:L6"/>
    <mergeCell ref="M6:Q6"/>
    <mergeCell ref="AV6:AZ6"/>
    <mergeCell ref="BA6:BC6"/>
    <mergeCell ref="A2:B2"/>
    <mergeCell ref="A4:B4"/>
    <mergeCell ref="C5:V5"/>
    <mergeCell ref="W5:BC5"/>
    <mergeCell ref="BD5:BD7"/>
  </mergeCells>
  <phoneticPr fontId="19" type="noConversion"/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28"/>
  <sheetViews>
    <sheetView zoomScale="90" zoomScaleNormal="90" workbookViewId="0">
      <pane xSplit="2" ySplit="7" topLeftCell="O17" activePane="bottomRight" state="frozen"/>
      <selection activeCell="C3" sqref="C3"/>
      <selection pane="topRight" activeCell="C3" sqref="C3"/>
      <selection pane="bottomLeft" activeCell="C3" sqref="C3"/>
      <selection pane="bottomRight" activeCell="A2" sqref="A2:B2"/>
    </sheetView>
  </sheetViews>
  <sheetFormatPr defaultColWidth="9.28515625" defaultRowHeight="18" x14ac:dyDescent="0.25"/>
  <cols>
    <col min="1" max="1" width="10.28515625" style="4" customWidth="1"/>
    <col min="2" max="2" width="47.28515625" style="4" customWidth="1"/>
    <col min="3" max="22" width="8.85546875" style="28" customWidth="1"/>
    <col min="23" max="23" width="11.42578125" style="28" customWidth="1"/>
    <col min="24" max="32" width="8.85546875" style="28" customWidth="1"/>
    <col min="33" max="33" width="11.7109375" style="28" customWidth="1"/>
    <col min="34" max="34" width="8.85546875" style="28" customWidth="1"/>
    <col min="35" max="35" width="10.140625" style="28" bestFit="1" customWidth="1"/>
    <col min="36" max="55" width="8.85546875" style="28" customWidth="1"/>
    <col min="56" max="56" width="60.7109375" style="5" customWidth="1"/>
    <col min="57" max="57" width="62.85546875" style="5" customWidth="1"/>
    <col min="58" max="58" width="36.5703125" style="1" customWidth="1"/>
    <col min="59" max="16384" width="9.28515625" style="1"/>
  </cols>
  <sheetData>
    <row r="1" spans="1:57" ht="18" customHeight="1" x14ac:dyDescent="0.3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</row>
    <row r="2" spans="1:57" ht="19.5" x14ac:dyDescent="0.25">
      <c r="A2" s="137" t="s">
        <v>45</v>
      </c>
      <c r="B2" s="137"/>
    </row>
    <row r="3" spans="1:57" x14ac:dyDescent="0.25">
      <c r="C3" s="28">
        <v>10</v>
      </c>
      <c r="D3" s="28">
        <v>3</v>
      </c>
      <c r="E3" s="28">
        <v>2</v>
      </c>
      <c r="F3" s="28">
        <v>2</v>
      </c>
      <c r="G3" s="28">
        <v>3</v>
      </c>
      <c r="H3" s="28">
        <v>3</v>
      </c>
      <c r="I3" s="28">
        <v>1</v>
      </c>
      <c r="J3" s="28">
        <v>1</v>
      </c>
      <c r="K3" s="28">
        <v>1</v>
      </c>
      <c r="L3" s="28">
        <v>1</v>
      </c>
      <c r="M3" s="28">
        <f>+H3</f>
        <v>3</v>
      </c>
      <c r="N3" s="28">
        <v>1</v>
      </c>
      <c r="O3" s="28">
        <f>+H3</f>
        <v>3</v>
      </c>
      <c r="R3" s="32">
        <f>+(2*M3)/12</f>
        <v>0.5</v>
      </c>
      <c r="S3" s="32">
        <f>+(1*I3)/6</f>
        <v>0.16666666666666666</v>
      </c>
      <c r="T3" s="28">
        <f>+(2*I3)/20</f>
        <v>0.1</v>
      </c>
      <c r="U3" s="32">
        <f>+(2*H3)/10</f>
        <v>0.6</v>
      </c>
      <c r="V3" s="32">
        <f>+(3*I3)/20</f>
        <v>0.15</v>
      </c>
      <c r="AG3" s="39"/>
    </row>
    <row r="4" spans="1:57" ht="18.75" thickBot="1" x14ac:dyDescent="0.3">
      <c r="A4" s="147"/>
      <c r="B4" s="147"/>
    </row>
    <row r="5" spans="1:57" ht="57.75" customHeight="1" thickBot="1" x14ac:dyDescent="0.25">
      <c r="C5" s="167" t="s">
        <v>1</v>
      </c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4" t="s">
        <v>22</v>
      </c>
      <c r="X5" s="165"/>
      <c r="Y5" s="165"/>
      <c r="Z5" s="165"/>
      <c r="AA5" s="165"/>
      <c r="AB5" s="165"/>
      <c r="AC5" s="165"/>
      <c r="AD5" s="165"/>
      <c r="AE5" s="165"/>
      <c r="AF5" s="165"/>
      <c r="AG5" s="165"/>
      <c r="AH5" s="165"/>
      <c r="AI5" s="165"/>
      <c r="AJ5" s="165"/>
      <c r="AK5" s="165"/>
      <c r="AL5" s="165"/>
      <c r="AM5" s="165"/>
      <c r="AN5" s="165"/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66"/>
      <c r="BD5" s="144" t="s">
        <v>6</v>
      </c>
      <c r="BE5" s="144" t="s">
        <v>7</v>
      </c>
    </row>
    <row r="6" spans="1:57" ht="69.75" customHeight="1" thickBot="1" x14ac:dyDescent="0.25">
      <c r="A6" s="148" t="s">
        <v>24</v>
      </c>
      <c r="B6" s="148" t="s">
        <v>8</v>
      </c>
      <c r="C6" s="169" t="s">
        <v>9</v>
      </c>
      <c r="D6" s="170"/>
      <c r="E6" s="170"/>
      <c r="F6" s="170"/>
      <c r="G6" s="171"/>
      <c r="H6" s="169" t="s">
        <v>15</v>
      </c>
      <c r="I6" s="170"/>
      <c r="J6" s="170"/>
      <c r="K6" s="170"/>
      <c r="L6" s="171"/>
      <c r="M6" s="152" t="s">
        <v>16</v>
      </c>
      <c r="N6" s="153"/>
      <c r="O6" s="153"/>
      <c r="P6" s="153"/>
      <c r="Q6" s="154"/>
      <c r="R6" s="152" t="s">
        <v>25</v>
      </c>
      <c r="S6" s="153"/>
      <c r="T6" s="153"/>
      <c r="U6" s="153"/>
      <c r="V6" s="154"/>
      <c r="W6" s="155" t="s">
        <v>9</v>
      </c>
      <c r="X6" s="156"/>
      <c r="Y6" s="156"/>
      <c r="Z6" s="156"/>
      <c r="AA6" s="157"/>
      <c r="AB6" s="131" t="s">
        <v>27</v>
      </c>
      <c r="AC6" s="132"/>
      <c r="AD6" s="132"/>
      <c r="AE6" s="132"/>
      <c r="AF6" s="133"/>
      <c r="AG6" s="158" t="s">
        <v>15</v>
      </c>
      <c r="AH6" s="159"/>
      <c r="AI6" s="159"/>
      <c r="AJ6" s="159"/>
      <c r="AK6" s="160"/>
      <c r="AL6" s="128" t="s">
        <v>28</v>
      </c>
      <c r="AM6" s="129"/>
      <c r="AN6" s="129"/>
      <c r="AO6" s="129"/>
      <c r="AP6" s="130"/>
      <c r="AQ6" s="135" t="s">
        <v>25</v>
      </c>
      <c r="AR6" s="135"/>
      <c r="AS6" s="135"/>
      <c r="AT6" s="135"/>
      <c r="AU6" s="136"/>
      <c r="AV6" s="161" t="s">
        <v>16</v>
      </c>
      <c r="AW6" s="162"/>
      <c r="AX6" s="162"/>
      <c r="AY6" s="162"/>
      <c r="AZ6" s="163"/>
      <c r="BA6" s="141" t="s">
        <v>26</v>
      </c>
      <c r="BB6" s="142"/>
      <c r="BC6" s="143"/>
      <c r="BD6" s="145"/>
      <c r="BE6" s="145"/>
    </row>
    <row r="7" spans="1:57" ht="222.75" customHeight="1" thickBot="1" x14ac:dyDescent="0.25">
      <c r="A7" s="149"/>
      <c r="B7" s="149"/>
      <c r="C7" s="24" t="s">
        <v>10</v>
      </c>
      <c r="D7" s="15" t="s">
        <v>11</v>
      </c>
      <c r="E7" s="15" t="s">
        <v>12</v>
      </c>
      <c r="F7" s="15" t="s">
        <v>13</v>
      </c>
      <c r="G7" s="25" t="s">
        <v>14</v>
      </c>
      <c r="H7" s="24" t="s">
        <v>10</v>
      </c>
      <c r="I7" s="15" t="s">
        <v>11</v>
      </c>
      <c r="J7" s="15" t="s">
        <v>12</v>
      </c>
      <c r="K7" s="15" t="s">
        <v>13</v>
      </c>
      <c r="L7" s="25" t="s">
        <v>14</v>
      </c>
      <c r="M7" s="24" t="s">
        <v>20</v>
      </c>
      <c r="N7" s="15" t="s">
        <v>21</v>
      </c>
      <c r="O7" s="15" t="s">
        <v>17</v>
      </c>
      <c r="P7" s="15" t="s">
        <v>18</v>
      </c>
      <c r="Q7" s="25" t="s">
        <v>19</v>
      </c>
      <c r="R7" s="24" t="s">
        <v>2</v>
      </c>
      <c r="S7" s="15" t="s">
        <v>3</v>
      </c>
      <c r="T7" s="15" t="s">
        <v>23</v>
      </c>
      <c r="U7" s="15" t="s">
        <v>4</v>
      </c>
      <c r="V7" s="25" t="s">
        <v>5</v>
      </c>
      <c r="W7" s="71" t="s">
        <v>10</v>
      </c>
      <c r="X7" s="72" t="s">
        <v>11</v>
      </c>
      <c r="Y7" s="72" t="s">
        <v>12</v>
      </c>
      <c r="Z7" s="72" t="s">
        <v>13</v>
      </c>
      <c r="AA7" s="73" t="s">
        <v>14</v>
      </c>
      <c r="AB7" s="74" t="s">
        <v>2</v>
      </c>
      <c r="AC7" s="75" t="s">
        <v>3</v>
      </c>
      <c r="AD7" s="75" t="s">
        <v>23</v>
      </c>
      <c r="AE7" s="75" t="s">
        <v>4</v>
      </c>
      <c r="AF7" s="76" t="s">
        <v>5</v>
      </c>
      <c r="AG7" s="77" t="s">
        <v>10</v>
      </c>
      <c r="AH7" s="78" t="s">
        <v>11</v>
      </c>
      <c r="AI7" s="78" t="s">
        <v>12</v>
      </c>
      <c r="AJ7" s="78" t="s">
        <v>13</v>
      </c>
      <c r="AK7" s="79" t="s">
        <v>14</v>
      </c>
      <c r="AL7" s="80" t="s">
        <v>2</v>
      </c>
      <c r="AM7" s="81" t="s">
        <v>3</v>
      </c>
      <c r="AN7" s="81" t="s">
        <v>23</v>
      </c>
      <c r="AO7" s="81" t="s">
        <v>4</v>
      </c>
      <c r="AP7" s="82" t="s">
        <v>5</v>
      </c>
      <c r="AQ7" s="89" t="s">
        <v>2</v>
      </c>
      <c r="AR7" s="84" t="s">
        <v>3</v>
      </c>
      <c r="AS7" s="84" t="s">
        <v>23</v>
      </c>
      <c r="AT7" s="84" t="s">
        <v>4</v>
      </c>
      <c r="AU7" s="85" t="s">
        <v>5</v>
      </c>
      <c r="AV7" s="86" t="s">
        <v>20</v>
      </c>
      <c r="AW7" s="87" t="s">
        <v>21</v>
      </c>
      <c r="AX7" s="87" t="s">
        <v>17</v>
      </c>
      <c r="AY7" s="87" t="s">
        <v>18</v>
      </c>
      <c r="AZ7" s="88" t="s">
        <v>19</v>
      </c>
      <c r="BA7" s="26" t="s">
        <v>2</v>
      </c>
      <c r="BB7" s="62" t="s">
        <v>23</v>
      </c>
      <c r="BC7" s="27" t="s">
        <v>4</v>
      </c>
      <c r="BD7" s="146"/>
      <c r="BE7" s="146"/>
    </row>
    <row r="8" spans="1:57" ht="31.9" customHeight="1" x14ac:dyDescent="0.2">
      <c r="A8" s="20">
        <v>1</v>
      </c>
      <c r="B8" s="16"/>
      <c r="C8" s="6">
        <f>+C$3</f>
        <v>10</v>
      </c>
      <c r="D8" s="7">
        <f>+D$3</f>
        <v>3</v>
      </c>
      <c r="E8" s="7">
        <f t="shared" ref="E8:V22" si="0">+E$3</f>
        <v>2</v>
      </c>
      <c r="F8" s="7">
        <f t="shared" si="0"/>
        <v>2</v>
      </c>
      <c r="G8" s="8">
        <f t="shared" si="0"/>
        <v>3</v>
      </c>
      <c r="H8" s="6">
        <f t="shared" si="0"/>
        <v>3</v>
      </c>
      <c r="I8" s="7">
        <f t="shared" si="0"/>
        <v>1</v>
      </c>
      <c r="J8" s="7">
        <f t="shared" si="0"/>
        <v>1</v>
      </c>
      <c r="K8" s="7">
        <f t="shared" si="0"/>
        <v>1</v>
      </c>
      <c r="L8" s="8">
        <f t="shared" si="0"/>
        <v>1</v>
      </c>
      <c r="M8" s="6">
        <f t="shared" si="0"/>
        <v>3</v>
      </c>
      <c r="N8" s="7">
        <f t="shared" si="0"/>
        <v>1</v>
      </c>
      <c r="O8" s="7">
        <f t="shared" si="0"/>
        <v>3</v>
      </c>
      <c r="P8" s="7">
        <f t="shared" si="0"/>
        <v>0</v>
      </c>
      <c r="Q8" s="8">
        <f t="shared" si="0"/>
        <v>0</v>
      </c>
      <c r="R8" s="33">
        <f t="shared" si="0"/>
        <v>0.5</v>
      </c>
      <c r="S8" s="34">
        <f t="shared" si="0"/>
        <v>0.16666666666666666</v>
      </c>
      <c r="T8" s="34">
        <f t="shared" si="0"/>
        <v>0.1</v>
      </c>
      <c r="U8" s="34">
        <f t="shared" si="0"/>
        <v>0.6</v>
      </c>
      <c r="V8" s="35">
        <f t="shared" si="0"/>
        <v>0.15</v>
      </c>
      <c r="W8" s="6" t="e">
        <f>'SAM 07 FEV'!W8+'LUN 09 FEV'!W8+#REF!+#REF!+#REF!+#REF!</f>
        <v>#REF!</v>
      </c>
      <c r="X8" s="7" t="e">
        <f>'SAM 07 FEV'!X8+'LUN 09 FEV'!X8+#REF!+#REF!+#REF!+#REF!</f>
        <v>#REF!</v>
      </c>
      <c r="Y8" s="7" t="e">
        <f>'SAM 07 FEV'!Y8+'LUN 09 FEV'!Y8+#REF!+#REF!+#REF!+#REF!</f>
        <v>#REF!</v>
      </c>
      <c r="Z8" s="7" t="e">
        <f>'SAM 07 FEV'!Z8+'LUN 09 FEV'!Z8+#REF!+#REF!+#REF!+#REF!</f>
        <v>#REF!</v>
      </c>
      <c r="AA8" s="8" t="e">
        <f>'SAM 07 FEV'!AA8+'LUN 09 FEV'!AA8+#REF!+#REF!+#REF!+#REF!</f>
        <v>#REF!</v>
      </c>
      <c r="AB8" s="10" t="e">
        <f>'SAM 07 FEV'!AB8+'LUN 09 FEV'!AB8+#REF!+#REF!+#REF!+#REF!</f>
        <v>#REF!</v>
      </c>
      <c r="AC8" s="10" t="e">
        <f>'SAM 07 FEV'!AC8+'LUN 09 FEV'!AC8+#REF!+#REF!+#REF!+#REF!</f>
        <v>#REF!</v>
      </c>
      <c r="AD8" s="10" t="e">
        <f>'SAM 07 FEV'!AD8+'LUN 09 FEV'!AD8+#REF!+#REF!+#REF!+#REF!</f>
        <v>#REF!</v>
      </c>
      <c r="AE8" s="10" t="e">
        <f>'SAM 07 FEV'!AE8+'LUN 09 FEV'!AE8+#REF!+#REF!+#REF!+#REF!</f>
        <v>#REF!</v>
      </c>
      <c r="AF8" s="10" t="e">
        <f>'SAM 07 FEV'!AF8+'LUN 09 FEV'!AF8+#REF!+#REF!+#REF!+#REF!</f>
        <v>#REF!</v>
      </c>
      <c r="AG8" s="6" t="e">
        <f>'SAM 07 FEV'!AG8+'LUN 09 FEV'!AG8+#REF!+#REF!+#REF!+#REF!</f>
        <v>#REF!</v>
      </c>
      <c r="AH8" s="7" t="e">
        <f>'SAM 07 FEV'!AH8+'LUN 09 FEV'!AH8+#REF!+#REF!+#REF!+#REF!</f>
        <v>#REF!</v>
      </c>
      <c r="AI8" s="7" t="e">
        <f>'SAM 07 FEV'!AI8+'LUN 09 FEV'!AI8+#REF!+#REF!+#REF!+#REF!</f>
        <v>#REF!</v>
      </c>
      <c r="AJ8" s="7" t="e">
        <f>'SAM 07 FEV'!AJ8+'LUN 09 FEV'!AJ8+#REF!+#REF!+#REF!+#REF!</f>
        <v>#REF!</v>
      </c>
      <c r="AK8" s="8" t="e">
        <f>'SAM 07 FEV'!AK8+'LUN 09 FEV'!AK8+#REF!+#REF!+#REF!+#REF!</f>
        <v>#REF!</v>
      </c>
      <c r="AL8" s="9" t="e">
        <f>'SAM 07 FEV'!AL8+'LUN 09 FEV'!AL8+#REF!+#REF!+#REF!+#REF!</f>
        <v>#REF!</v>
      </c>
      <c r="AM8" s="10" t="e">
        <f>'SAM 07 FEV'!AM8+'LUN 09 FEV'!AM8+#REF!+#REF!+#REF!+#REF!</f>
        <v>#REF!</v>
      </c>
      <c r="AN8" s="10" t="e">
        <f>'SAM 07 FEV'!AN8+'LUN 09 FEV'!AN8+#REF!+#REF!+#REF!+#REF!</f>
        <v>#REF!</v>
      </c>
      <c r="AO8" s="10" t="e">
        <f>'SAM 07 FEV'!AO8+'LUN 09 FEV'!AO8+#REF!+#REF!+#REF!+#REF!</f>
        <v>#REF!</v>
      </c>
      <c r="AP8" s="11" t="e">
        <f>'SAM 07 FEV'!AP8+'LUN 09 FEV'!AP8+#REF!+#REF!+#REF!+#REF!</f>
        <v>#REF!</v>
      </c>
      <c r="AQ8" s="90" t="e">
        <f>'SAM 07 FEV'!AQ8+'LUN 09 FEV'!AQ8+#REF!+#REF!+#REF!+#REF!</f>
        <v>#REF!</v>
      </c>
      <c r="AR8" s="10" t="e">
        <f>'SAM 07 FEV'!AR8+'LUN 09 FEV'!AR8+#REF!+#REF!+#REF!+#REF!</f>
        <v>#REF!</v>
      </c>
      <c r="AS8" s="10" t="e">
        <f>'SAM 07 FEV'!AS8+'LUN 09 FEV'!AS8+#REF!+#REF!+#REF!+#REF!</f>
        <v>#REF!</v>
      </c>
      <c r="AT8" s="10" t="e">
        <f>'SAM 07 FEV'!AT8+'LUN 09 FEV'!AT8+#REF!+#REF!+#REF!+#REF!</f>
        <v>#REF!</v>
      </c>
      <c r="AU8" s="10" t="e">
        <f>'SAM 07 FEV'!AU8+'LUN 09 FEV'!AU8+#REF!+#REF!+#REF!+#REF!</f>
        <v>#REF!</v>
      </c>
      <c r="AV8" s="6" t="e">
        <f>'SAM 07 FEV'!AV8+'LUN 09 FEV'!AV8+#REF!+#REF!+#REF!+#REF!</f>
        <v>#REF!</v>
      </c>
      <c r="AW8" s="7" t="e">
        <f>'SAM 07 FEV'!AW8+'LUN 09 FEV'!AW8+#REF!+#REF!+#REF!+#REF!</f>
        <v>#REF!</v>
      </c>
      <c r="AX8" s="7" t="e">
        <f>'SAM 07 FEV'!AX8+'LUN 09 FEV'!AX8+#REF!+#REF!+#REF!+#REF!</f>
        <v>#REF!</v>
      </c>
      <c r="AY8" s="7" t="e">
        <f>'SAM 07 FEV'!AY8+'LUN 09 FEV'!AY8+#REF!+#REF!+#REF!+#REF!</f>
        <v>#REF!</v>
      </c>
      <c r="AZ8" s="8" t="e">
        <f>'SAM 07 FEV'!AZ8+'LUN 09 FEV'!AZ8+#REF!+#REF!+#REF!+#REF!</f>
        <v>#REF!</v>
      </c>
      <c r="BA8" s="6" t="e">
        <f>'SAM 07 FEV'!BA8+'LUN 09 FEV'!BA8+#REF!+#REF!+#REF!+#REF!</f>
        <v>#REF!</v>
      </c>
      <c r="BB8" s="7" t="e">
        <f>'SAM 07 FEV'!BB8+'LUN 09 FEV'!BB8+#REF!+#REF!+#REF!+#REF!</f>
        <v>#REF!</v>
      </c>
      <c r="BC8" s="8" t="e">
        <f>'SAM 07 FEV'!BC8+'LUN 09 FEV'!BC8+#REF!+#REF!+#REF!+#REF!</f>
        <v>#REF!</v>
      </c>
      <c r="BD8" s="17"/>
      <c r="BE8" s="13"/>
    </row>
    <row r="9" spans="1:57" ht="31.9" customHeight="1" x14ac:dyDescent="0.2">
      <c r="A9" s="20">
        <v>2</v>
      </c>
      <c r="B9" s="16"/>
      <c r="C9" s="9">
        <f t="shared" ref="C9:R27" si="1">+C$3</f>
        <v>10</v>
      </c>
      <c r="D9" s="10">
        <f t="shared" si="1"/>
        <v>3</v>
      </c>
      <c r="E9" s="10">
        <f t="shared" si="0"/>
        <v>2</v>
      </c>
      <c r="F9" s="10">
        <f t="shared" si="0"/>
        <v>2</v>
      </c>
      <c r="G9" s="11">
        <f t="shared" si="0"/>
        <v>3</v>
      </c>
      <c r="H9" s="9">
        <f t="shared" si="0"/>
        <v>3</v>
      </c>
      <c r="I9" s="10">
        <f t="shared" si="0"/>
        <v>1</v>
      </c>
      <c r="J9" s="10">
        <f t="shared" si="0"/>
        <v>1</v>
      </c>
      <c r="K9" s="10">
        <f t="shared" si="0"/>
        <v>1</v>
      </c>
      <c r="L9" s="11">
        <f t="shared" si="0"/>
        <v>1</v>
      </c>
      <c r="M9" s="9">
        <f t="shared" si="0"/>
        <v>3</v>
      </c>
      <c r="N9" s="10">
        <f t="shared" si="0"/>
        <v>1</v>
      </c>
      <c r="O9" s="10">
        <f t="shared" si="0"/>
        <v>3</v>
      </c>
      <c r="P9" s="10">
        <f t="shared" si="0"/>
        <v>0</v>
      </c>
      <c r="Q9" s="11">
        <f t="shared" si="0"/>
        <v>0</v>
      </c>
      <c r="R9" s="36">
        <f t="shared" si="0"/>
        <v>0.5</v>
      </c>
      <c r="S9" s="37">
        <f t="shared" si="0"/>
        <v>0.16666666666666666</v>
      </c>
      <c r="T9" s="37">
        <f t="shared" si="0"/>
        <v>0.1</v>
      </c>
      <c r="U9" s="37">
        <f t="shared" si="0"/>
        <v>0.6</v>
      </c>
      <c r="V9" s="38">
        <f t="shared" si="0"/>
        <v>0.15</v>
      </c>
      <c r="W9" s="6" t="e">
        <f>'SAM 07 FEV'!W9+'LUN 09 FEV'!W9+#REF!+#REF!+#REF!+#REF!</f>
        <v>#REF!</v>
      </c>
      <c r="X9" s="7" t="e">
        <f>'SAM 07 FEV'!X9+'LUN 09 FEV'!X9+#REF!+#REF!+#REF!+#REF!</f>
        <v>#REF!</v>
      </c>
      <c r="Y9" s="7" t="e">
        <f>'SAM 07 FEV'!Y9+'LUN 09 FEV'!Y9+#REF!+#REF!+#REF!+#REF!</f>
        <v>#REF!</v>
      </c>
      <c r="Z9" s="7" t="e">
        <f>'SAM 07 FEV'!Z9+'LUN 09 FEV'!Z9+#REF!+#REF!+#REF!+#REF!</f>
        <v>#REF!</v>
      </c>
      <c r="AA9" s="8" t="e">
        <f>'SAM 07 FEV'!AA9+'LUN 09 FEV'!AA9+#REF!+#REF!+#REF!+#REF!</f>
        <v>#REF!</v>
      </c>
      <c r="AB9" s="10" t="e">
        <f>'SAM 07 FEV'!AB9+'LUN 09 FEV'!AB9+#REF!+#REF!+#REF!+#REF!</f>
        <v>#REF!</v>
      </c>
      <c r="AC9" s="10" t="e">
        <f>'SAM 07 FEV'!AC9+'LUN 09 FEV'!AC9+#REF!+#REF!+#REF!+#REF!</f>
        <v>#REF!</v>
      </c>
      <c r="AD9" s="10" t="e">
        <f>'SAM 07 FEV'!AD9+'LUN 09 FEV'!AD9+#REF!+#REF!+#REF!+#REF!</f>
        <v>#REF!</v>
      </c>
      <c r="AE9" s="10" t="e">
        <f>'SAM 07 FEV'!AE9+'LUN 09 FEV'!AE9+#REF!+#REF!+#REF!+#REF!</f>
        <v>#REF!</v>
      </c>
      <c r="AF9" s="10" t="e">
        <f>'SAM 07 FEV'!AF9+'LUN 09 FEV'!AF9+#REF!+#REF!+#REF!+#REF!</f>
        <v>#REF!</v>
      </c>
      <c r="AG9" s="6" t="e">
        <f>'SAM 07 FEV'!AG9+'LUN 09 FEV'!AG9+#REF!+#REF!+#REF!+#REF!</f>
        <v>#REF!</v>
      </c>
      <c r="AH9" s="7" t="e">
        <f>'SAM 07 FEV'!AH9+'LUN 09 FEV'!AH9+#REF!+#REF!+#REF!+#REF!</f>
        <v>#REF!</v>
      </c>
      <c r="AI9" s="7" t="e">
        <f>'SAM 07 FEV'!AI9+'LUN 09 FEV'!AI9+#REF!+#REF!+#REF!+#REF!</f>
        <v>#REF!</v>
      </c>
      <c r="AJ9" s="7" t="e">
        <f>'SAM 07 FEV'!AJ9+'LUN 09 FEV'!AJ9+#REF!+#REF!+#REF!+#REF!</f>
        <v>#REF!</v>
      </c>
      <c r="AK9" s="8" t="e">
        <f>'SAM 07 FEV'!AK9+'LUN 09 FEV'!AK9+#REF!+#REF!+#REF!+#REF!</f>
        <v>#REF!</v>
      </c>
      <c r="AL9" s="9" t="e">
        <f>'SAM 07 FEV'!AL9+'LUN 09 FEV'!AL9+#REF!+#REF!+#REF!+#REF!</f>
        <v>#REF!</v>
      </c>
      <c r="AM9" s="10" t="e">
        <f>'SAM 07 FEV'!AM9+'LUN 09 FEV'!AM9+#REF!+#REF!+#REF!+#REF!</f>
        <v>#REF!</v>
      </c>
      <c r="AN9" s="10" t="e">
        <f>'SAM 07 FEV'!AN9+'LUN 09 FEV'!AN9+#REF!+#REF!+#REF!+#REF!</f>
        <v>#REF!</v>
      </c>
      <c r="AO9" s="10" t="e">
        <f>'SAM 07 FEV'!AO9+'LUN 09 FEV'!AO9+#REF!+#REF!+#REF!+#REF!</f>
        <v>#REF!</v>
      </c>
      <c r="AP9" s="11" t="e">
        <f>'SAM 07 FEV'!AP9+'LUN 09 FEV'!AP9+#REF!+#REF!+#REF!+#REF!</f>
        <v>#REF!</v>
      </c>
      <c r="AQ9" s="90" t="e">
        <f>'SAM 07 FEV'!AQ9+'LUN 09 FEV'!AQ9+#REF!+#REF!+#REF!+#REF!</f>
        <v>#REF!</v>
      </c>
      <c r="AR9" s="10" t="e">
        <f>'SAM 07 FEV'!AR9+'LUN 09 FEV'!AR9+#REF!+#REF!+#REF!+#REF!</f>
        <v>#REF!</v>
      </c>
      <c r="AS9" s="10" t="e">
        <f>'SAM 07 FEV'!AS9+'LUN 09 FEV'!AS9+#REF!+#REF!+#REF!+#REF!</f>
        <v>#REF!</v>
      </c>
      <c r="AT9" s="10" t="e">
        <f>'SAM 07 FEV'!AT9+'LUN 09 FEV'!AT9+#REF!+#REF!+#REF!+#REF!</f>
        <v>#REF!</v>
      </c>
      <c r="AU9" s="10" t="e">
        <f>'SAM 07 FEV'!AU9+'LUN 09 FEV'!AU9+#REF!+#REF!+#REF!+#REF!</f>
        <v>#REF!</v>
      </c>
      <c r="AV9" s="6" t="e">
        <f>'SAM 07 FEV'!AV9+'LUN 09 FEV'!AV9+#REF!+#REF!+#REF!+#REF!</f>
        <v>#REF!</v>
      </c>
      <c r="AW9" s="7" t="e">
        <f>'SAM 07 FEV'!AW9+'LUN 09 FEV'!AW9+#REF!+#REF!+#REF!+#REF!</f>
        <v>#REF!</v>
      </c>
      <c r="AX9" s="7" t="e">
        <f>'SAM 07 FEV'!AX9+'LUN 09 FEV'!AX9+#REF!+#REF!+#REF!+#REF!</f>
        <v>#REF!</v>
      </c>
      <c r="AY9" s="7" t="e">
        <f>'SAM 07 FEV'!AY9+'LUN 09 FEV'!AY9+#REF!+#REF!+#REF!+#REF!</f>
        <v>#REF!</v>
      </c>
      <c r="AZ9" s="8" t="e">
        <f>'SAM 07 FEV'!AZ9+'LUN 09 FEV'!AZ9+#REF!+#REF!+#REF!+#REF!</f>
        <v>#REF!</v>
      </c>
      <c r="BA9" s="6" t="e">
        <f>'SAM 07 FEV'!BA9+'LUN 09 FEV'!BA9+#REF!+#REF!+#REF!+#REF!</f>
        <v>#REF!</v>
      </c>
      <c r="BB9" s="7" t="e">
        <f>'SAM 07 FEV'!BB9+'LUN 09 FEV'!BB9+#REF!+#REF!+#REF!+#REF!</f>
        <v>#REF!</v>
      </c>
      <c r="BC9" s="8" t="e">
        <f>'SAM 07 FEV'!BC9+'LUN 09 FEV'!BC9+#REF!+#REF!+#REF!+#REF!</f>
        <v>#REF!</v>
      </c>
      <c r="BD9" s="70"/>
      <c r="BE9" s="12"/>
    </row>
    <row r="10" spans="1:57" ht="31.9" customHeight="1" x14ac:dyDescent="0.2">
      <c r="A10" s="20">
        <v>3</v>
      </c>
      <c r="B10" s="16"/>
      <c r="C10" s="9">
        <f t="shared" si="1"/>
        <v>10</v>
      </c>
      <c r="D10" s="10">
        <f t="shared" si="1"/>
        <v>3</v>
      </c>
      <c r="E10" s="10">
        <f t="shared" si="0"/>
        <v>2</v>
      </c>
      <c r="F10" s="10">
        <f t="shared" si="0"/>
        <v>2</v>
      </c>
      <c r="G10" s="11">
        <f t="shared" si="0"/>
        <v>3</v>
      </c>
      <c r="H10" s="9">
        <f t="shared" si="0"/>
        <v>3</v>
      </c>
      <c r="I10" s="10">
        <f t="shared" si="0"/>
        <v>1</v>
      </c>
      <c r="J10" s="10">
        <f t="shared" si="0"/>
        <v>1</v>
      </c>
      <c r="K10" s="10">
        <f t="shared" si="0"/>
        <v>1</v>
      </c>
      <c r="L10" s="11">
        <f t="shared" si="0"/>
        <v>1</v>
      </c>
      <c r="M10" s="9">
        <f t="shared" si="0"/>
        <v>3</v>
      </c>
      <c r="N10" s="10">
        <f t="shared" si="0"/>
        <v>1</v>
      </c>
      <c r="O10" s="10">
        <f t="shared" si="0"/>
        <v>3</v>
      </c>
      <c r="P10" s="10">
        <f t="shared" si="0"/>
        <v>0</v>
      </c>
      <c r="Q10" s="11">
        <f t="shared" si="0"/>
        <v>0</v>
      </c>
      <c r="R10" s="36">
        <f t="shared" si="0"/>
        <v>0.5</v>
      </c>
      <c r="S10" s="37">
        <f t="shared" si="0"/>
        <v>0.16666666666666666</v>
      </c>
      <c r="T10" s="37">
        <f t="shared" si="0"/>
        <v>0.1</v>
      </c>
      <c r="U10" s="37">
        <f t="shared" si="0"/>
        <v>0.6</v>
      </c>
      <c r="V10" s="38">
        <f t="shared" si="0"/>
        <v>0.15</v>
      </c>
      <c r="W10" s="6" t="e">
        <f>'SAM 07 FEV'!W10+'LUN 09 FEV'!W10+#REF!+#REF!+#REF!+#REF!</f>
        <v>#REF!</v>
      </c>
      <c r="X10" s="7" t="e">
        <f>'SAM 07 FEV'!X10+'LUN 09 FEV'!X10+#REF!+#REF!+#REF!+#REF!</f>
        <v>#REF!</v>
      </c>
      <c r="Y10" s="7" t="e">
        <f>'SAM 07 FEV'!Y10+'LUN 09 FEV'!Y10+#REF!+#REF!+#REF!+#REF!</f>
        <v>#REF!</v>
      </c>
      <c r="Z10" s="7" t="e">
        <f>'SAM 07 FEV'!Z10+'LUN 09 FEV'!Z10+#REF!+#REF!+#REF!+#REF!</f>
        <v>#REF!</v>
      </c>
      <c r="AA10" s="8" t="e">
        <f>'SAM 07 FEV'!AA10+'LUN 09 FEV'!AA10+#REF!+#REF!+#REF!+#REF!</f>
        <v>#REF!</v>
      </c>
      <c r="AB10" s="10" t="e">
        <f>'SAM 07 FEV'!AB10+'LUN 09 FEV'!AB10+#REF!+#REF!+#REF!+#REF!</f>
        <v>#REF!</v>
      </c>
      <c r="AC10" s="10" t="e">
        <f>'SAM 07 FEV'!AC10+'LUN 09 FEV'!AC10+#REF!+#REF!+#REF!+#REF!</f>
        <v>#REF!</v>
      </c>
      <c r="AD10" s="10" t="e">
        <f>'SAM 07 FEV'!AD10+'LUN 09 FEV'!AD10+#REF!+#REF!+#REF!+#REF!</f>
        <v>#REF!</v>
      </c>
      <c r="AE10" s="10" t="e">
        <f>'SAM 07 FEV'!AE10+'LUN 09 FEV'!AE10+#REF!+#REF!+#REF!+#REF!</f>
        <v>#REF!</v>
      </c>
      <c r="AF10" s="10" t="e">
        <f>'SAM 07 FEV'!AF10+'LUN 09 FEV'!AF10+#REF!+#REF!+#REF!+#REF!</f>
        <v>#REF!</v>
      </c>
      <c r="AG10" s="6" t="e">
        <f>'SAM 07 FEV'!AG10+'LUN 09 FEV'!AG10+#REF!+#REF!+#REF!+#REF!</f>
        <v>#REF!</v>
      </c>
      <c r="AH10" s="7" t="e">
        <f>'SAM 07 FEV'!AH10+'LUN 09 FEV'!AH10+#REF!+#REF!+#REF!+#REF!</f>
        <v>#REF!</v>
      </c>
      <c r="AI10" s="7" t="e">
        <f>'SAM 07 FEV'!AI10+'LUN 09 FEV'!AI10+#REF!+#REF!+#REF!+#REF!</f>
        <v>#REF!</v>
      </c>
      <c r="AJ10" s="7" t="e">
        <f>'SAM 07 FEV'!AJ10+'LUN 09 FEV'!AJ10+#REF!+#REF!+#REF!+#REF!</f>
        <v>#REF!</v>
      </c>
      <c r="AK10" s="8" t="e">
        <f>'SAM 07 FEV'!AK10+'LUN 09 FEV'!AK10+#REF!+#REF!+#REF!+#REF!</f>
        <v>#REF!</v>
      </c>
      <c r="AL10" s="9" t="e">
        <f>'SAM 07 FEV'!AL10+'LUN 09 FEV'!AL10+#REF!+#REF!+#REF!+#REF!</f>
        <v>#REF!</v>
      </c>
      <c r="AM10" s="10" t="e">
        <f>'SAM 07 FEV'!AM10+'LUN 09 FEV'!AM10+#REF!+#REF!+#REF!+#REF!</f>
        <v>#REF!</v>
      </c>
      <c r="AN10" s="10" t="e">
        <f>'SAM 07 FEV'!AN10+'LUN 09 FEV'!AN10+#REF!+#REF!+#REF!+#REF!</f>
        <v>#REF!</v>
      </c>
      <c r="AO10" s="10" t="e">
        <f>'SAM 07 FEV'!AO10+'LUN 09 FEV'!AO10+#REF!+#REF!+#REF!+#REF!</f>
        <v>#REF!</v>
      </c>
      <c r="AP10" s="11" t="e">
        <f>'SAM 07 FEV'!AP10+'LUN 09 FEV'!AP10+#REF!+#REF!+#REF!+#REF!</f>
        <v>#REF!</v>
      </c>
      <c r="AQ10" s="90" t="e">
        <f>'SAM 07 FEV'!AQ10+'LUN 09 FEV'!AQ10+#REF!+#REF!+#REF!+#REF!</f>
        <v>#REF!</v>
      </c>
      <c r="AR10" s="10" t="e">
        <f>'SAM 07 FEV'!AR10+'LUN 09 FEV'!AR10+#REF!+#REF!+#REF!+#REF!</f>
        <v>#REF!</v>
      </c>
      <c r="AS10" s="10" t="e">
        <f>'SAM 07 FEV'!AS10+'LUN 09 FEV'!AS10+#REF!+#REF!+#REF!+#REF!</f>
        <v>#REF!</v>
      </c>
      <c r="AT10" s="10" t="e">
        <f>'SAM 07 FEV'!AT10+'LUN 09 FEV'!AT10+#REF!+#REF!+#REF!+#REF!</f>
        <v>#REF!</v>
      </c>
      <c r="AU10" s="10" t="e">
        <f>'SAM 07 FEV'!AU10+'LUN 09 FEV'!AU10+#REF!+#REF!+#REF!+#REF!</f>
        <v>#REF!</v>
      </c>
      <c r="AV10" s="6" t="e">
        <f>'SAM 07 FEV'!AV10+'LUN 09 FEV'!AV10+#REF!+#REF!+#REF!+#REF!</f>
        <v>#REF!</v>
      </c>
      <c r="AW10" s="7" t="e">
        <f>'SAM 07 FEV'!AW10+'LUN 09 FEV'!AW10+#REF!+#REF!+#REF!+#REF!</f>
        <v>#REF!</v>
      </c>
      <c r="AX10" s="7" t="e">
        <f>'SAM 07 FEV'!AX10+'LUN 09 FEV'!AX10+#REF!+#REF!+#REF!+#REF!</f>
        <v>#REF!</v>
      </c>
      <c r="AY10" s="7" t="e">
        <f>'SAM 07 FEV'!AY10+'LUN 09 FEV'!AY10+#REF!+#REF!+#REF!+#REF!</f>
        <v>#REF!</v>
      </c>
      <c r="AZ10" s="8" t="e">
        <f>'SAM 07 FEV'!AZ10+'LUN 09 FEV'!AZ10+#REF!+#REF!+#REF!+#REF!</f>
        <v>#REF!</v>
      </c>
      <c r="BA10" s="6" t="e">
        <f>'SAM 07 FEV'!BA10+'LUN 09 FEV'!BA10+#REF!+#REF!+#REF!+#REF!</f>
        <v>#REF!</v>
      </c>
      <c r="BB10" s="7" t="e">
        <f>'SAM 07 FEV'!BB10+'LUN 09 FEV'!BB10+#REF!+#REF!+#REF!+#REF!</f>
        <v>#REF!</v>
      </c>
      <c r="BC10" s="8" t="e">
        <f>'SAM 07 FEV'!BC10+'LUN 09 FEV'!BC10+#REF!+#REF!+#REF!+#REF!</f>
        <v>#REF!</v>
      </c>
      <c r="BD10" s="138"/>
      <c r="BE10" s="12"/>
    </row>
    <row r="11" spans="1:57" ht="31.9" customHeight="1" x14ac:dyDescent="0.2">
      <c r="A11" s="20">
        <v>4</v>
      </c>
      <c r="B11" s="16"/>
      <c r="C11" s="9">
        <f t="shared" si="1"/>
        <v>10</v>
      </c>
      <c r="D11" s="10">
        <f t="shared" si="1"/>
        <v>3</v>
      </c>
      <c r="E11" s="10">
        <f t="shared" si="0"/>
        <v>2</v>
      </c>
      <c r="F11" s="10">
        <f t="shared" si="0"/>
        <v>2</v>
      </c>
      <c r="G11" s="11">
        <f t="shared" si="0"/>
        <v>3</v>
      </c>
      <c r="H11" s="9">
        <f t="shared" si="0"/>
        <v>3</v>
      </c>
      <c r="I11" s="10">
        <f t="shared" si="0"/>
        <v>1</v>
      </c>
      <c r="J11" s="10">
        <f t="shared" si="0"/>
        <v>1</v>
      </c>
      <c r="K11" s="10">
        <f t="shared" si="0"/>
        <v>1</v>
      </c>
      <c r="L11" s="11">
        <f t="shared" si="0"/>
        <v>1</v>
      </c>
      <c r="M11" s="9">
        <f t="shared" si="0"/>
        <v>3</v>
      </c>
      <c r="N11" s="10">
        <f t="shared" si="0"/>
        <v>1</v>
      </c>
      <c r="O11" s="10">
        <f t="shared" si="0"/>
        <v>3</v>
      </c>
      <c r="P11" s="10">
        <f t="shared" si="0"/>
        <v>0</v>
      </c>
      <c r="Q11" s="11">
        <f t="shared" si="0"/>
        <v>0</v>
      </c>
      <c r="R11" s="36">
        <f t="shared" si="0"/>
        <v>0.5</v>
      </c>
      <c r="S11" s="37">
        <f t="shared" si="0"/>
        <v>0.16666666666666666</v>
      </c>
      <c r="T11" s="37">
        <f t="shared" si="0"/>
        <v>0.1</v>
      </c>
      <c r="U11" s="37">
        <f t="shared" si="0"/>
        <v>0.6</v>
      </c>
      <c r="V11" s="38">
        <f t="shared" si="0"/>
        <v>0.15</v>
      </c>
      <c r="W11" s="6" t="e">
        <f>'SAM 07 FEV'!W11+'LUN 09 FEV'!W11+#REF!+#REF!+#REF!+#REF!</f>
        <v>#REF!</v>
      </c>
      <c r="X11" s="7" t="e">
        <f>'SAM 07 FEV'!X11+'LUN 09 FEV'!X11+#REF!+#REF!+#REF!+#REF!</f>
        <v>#REF!</v>
      </c>
      <c r="Y11" s="7" t="e">
        <f>'SAM 07 FEV'!Y11+'LUN 09 FEV'!Y11+#REF!+#REF!+#REF!+#REF!</f>
        <v>#REF!</v>
      </c>
      <c r="Z11" s="7" t="e">
        <f>'SAM 07 FEV'!Z11+'LUN 09 FEV'!Z11+#REF!+#REF!+#REF!+#REF!</f>
        <v>#REF!</v>
      </c>
      <c r="AA11" s="8" t="e">
        <f>'SAM 07 FEV'!AA11+'LUN 09 FEV'!AA11+#REF!+#REF!+#REF!+#REF!</f>
        <v>#REF!</v>
      </c>
      <c r="AB11" s="10" t="e">
        <f>'SAM 07 FEV'!AB11+'LUN 09 FEV'!AB11+#REF!+#REF!+#REF!+#REF!</f>
        <v>#REF!</v>
      </c>
      <c r="AC11" s="10" t="e">
        <f>'SAM 07 FEV'!AC11+'LUN 09 FEV'!AC11+#REF!+#REF!+#REF!+#REF!</f>
        <v>#REF!</v>
      </c>
      <c r="AD11" s="10" t="e">
        <f>'SAM 07 FEV'!AD11+'LUN 09 FEV'!AD11+#REF!+#REF!+#REF!+#REF!</f>
        <v>#REF!</v>
      </c>
      <c r="AE11" s="10" t="e">
        <f>'SAM 07 FEV'!AE11+'LUN 09 FEV'!AE11+#REF!+#REF!+#REF!+#REF!</f>
        <v>#REF!</v>
      </c>
      <c r="AF11" s="10" t="e">
        <f>'SAM 07 FEV'!AF11+'LUN 09 FEV'!AF11+#REF!+#REF!+#REF!+#REF!</f>
        <v>#REF!</v>
      </c>
      <c r="AG11" s="6" t="e">
        <f>'SAM 07 FEV'!AG11+'LUN 09 FEV'!AG11+#REF!+#REF!+#REF!+#REF!</f>
        <v>#REF!</v>
      </c>
      <c r="AH11" s="7" t="e">
        <f>'SAM 07 FEV'!AH11+'LUN 09 FEV'!AH11+#REF!+#REF!+#REF!+#REF!</f>
        <v>#REF!</v>
      </c>
      <c r="AI11" s="7" t="e">
        <f>'SAM 07 FEV'!AI11+'LUN 09 FEV'!AI11+#REF!+#REF!+#REF!+#REF!</f>
        <v>#REF!</v>
      </c>
      <c r="AJ11" s="7" t="e">
        <f>'SAM 07 FEV'!AJ11+'LUN 09 FEV'!AJ11+#REF!+#REF!+#REF!+#REF!</f>
        <v>#REF!</v>
      </c>
      <c r="AK11" s="8" t="e">
        <f>'SAM 07 FEV'!AK11+'LUN 09 FEV'!AK11+#REF!+#REF!+#REF!+#REF!</f>
        <v>#REF!</v>
      </c>
      <c r="AL11" s="9" t="e">
        <f>'SAM 07 FEV'!AL11+'LUN 09 FEV'!AL11+#REF!+#REF!+#REF!+#REF!</f>
        <v>#REF!</v>
      </c>
      <c r="AM11" s="10" t="e">
        <f>'SAM 07 FEV'!AM11+'LUN 09 FEV'!AM11+#REF!+#REF!+#REF!+#REF!</f>
        <v>#REF!</v>
      </c>
      <c r="AN11" s="10" t="e">
        <f>'SAM 07 FEV'!AN11+'LUN 09 FEV'!AN11+#REF!+#REF!+#REF!+#REF!</f>
        <v>#REF!</v>
      </c>
      <c r="AO11" s="10" t="e">
        <f>'SAM 07 FEV'!AO11+'LUN 09 FEV'!AO11+#REF!+#REF!+#REF!+#REF!</f>
        <v>#REF!</v>
      </c>
      <c r="AP11" s="11" t="e">
        <f>'SAM 07 FEV'!AP11+'LUN 09 FEV'!AP11+#REF!+#REF!+#REF!+#REF!</f>
        <v>#REF!</v>
      </c>
      <c r="AQ11" s="90" t="e">
        <f>'SAM 07 FEV'!AQ11+'LUN 09 FEV'!AQ11+#REF!+#REF!+#REF!+#REF!</f>
        <v>#REF!</v>
      </c>
      <c r="AR11" s="10" t="e">
        <f>'SAM 07 FEV'!AR11+'LUN 09 FEV'!AR11+#REF!+#REF!+#REF!+#REF!</f>
        <v>#REF!</v>
      </c>
      <c r="AS11" s="10" t="e">
        <f>'SAM 07 FEV'!AS11+'LUN 09 FEV'!AS11+#REF!+#REF!+#REF!+#REF!</f>
        <v>#REF!</v>
      </c>
      <c r="AT11" s="10" t="e">
        <f>'SAM 07 FEV'!AT11+'LUN 09 FEV'!AT11+#REF!+#REF!+#REF!+#REF!</f>
        <v>#REF!</v>
      </c>
      <c r="AU11" s="10" t="e">
        <f>'SAM 07 FEV'!AU11+'LUN 09 FEV'!AU11+#REF!+#REF!+#REF!+#REF!</f>
        <v>#REF!</v>
      </c>
      <c r="AV11" s="6" t="e">
        <f>'SAM 07 FEV'!AV11+'LUN 09 FEV'!AV11+#REF!+#REF!+#REF!+#REF!</f>
        <v>#REF!</v>
      </c>
      <c r="AW11" s="7" t="e">
        <f>'SAM 07 FEV'!AW11+'LUN 09 FEV'!AW11+#REF!+#REF!+#REF!+#REF!</f>
        <v>#REF!</v>
      </c>
      <c r="AX11" s="7" t="e">
        <f>'SAM 07 FEV'!AX11+'LUN 09 FEV'!AX11+#REF!+#REF!+#REF!+#REF!</f>
        <v>#REF!</v>
      </c>
      <c r="AY11" s="7" t="e">
        <f>'SAM 07 FEV'!AY11+'LUN 09 FEV'!AY11+#REF!+#REF!+#REF!+#REF!</f>
        <v>#REF!</v>
      </c>
      <c r="AZ11" s="8" t="e">
        <f>'SAM 07 FEV'!AZ11+'LUN 09 FEV'!AZ11+#REF!+#REF!+#REF!+#REF!</f>
        <v>#REF!</v>
      </c>
      <c r="BA11" s="6" t="e">
        <f>'SAM 07 FEV'!BA11+'LUN 09 FEV'!BA11+#REF!+#REF!+#REF!+#REF!</f>
        <v>#REF!</v>
      </c>
      <c r="BB11" s="7" t="e">
        <f>'SAM 07 FEV'!BB11+'LUN 09 FEV'!BB11+#REF!+#REF!+#REF!+#REF!</f>
        <v>#REF!</v>
      </c>
      <c r="BC11" s="8" t="e">
        <f>'SAM 07 FEV'!BC11+'LUN 09 FEV'!BC11+#REF!+#REF!+#REF!+#REF!</f>
        <v>#REF!</v>
      </c>
      <c r="BD11" s="139"/>
      <c r="BE11" s="12"/>
    </row>
    <row r="12" spans="1:57" ht="31.9" customHeight="1" x14ac:dyDescent="0.2">
      <c r="A12" s="20">
        <v>5</v>
      </c>
      <c r="B12" s="16"/>
      <c r="C12" s="9">
        <f t="shared" si="1"/>
        <v>10</v>
      </c>
      <c r="D12" s="10">
        <f t="shared" si="1"/>
        <v>3</v>
      </c>
      <c r="E12" s="10">
        <f t="shared" si="0"/>
        <v>2</v>
      </c>
      <c r="F12" s="10">
        <f t="shared" si="0"/>
        <v>2</v>
      </c>
      <c r="G12" s="11">
        <f t="shared" si="0"/>
        <v>3</v>
      </c>
      <c r="H12" s="9">
        <f t="shared" si="0"/>
        <v>3</v>
      </c>
      <c r="I12" s="10">
        <f t="shared" si="0"/>
        <v>1</v>
      </c>
      <c r="J12" s="10">
        <f t="shared" si="0"/>
        <v>1</v>
      </c>
      <c r="K12" s="10">
        <f t="shared" si="0"/>
        <v>1</v>
      </c>
      <c r="L12" s="11">
        <f t="shared" si="0"/>
        <v>1</v>
      </c>
      <c r="M12" s="9">
        <f t="shared" si="0"/>
        <v>3</v>
      </c>
      <c r="N12" s="10">
        <f t="shared" si="0"/>
        <v>1</v>
      </c>
      <c r="O12" s="10">
        <f t="shared" si="0"/>
        <v>3</v>
      </c>
      <c r="P12" s="10">
        <f t="shared" si="0"/>
        <v>0</v>
      </c>
      <c r="Q12" s="11">
        <f t="shared" si="0"/>
        <v>0</v>
      </c>
      <c r="R12" s="36">
        <f t="shared" si="0"/>
        <v>0.5</v>
      </c>
      <c r="S12" s="37">
        <f t="shared" si="0"/>
        <v>0.16666666666666666</v>
      </c>
      <c r="T12" s="37">
        <f t="shared" si="0"/>
        <v>0.1</v>
      </c>
      <c r="U12" s="37">
        <f t="shared" si="0"/>
        <v>0.6</v>
      </c>
      <c r="V12" s="38">
        <f t="shared" si="0"/>
        <v>0.15</v>
      </c>
      <c r="W12" s="6" t="e">
        <f>'SAM 07 FEV'!W12+'LUN 09 FEV'!W12+#REF!+#REF!+#REF!+#REF!</f>
        <v>#REF!</v>
      </c>
      <c r="X12" s="7" t="e">
        <f>'SAM 07 FEV'!X12+'LUN 09 FEV'!X12+#REF!+#REF!+#REF!+#REF!</f>
        <v>#REF!</v>
      </c>
      <c r="Y12" s="7" t="e">
        <f>'SAM 07 FEV'!Y12+'LUN 09 FEV'!Y12+#REF!+#REF!+#REF!+#REF!</f>
        <v>#REF!</v>
      </c>
      <c r="Z12" s="7" t="e">
        <f>'SAM 07 FEV'!Z12+'LUN 09 FEV'!Z12+#REF!+#REF!+#REF!+#REF!</f>
        <v>#REF!</v>
      </c>
      <c r="AA12" s="8" t="e">
        <f>'SAM 07 FEV'!AA12+'LUN 09 FEV'!AA12+#REF!+#REF!+#REF!+#REF!</f>
        <v>#REF!</v>
      </c>
      <c r="AB12" s="10" t="e">
        <f>'SAM 07 FEV'!AB12+'LUN 09 FEV'!AB12+#REF!+#REF!+#REF!+#REF!</f>
        <v>#REF!</v>
      </c>
      <c r="AC12" s="10" t="e">
        <f>'SAM 07 FEV'!AC12+'LUN 09 FEV'!AC12+#REF!+#REF!+#REF!+#REF!</f>
        <v>#REF!</v>
      </c>
      <c r="AD12" s="10" t="e">
        <f>'SAM 07 FEV'!AD12+'LUN 09 FEV'!AD12+#REF!+#REF!+#REF!+#REF!</f>
        <v>#REF!</v>
      </c>
      <c r="AE12" s="10" t="e">
        <f>'SAM 07 FEV'!AE12+'LUN 09 FEV'!AE12+#REF!+#REF!+#REF!+#REF!</f>
        <v>#REF!</v>
      </c>
      <c r="AF12" s="10" t="e">
        <f>'SAM 07 FEV'!AF12+'LUN 09 FEV'!AF12+#REF!+#REF!+#REF!+#REF!</f>
        <v>#REF!</v>
      </c>
      <c r="AG12" s="6" t="e">
        <f>'SAM 07 FEV'!AG12+'LUN 09 FEV'!AG12+#REF!+#REF!+#REF!+#REF!</f>
        <v>#REF!</v>
      </c>
      <c r="AH12" s="7" t="e">
        <f>'SAM 07 FEV'!AH12+'LUN 09 FEV'!AH12+#REF!+#REF!+#REF!+#REF!</f>
        <v>#REF!</v>
      </c>
      <c r="AI12" s="7" t="e">
        <f>'SAM 07 FEV'!AI12+'LUN 09 FEV'!AI12+#REF!+#REF!+#REF!+#REF!</f>
        <v>#REF!</v>
      </c>
      <c r="AJ12" s="7" t="e">
        <f>'SAM 07 FEV'!AJ12+'LUN 09 FEV'!AJ12+#REF!+#REF!+#REF!+#REF!</f>
        <v>#REF!</v>
      </c>
      <c r="AK12" s="8" t="e">
        <f>'SAM 07 FEV'!AK12+'LUN 09 FEV'!AK12+#REF!+#REF!+#REF!+#REF!</f>
        <v>#REF!</v>
      </c>
      <c r="AL12" s="9" t="e">
        <f>'SAM 07 FEV'!AL12+'LUN 09 FEV'!AL12+#REF!+#REF!+#REF!+#REF!</f>
        <v>#REF!</v>
      </c>
      <c r="AM12" s="10" t="e">
        <f>'SAM 07 FEV'!AM12+'LUN 09 FEV'!AM12+#REF!+#REF!+#REF!+#REF!</f>
        <v>#REF!</v>
      </c>
      <c r="AN12" s="10" t="e">
        <f>'SAM 07 FEV'!AN12+'LUN 09 FEV'!AN12+#REF!+#REF!+#REF!+#REF!</f>
        <v>#REF!</v>
      </c>
      <c r="AO12" s="10" t="e">
        <f>'SAM 07 FEV'!AO12+'LUN 09 FEV'!AO12+#REF!+#REF!+#REF!+#REF!</f>
        <v>#REF!</v>
      </c>
      <c r="AP12" s="11" t="e">
        <f>'SAM 07 FEV'!AP12+'LUN 09 FEV'!AP12+#REF!+#REF!+#REF!+#REF!</f>
        <v>#REF!</v>
      </c>
      <c r="AQ12" s="90" t="e">
        <f>'SAM 07 FEV'!AQ12+'LUN 09 FEV'!AQ12+#REF!+#REF!+#REF!+#REF!</f>
        <v>#REF!</v>
      </c>
      <c r="AR12" s="10" t="e">
        <f>'SAM 07 FEV'!AR12+'LUN 09 FEV'!AR12+#REF!+#REF!+#REF!+#REF!</f>
        <v>#REF!</v>
      </c>
      <c r="AS12" s="10" t="e">
        <f>'SAM 07 FEV'!AS12+'LUN 09 FEV'!AS12+#REF!+#REF!+#REF!+#REF!</f>
        <v>#REF!</v>
      </c>
      <c r="AT12" s="10" t="e">
        <f>'SAM 07 FEV'!AT12+'LUN 09 FEV'!AT12+#REF!+#REF!+#REF!+#REF!</f>
        <v>#REF!</v>
      </c>
      <c r="AU12" s="10" t="e">
        <f>'SAM 07 FEV'!AU12+'LUN 09 FEV'!AU12+#REF!+#REF!+#REF!+#REF!</f>
        <v>#REF!</v>
      </c>
      <c r="AV12" s="6" t="e">
        <f>'SAM 07 FEV'!AV12+'LUN 09 FEV'!AV12+#REF!+#REF!+#REF!+#REF!</f>
        <v>#REF!</v>
      </c>
      <c r="AW12" s="7" t="e">
        <f>'SAM 07 FEV'!AW12+'LUN 09 FEV'!AW12+#REF!+#REF!+#REF!+#REF!</f>
        <v>#REF!</v>
      </c>
      <c r="AX12" s="7" t="e">
        <f>'SAM 07 FEV'!AX12+'LUN 09 FEV'!AX12+#REF!+#REF!+#REF!+#REF!</f>
        <v>#REF!</v>
      </c>
      <c r="AY12" s="7" t="e">
        <f>'SAM 07 FEV'!AY12+'LUN 09 FEV'!AY12+#REF!+#REF!+#REF!+#REF!</f>
        <v>#REF!</v>
      </c>
      <c r="AZ12" s="8" t="e">
        <f>'SAM 07 FEV'!AZ12+'LUN 09 FEV'!AZ12+#REF!+#REF!+#REF!+#REF!</f>
        <v>#REF!</v>
      </c>
      <c r="BA12" s="6" t="e">
        <f>'SAM 07 FEV'!BA12+'LUN 09 FEV'!BA12+#REF!+#REF!+#REF!+#REF!</f>
        <v>#REF!</v>
      </c>
      <c r="BB12" s="7" t="e">
        <f>'SAM 07 FEV'!BB12+'LUN 09 FEV'!BB12+#REF!+#REF!+#REF!+#REF!</f>
        <v>#REF!</v>
      </c>
      <c r="BC12" s="8" t="e">
        <f>'SAM 07 FEV'!BC12+'LUN 09 FEV'!BC12+#REF!+#REF!+#REF!+#REF!</f>
        <v>#REF!</v>
      </c>
      <c r="BD12" s="140"/>
      <c r="BE12" s="12"/>
    </row>
    <row r="13" spans="1:57" ht="31.9" customHeight="1" x14ac:dyDescent="0.2">
      <c r="A13" s="20">
        <v>6</v>
      </c>
      <c r="B13" s="16"/>
      <c r="C13" s="9">
        <f t="shared" si="1"/>
        <v>10</v>
      </c>
      <c r="D13" s="10">
        <f t="shared" si="1"/>
        <v>3</v>
      </c>
      <c r="E13" s="10">
        <f t="shared" si="0"/>
        <v>2</v>
      </c>
      <c r="F13" s="10">
        <f t="shared" si="0"/>
        <v>2</v>
      </c>
      <c r="G13" s="11">
        <f t="shared" si="0"/>
        <v>3</v>
      </c>
      <c r="H13" s="9">
        <f t="shared" si="0"/>
        <v>3</v>
      </c>
      <c r="I13" s="10">
        <f t="shared" si="0"/>
        <v>1</v>
      </c>
      <c r="J13" s="10">
        <f t="shared" si="0"/>
        <v>1</v>
      </c>
      <c r="K13" s="10">
        <f t="shared" si="0"/>
        <v>1</v>
      </c>
      <c r="L13" s="11">
        <f t="shared" si="0"/>
        <v>1</v>
      </c>
      <c r="M13" s="9">
        <f t="shared" si="0"/>
        <v>3</v>
      </c>
      <c r="N13" s="10">
        <f t="shared" si="0"/>
        <v>1</v>
      </c>
      <c r="O13" s="10">
        <f t="shared" si="0"/>
        <v>3</v>
      </c>
      <c r="P13" s="10">
        <f t="shared" si="0"/>
        <v>0</v>
      </c>
      <c r="Q13" s="11">
        <f t="shared" si="0"/>
        <v>0</v>
      </c>
      <c r="R13" s="36">
        <f t="shared" si="0"/>
        <v>0.5</v>
      </c>
      <c r="S13" s="37">
        <f t="shared" si="0"/>
        <v>0.16666666666666666</v>
      </c>
      <c r="T13" s="37">
        <f t="shared" si="0"/>
        <v>0.1</v>
      </c>
      <c r="U13" s="37">
        <f t="shared" si="0"/>
        <v>0.6</v>
      </c>
      <c r="V13" s="38">
        <f t="shared" si="0"/>
        <v>0.15</v>
      </c>
      <c r="W13" s="6" t="e">
        <f>'SAM 07 FEV'!W13+'LUN 09 FEV'!W13+#REF!+#REF!+#REF!+#REF!</f>
        <v>#REF!</v>
      </c>
      <c r="X13" s="7" t="e">
        <f>'SAM 07 FEV'!X13+'LUN 09 FEV'!X13+#REF!+#REF!+#REF!+#REF!</f>
        <v>#REF!</v>
      </c>
      <c r="Y13" s="7" t="e">
        <f>'SAM 07 FEV'!Y13+'LUN 09 FEV'!Y13+#REF!+#REF!+#REF!+#REF!</f>
        <v>#REF!</v>
      </c>
      <c r="Z13" s="7" t="e">
        <f>'SAM 07 FEV'!Z13+'LUN 09 FEV'!Z13+#REF!+#REF!+#REF!+#REF!</f>
        <v>#REF!</v>
      </c>
      <c r="AA13" s="8" t="e">
        <f>'SAM 07 FEV'!AA13+'LUN 09 FEV'!AA13+#REF!+#REF!+#REF!+#REF!</f>
        <v>#REF!</v>
      </c>
      <c r="AB13" s="10" t="e">
        <f>'SAM 07 FEV'!AB13+'LUN 09 FEV'!AB13+#REF!+#REF!+#REF!+#REF!</f>
        <v>#REF!</v>
      </c>
      <c r="AC13" s="10" t="e">
        <f>'SAM 07 FEV'!AC13+'LUN 09 FEV'!AC13+#REF!+#REF!+#REF!+#REF!</f>
        <v>#REF!</v>
      </c>
      <c r="AD13" s="10" t="e">
        <f>'SAM 07 FEV'!AD13+'LUN 09 FEV'!AD13+#REF!+#REF!+#REF!+#REF!</f>
        <v>#REF!</v>
      </c>
      <c r="AE13" s="10" t="e">
        <f>'SAM 07 FEV'!AE13+'LUN 09 FEV'!AE13+#REF!+#REF!+#REF!+#REF!</f>
        <v>#REF!</v>
      </c>
      <c r="AF13" s="10" t="e">
        <f>'SAM 07 FEV'!AF13+'LUN 09 FEV'!AF13+#REF!+#REF!+#REF!+#REF!</f>
        <v>#REF!</v>
      </c>
      <c r="AG13" s="6" t="e">
        <f>'SAM 07 FEV'!AG13+'LUN 09 FEV'!AG13+#REF!+#REF!+#REF!+#REF!</f>
        <v>#REF!</v>
      </c>
      <c r="AH13" s="7" t="e">
        <f>'SAM 07 FEV'!AH13+'LUN 09 FEV'!AH13+#REF!+#REF!+#REF!+#REF!</f>
        <v>#REF!</v>
      </c>
      <c r="AI13" s="7" t="e">
        <f>'SAM 07 FEV'!AI13+'LUN 09 FEV'!AI13+#REF!+#REF!+#REF!+#REF!</f>
        <v>#REF!</v>
      </c>
      <c r="AJ13" s="7" t="e">
        <f>'SAM 07 FEV'!AJ13+'LUN 09 FEV'!AJ13+#REF!+#REF!+#REF!+#REF!</f>
        <v>#REF!</v>
      </c>
      <c r="AK13" s="8" t="e">
        <f>'SAM 07 FEV'!AK13+'LUN 09 FEV'!AK13+#REF!+#REF!+#REF!+#REF!</f>
        <v>#REF!</v>
      </c>
      <c r="AL13" s="9" t="e">
        <f>'SAM 07 FEV'!AL13+'LUN 09 FEV'!AL13+#REF!+#REF!+#REF!+#REF!</f>
        <v>#REF!</v>
      </c>
      <c r="AM13" s="10" t="e">
        <f>'SAM 07 FEV'!AM13+'LUN 09 FEV'!AM13+#REF!+#REF!+#REF!+#REF!</f>
        <v>#REF!</v>
      </c>
      <c r="AN13" s="10" t="e">
        <f>'SAM 07 FEV'!AN13+'LUN 09 FEV'!AN13+#REF!+#REF!+#REF!+#REF!</f>
        <v>#REF!</v>
      </c>
      <c r="AO13" s="10" t="e">
        <f>'SAM 07 FEV'!AO13+'LUN 09 FEV'!AO13+#REF!+#REF!+#REF!+#REF!</f>
        <v>#REF!</v>
      </c>
      <c r="AP13" s="11" t="e">
        <f>'SAM 07 FEV'!AP13+'LUN 09 FEV'!AP13+#REF!+#REF!+#REF!+#REF!</f>
        <v>#REF!</v>
      </c>
      <c r="AQ13" s="90" t="e">
        <f>'SAM 07 FEV'!AQ13+'LUN 09 FEV'!AQ13+#REF!+#REF!+#REF!+#REF!</f>
        <v>#REF!</v>
      </c>
      <c r="AR13" s="10" t="e">
        <f>'SAM 07 FEV'!AR13+'LUN 09 FEV'!AR13+#REF!+#REF!+#REF!+#REF!</f>
        <v>#REF!</v>
      </c>
      <c r="AS13" s="10" t="e">
        <f>'SAM 07 FEV'!AS13+'LUN 09 FEV'!AS13+#REF!+#REF!+#REF!+#REF!</f>
        <v>#REF!</v>
      </c>
      <c r="AT13" s="10" t="e">
        <f>'SAM 07 FEV'!AT13+'LUN 09 FEV'!AT13+#REF!+#REF!+#REF!+#REF!</f>
        <v>#REF!</v>
      </c>
      <c r="AU13" s="10" t="e">
        <f>'SAM 07 FEV'!AU13+'LUN 09 FEV'!AU13+#REF!+#REF!+#REF!+#REF!</f>
        <v>#REF!</v>
      </c>
      <c r="AV13" s="6" t="e">
        <f>'SAM 07 FEV'!AV13+'LUN 09 FEV'!AV13+#REF!+#REF!+#REF!+#REF!</f>
        <v>#REF!</v>
      </c>
      <c r="AW13" s="7" t="e">
        <f>'SAM 07 FEV'!AW13+'LUN 09 FEV'!AW13+#REF!+#REF!+#REF!+#REF!</f>
        <v>#REF!</v>
      </c>
      <c r="AX13" s="7" t="e">
        <f>'SAM 07 FEV'!AX13+'LUN 09 FEV'!AX13+#REF!+#REF!+#REF!+#REF!</f>
        <v>#REF!</v>
      </c>
      <c r="AY13" s="7" t="e">
        <f>'SAM 07 FEV'!AY13+'LUN 09 FEV'!AY13+#REF!+#REF!+#REF!+#REF!</f>
        <v>#REF!</v>
      </c>
      <c r="AZ13" s="8" t="e">
        <f>'SAM 07 FEV'!AZ13+'LUN 09 FEV'!AZ13+#REF!+#REF!+#REF!+#REF!</f>
        <v>#REF!</v>
      </c>
      <c r="BA13" s="6" t="e">
        <f>'SAM 07 FEV'!BA13+'LUN 09 FEV'!BA13+#REF!+#REF!+#REF!+#REF!</f>
        <v>#REF!</v>
      </c>
      <c r="BB13" s="7" t="e">
        <f>'SAM 07 FEV'!BB13+'LUN 09 FEV'!BB13+#REF!+#REF!+#REF!+#REF!</f>
        <v>#REF!</v>
      </c>
      <c r="BC13" s="8" t="e">
        <f>'SAM 07 FEV'!BC13+'LUN 09 FEV'!BC13+#REF!+#REF!+#REF!+#REF!</f>
        <v>#REF!</v>
      </c>
      <c r="BD13" s="18"/>
      <c r="BE13" s="12"/>
    </row>
    <row r="14" spans="1:57" ht="31.9" customHeight="1" x14ac:dyDescent="0.2">
      <c r="A14" s="20">
        <v>7</v>
      </c>
      <c r="B14" s="16"/>
      <c r="C14" s="9">
        <f t="shared" si="1"/>
        <v>10</v>
      </c>
      <c r="D14" s="10">
        <f t="shared" si="1"/>
        <v>3</v>
      </c>
      <c r="E14" s="10">
        <f t="shared" si="0"/>
        <v>2</v>
      </c>
      <c r="F14" s="10">
        <f t="shared" si="0"/>
        <v>2</v>
      </c>
      <c r="G14" s="11">
        <f t="shared" si="0"/>
        <v>3</v>
      </c>
      <c r="H14" s="9">
        <f t="shared" si="0"/>
        <v>3</v>
      </c>
      <c r="I14" s="10">
        <f t="shared" si="0"/>
        <v>1</v>
      </c>
      <c r="J14" s="10">
        <f t="shared" si="0"/>
        <v>1</v>
      </c>
      <c r="K14" s="10">
        <f t="shared" si="0"/>
        <v>1</v>
      </c>
      <c r="L14" s="11">
        <f t="shared" si="0"/>
        <v>1</v>
      </c>
      <c r="M14" s="9">
        <f t="shared" si="0"/>
        <v>3</v>
      </c>
      <c r="N14" s="10">
        <f t="shared" si="0"/>
        <v>1</v>
      </c>
      <c r="O14" s="10">
        <f t="shared" si="0"/>
        <v>3</v>
      </c>
      <c r="P14" s="10">
        <f t="shared" si="0"/>
        <v>0</v>
      </c>
      <c r="Q14" s="11">
        <f t="shared" si="0"/>
        <v>0</v>
      </c>
      <c r="R14" s="36">
        <f t="shared" si="0"/>
        <v>0.5</v>
      </c>
      <c r="S14" s="37">
        <f t="shared" si="0"/>
        <v>0.16666666666666666</v>
      </c>
      <c r="T14" s="37">
        <f t="shared" si="0"/>
        <v>0.1</v>
      </c>
      <c r="U14" s="37">
        <f t="shared" si="0"/>
        <v>0.6</v>
      </c>
      <c r="V14" s="38">
        <f t="shared" si="0"/>
        <v>0.15</v>
      </c>
      <c r="W14" s="6" t="e">
        <f>'SAM 07 FEV'!W14+'LUN 09 FEV'!W14+#REF!+#REF!+#REF!+#REF!</f>
        <v>#REF!</v>
      </c>
      <c r="X14" s="7" t="e">
        <f>'SAM 07 FEV'!X14+'LUN 09 FEV'!X14+#REF!+#REF!+#REF!+#REF!</f>
        <v>#REF!</v>
      </c>
      <c r="Y14" s="7" t="e">
        <f>'SAM 07 FEV'!Y14+'LUN 09 FEV'!Y14+#REF!+#REF!+#REF!+#REF!</f>
        <v>#REF!</v>
      </c>
      <c r="Z14" s="7" t="e">
        <f>'SAM 07 FEV'!Z14+'LUN 09 FEV'!Z14+#REF!+#REF!+#REF!+#REF!</f>
        <v>#REF!</v>
      </c>
      <c r="AA14" s="8" t="e">
        <f>'SAM 07 FEV'!AA14+'LUN 09 FEV'!AA14+#REF!+#REF!+#REF!+#REF!</f>
        <v>#REF!</v>
      </c>
      <c r="AB14" s="10" t="e">
        <f>'SAM 07 FEV'!AB14+'LUN 09 FEV'!AB14+#REF!+#REF!+#REF!+#REF!</f>
        <v>#REF!</v>
      </c>
      <c r="AC14" s="10" t="e">
        <f>'SAM 07 FEV'!AC14+'LUN 09 FEV'!AC14+#REF!+#REF!+#REF!+#REF!</f>
        <v>#REF!</v>
      </c>
      <c r="AD14" s="10" t="e">
        <f>'SAM 07 FEV'!AD14+'LUN 09 FEV'!AD14+#REF!+#REF!+#REF!+#REF!</f>
        <v>#REF!</v>
      </c>
      <c r="AE14" s="10" t="e">
        <f>'SAM 07 FEV'!AE14+'LUN 09 FEV'!AE14+#REF!+#REF!+#REF!+#REF!</f>
        <v>#REF!</v>
      </c>
      <c r="AF14" s="10" t="e">
        <f>'SAM 07 FEV'!AF14+'LUN 09 FEV'!AF14+#REF!+#REF!+#REF!+#REF!</f>
        <v>#REF!</v>
      </c>
      <c r="AG14" s="6" t="e">
        <f>'SAM 07 FEV'!AG14+'LUN 09 FEV'!AG14+#REF!+#REF!+#REF!+#REF!</f>
        <v>#REF!</v>
      </c>
      <c r="AH14" s="7" t="e">
        <f>'SAM 07 FEV'!AH14+'LUN 09 FEV'!AH14+#REF!+#REF!+#REF!+#REF!</f>
        <v>#REF!</v>
      </c>
      <c r="AI14" s="7" t="e">
        <f>'SAM 07 FEV'!AI14+'LUN 09 FEV'!AI14+#REF!+#REF!+#REF!+#REF!</f>
        <v>#REF!</v>
      </c>
      <c r="AJ14" s="7" t="e">
        <f>'SAM 07 FEV'!AJ14+'LUN 09 FEV'!AJ14+#REF!+#REF!+#REF!+#REF!</f>
        <v>#REF!</v>
      </c>
      <c r="AK14" s="8" t="e">
        <f>'SAM 07 FEV'!AK14+'LUN 09 FEV'!AK14+#REF!+#REF!+#REF!+#REF!</f>
        <v>#REF!</v>
      </c>
      <c r="AL14" s="9" t="e">
        <f>'SAM 07 FEV'!AL14+'LUN 09 FEV'!AL14+#REF!+#REF!+#REF!+#REF!</f>
        <v>#REF!</v>
      </c>
      <c r="AM14" s="10" t="e">
        <f>'SAM 07 FEV'!AM14+'LUN 09 FEV'!AM14+#REF!+#REF!+#REF!+#REF!</f>
        <v>#REF!</v>
      </c>
      <c r="AN14" s="10" t="e">
        <f>'SAM 07 FEV'!AN14+'LUN 09 FEV'!AN14+#REF!+#REF!+#REF!+#REF!</f>
        <v>#REF!</v>
      </c>
      <c r="AO14" s="10" t="e">
        <f>'SAM 07 FEV'!AO14+'LUN 09 FEV'!AO14+#REF!+#REF!+#REF!+#REF!</f>
        <v>#REF!</v>
      </c>
      <c r="AP14" s="11" t="e">
        <f>'SAM 07 FEV'!AP14+'LUN 09 FEV'!AP14+#REF!+#REF!+#REF!+#REF!</f>
        <v>#REF!</v>
      </c>
      <c r="AQ14" s="90" t="e">
        <f>'SAM 07 FEV'!AQ14+'LUN 09 FEV'!AQ14+#REF!+#REF!+#REF!+#REF!</f>
        <v>#REF!</v>
      </c>
      <c r="AR14" s="10" t="e">
        <f>'SAM 07 FEV'!AR14+'LUN 09 FEV'!AR14+#REF!+#REF!+#REF!+#REF!</f>
        <v>#REF!</v>
      </c>
      <c r="AS14" s="10" t="e">
        <f>'SAM 07 FEV'!AS14+'LUN 09 FEV'!AS14+#REF!+#REF!+#REF!+#REF!</f>
        <v>#REF!</v>
      </c>
      <c r="AT14" s="10" t="e">
        <f>'SAM 07 FEV'!AT14+'LUN 09 FEV'!AT14+#REF!+#REF!+#REF!+#REF!</f>
        <v>#REF!</v>
      </c>
      <c r="AU14" s="10" t="e">
        <f>'SAM 07 FEV'!AU14+'LUN 09 FEV'!AU14+#REF!+#REF!+#REF!+#REF!</f>
        <v>#REF!</v>
      </c>
      <c r="AV14" s="6" t="e">
        <f>'SAM 07 FEV'!AV14+'LUN 09 FEV'!AV14+#REF!+#REF!+#REF!+#REF!</f>
        <v>#REF!</v>
      </c>
      <c r="AW14" s="7" t="e">
        <f>'SAM 07 FEV'!AW14+'LUN 09 FEV'!AW14+#REF!+#REF!+#REF!+#REF!</f>
        <v>#REF!</v>
      </c>
      <c r="AX14" s="7" t="e">
        <f>'SAM 07 FEV'!AX14+'LUN 09 FEV'!AX14+#REF!+#REF!+#REF!+#REF!</f>
        <v>#REF!</v>
      </c>
      <c r="AY14" s="7" t="e">
        <f>'SAM 07 FEV'!AY14+'LUN 09 FEV'!AY14+#REF!+#REF!+#REF!+#REF!</f>
        <v>#REF!</v>
      </c>
      <c r="AZ14" s="8" t="e">
        <f>'SAM 07 FEV'!AZ14+'LUN 09 FEV'!AZ14+#REF!+#REF!+#REF!+#REF!</f>
        <v>#REF!</v>
      </c>
      <c r="BA14" s="6" t="e">
        <f>'SAM 07 FEV'!BA14+'LUN 09 FEV'!BA14+#REF!+#REF!+#REF!+#REF!</f>
        <v>#REF!</v>
      </c>
      <c r="BB14" s="7" t="e">
        <f>'SAM 07 FEV'!BB14+'LUN 09 FEV'!BB14+#REF!+#REF!+#REF!+#REF!</f>
        <v>#REF!</v>
      </c>
      <c r="BC14" s="8" t="e">
        <f>'SAM 07 FEV'!BC14+'LUN 09 FEV'!BC14+#REF!+#REF!+#REF!+#REF!</f>
        <v>#REF!</v>
      </c>
      <c r="BD14" s="18"/>
      <c r="BE14" s="12"/>
    </row>
    <row r="15" spans="1:57" ht="31.9" customHeight="1" x14ac:dyDescent="0.2">
      <c r="A15" s="20">
        <v>8</v>
      </c>
      <c r="B15" s="16"/>
      <c r="C15" s="9">
        <f t="shared" si="1"/>
        <v>10</v>
      </c>
      <c r="D15" s="10">
        <f t="shared" si="1"/>
        <v>3</v>
      </c>
      <c r="E15" s="10">
        <f t="shared" si="0"/>
        <v>2</v>
      </c>
      <c r="F15" s="10">
        <f t="shared" si="0"/>
        <v>2</v>
      </c>
      <c r="G15" s="11">
        <f t="shared" si="0"/>
        <v>3</v>
      </c>
      <c r="H15" s="9">
        <f t="shared" si="0"/>
        <v>3</v>
      </c>
      <c r="I15" s="10">
        <f t="shared" si="0"/>
        <v>1</v>
      </c>
      <c r="J15" s="10">
        <f t="shared" si="0"/>
        <v>1</v>
      </c>
      <c r="K15" s="10">
        <f t="shared" si="0"/>
        <v>1</v>
      </c>
      <c r="L15" s="11">
        <f t="shared" si="0"/>
        <v>1</v>
      </c>
      <c r="M15" s="9">
        <f t="shared" si="0"/>
        <v>3</v>
      </c>
      <c r="N15" s="10">
        <f t="shared" si="0"/>
        <v>1</v>
      </c>
      <c r="O15" s="10">
        <f t="shared" si="0"/>
        <v>3</v>
      </c>
      <c r="P15" s="10">
        <f t="shared" si="0"/>
        <v>0</v>
      </c>
      <c r="Q15" s="11">
        <f t="shared" si="0"/>
        <v>0</v>
      </c>
      <c r="R15" s="36">
        <f t="shared" si="0"/>
        <v>0.5</v>
      </c>
      <c r="S15" s="37">
        <f t="shared" si="0"/>
        <v>0.16666666666666666</v>
      </c>
      <c r="T15" s="37">
        <f t="shared" si="0"/>
        <v>0.1</v>
      </c>
      <c r="U15" s="37">
        <f t="shared" si="0"/>
        <v>0.6</v>
      </c>
      <c r="V15" s="38">
        <f t="shared" si="0"/>
        <v>0.15</v>
      </c>
      <c r="W15" s="6" t="e">
        <f>'SAM 07 FEV'!W15+'LUN 09 FEV'!W15+#REF!+#REF!+#REF!+#REF!</f>
        <v>#REF!</v>
      </c>
      <c r="X15" s="7" t="e">
        <f>'SAM 07 FEV'!X15+'LUN 09 FEV'!X15+#REF!+#REF!+#REF!+#REF!</f>
        <v>#REF!</v>
      </c>
      <c r="Y15" s="7" t="e">
        <f>'SAM 07 FEV'!Y15+'LUN 09 FEV'!Y15+#REF!+#REF!+#REF!+#REF!</f>
        <v>#REF!</v>
      </c>
      <c r="Z15" s="7" t="e">
        <f>'SAM 07 FEV'!Z15+'LUN 09 FEV'!Z15+#REF!+#REF!+#REF!+#REF!</f>
        <v>#REF!</v>
      </c>
      <c r="AA15" s="8" t="e">
        <f>'SAM 07 FEV'!AA15+'LUN 09 FEV'!AA15+#REF!+#REF!+#REF!+#REF!</f>
        <v>#REF!</v>
      </c>
      <c r="AB15" s="10" t="e">
        <f>'SAM 07 FEV'!AB15+'LUN 09 FEV'!AB15+#REF!+#REF!+#REF!+#REF!</f>
        <v>#REF!</v>
      </c>
      <c r="AC15" s="10" t="e">
        <f>'SAM 07 FEV'!AC15+'LUN 09 FEV'!AC15+#REF!+#REF!+#REF!+#REF!</f>
        <v>#REF!</v>
      </c>
      <c r="AD15" s="10" t="e">
        <f>'SAM 07 FEV'!AD15+'LUN 09 FEV'!AD15+#REF!+#REF!+#REF!+#REF!</f>
        <v>#REF!</v>
      </c>
      <c r="AE15" s="10" t="e">
        <f>'SAM 07 FEV'!AE15+'LUN 09 FEV'!AE15+#REF!+#REF!+#REF!+#REF!</f>
        <v>#REF!</v>
      </c>
      <c r="AF15" s="10" t="e">
        <f>'SAM 07 FEV'!AF15+'LUN 09 FEV'!AF15+#REF!+#REF!+#REF!+#REF!</f>
        <v>#REF!</v>
      </c>
      <c r="AG15" s="6" t="e">
        <f>'SAM 07 FEV'!AG15+'LUN 09 FEV'!AG15+#REF!+#REF!+#REF!+#REF!</f>
        <v>#REF!</v>
      </c>
      <c r="AH15" s="7" t="e">
        <f>'SAM 07 FEV'!AH15+'LUN 09 FEV'!AH15+#REF!+#REF!+#REF!+#REF!</f>
        <v>#REF!</v>
      </c>
      <c r="AI15" s="7" t="e">
        <f>'SAM 07 FEV'!AI15+'LUN 09 FEV'!AI15+#REF!+#REF!+#REF!+#REF!</f>
        <v>#REF!</v>
      </c>
      <c r="AJ15" s="7" t="e">
        <f>'SAM 07 FEV'!AJ15+'LUN 09 FEV'!AJ15+#REF!+#REF!+#REF!+#REF!</f>
        <v>#REF!</v>
      </c>
      <c r="AK15" s="8" t="e">
        <f>'SAM 07 FEV'!AK15+'LUN 09 FEV'!AK15+#REF!+#REF!+#REF!+#REF!</f>
        <v>#REF!</v>
      </c>
      <c r="AL15" s="9" t="e">
        <f>'SAM 07 FEV'!AL15+'LUN 09 FEV'!AL15+#REF!+#REF!+#REF!+#REF!</f>
        <v>#REF!</v>
      </c>
      <c r="AM15" s="10" t="e">
        <f>'SAM 07 FEV'!AM15+'LUN 09 FEV'!AM15+#REF!+#REF!+#REF!+#REF!</f>
        <v>#REF!</v>
      </c>
      <c r="AN15" s="10" t="e">
        <f>'SAM 07 FEV'!AN15+'LUN 09 FEV'!AN15+#REF!+#REF!+#REF!+#REF!</f>
        <v>#REF!</v>
      </c>
      <c r="AO15" s="10" t="e">
        <f>'SAM 07 FEV'!AO15+'LUN 09 FEV'!AO15+#REF!+#REF!+#REF!+#REF!</f>
        <v>#REF!</v>
      </c>
      <c r="AP15" s="11" t="e">
        <f>'SAM 07 FEV'!AP15+'LUN 09 FEV'!AP15+#REF!+#REF!+#REF!+#REF!</f>
        <v>#REF!</v>
      </c>
      <c r="AQ15" s="90" t="e">
        <f>'SAM 07 FEV'!AQ15+'LUN 09 FEV'!AQ15+#REF!+#REF!+#REF!+#REF!</f>
        <v>#REF!</v>
      </c>
      <c r="AR15" s="10" t="e">
        <f>'SAM 07 FEV'!AR15+'LUN 09 FEV'!AR15+#REF!+#REF!+#REF!+#REF!</f>
        <v>#REF!</v>
      </c>
      <c r="AS15" s="10" t="e">
        <f>'SAM 07 FEV'!AS15+'LUN 09 FEV'!AS15+#REF!+#REF!+#REF!+#REF!</f>
        <v>#REF!</v>
      </c>
      <c r="AT15" s="10" t="e">
        <f>'SAM 07 FEV'!AT15+'LUN 09 FEV'!AT15+#REF!+#REF!+#REF!+#REF!</f>
        <v>#REF!</v>
      </c>
      <c r="AU15" s="10" t="e">
        <f>'SAM 07 FEV'!AU15+'LUN 09 FEV'!AU15+#REF!+#REF!+#REF!+#REF!</f>
        <v>#REF!</v>
      </c>
      <c r="AV15" s="6" t="e">
        <f>'SAM 07 FEV'!AV15+'LUN 09 FEV'!AV15+#REF!+#REF!+#REF!+#REF!</f>
        <v>#REF!</v>
      </c>
      <c r="AW15" s="7" t="e">
        <f>'SAM 07 FEV'!AW15+'LUN 09 FEV'!AW15+#REF!+#REF!+#REF!+#REF!</f>
        <v>#REF!</v>
      </c>
      <c r="AX15" s="7" t="e">
        <f>'SAM 07 FEV'!AX15+'LUN 09 FEV'!AX15+#REF!+#REF!+#REF!+#REF!</f>
        <v>#REF!</v>
      </c>
      <c r="AY15" s="7" t="e">
        <f>'SAM 07 FEV'!AY15+'LUN 09 FEV'!AY15+#REF!+#REF!+#REF!+#REF!</f>
        <v>#REF!</v>
      </c>
      <c r="AZ15" s="8" t="e">
        <f>'SAM 07 FEV'!AZ15+'LUN 09 FEV'!AZ15+#REF!+#REF!+#REF!+#REF!</f>
        <v>#REF!</v>
      </c>
      <c r="BA15" s="6" t="e">
        <f>'SAM 07 FEV'!BA15+'LUN 09 FEV'!BA15+#REF!+#REF!+#REF!+#REF!</f>
        <v>#REF!</v>
      </c>
      <c r="BB15" s="7" t="e">
        <f>'SAM 07 FEV'!BB15+'LUN 09 FEV'!BB15+#REF!+#REF!+#REF!+#REF!</f>
        <v>#REF!</v>
      </c>
      <c r="BC15" s="8" t="e">
        <f>'SAM 07 FEV'!BC15+'LUN 09 FEV'!BC15+#REF!+#REF!+#REF!+#REF!</f>
        <v>#REF!</v>
      </c>
      <c r="BD15" s="18"/>
      <c r="BE15" s="12"/>
    </row>
    <row r="16" spans="1:57" ht="31.9" customHeight="1" x14ac:dyDescent="0.2">
      <c r="A16" s="20">
        <v>9</v>
      </c>
      <c r="B16" s="16"/>
      <c r="C16" s="9">
        <f t="shared" si="1"/>
        <v>10</v>
      </c>
      <c r="D16" s="10">
        <f t="shared" si="1"/>
        <v>3</v>
      </c>
      <c r="E16" s="10">
        <f t="shared" si="0"/>
        <v>2</v>
      </c>
      <c r="F16" s="10">
        <f t="shared" si="0"/>
        <v>2</v>
      </c>
      <c r="G16" s="11">
        <f t="shared" si="0"/>
        <v>3</v>
      </c>
      <c r="H16" s="9">
        <f t="shared" si="0"/>
        <v>3</v>
      </c>
      <c r="I16" s="10">
        <f t="shared" si="0"/>
        <v>1</v>
      </c>
      <c r="J16" s="10">
        <f t="shared" si="0"/>
        <v>1</v>
      </c>
      <c r="K16" s="10">
        <f t="shared" si="0"/>
        <v>1</v>
      </c>
      <c r="L16" s="11">
        <f t="shared" si="0"/>
        <v>1</v>
      </c>
      <c r="M16" s="9">
        <f t="shared" si="0"/>
        <v>3</v>
      </c>
      <c r="N16" s="10">
        <f t="shared" si="0"/>
        <v>1</v>
      </c>
      <c r="O16" s="10">
        <f t="shared" si="0"/>
        <v>3</v>
      </c>
      <c r="P16" s="10">
        <f t="shared" si="0"/>
        <v>0</v>
      </c>
      <c r="Q16" s="11">
        <f t="shared" si="0"/>
        <v>0</v>
      </c>
      <c r="R16" s="36">
        <f t="shared" si="0"/>
        <v>0.5</v>
      </c>
      <c r="S16" s="37">
        <f t="shared" si="0"/>
        <v>0.16666666666666666</v>
      </c>
      <c r="T16" s="37">
        <f t="shared" si="0"/>
        <v>0.1</v>
      </c>
      <c r="U16" s="37">
        <f t="shared" si="0"/>
        <v>0.6</v>
      </c>
      <c r="V16" s="38">
        <f t="shared" si="0"/>
        <v>0.15</v>
      </c>
      <c r="W16" s="6" t="e">
        <f>'SAM 07 FEV'!W16+'LUN 09 FEV'!W16+#REF!+#REF!+#REF!+#REF!</f>
        <v>#REF!</v>
      </c>
      <c r="X16" s="7" t="e">
        <f>'SAM 07 FEV'!X16+'LUN 09 FEV'!X16+#REF!+#REF!+#REF!+#REF!</f>
        <v>#REF!</v>
      </c>
      <c r="Y16" s="7" t="e">
        <f>'SAM 07 FEV'!Y16+'LUN 09 FEV'!Y16+#REF!+#REF!+#REF!+#REF!</f>
        <v>#REF!</v>
      </c>
      <c r="Z16" s="7" t="e">
        <f>'SAM 07 FEV'!Z16+'LUN 09 FEV'!Z16+#REF!+#REF!+#REF!+#REF!</f>
        <v>#REF!</v>
      </c>
      <c r="AA16" s="8" t="e">
        <f>'SAM 07 FEV'!AA16+'LUN 09 FEV'!AA16+#REF!+#REF!+#REF!+#REF!</f>
        <v>#REF!</v>
      </c>
      <c r="AB16" s="10" t="e">
        <f>'SAM 07 FEV'!AB16+'LUN 09 FEV'!AB16+#REF!+#REF!+#REF!+#REF!</f>
        <v>#REF!</v>
      </c>
      <c r="AC16" s="10" t="e">
        <f>'SAM 07 FEV'!AC16+'LUN 09 FEV'!AC16+#REF!+#REF!+#REF!+#REF!</f>
        <v>#REF!</v>
      </c>
      <c r="AD16" s="10" t="e">
        <f>'SAM 07 FEV'!AD16+'LUN 09 FEV'!AD16+#REF!+#REF!+#REF!+#REF!</f>
        <v>#REF!</v>
      </c>
      <c r="AE16" s="10" t="e">
        <f>'SAM 07 FEV'!AE16+'LUN 09 FEV'!AE16+#REF!+#REF!+#REF!+#REF!</f>
        <v>#REF!</v>
      </c>
      <c r="AF16" s="10" t="e">
        <f>'SAM 07 FEV'!AF16+'LUN 09 FEV'!AF16+#REF!+#REF!+#REF!+#REF!</f>
        <v>#REF!</v>
      </c>
      <c r="AG16" s="6" t="e">
        <f>'SAM 07 FEV'!AG16+'LUN 09 FEV'!AG16+#REF!+#REF!+#REF!+#REF!</f>
        <v>#REF!</v>
      </c>
      <c r="AH16" s="7" t="e">
        <f>'SAM 07 FEV'!AH16+'LUN 09 FEV'!AH16+#REF!+#REF!+#REF!+#REF!</f>
        <v>#REF!</v>
      </c>
      <c r="AI16" s="7" t="e">
        <f>'SAM 07 FEV'!AI16+'LUN 09 FEV'!AI16+#REF!+#REF!+#REF!+#REF!</f>
        <v>#REF!</v>
      </c>
      <c r="AJ16" s="7" t="e">
        <f>'SAM 07 FEV'!AJ16+'LUN 09 FEV'!AJ16+#REF!+#REF!+#REF!+#REF!</f>
        <v>#REF!</v>
      </c>
      <c r="AK16" s="8" t="e">
        <f>'SAM 07 FEV'!AK16+'LUN 09 FEV'!AK16+#REF!+#REF!+#REF!+#REF!</f>
        <v>#REF!</v>
      </c>
      <c r="AL16" s="9" t="e">
        <f>'SAM 07 FEV'!AL16+'LUN 09 FEV'!AL16+#REF!+#REF!+#REF!+#REF!</f>
        <v>#REF!</v>
      </c>
      <c r="AM16" s="10" t="e">
        <f>'SAM 07 FEV'!AM16+'LUN 09 FEV'!AM16+#REF!+#REF!+#REF!+#REF!</f>
        <v>#REF!</v>
      </c>
      <c r="AN16" s="10" t="e">
        <f>'SAM 07 FEV'!AN16+'LUN 09 FEV'!AN16+#REF!+#REF!+#REF!+#REF!</f>
        <v>#REF!</v>
      </c>
      <c r="AO16" s="10" t="e">
        <f>'SAM 07 FEV'!AO16+'LUN 09 FEV'!AO16+#REF!+#REF!+#REF!+#REF!</f>
        <v>#REF!</v>
      </c>
      <c r="AP16" s="11" t="e">
        <f>'SAM 07 FEV'!AP16+'LUN 09 FEV'!AP16+#REF!+#REF!+#REF!+#REF!</f>
        <v>#REF!</v>
      </c>
      <c r="AQ16" s="90" t="e">
        <f>'SAM 07 FEV'!AQ16+'LUN 09 FEV'!AQ16+#REF!+#REF!+#REF!+#REF!</f>
        <v>#REF!</v>
      </c>
      <c r="AR16" s="10" t="e">
        <f>'SAM 07 FEV'!AR16+'LUN 09 FEV'!AR16+#REF!+#REF!+#REF!+#REF!</f>
        <v>#REF!</v>
      </c>
      <c r="AS16" s="10" t="e">
        <f>'SAM 07 FEV'!AS16+'LUN 09 FEV'!AS16+#REF!+#REF!+#REF!+#REF!</f>
        <v>#REF!</v>
      </c>
      <c r="AT16" s="10" t="e">
        <f>'SAM 07 FEV'!AT16+'LUN 09 FEV'!AT16+#REF!+#REF!+#REF!+#REF!</f>
        <v>#REF!</v>
      </c>
      <c r="AU16" s="10" t="e">
        <f>'SAM 07 FEV'!AU16+'LUN 09 FEV'!AU16+#REF!+#REF!+#REF!+#REF!</f>
        <v>#REF!</v>
      </c>
      <c r="AV16" s="6" t="e">
        <f>'SAM 07 FEV'!AV16+'LUN 09 FEV'!AV16+#REF!+#REF!+#REF!+#REF!</f>
        <v>#REF!</v>
      </c>
      <c r="AW16" s="7" t="e">
        <f>'SAM 07 FEV'!AW16+'LUN 09 FEV'!AW16+#REF!+#REF!+#REF!+#REF!</f>
        <v>#REF!</v>
      </c>
      <c r="AX16" s="7" t="e">
        <f>'SAM 07 FEV'!AX16+'LUN 09 FEV'!AX16+#REF!+#REF!+#REF!+#REF!</f>
        <v>#REF!</v>
      </c>
      <c r="AY16" s="7" t="e">
        <f>'SAM 07 FEV'!AY16+'LUN 09 FEV'!AY16+#REF!+#REF!+#REF!+#REF!</f>
        <v>#REF!</v>
      </c>
      <c r="AZ16" s="8" t="e">
        <f>'SAM 07 FEV'!AZ16+'LUN 09 FEV'!AZ16+#REF!+#REF!+#REF!+#REF!</f>
        <v>#REF!</v>
      </c>
      <c r="BA16" s="6" t="e">
        <f>'SAM 07 FEV'!BA16+'LUN 09 FEV'!BA16+#REF!+#REF!+#REF!+#REF!</f>
        <v>#REF!</v>
      </c>
      <c r="BB16" s="7" t="e">
        <f>'SAM 07 FEV'!BB16+'LUN 09 FEV'!BB16+#REF!+#REF!+#REF!+#REF!</f>
        <v>#REF!</v>
      </c>
      <c r="BC16" s="8" t="e">
        <f>'SAM 07 FEV'!BC16+'LUN 09 FEV'!BC16+#REF!+#REF!+#REF!+#REF!</f>
        <v>#REF!</v>
      </c>
      <c r="BD16" s="18"/>
      <c r="BE16" s="12"/>
    </row>
    <row r="17" spans="1:57" ht="31.9" customHeight="1" x14ac:dyDescent="0.2">
      <c r="A17" s="20">
        <v>10</v>
      </c>
      <c r="B17" s="16"/>
      <c r="C17" s="9">
        <f t="shared" si="1"/>
        <v>10</v>
      </c>
      <c r="D17" s="10">
        <f t="shared" si="1"/>
        <v>3</v>
      </c>
      <c r="E17" s="10">
        <f t="shared" si="0"/>
        <v>2</v>
      </c>
      <c r="F17" s="10">
        <f t="shared" si="0"/>
        <v>2</v>
      </c>
      <c r="G17" s="11">
        <f t="shared" si="0"/>
        <v>3</v>
      </c>
      <c r="H17" s="9">
        <f t="shared" si="0"/>
        <v>3</v>
      </c>
      <c r="I17" s="10">
        <f t="shared" si="0"/>
        <v>1</v>
      </c>
      <c r="J17" s="10">
        <f t="shared" si="0"/>
        <v>1</v>
      </c>
      <c r="K17" s="10">
        <f t="shared" si="0"/>
        <v>1</v>
      </c>
      <c r="L17" s="11">
        <f t="shared" si="0"/>
        <v>1</v>
      </c>
      <c r="M17" s="9">
        <f t="shared" si="0"/>
        <v>3</v>
      </c>
      <c r="N17" s="10">
        <f t="shared" si="0"/>
        <v>1</v>
      </c>
      <c r="O17" s="10">
        <f t="shared" si="0"/>
        <v>3</v>
      </c>
      <c r="P17" s="10">
        <f t="shared" si="0"/>
        <v>0</v>
      </c>
      <c r="Q17" s="11">
        <f t="shared" si="0"/>
        <v>0</v>
      </c>
      <c r="R17" s="36">
        <f t="shared" si="0"/>
        <v>0.5</v>
      </c>
      <c r="S17" s="37">
        <f t="shared" si="0"/>
        <v>0.16666666666666666</v>
      </c>
      <c r="T17" s="37">
        <f t="shared" si="0"/>
        <v>0.1</v>
      </c>
      <c r="U17" s="37">
        <f t="shared" si="0"/>
        <v>0.6</v>
      </c>
      <c r="V17" s="38">
        <f t="shared" si="0"/>
        <v>0.15</v>
      </c>
      <c r="W17" s="6" t="e">
        <f>'SAM 07 FEV'!W17+'LUN 09 FEV'!W17+#REF!+#REF!+#REF!+#REF!</f>
        <v>#REF!</v>
      </c>
      <c r="X17" s="7" t="e">
        <f>'SAM 07 FEV'!X17+'LUN 09 FEV'!X17+#REF!+#REF!+#REF!+#REF!</f>
        <v>#REF!</v>
      </c>
      <c r="Y17" s="7" t="e">
        <f>'SAM 07 FEV'!Y17+'LUN 09 FEV'!Y17+#REF!+#REF!+#REF!+#REF!</f>
        <v>#REF!</v>
      </c>
      <c r="Z17" s="7" t="e">
        <f>'SAM 07 FEV'!Z17+'LUN 09 FEV'!Z17+#REF!+#REF!+#REF!+#REF!</f>
        <v>#REF!</v>
      </c>
      <c r="AA17" s="8" t="e">
        <f>'SAM 07 FEV'!AA17+'LUN 09 FEV'!AA17+#REF!+#REF!+#REF!+#REF!</f>
        <v>#REF!</v>
      </c>
      <c r="AB17" s="10" t="e">
        <f>'SAM 07 FEV'!AB17+'LUN 09 FEV'!AB17+#REF!+#REF!+#REF!+#REF!</f>
        <v>#REF!</v>
      </c>
      <c r="AC17" s="10" t="e">
        <f>'SAM 07 FEV'!AC17+'LUN 09 FEV'!AC17+#REF!+#REF!+#REF!+#REF!</f>
        <v>#REF!</v>
      </c>
      <c r="AD17" s="10" t="e">
        <f>'SAM 07 FEV'!AD17+'LUN 09 FEV'!AD17+#REF!+#REF!+#REF!+#REF!</f>
        <v>#REF!</v>
      </c>
      <c r="AE17" s="10" t="e">
        <f>'SAM 07 FEV'!AE17+'LUN 09 FEV'!AE17+#REF!+#REF!+#REF!+#REF!</f>
        <v>#REF!</v>
      </c>
      <c r="AF17" s="10" t="e">
        <f>'SAM 07 FEV'!AF17+'LUN 09 FEV'!AF17+#REF!+#REF!+#REF!+#REF!</f>
        <v>#REF!</v>
      </c>
      <c r="AG17" s="6" t="e">
        <f>'SAM 07 FEV'!AG17+'LUN 09 FEV'!AG17+#REF!+#REF!+#REF!+#REF!</f>
        <v>#REF!</v>
      </c>
      <c r="AH17" s="7" t="e">
        <f>'SAM 07 FEV'!AH17+'LUN 09 FEV'!AH17+#REF!+#REF!+#REF!+#REF!</f>
        <v>#REF!</v>
      </c>
      <c r="AI17" s="7" t="e">
        <f>'SAM 07 FEV'!AI17+'LUN 09 FEV'!AI17+#REF!+#REF!+#REF!+#REF!</f>
        <v>#REF!</v>
      </c>
      <c r="AJ17" s="7" t="e">
        <f>'SAM 07 FEV'!AJ17+'LUN 09 FEV'!AJ17+#REF!+#REF!+#REF!+#REF!</f>
        <v>#REF!</v>
      </c>
      <c r="AK17" s="8" t="e">
        <f>'SAM 07 FEV'!AK17+'LUN 09 FEV'!AK17+#REF!+#REF!+#REF!+#REF!</f>
        <v>#REF!</v>
      </c>
      <c r="AL17" s="9" t="e">
        <f>'SAM 07 FEV'!AL17+'LUN 09 FEV'!AL17+#REF!+#REF!+#REF!+#REF!</f>
        <v>#REF!</v>
      </c>
      <c r="AM17" s="10" t="e">
        <f>'SAM 07 FEV'!AM17+'LUN 09 FEV'!AM17+#REF!+#REF!+#REF!+#REF!</f>
        <v>#REF!</v>
      </c>
      <c r="AN17" s="10" t="e">
        <f>'SAM 07 FEV'!AN17+'LUN 09 FEV'!AN17+#REF!+#REF!+#REF!+#REF!</f>
        <v>#REF!</v>
      </c>
      <c r="AO17" s="10" t="e">
        <f>'SAM 07 FEV'!AO17+'LUN 09 FEV'!AO17+#REF!+#REF!+#REF!+#REF!</f>
        <v>#REF!</v>
      </c>
      <c r="AP17" s="11" t="e">
        <f>'SAM 07 FEV'!AP17+'LUN 09 FEV'!AP17+#REF!+#REF!+#REF!+#REF!</f>
        <v>#REF!</v>
      </c>
      <c r="AQ17" s="90" t="e">
        <f>'SAM 07 FEV'!AQ17+'LUN 09 FEV'!AQ17+#REF!+#REF!+#REF!+#REF!</f>
        <v>#REF!</v>
      </c>
      <c r="AR17" s="10" t="e">
        <f>'SAM 07 FEV'!AR17+'LUN 09 FEV'!AR17+#REF!+#REF!+#REF!+#REF!</f>
        <v>#REF!</v>
      </c>
      <c r="AS17" s="10" t="e">
        <f>'SAM 07 FEV'!AS17+'LUN 09 FEV'!AS17+#REF!+#REF!+#REF!+#REF!</f>
        <v>#REF!</v>
      </c>
      <c r="AT17" s="10" t="e">
        <f>'SAM 07 FEV'!AT17+'LUN 09 FEV'!AT17+#REF!+#REF!+#REF!+#REF!</f>
        <v>#REF!</v>
      </c>
      <c r="AU17" s="10" t="e">
        <f>'SAM 07 FEV'!AU17+'LUN 09 FEV'!AU17+#REF!+#REF!+#REF!+#REF!</f>
        <v>#REF!</v>
      </c>
      <c r="AV17" s="6" t="e">
        <f>'SAM 07 FEV'!AV17+'LUN 09 FEV'!AV17+#REF!+#REF!+#REF!+#REF!</f>
        <v>#REF!</v>
      </c>
      <c r="AW17" s="7" t="e">
        <f>'SAM 07 FEV'!AW17+'LUN 09 FEV'!AW17+#REF!+#REF!+#REF!+#REF!</f>
        <v>#REF!</v>
      </c>
      <c r="AX17" s="7" t="e">
        <f>'SAM 07 FEV'!AX17+'LUN 09 FEV'!AX17+#REF!+#REF!+#REF!+#REF!</f>
        <v>#REF!</v>
      </c>
      <c r="AY17" s="7" t="e">
        <f>'SAM 07 FEV'!AY17+'LUN 09 FEV'!AY17+#REF!+#REF!+#REF!+#REF!</f>
        <v>#REF!</v>
      </c>
      <c r="AZ17" s="8" t="e">
        <f>'SAM 07 FEV'!AZ17+'LUN 09 FEV'!AZ17+#REF!+#REF!+#REF!+#REF!</f>
        <v>#REF!</v>
      </c>
      <c r="BA17" s="6" t="e">
        <f>'SAM 07 FEV'!BA17+'LUN 09 FEV'!BA17+#REF!+#REF!+#REF!+#REF!</f>
        <v>#REF!</v>
      </c>
      <c r="BB17" s="7" t="e">
        <f>'SAM 07 FEV'!BB17+'LUN 09 FEV'!BB17+#REF!+#REF!+#REF!+#REF!</f>
        <v>#REF!</v>
      </c>
      <c r="BC17" s="8" t="e">
        <f>'SAM 07 FEV'!BC17+'LUN 09 FEV'!BC17+#REF!+#REF!+#REF!+#REF!</f>
        <v>#REF!</v>
      </c>
      <c r="BD17" s="18"/>
      <c r="BE17" s="12"/>
    </row>
    <row r="18" spans="1:57" ht="31.9" customHeight="1" x14ac:dyDescent="0.2">
      <c r="A18" s="20">
        <v>11</v>
      </c>
      <c r="B18" s="16"/>
      <c r="C18" s="9">
        <f t="shared" si="1"/>
        <v>10</v>
      </c>
      <c r="D18" s="10">
        <f t="shared" si="1"/>
        <v>3</v>
      </c>
      <c r="E18" s="10">
        <f t="shared" si="0"/>
        <v>2</v>
      </c>
      <c r="F18" s="10">
        <f t="shared" si="0"/>
        <v>2</v>
      </c>
      <c r="G18" s="11">
        <f t="shared" si="0"/>
        <v>3</v>
      </c>
      <c r="H18" s="9">
        <f t="shared" si="0"/>
        <v>3</v>
      </c>
      <c r="I18" s="10">
        <f t="shared" si="0"/>
        <v>1</v>
      </c>
      <c r="J18" s="10">
        <f t="shared" si="0"/>
        <v>1</v>
      </c>
      <c r="K18" s="10">
        <f t="shared" si="0"/>
        <v>1</v>
      </c>
      <c r="L18" s="11">
        <f t="shared" si="0"/>
        <v>1</v>
      </c>
      <c r="M18" s="9">
        <f t="shared" si="0"/>
        <v>3</v>
      </c>
      <c r="N18" s="10">
        <f t="shared" si="0"/>
        <v>1</v>
      </c>
      <c r="O18" s="10">
        <f t="shared" si="0"/>
        <v>3</v>
      </c>
      <c r="P18" s="10">
        <f t="shared" si="0"/>
        <v>0</v>
      </c>
      <c r="Q18" s="11">
        <f t="shared" si="0"/>
        <v>0</v>
      </c>
      <c r="R18" s="36">
        <f t="shared" si="0"/>
        <v>0.5</v>
      </c>
      <c r="S18" s="37">
        <f t="shared" si="0"/>
        <v>0.16666666666666666</v>
      </c>
      <c r="T18" s="37">
        <f t="shared" si="0"/>
        <v>0.1</v>
      </c>
      <c r="U18" s="37">
        <f t="shared" si="0"/>
        <v>0.6</v>
      </c>
      <c r="V18" s="38">
        <f t="shared" si="0"/>
        <v>0.15</v>
      </c>
      <c r="W18" s="6" t="e">
        <f>'SAM 07 FEV'!W18+'LUN 09 FEV'!W18+#REF!+#REF!+#REF!+#REF!</f>
        <v>#REF!</v>
      </c>
      <c r="X18" s="7" t="e">
        <f>'SAM 07 FEV'!X18+'LUN 09 FEV'!X18+#REF!+#REF!+#REF!+#REF!</f>
        <v>#REF!</v>
      </c>
      <c r="Y18" s="7" t="e">
        <f>'SAM 07 FEV'!Y18+'LUN 09 FEV'!Y18+#REF!+#REF!+#REF!+#REF!</f>
        <v>#REF!</v>
      </c>
      <c r="Z18" s="7" t="e">
        <f>'SAM 07 FEV'!Z18+'LUN 09 FEV'!Z18+#REF!+#REF!+#REF!+#REF!</f>
        <v>#REF!</v>
      </c>
      <c r="AA18" s="8" t="e">
        <f>'SAM 07 FEV'!AA18+'LUN 09 FEV'!AA18+#REF!+#REF!+#REF!+#REF!</f>
        <v>#REF!</v>
      </c>
      <c r="AB18" s="10" t="e">
        <f>'SAM 07 FEV'!AB18+'LUN 09 FEV'!AB18+#REF!+#REF!+#REF!+#REF!</f>
        <v>#REF!</v>
      </c>
      <c r="AC18" s="10" t="e">
        <f>'SAM 07 FEV'!AC18+'LUN 09 FEV'!AC18+#REF!+#REF!+#REF!+#REF!</f>
        <v>#REF!</v>
      </c>
      <c r="AD18" s="10" t="e">
        <f>'SAM 07 FEV'!AD18+'LUN 09 FEV'!AD18+#REF!+#REF!+#REF!+#REF!</f>
        <v>#REF!</v>
      </c>
      <c r="AE18" s="10" t="e">
        <f>'SAM 07 FEV'!AE18+'LUN 09 FEV'!AE18+#REF!+#REF!+#REF!+#REF!</f>
        <v>#REF!</v>
      </c>
      <c r="AF18" s="10" t="e">
        <f>'SAM 07 FEV'!AF18+'LUN 09 FEV'!AF18+#REF!+#REF!+#REF!+#REF!</f>
        <v>#REF!</v>
      </c>
      <c r="AG18" s="6" t="e">
        <f>'SAM 07 FEV'!AG18+'LUN 09 FEV'!AG18+#REF!+#REF!+#REF!+#REF!</f>
        <v>#REF!</v>
      </c>
      <c r="AH18" s="7" t="e">
        <f>'SAM 07 FEV'!AH18+'LUN 09 FEV'!AH18+#REF!+#REF!+#REF!+#REF!</f>
        <v>#REF!</v>
      </c>
      <c r="AI18" s="7" t="e">
        <f>'SAM 07 FEV'!AI18+'LUN 09 FEV'!AI18+#REF!+#REF!+#REF!+#REF!</f>
        <v>#REF!</v>
      </c>
      <c r="AJ18" s="7" t="e">
        <f>'SAM 07 FEV'!AJ18+'LUN 09 FEV'!AJ18+#REF!+#REF!+#REF!+#REF!</f>
        <v>#REF!</v>
      </c>
      <c r="AK18" s="8" t="e">
        <f>'SAM 07 FEV'!AK18+'LUN 09 FEV'!AK18+#REF!+#REF!+#REF!+#REF!</f>
        <v>#REF!</v>
      </c>
      <c r="AL18" s="9" t="e">
        <f>'SAM 07 FEV'!AL18+'LUN 09 FEV'!AL18+#REF!+#REF!+#REF!+#REF!</f>
        <v>#REF!</v>
      </c>
      <c r="AM18" s="10" t="e">
        <f>'SAM 07 FEV'!AM18+'LUN 09 FEV'!AM18+#REF!+#REF!+#REF!+#REF!</f>
        <v>#REF!</v>
      </c>
      <c r="AN18" s="10" t="e">
        <f>'SAM 07 FEV'!AN18+'LUN 09 FEV'!AN18+#REF!+#REF!+#REF!+#REF!</f>
        <v>#REF!</v>
      </c>
      <c r="AO18" s="10" t="e">
        <f>'SAM 07 FEV'!AO18+'LUN 09 FEV'!AO18+#REF!+#REF!+#REF!+#REF!</f>
        <v>#REF!</v>
      </c>
      <c r="AP18" s="11" t="e">
        <f>'SAM 07 FEV'!AP18+'LUN 09 FEV'!AP18+#REF!+#REF!+#REF!+#REF!</f>
        <v>#REF!</v>
      </c>
      <c r="AQ18" s="90" t="e">
        <f>'SAM 07 FEV'!AQ18+'LUN 09 FEV'!AQ18+#REF!+#REF!+#REF!+#REF!</f>
        <v>#REF!</v>
      </c>
      <c r="AR18" s="10" t="e">
        <f>'SAM 07 FEV'!AR18+'LUN 09 FEV'!AR18+#REF!+#REF!+#REF!+#REF!</f>
        <v>#REF!</v>
      </c>
      <c r="AS18" s="10" t="e">
        <f>'SAM 07 FEV'!AS18+'LUN 09 FEV'!AS18+#REF!+#REF!+#REF!+#REF!</f>
        <v>#REF!</v>
      </c>
      <c r="AT18" s="10" t="e">
        <f>'SAM 07 FEV'!AT18+'LUN 09 FEV'!AT18+#REF!+#REF!+#REF!+#REF!</f>
        <v>#REF!</v>
      </c>
      <c r="AU18" s="10" t="e">
        <f>'SAM 07 FEV'!AU18+'LUN 09 FEV'!AU18+#REF!+#REF!+#REF!+#REF!</f>
        <v>#REF!</v>
      </c>
      <c r="AV18" s="6" t="e">
        <f>'SAM 07 FEV'!AV18+'LUN 09 FEV'!AV18+#REF!+#REF!+#REF!+#REF!</f>
        <v>#REF!</v>
      </c>
      <c r="AW18" s="7" t="e">
        <f>'SAM 07 FEV'!AW18+'LUN 09 FEV'!AW18+#REF!+#REF!+#REF!+#REF!</f>
        <v>#REF!</v>
      </c>
      <c r="AX18" s="7" t="e">
        <f>'SAM 07 FEV'!AX18+'LUN 09 FEV'!AX18+#REF!+#REF!+#REF!+#REF!</f>
        <v>#REF!</v>
      </c>
      <c r="AY18" s="7" t="e">
        <f>'SAM 07 FEV'!AY18+'LUN 09 FEV'!AY18+#REF!+#REF!+#REF!+#REF!</f>
        <v>#REF!</v>
      </c>
      <c r="AZ18" s="8" t="e">
        <f>'SAM 07 FEV'!AZ18+'LUN 09 FEV'!AZ18+#REF!+#REF!+#REF!+#REF!</f>
        <v>#REF!</v>
      </c>
      <c r="BA18" s="6" t="e">
        <f>'SAM 07 FEV'!BA18+'LUN 09 FEV'!BA18+#REF!+#REF!+#REF!+#REF!</f>
        <v>#REF!</v>
      </c>
      <c r="BB18" s="7" t="e">
        <f>'SAM 07 FEV'!BB18+'LUN 09 FEV'!BB18+#REF!+#REF!+#REF!+#REF!</f>
        <v>#REF!</v>
      </c>
      <c r="BC18" s="8" t="e">
        <f>'SAM 07 FEV'!BC18+'LUN 09 FEV'!BC18+#REF!+#REF!+#REF!+#REF!</f>
        <v>#REF!</v>
      </c>
      <c r="BD18" s="18"/>
      <c r="BE18" s="12"/>
    </row>
    <row r="19" spans="1:57" ht="31.9" customHeight="1" x14ac:dyDescent="0.2">
      <c r="A19" s="20">
        <v>12</v>
      </c>
      <c r="B19" s="16"/>
      <c r="C19" s="9">
        <f t="shared" si="1"/>
        <v>10</v>
      </c>
      <c r="D19" s="10">
        <f t="shared" si="1"/>
        <v>3</v>
      </c>
      <c r="E19" s="10">
        <f t="shared" si="0"/>
        <v>2</v>
      </c>
      <c r="F19" s="10">
        <f t="shared" si="0"/>
        <v>2</v>
      </c>
      <c r="G19" s="11">
        <f t="shared" si="0"/>
        <v>3</v>
      </c>
      <c r="H19" s="9">
        <f t="shared" si="0"/>
        <v>3</v>
      </c>
      <c r="I19" s="10">
        <f t="shared" si="0"/>
        <v>1</v>
      </c>
      <c r="J19" s="10">
        <f t="shared" si="0"/>
        <v>1</v>
      </c>
      <c r="K19" s="10">
        <f t="shared" si="0"/>
        <v>1</v>
      </c>
      <c r="L19" s="11">
        <f t="shared" si="0"/>
        <v>1</v>
      </c>
      <c r="M19" s="9">
        <f t="shared" si="0"/>
        <v>3</v>
      </c>
      <c r="N19" s="10">
        <f t="shared" si="0"/>
        <v>1</v>
      </c>
      <c r="O19" s="10">
        <f t="shared" si="0"/>
        <v>3</v>
      </c>
      <c r="P19" s="10">
        <f t="shared" si="0"/>
        <v>0</v>
      </c>
      <c r="Q19" s="11">
        <f t="shared" si="0"/>
        <v>0</v>
      </c>
      <c r="R19" s="36">
        <f t="shared" si="0"/>
        <v>0.5</v>
      </c>
      <c r="S19" s="37">
        <f t="shared" si="0"/>
        <v>0.16666666666666666</v>
      </c>
      <c r="T19" s="37">
        <f t="shared" si="0"/>
        <v>0.1</v>
      </c>
      <c r="U19" s="37">
        <f t="shared" si="0"/>
        <v>0.6</v>
      </c>
      <c r="V19" s="38">
        <f t="shared" si="0"/>
        <v>0.15</v>
      </c>
      <c r="W19" s="6" t="e">
        <f>'SAM 07 FEV'!W19+'LUN 09 FEV'!W19+#REF!+#REF!+#REF!+#REF!</f>
        <v>#REF!</v>
      </c>
      <c r="X19" s="7" t="e">
        <f>'SAM 07 FEV'!X19+'LUN 09 FEV'!X19+#REF!+#REF!+#REF!+#REF!</f>
        <v>#REF!</v>
      </c>
      <c r="Y19" s="7" t="e">
        <f>'SAM 07 FEV'!Y19+'LUN 09 FEV'!Y19+#REF!+#REF!+#REF!+#REF!</f>
        <v>#REF!</v>
      </c>
      <c r="Z19" s="7" t="e">
        <f>'SAM 07 FEV'!Z19+'LUN 09 FEV'!Z19+#REF!+#REF!+#REF!+#REF!</f>
        <v>#REF!</v>
      </c>
      <c r="AA19" s="8" t="e">
        <f>'SAM 07 FEV'!AA19+'LUN 09 FEV'!AA19+#REF!+#REF!+#REF!+#REF!</f>
        <v>#REF!</v>
      </c>
      <c r="AB19" s="10" t="e">
        <f>'SAM 07 FEV'!AB19+'LUN 09 FEV'!AB19+#REF!+#REF!+#REF!+#REF!</f>
        <v>#REF!</v>
      </c>
      <c r="AC19" s="10" t="e">
        <f>'SAM 07 FEV'!AC19+'LUN 09 FEV'!AC19+#REF!+#REF!+#REF!+#REF!</f>
        <v>#REF!</v>
      </c>
      <c r="AD19" s="10" t="e">
        <f>'SAM 07 FEV'!AD19+'LUN 09 FEV'!AD19+#REF!+#REF!+#REF!+#REF!</f>
        <v>#REF!</v>
      </c>
      <c r="AE19" s="10" t="e">
        <f>'SAM 07 FEV'!AE19+'LUN 09 FEV'!AE19+#REF!+#REF!+#REF!+#REF!</f>
        <v>#REF!</v>
      </c>
      <c r="AF19" s="10" t="e">
        <f>'SAM 07 FEV'!AF19+'LUN 09 FEV'!AF19+#REF!+#REF!+#REF!+#REF!</f>
        <v>#REF!</v>
      </c>
      <c r="AG19" s="6" t="e">
        <f>'SAM 07 FEV'!AG19+'LUN 09 FEV'!AG19+#REF!+#REF!+#REF!+#REF!</f>
        <v>#REF!</v>
      </c>
      <c r="AH19" s="7" t="e">
        <f>'SAM 07 FEV'!AH19+'LUN 09 FEV'!AH19+#REF!+#REF!+#REF!+#REF!</f>
        <v>#REF!</v>
      </c>
      <c r="AI19" s="7" t="e">
        <f>'SAM 07 FEV'!AI19+'LUN 09 FEV'!AI19+#REF!+#REF!+#REF!+#REF!</f>
        <v>#REF!</v>
      </c>
      <c r="AJ19" s="7" t="e">
        <f>'SAM 07 FEV'!AJ19+'LUN 09 FEV'!AJ19+#REF!+#REF!+#REF!+#REF!</f>
        <v>#REF!</v>
      </c>
      <c r="AK19" s="8" t="e">
        <f>'SAM 07 FEV'!AK19+'LUN 09 FEV'!AK19+#REF!+#REF!+#REF!+#REF!</f>
        <v>#REF!</v>
      </c>
      <c r="AL19" s="9" t="e">
        <f>'SAM 07 FEV'!AL19+'LUN 09 FEV'!AL19+#REF!+#REF!+#REF!+#REF!</f>
        <v>#REF!</v>
      </c>
      <c r="AM19" s="10" t="e">
        <f>'SAM 07 FEV'!AM19+'LUN 09 FEV'!AM19+#REF!+#REF!+#REF!+#REF!</f>
        <v>#REF!</v>
      </c>
      <c r="AN19" s="10" t="e">
        <f>'SAM 07 FEV'!AN19+'LUN 09 FEV'!AN19+#REF!+#REF!+#REF!+#REF!</f>
        <v>#REF!</v>
      </c>
      <c r="AO19" s="10" t="e">
        <f>'SAM 07 FEV'!AO19+'LUN 09 FEV'!AO19+#REF!+#REF!+#REF!+#REF!</f>
        <v>#REF!</v>
      </c>
      <c r="AP19" s="11" t="e">
        <f>'SAM 07 FEV'!AP19+'LUN 09 FEV'!AP19+#REF!+#REF!+#REF!+#REF!</f>
        <v>#REF!</v>
      </c>
      <c r="AQ19" s="90" t="e">
        <f>'SAM 07 FEV'!AQ19+'LUN 09 FEV'!AQ19+#REF!+#REF!+#REF!+#REF!</f>
        <v>#REF!</v>
      </c>
      <c r="AR19" s="10" t="e">
        <f>'SAM 07 FEV'!AR19+'LUN 09 FEV'!AR19+#REF!+#REF!+#REF!+#REF!</f>
        <v>#REF!</v>
      </c>
      <c r="AS19" s="10" t="e">
        <f>'SAM 07 FEV'!AS19+'LUN 09 FEV'!AS19+#REF!+#REF!+#REF!+#REF!</f>
        <v>#REF!</v>
      </c>
      <c r="AT19" s="10" t="e">
        <f>'SAM 07 FEV'!AT19+'LUN 09 FEV'!AT19+#REF!+#REF!+#REF!+#REF!</f>
        <v>#REF!</v>
      </c>
      <c r="AU19" s="10" t="e">
        <f>'SAM 07 FEV'!AU19+'LUN 09 FEV'!AU19+#REF!+#REF!+#REF!+#REF!</f>
        <v>#REF!</v>
      </c>
      <c r="AV19" s="6" t="e">
        <f>'SAM 07 FEV'!AV19+'LUN 09 FEV'!AV19+#REF!+#REF!+#REF!+#REF!</f>
        <v>#REF!</v>
      </c>
      <c r="AW19" s="7" t="e">
        <f>'SAM 07 FEV'!AW19+'LUN 09 FEV'!AW19+#REF!+#REF!+#REF!+#REF!</f>
        <v>#REF!</v>
      </c>
      <c r="AX19" s="7" t="e">
        <f>'SAM 07 FEV'!AX19+'LUN 09 FEV'!AX19+#REF!+#REF!+#REF!+#REF!</f>
        <v>#REF!</v>
      </c>
      <c r="AY19" s="7" t="e">
        <f>'SAM 07 FEV'!AY19+'LUN 09 FEV'!AY19+#REF!+#REF!+#REF!+#REF!</f>
        <v>#REF!</v>
      </c>
      <c r="AZ19" s="8" t="e">
        <f>'SAM 07 FEV'!AZ19+'LUN 09 FEV'!AZ19+#REF!+#REF!+#REF!+#REF!</f>
        <v>#REF!</v>
      </c>
      <c r="BA19" s="6" t="e">
        <f>'SAM 07 FEV'!BA19+'LUN 09 FEV'!BA19+#REF!+#REF!+#REF!+#REF!</f>
        <v>#REF!</v>
      </c>
      <c r="BB19" s="7" t="e">
        <f>'SAM 07 FEV'!BB19+'LUN 09 FEV'!BB19+#REF!+#REF!+#REF!+#REF!</f>
        <v>#REF!</v>
      </c>
      <c r="BC19" s="8" t="e">
        <f>'SAM 07 FEV'!BC19+'LUN 09 FEV'!BC19+#REF!+#REF!+#REF!+#REF!</f>
        <v>#REF!</v>
      </c>
      <c r="BD19" s="18"/>
      <c r="BE19" s="12"/>
    </row>
    <row r="20" spans="1:57" ht="31.9" customHeight="1" x14ac:dyDescent="0.2">
      <c r="A20" s="20">
        <v>13</v>
      </c>
      <c r="B20" s="16"/>
      <c r="C20" s="9">
        <f t="shared" si="1"/>
        <v>10</v>
      </c>
      <c r="D20" s="10">
        <f t="shared" si="1"/>
        <v>3</v>
      </c>
      <c r="E20" s="10">
        <f t="shared" si="0"/>
        <v>2</v>
      </c>
      <c r="F20" s="10">
        <f t="shared" si="0"/>
        <v>2</v>
      </c>
      <c r="G20" s="11">
        <f t="shared" si="0"/>
        <v>3</v>
      </c>
      <c r="H20" s="9">
        <f t="shared" si="0"/>
        <v>3</v>
      </c>
      <c r="I20" s="10">
        <f t="shared" si="0"/>
        <v>1</v>
      </c>
      <c r="J20" s="10">
        <f t="shared" si="0"/>
        <v>1</v>
      </c>
      <c r="K20" s="10">
        <f t="shared" si="0"/>
        <v>1</v>
      </c>
      <c r="L20" s="11">
        <f t="shared" si="0"/>
        <v>1</v>
      </c>
      <c r="M20" s="9">
        <f t="shared" si="0"/>
        <v>3</v>
      </c>
      <c r="N20" s="10">
        <f t="shared" si="0"/>
        <v>1</v>
      </c>
      <c r="O20" s="10">
        <f t="shared" si="0"/>
        <v>3</v>
      </c>
      <c r="P20" s="10">
        <f t="shared" si="0"/>
        <v>0</v>
      </c>
      <c r="Q20" s="11">
        <f t="shared" si="0"/>
        <v>0</v>
      </c>
      <c r="R20" s="36">
        <f t="shared" si="0"/>
        <v>0.5</v>
      </c>
      <c r="S20" s="37">
        <f t="shared" si="0"/>
        <v>0.16666666666666666</v>
      </c>
      <c r="T20" s="37">
        <f t="shared" si="0"/>
        <v>0.1</v>
      </c>
      <c r="U20" s="37">
        <f t="shared" si="0"/>
        <v>0.6</v>
      </c>
      <c r="V20" s="38">
        <f t="shared" si="0"/>
        <v>0.15</v>
      </c>
      <c r="W20" s="6" t="e">
        <f>'SAM 07 FEV'!W20+'LUN 09 FEV'!W20+#REF!+#REF!+#REF!+#REF!</f>
        <v>#REF!</v>
      </c>
      <c r="X20" s="7" t="e">
        <f>'SAM 07 FEV'!X20+'LUN 09 FEV'!X20+#REF!+#REF!+#REF!+#REF!</f>
        <v>#REF!</v>
      </c>
      <c r="Y20" s="7" t="e">
        <f>'SAM 07 FEV'!Y20+'LUN 09 FEV'!Y20+#REF!+#REF!+#REF!+#REF!</f>
        <v>#REF!</v>
      </c>
      <c r="Z20" s="7" t="e">
        <f>'SAM 07 FEV'!Z20+'LUN 09 FEV'!Z20+#REF!+#REF!+#REF!+#REF!</f>
        <v>#REF!</v>
      </c>
      <c r="AA20" s="8" t="e">
        <f>'SAM 07 FEV'!AA20+'LUN 09 FEV'!AA20+#REF!+#REF!+#REF!+#REF!</f>
        <v>#REF!</v>
      </c>
      <c r="AB20" s="10" t="e">
        <f>'SAM 07 FEV'!AB20+'LUN 09 FEV'!AB20+#REF!+#REF!+#REF!+#REF!</f>
        <v>#REF!</v>
      </c>
      <c r="AC20" s="10" t="e">
        <f>'SAM 07 FEV'!AC20+'LUN 09 FEV'!AC20+#REF!+#REF!+#REF!+#REF!</f>
        <v>#REF!</v>
      </c>
      <c r="AD20" s="10" t="e">
        <f>'SAM 07 FEV'!AD20+'LUN 09 FEV'!AD20+#REF!+#REF!+#REF!+#REF!</f>
        <v>#REF!</v>
      </c>
      <c r="AE20" s="10" t="e">
        <f>'SAM 07 FEV'!AE20+'LUN 09 FEV'!AE20+#REF!+#REF!+#REF!+#REF!</f>
        <v>#REF!</v>
      </c>
      <c r="AF20" s="10" t="e">
        <f>'SAM 07 FEV'!AF20+'LUN 09 FEV'!AF20+#REF!+#REF!+#REF!+#REF!</f>
        <v>#REF!</v>
      </c>
      <c r="AG20" s="6" t="e">
        <f>'SAM 07 FEV'!AG20+'LUN 09 FEV'!AG20+#REF!+#REF!+#REF!+#REF!</f>
        <v>#REF!</v>
      </c>
      <c r="AH20" s="7" t="e">
        <f>'SAM 07 FEV'!AH20+'LUN 09 FEV'!AH20+#REF!+#REF!+#REF!+#REF!</f>
        <v>#REF!</v>
      </c>
      <c r="AI20" s="7" t="e">
        <f>'SAM 07 FEV'!AI20+'LUN 09 FEV'!AI20+#REF!+#REF!+#REF!+#REF!</f>
        <v>#REF!</v>
      </c>
      <c r="AJ20" s="7" t="e">
        <f>'SAM 07 FEV'!AJ20+'LUN 09 FEV'!AJ20+#REF!+#REF!+#REF!+#REF!</f>
        <v>#REF!</v>
      </c>
      <c r="AK20" s="8" t="e">
        <f>'SAM 07 FEV'!AK20+'LUN 09 FEV'!AK20+#REF!+#REF!+#REF!+#REF!</f>
        <v>#REF!</v>
      </c>
      <c r="AL20" s="9" t="e">
        <f>'SAM 07 FEV'!AL20+'LUN 09 FEV'!AL20+#REF!+#REF!+#REF!+#REF!</f>
        <v>#REF!</v>
      </c>
      <c r="AM20" s="10" t="e">
        <f>'SAM 07 FEV'!AM20+'LUN 09 FEV'!AM20+#REF!+#REF!+#REF!+#REF!</f>
        <v>#REF!</v>
      </c>
      <c r="AN20" s="10" t="e">
        <f>'SAM 07 FEV'!AN20+'LUN 09 FEV'!AN20+#REF!+#REF!+#REF!+#REF!</f>
        <v>#REF!</v>
      </c>
      <c r="AO20" s="10" t="e">
        <f>'SAM 07 FEV'!AO20+'LUN 09 FEV'!AO20+#REF!+#REF!+#REF!+#REF!</f>
        <v>#REF!</v>
      </c>
      <c r="AP20" s="11" t="e">
        <f>'SAM 07 FEV'!AP20+'LUN 09 FEV'!AP20+#REF!+#REF!+#REF!+#REF!</f>
        <v>#REF!</v>
      </c>
      <c r="AQ20" s="90" t="e">
        <f>'SAM 07 FEV'!AQ20+'LUN 09 FEV'!AQ20+#REF!+#REF!+#REF!+#REF!</f>
        <v>#REF!</v>
      </c>
      <c r="AR20" s="10" t="e">
        <f>'SAM 07 FEV'!AR20+'LUN 09 FEV'!AR20+#REF!+#REF!+#REF!+#REF!</f>
        <v>#REF!</v>
      </c>
      <c r="AS20" s="10" t="e">
        <f>'SAM 07 FEV'!AS20+'LUN 09 FEV'!AS20+#REF!+#REF!+#REF!+#REF!</f>
        <v>#REF!</v>
      </c>
      <c r="AT20" s="10" t="e">
        <f>'SAM 07 FEV'!AT20+'LUN 09 FEV'!AT20+#REF!+#REF!+#REF!+#REF!</f>
        <v>#REF!</v>
      </c>
      <c r="AU20" s="10" t="e">
        <f>'SAM 07 FEV'!AU20+'LUN 09 FEV'!AU20+#REF!+#REF!+#REF!+#REF!</f>
        <v>#REF!</v>
      </c>
      <c r="AV20" s="6" t="e">
        <f>'SAM 07 FEV'!AV20+'LUN 09 FEV'!AV20+#REF!+#REF!+#REF!+#REF!</f>
        <v>#REF!</v>
      </c>
      <c r="AW20" s="7" t="e">
        <f>'SAM 07 FEV'!AW20+'LUN 09 FEV'!AW20+#REF!+#REF!+#REF!+#REF!</f>
        <v>#REF!</v>
      </c>
      <c r="AX20" s="7" t="e">
        <f>'SAM 07 FEV'!AX20+'LUN 09 FEV'!AX20+#REF!+#REF!+#REF!+#REF!</f>
        <v>#REF!</v>
      </c>
      <c r="AY20" s="7" t="e">
        <f>'SAM 07 FEV'!AY20+'LUN 09 FEV'!AY20+#REF!+#REF!+#REF!+#REF!</f>
        <v>#REF!</v>
      </c>
      <c r="AZ20" s="8" t="e">
        <f>'SAM 07 FEV'!AZ20+'LUN 09 FEV'!AZ20+#REF!+#REF!+#REF!+#REF!</f>
        <v>#REF!</v>
      </c>
      <c r="BA20" s="6" t="e">
        <f>'SAM 07 FEV'!BA20+'LUN 09 FEV'!BA20+#REF!+#REF!+#REF!+#REF!</f>
        <v>#REF!</v>
      </c>
      <c r="BB20" s="7" t="e">
        <f>'SAM 07 FEV'!BB20+'LUN 09 FEV'!BB20+#REF!+#REF!+#REF!+#REF!</f>
        <v>#REF!</v>
      </c>
      <c r="BC20" s="8" t="e">
        <f>'SAM 07 FEV'!BC20+'LUN 09 FEV'!BC20+#REF!+#REF!+#REF!+#REF!</f>
        <v>#REF!</v>
      </c>
      <c r="BD20" s="18"/>
      <c r="BE20" s="12"/>
    </row>
    <row r="21" spans="1:57" ht="31.9" customHeight="1" x14ac:dyDescent="0.2">
      <c r="A21" s="20">
        <v>14</v>
      </c>
      <c r="B21" s="16"/>
      <c r="C21" s="9">
        <f t="shared" si="1"/>
        <v>10</v>
      </c>
      <c r="D21" s="10">
        <f t="shared" si="1"/>
        <v>3</v>
      </c>
      <c r="E21" s="10">
        <f t="shared" si="0"/>
        <v>2</v>
      </c>
      <c r="F21" s="10">
        <f t="shared" si="0"/>
        <v>2</v>
      </c>
      <c r="G21" s="11">
        <f t="shared" si="0"/>
        <v>3</v>
      </c>
      <c r="H21" s="9">
        <f t="shared" si="0"/>
        <v>3</v>
      </c>
      <c r="I21" s="10">
        <f t="shared" si="0"/>
        <v>1</v>
      </c>
      <c r="J21" s="10">
        <f t="shared" si="0"/>
        <v>1</v>
      </c>
      <c r="K21" s="10">
        <f t="shared" si="0"/>
        <v>1</v>
      </c>
      <c r="L21" s="11">
        <f t="shared" si="0"/>
        <v>1</v>
      </c>
      <c r="M21" s="9">
        <f t="shared" si="0"/>
        <v>3</v>
      </c>
      <c r="N21" s="10">
        <f t="shared" si="0"/>
        <v>1</v>
      </c>
      <c r="O21" s="10">
        <f t="shared" si="0"/>
        <v>3</v>
      </c>
      <c r="P21" s="10">
        <f t="shared" si="0"/>
        <v>0</v>
      </c>
      <c r="Q21" s="11">
        <f t="shared" si="0"/>
        <v>0</v>
      </c>
      <c r="R21" s="36">
        <f t="shared" si="0"/>
        <v>0.5</v>
      </c>
      <c r="S21" s="37">
        <f t="shared" si="0"/>
        <v>0.16666666666666666</v>
      </c>
      <c r="T21" s="37">
        <f t="shared" si="0"/>
        <v>0.1</v>
      </c>
      <c r="U21" s="37">
        <f t="shared" si="0"/>
        <v>0.6</v>
      </c>
      <c r="V21" s="38">
        <f t="shared" si="0"/>
        <v>0.15</v>
      </c>
      <c r="W21" s="6" t="e">
        <f>'SAM 07 FEV'!W21+'LUN 09 FEV'!W21+#REF!+#REF!+#REF!+#REF!</f>
        <v>#REF!</v>
      </c>
      <c r="X21" s="7" t="e">
        <f>'SAM 07 FEV'!X21+'LUN 09 FEV'!X21+#REF!+#REF!+#REF!+#REF!</f>
        <v>#REF!</v>
      </c>
      <c r="Y21" s="7" t="e">
        <f>'SAM 07 FEV'!Y21+'LUN 09 FEV'!Y21+#REF!+#REF!+#REF!+#REF!</f>
        <v>#REF!</v>
      </c>
      <c r="Z21" s="7" t="e">
        <f>'SAM 07 FEV'!Z21+'LUN 09 FEV'!Z21+#REF!+#REF!+#REF!+#REF!</f>
        <v>#REF!</v>
      </c>
      <c r="AA21" s="8" t="e">
        <f>'SAM 07 FEV'!AA21+'LUN 09 FEV'!AA21+#REF!+#REF!+#REF!+#REF!</f>
        <v>#REF!</v>
      </c>
      <c r="AB21" s="10" t="e">
        <f>'SAM 07 FEV'!AB21+'LUN 09 FEV'!AB21+#REF!+#REF!+#REF!+#REF!</f>
        <v>#REF!</v>
      </c>
      <c r="AC21" s="10" t="e">
        <f>'SAM 07 FEV'!AC21+'LUN 09 FEV'!AC21+#REF!+#REF!+#REF!+#REF!</f>
        <v>#REF!</v>
      </c>
      <c r="AD21" s="10" t="e">
        <f>'SAM 07 FEV'!AD21+'LUN 09 FEV'!AD21+#REF!+#REF!+#REF!+#REF!</f>
        <v>#REF!</v>
      </c>
      <c r="AE21" s="10" t="e">
        <f>'SAM 07 FEV'!AE21+'LUN 09 FEV'!AE21+#REF!+#REF!+#REF!+#REF!</f>
        <v>#REF!</v>
      </c>
      <c r="AF21" s="10" t="e">
        <f>'SAM 07 FEV'!AF21+'LUN 09 FEV'!AF21+#REF!+#REF!+#REF!+#REF!</f>
        <v>#REF!</v>
      </c>
      <c r="AG21" s="6" t="e">
        <f>'SAM 07 FEV'!AG21+'LUN 09 FEV'!AG21+#REF!+#REF!+#REF!+#REF!</f>
        <v>#REF!</v>
      </c>
      <c r="AH21" s="7" t="e">
        <f>'SAM 07 FEV'!AH21+'LUN 09 FEV'!AH21+#REF!+#REF!+#REF!+#REF!</f>
        <v>#REF!</v>
      </c>
      <c r="AI21" s="7" t="e">
        <f>'SAM 07 FEV'!AI21+'LUN 09 FEV'!AI21+#REF!+#REF!+#REF!+#REF!</f>
        <v>#REF!</v>
      </c>
      <c r="AJ21" s="7" t="e">
        <f>'SAM 07 FEV'!AJ21+'LUN 09 FEV'!AJ21+#REF!+#REF!+#REF!+#REF!</f>
        <v>#REF!</v>
      </c>
      <c r="AK21" s="8" t="e">
        <f>'SAM 07 FEV'!AK21+'LUN 09 FEV'!AK21+#REF!+#REF!+#REF!+#REF!</f>
        <v>#REF!</v>
      </c>
      <c r="AL21" s="9" t="e">
        <f>'SAM 07 FEV'!AL21+'LUN 09 FEV'!AL21+#REF!+#REF!+#REF!+#REF!</f>
        <v>#REF!</v>
      </c>
      <c r="AM21" s="10" t="e">
        <f>'SAM 07 FEV'!AM21+'LUN 09 FEV'!AM21+#REF!+#REF!+#REF!+#REF!</f>
        <v>#REF!</v>
      </c>
      <c r="AN21" s="10" t="e">
        <f>'SAM 07 FEV'!AN21+'LUN 09 FEV'!AN21+#REF!+#REF!+#REF!+#REF!</f>
        <v>#REF!</v>
      </c>
      <c r="AO21" s="10" t="e">
        <f>'SAM 07 FEV'!AO21+'LUN 09 FEV'!AO21+#REF!+#REF!+#REF!+#REF!</f>
        <v>#REF!</v>
      </c>
      <c r="AP21" s="11" t="e">
        <f>'SAM 07 FEV'!AP21+'LUN 09 FEV'!AP21+#REF!+#REF!+#REF!+#REF!</f>
        <v>#REF!</v>
      </c>
      <c r="AQ21" s="90" t="e">
        <f>'SAM 07 FEV'!AQ21+'LUN 09 FEV'!AQ21+#REF!+#REF!+#REF!+#REF!</f>
        <v>#REF!</v>
      </c>
      <c r="AR21" s="10" t="e">
        <f>'SAM 07 FEV'!AR21+'LUN 09 FEV'!AR21+#REF!+#REF!+#REF!+#REF!</f>
        <v>#REF!</v>
      </c>
      <c r="AS21" s="10" t="e">
        <f>'SAM 07 FEV'!AS21+'LUN 09 FEV'!AS21+#REF!+#REF!+#REF!+#REF!</f>
        <v>#REF!</v>
      </c>
      <c r="AT21" s="10" t="e">
        <f>'SAM 07 FEV'!AT21+'LUN 09 FEV'!AT21+#REF!+#REF!+#REF!+#REF!</f>
        <v>#REF!</v>
      </c>
      <c r="AU21" s="10" t="e">
        <f>'SAM 07 FEV'!AU21+'LUN 09 FEV'!AU21+#REF!+#REF!+#REF!+#REF!</f>
        <v>#REF!</v>
      </c>
      <c r="AV21" s="6" t="e">
        <f>'SAM 07 FEV'!AV21+'LUN 09 FEV'!AV21+#REF!+#REF!+#REF!+#REF!</f>
        <v>#REF!</v>
      </c>
      <c r="AW21" s="7" t="e">
        <f>'SAM 07 FEV'!AW21+'LUN 09 FEV'!AW21+#REF!+#REF!+#REF!+#REF!</f>
        <v>#REF!</v>
      </c>
      <c r="AX21" s="7" t="e">
        <f>'SAM 07 FEV'!AX21+'LUN 09 FEV'!AX21+#REF!+#REF!+#REF!+#REF!</f>
        <v>#REF!</v>
      </c>
      <c r="AY21" s="7" t="e">
        <f>'SAM 07 FEV'!AY21+'LUN 09 FEV'!AY21+#REF!+#REF!+#REF!+#REF!</f>
        <v>#REF!</v>
      </c>
      <c r="AZ21" s="8" t="e">
        <f>'SAM 07 FEV'!AZ21+'LUN 09 FEV'!AZ21+#REF!+#REF!+#REF!+#REF!</f>
        <v>#REF!</v>
      </c>
      <c r="BA21" s="6" t="e">
        <f>'SAM 07 FEV'!BA21+'LUN 09 FEV'!BA21+#REF!+#REF!+#REF!+#REF!</f>
        <v>#REF!</v>
      </c>
      <c r="BB21" s="7" t="e">
        <f>'SAM 07 FEV'!BB21+'LUN 09 FEV'!BB21+#REF!+#REF!+#REF!+#REF!</f>
        <v>#REF!</v>
      </c>
      <c r="BC21" s="8" t="e">
        <f>'SAM 07 FEV'!BC21+'LUN 09 FEV'!BC21+#REF!+#REF!+#REF!+#REF!</f>
        <v>#REF!</v>
      </c>
      <c r="BD21" s="18"/>
      <c r="BE21" s="12"/>
    </row>
    <row r="22" spans="1:57" ht="31.9" customHeight="1" x14ac:dyDescent="0.2">
      <c r="A22" s="20">
        <v>15</v>
      </c>
      <c r="B22" s="16"/>
      <c r="C22" s="9">
        <f t="shared" si="1"/>
        <v>10</v>
      </c>
      <c r="D22" s="10">
        <f t="shared" si="1"/>
        <v>3</v>
      </c>
      <c r="E22" s="10">
        <f t="shared" si="0"/>
        <v>2</v>
      </c>
      <c r="F22" s="10">
        <f t="shared" si="0"/>
        <v>2</v>
      </c>
      <c r="G22" s="11">
        <f t="shared" si="0"/>
        <v>3</v>
      </c>
      <c r="H22" s="9">
        <f t="shared" ref="H22:V27" si="2">+H$3</f>
        <v>3</v>
      </c>
      <c r="I22" s="10">
        <f t="shared" si="2"/>
        <v>1</v>
      </c>
      <c r="J22" s="10">
        <f t="shared" si="2"/>
        <v>1</v>
      </c>
      <c r="K22" s="10">
        <f t="shared" si="2"/>
        <v>1</v>
      </c>
      <c r="L22" s="11">
        <f t="shared" si="2"/>
        <v>1</v>
      </c>
      <c r="M22" s="9">
        <f t="shared" si="2"/>
        <v>3</v>
      </c>
      <c r="N22" s="10">
        <f t="shared" si="2"/>
        <v>1</v>
      </c>
      <c r="O22" s="10">
        <f t="shared" si="2"/>
        <v>3</v>
      </c>
      <c r="P22" s="10">
        <f t="shared" si="2"/>
        <v>0</v>
      </c>
      <c r="Q22" s="11">
        <f t="shared" si="2"/>
        <v>0</v>
      </c>
      <c r="R22" s="36">
        <f t="shared" si="2"/>
        <v>0.5</v>
      </c>
      <c r="S22" s="37">
        <f t="shared" si="2"/>
        <v>0.16666666666666666</v>
      </c>
      <c r="T22" s="37">
        <f t="shared" si="2"/>
        <v>0.1</v>
      </c>
      <c r="U22" s="37">
        <f t="shared" si="2"/>
        <v>0.6</v>
      </c>
      <c r="V22" s="38">
        <f t="shared" si="2"/>
        <v>0.15</v>
      </c>
      <c r="W22" s="6" t="e">
        <f>'SAM 07 FEV'!W22+'LUN 09 FEV'!W22+#REF!+#REF!+#REF!+#REF!</f>
        <v>#REF!</v>
      </c>
      <c r="X22" s="7" t="e">
        <f>'SAM 07 FEV'!X22+'LUN 09 FEV'!X22+#REF!+#REF!+#REF!+#REF!</f>
        <v>#REF!</v>
      </c>
      <c r="Y22" s="7" t="e">
        <f>'SAM 07 FEV'!Y22+'LUN 09 FEV'!Y22+#REF!+#REF!+#REF!+#REF!</f>
        <v>#REF!</v>
      </c>
      <c r="Z22" s="7" t="e">
        <f>'SAM 07 FEV'!Z22+'LUN 09 FEV'!Z22+#REF!+#REF!+#REF!+#REF!</f>
        <v>#REF!</v>
      </c>
      <c r="AA22" s="8" t="e">
        <f>'SAM 07 FEV'!AA22+'LUN 09 FEV'!AA22+#REF!+#REF!+#REF!+#REF!</f>
        <v>#REF!</v>
      </c>
      <c r="AB22" s="10" t="e">
        <f>'SAM 07 FEV'!AB22+'LUN 09 FEV'!AB22+#REF!+#REF!+#REF!+#REF!</f>
        <v>#REF!</v>
      </c>
      <c r="AC22" s="10" t="e">
        <f>'SAM 07 FEV'!AC22+'LUN 09 FEV'!AC22+#REF!+#REF!+#REF!+#REF!</f>
        <v>#REF!</v>
      </c>
      <c r="AD22" s="10" t="e">
        <f>'SAM 07 FEV'!AD22+'LUN 09 FEV'!AD22+#REF!+#REF!+#REF!+#REF!</f>
        <v>#REF!</v>
      </c>
      <c r="AE22" s="10" t="e">
        <f>'SAM 07 FEV'!AE22+'LUN 09 FEV'!AE22+#REF!+#REF!+#REF!+#REF!</f>
        <v>#REF!</v>
      </c>
      <c r="AF22" s="10" t="e">
        <f>'SAM 07 FEV'!AF22+'LUN 09 FEV'!AF22+#REF!+#REF!+#REF!+#REF!</f>
        <v>#REF!</v>
      </c>
      <c r="AG22" s="6" t="e">
        <f>'SAM 07 FEV'!AG22+'LUN 09 FEV'!AG22+#REF!+#REF!+#REF!+#REF!</f>
        <v>#REF!</v>
      </c>
      <c r="AH22" s="7" t="e">
        <f>'SAM 07 FEV'!AH22+'LUN 09 FEV'!AH22+#REF!+#REF!+#REF!+#REF!</f>
        <v>#REF!</v>
      </c>
      <c r="AI22" s="7" t="e">
        <f>'SAM 07 FEV'!AI22+'LUN 09 FEV'!AI22+#REF!+#REF!+#REF!+#REF!</f>
        <v>#REF!</v>
      </c>
      <c r="AJ22" s="7" t="e">
        <f>'SAM 07 FEV'!AJ22+'LUN 09 FEV'!AJ22+#REF!+#REF!+#REF!+#REF!</f>
        <v>#REF!</v>
      </c>
      <c r="AK22" s="8" t="e">
        <f>'SAM 07 FEV'!AK22+'LUN 09 FEV'!AK22+#REF!+#REF!+#REF!+#REF!</f>
        <v>#REF!</v>
      </c>
      <c r="AL22" s="9" t="e">
        <f>'SAM 07 FEV'!AL22+'LUN 09 FEV'!AL22+#REF!+#REF!+#REF!+#REF!</f>
        <v>#REF!</v>
      </c>
      <c r="AM22" s="10" t="e">
        <f>'SAM 07 FEV'!AM22+'LUN 09 FEV'!AM22+#REF!+#REF!+#REF!+#REF!</f>
        <v>#REF!</v>
      </c>
      <c r="AN22" s="10" t="e">
        <f>'SAM 07 FEV'!AN22+'LUN 09 FEV'!AN22+#REF!+#REF!+#REF!+#REF!</f>
        <v>#REF!</v>
      </c>
      <c r="AO22" s="10" t="e">
        <f>'SAM 07 FEV'!AO22+'LUN 09 FEV'!AO22+#REF!+#REF!+#REF!+#REF!</f>
        <v>#REF!</v>
      </c>
      <c r="AP22" s="11" t="e">
        <f>'SAM 07 FEV'!AP22+'LUN 09 FEV'!AP22+#REF!+#REF!+#REF!+#REF!</f>
        <v>#REF!</v>
      </c>
      <c r="AQ22" s="90" t="e">
        <f>'SAM 07 FEV'!AQ22+'LUN 09 FEV'!AQ22+#REF!+#REF!+#REF!+#REF!</f>
        <v>#REF!</v>
      </c>
      <c r="AR22" s="10" t="e">
        <f>'SAM 07 FEV'!AR22+'LUN 09 FEV'!AR22+#REF!+#REF!+#REF!+#REF!</f>
        <v>#REF!</v>
      </c>
      <c r="AS22" s="10" t="e">
        <f>'SAM 07 FEV'!AS22+'LUN 09 FEV'!AS22+#REF!+#REF!+#REF!+#REF!</f>
        <v>#REF!</v>
      </c>
      <c r="AT22" s="10" t="e">
        <f>'SAM 07 FEV'!AT22+'LUN 09 FEV'!AT22+#REF!+#REF!+#REF!+#REF!</f>
        <v>#REF!</v>
      </c>
      <c r="AU22" s="10" t="e">
        <f>'SAM 07 FEV'!AU22+'LUN 09 FEV'!AU22+#REF!+#REF!+#REF!+#REF!</f>
        <v>#REF!</v>
      </c>
      <c r="AV22" s="6" t="e">
        <f>'SAM 07 FEV'!AV22+'LUN 09 FEV'!AV22+#REF!+#REF!+#REF!+#REF!</f>
        <v>#REF!</v>
      </c>
      <c r="AW22" s="7" t="e">
        <f>'SAM 07 FEV'!AW22+'LUN 09 FEV'!AW22+#REF!+#REF!+#REF!+#REF!</f>
        <v>#REF!</v>
      </c>
      <c r="AX22" s="7" t="e">
        <f>'SAM 07 FEV'!AX22+'LUN 09 FEV'!AX22+#REF!+#REF!+#REF!+#REF!</f>
        <v>#REF!</v>
      </c>
      <c r="AY22" s="7" t="e">
        <f>'SAM 07 FEV'!AY22+'LUN 09 FEV'!AY22+#REF!+#REF!+#REF!+#REF!</f>
        <v>#REF!</v>
      </c>
      <c r="AZ22" s="8" t="e">
        <f>'SAM 07 FEV'!AZ22+'LUN 09 FEV'!AZ22+#REF!+#REF!+#REF!+#REF!</f>
        <v>#REF!</v>
      </c>
      <c r="BA22" s="6" t="e">
        <f>'SAM 07 FEV'!BA22+'LUN 09 FEV'!BA22+#REF!+#REF!+#REF!+#REF!</f>
        <v>#REF!</v>
      </c>
      <c r="BB22" s="7" t="e">
        <f>'SAM 07 FEV'!BB22+'LUN 09 FEV'!BB22+#REF!+#REF!+#REF!+#REF!</f>
        <v>#REF!</v>
      </c>
      <c r="BC22" s="8" t="e">
        <f>'SAM 07 FEV'!BC22+'LUN 09 FEV'!BC22+#REF!+#REF!+#REF!+#REF!</f>
        <v>#REF!</v>
      </c>
      <c r="BD22" s="18"/>
      <c r="BE22" s="12"/>
    </row>
    <row r="23" spans="1:57" ht="31.9" customHeight="1" x14ac:dyDescent="0.2">
      <c r="A23" s="20">
        <v>16</v>
      </c>
      <c r="B23" s="16"/>
      <c r="C23" s="9">
        <f t="shared" si="1"/>
        <v>10</v>
      </c>
      <c r="D23" s="10">
        <f t="shared" si="1"/>
        <v>3</v>
      </c>
      <c r="E23" s="10">
        <f t="shared" si="1"/>
        <v>2</v>
      </c>
      <c r="F23" s="10">
        <f t="shared" si="1"/>
        <v>2</v>
      </c>
      <c r="G23" s="11">
        <f t="shared" si="1"/>
        <v>3</v>
      </c>
      <c r="H23" s="9">
        <f t="shared" si="1"/>
        <v>3</v>
      </c>
      <c r="I23" s="10">
        <f t="shared" si="1"/>
        <v>1</v>
      </c>
      <c r="J23" s="10">
        <f t="shared" si="1"/>
        <v>1</v>
      </c>
      <c r="K23" s="10">
        <f t="shared" si="1"/>
        <v>1</v>
      </c>
      <c r="L23" s="11">
        <f t="shared" si="1"/>
        <v>1</v>
      </c>
      <c r="M23" s="9">
        <f t="shared" si="1"/>
        <v>3</v>
      </c>
      <c r="N23" s="10">
        <f t="shared" si="1"/>
        <v>1</v>
      </c>
      <c r="O23" s="10">
        <f t="shared" si="1"/>
        <v>3</v>
      </c>
      <c r="P23" s="10">
        <f t="shared" si="1"/>
        <v>0</v>
      </c>
      <c r="Q23" s="11">
        <f t="shared" si="1"/>
        <v>0</v>
      </c>
      <c r="R23" s="36">
        <f t="shared" si="1"/>
        <v>0.5</v>
      </c>
      <c r="S23" s="37">
        <f t="shared" si="2"/>
        <v>0.16666666666666666</v>
      </c>
      <c r="T23" s="37">
        <f t="shared" si="2"/>
        <v>0.1</v>
      </c>
      <c r="U23" s="37">
        <f t="shared" si="2"/>
        <v>0.6</v>
      </c>
      <c r="V23" s="38">
        <f t="shared" si="2"/>
        <v>0.15</v>
      </c>
      <c r="W23" s="6" t="e">
        <f>'SAM 07 FEV'!W23+'LUN 09 FEV'!W23+#REF!+#REF!+#REF!+#REF!</f>
        <v>#REF!</v>
      </c>
      <c r="X23" s="7" t="e">
        <f>'SAM 07 FEV'!X23+'LUN 09 FEV'!X23+#REF!+#REF!+#REF!+#REF!</f>
        <v>#REF!</v>
      </c>
      <c r="Y23" s="7" t="e">
        <f>'SAM 07 FEV'!Y23+'LUN 09 FEV'!Y23+#REF!+#REF!+#REF!+#REF!</f>
        <v>#REF!</v>
      </c>
      <c r="Z23" s="7" t="e">
        <f>'SAM 07 FEV'!Z23+'LUN 09 FEV'!Z23+#REF!+#REF!+#REF!+#REF!</f>
        <v>#REF!</v>
      </c>
      <c r="AA23" s="8" t="e">
        <f>'SAM 07 FEV'!AA23+'LUN 09 FEV'!AA23+#REF!+#REF!+#REF!+#REF!</f>
        <v>#REF!</v>
      </c>
      <c r="AB23" s="10" t="e">
        <f>'SAM 07 FEV'!AB23+'LUN 09 FEV'!AB23+#REF!+#REF!+#REF!+#REF!</f>
        <v>#REF!</v>
      </c>
      <c r="AC23" s="10" t="e">
        <f>'SAM 07 FEV'!AC23+'LUN 09 FEV'!AC23+#REF!+#REF!+#REF!+#REF!</f>
        <v>#REF!</v>
      </c>
      <c r="AD23" s="10" t="e">
        <f>'SAM 07 FEV'!AD23+'LUN 09 FEV'!AD23+#REF!+#REF!+#REF!+#REF!</f>
        <v>#REF!</v>
      </c>
      <c r="AE23" s="10" t="e">
        <f>'SAM 07 FEV'!AE23+'LUN 09 FEV'!AE23+#REF!+#REF!+#REF!+#REF!</f>
        <v>#REF!</v>
      </c>
      <c r="AF23" s="10" t="e">
        <f>'SAM 07 FEV'!AF23+'LUN 09 FEV'!AF23+#REF!+#REF!+#REF!+#REF!</f>
        <v>#REF!</v>
      </c>
      <c r="AG23" s="6" t="e">
        <f>'SAM 07 FEV'!AG23+'LUN 09 FEV'!AG23+#REF!+#REF!+#REF!+#REF!</f>
        <v>#REF!</v>
      </c>
      <c r="AH23" s="7" t="e">
        <f>'SAM 07 FEV'!AH23+'LUN 09 FEV'!AH23+#REF!+#REF!+#REF!+#REF!</f>
        <v>#REF!</v>
      </c>
      <c r="AI23" s="7" t="e">
        <f>'SAM 07 FEV'!AI23+'LUN 09 FEV'!AI23+#REF!+#REF!+#REF!+#REF!</f>
        <v>#REF!</v>
      </c>
      <c r="AJ23" s="7" t="e">
        <f>'SAM 07 FEV'!AJ23+'LUN 09 FEV'!AJ23+#REF!+#REF!+#REF!+#REF!</f>
        <v>#REF!</v>
      </c>
      <c r="AK23" s="8" t="e">
        <f>'SAM 07 FEV'!AK23+'LUN 09 FEV'!AK23+#REF!+#REF!+#REF!+#REF!</f>
        <v>#REF!</v>
      </c>
      <c r="AL23" s="9" t="e">
        <f>'SAM 07 FEV'!AL23+'LUN 09 FEV'!AL23+#REF!+#REF!+#REF!+#REF!</f>
        <v>#REF!</v>
      </c>
      <c r="AM23" s="10" t="e">
        <f>'SAM 07 FEV'!AM23+'LUN 09 FEV'!AM23+#REF!+#REF!+#REF!+#REF!</f>
        <v>#REF!</v>
      </c>
      <c r="AN23" s="10" t="e">
        <f>'SAM 07 FEV'!AN23+'LUN 09 FEV'!AN23+#REF!+#REF!+#REF!+#REF!</f>
        <v>#REF!</v>
      </c>
      <c r="AO23" s="10" t="e">
        <f>'SAM 07 FEV'!AO23+'LUN 09 FEV'!AO23+#REF!+#REF!+#REF!+#REF!</f>
        <v>#REF!</v>
      </c>
      <c r="AP23" s="11" t="e">
        <f>'SAM 07 FEV'!AP23+'LUN 09 FEV'!AP23+#REF!+#REF!+#REF!+#REF!</f>
        <v>#REF!</v>
      </c>
      <c r="AQ23" s="90" t="e">
        <f>'SAM 07 FEV'!AQ23+'LUN 09 FEV'!AQ23+#REF!+#REF!+#REF!+#REF!</f>
        <v>#REF!</v>
      </c>
      <c r="AR23" s="10" t="e">
        <f>'SAM 07 FEV'!AR23+'LUN 09 FEV'!AR23+#REF!+#REF!+#REF!+#REF!</f>
        <v>#REF!</v>
      </c>
      <c r="AS23" s="10" t="e">
        <f>'SAM 07 FEV'!AS23+'LUN 09 FEV'!AS23+#REF!+#REF!+#REF!+#REF!</f>
        <v>#REF!</v>
      </c>
      <c r="AT23" s="10" t="e">
        <f>'SAM 07 FEV'!AT23+'LUN 09 FEV'!AT23+#REF!+#REF!+#REF!+#REF!</f>
        <v>#REF!</v>
      </c>
      <c r="AU23" s="10" t="e">
        <f>'SAM 07 FEV'!AU23+'LUN 09 FEV'!AU23+#REF!+#REF!+#REF!+#REF!</f>
        <v>#REF!</v>
      </c>
      <c r="AV23" s="6" t="e">
        <f>'SAM 07 FEV'!AV23+'LUN 09 FEV'!AV23+#REF!+#REF!+#REF!+#REF!</f>
        <v>#REF!</v>
      </c>
      <c r="AW23" s="7" t="e">
        <f>'SAM 07 FEV'!AW23+'LUN 09 FEV'!AW23+#REF!+#REF!+#REF!+#REF!</f>
        <v>#REF!</v>
      </c>
      <c r="AX23" s="7" t="e">
        <f>'SAM 07 FEV'!AX23+'LUN 09 FEV'!AX23+#REF!+#REF!+#REF!+#REF!</f>
        <v>#REF!</v>
      </c>
      <c r="AY23" s="7" t="e">
        <f>'SAM 07 FEV'!AY23+'LUN 09 FEV'!AY23+#REF!+#REF!+#REF!+#REF!</f>
        <v>#REF!</v>
      </c>
      <c r="AZ23" s="8" t="e">
        <f>'SAM 07 FEV'!AZ23+'LUN 09 FEV'!AZ23+#REF!+#REF!+#REF!+#REF!</f>
        <v>#REF!</v>
      </c>
      <c r="BA23" s="6" t="e">
        <f>'SAM 07 FEV'!BA23+'LUN 09 FEV'!BA23+#REF!+#REF!+#REF!+#REF!</f>
        <v>#REF!</v>
      </c>
      <c r="BB23" s="7" t="e">
        <f>'SAM 07 FEV'!BB23+'LUN 09 FEV'!BB23+#REF!+#REF!+#REF!+#REF!</f>
        <v>#REF!</v>
      </c>
      <c r="BC23" s="8" t="e">
        <f>'SAM 07 FEV'!BC23+'LUN 09 FEV'!BC23+#REF!+#REF!+#REF!+#REF!</f>
        <v>#REF!</v>
      </c>
      <c r="BD23" s="18"/>
      <c r="BE23" s="12"/>
    </row>
    <row r="24" spans="1:57" ht="31.9" customHeight="1" x14ac:dyDescent="0.2">
      <c r="A24" s="20">
        <v>17</v>
      </c>
      <c r="B24" s="16"/>
      <c r="C24" s="9">
        <f t="shared" si="1"/>
        <v>10</v>
      </c>
      <c r="D24" s="10">
        <f t="shared" si="1"/>
        <v>3</v>
      </c>
      <c r="E24" s="10">
        <f t="shared" si="1"/>
        <v>2</v>
      </c>
      <c r="F24" s="10">
        <f t="shared" si="1"/>
        <v>2</v>
      </c>
      <c r="G24" s="11">
        <f t="shared" si="1"/>
        <v>3</v>
      </c>
      <c r="H24" s="9">
        <f t="shared" si="1"/>
        <v>3</v>
      </c>
      <c r="I24" s="10">
        <f t="shared" si="1"/>
        <v>1</v>
      </c>
      <c r="J24" s="10">
        <f t="shared" si="1"/>
        <v>1</v>
      </c>
      <c r="K24" s="10">
        <f t="shared" si="1"/>
        <v>1</v>
      </c>
      <c r="L24" s="11">
        <f t="shared" si="1"/>
        <v>1</v>
      </c>
      <c r="M24" s="9">
        <f t="shared" si="1"/>
        <v>3</v>
      </c>
      <c r="N24" s="10">
        <f t="shared" si="1"/>
        <v>1</v>
      </c>
      <c r="O24" s="10">
        <f t="shared" si="1"/>
        <v>3</v>
      </c>
      <c r="P24" s="10">
        <f t="shared" si="1"/>
        <v>0</v>
      </c>
      <c r="Q24" s="11">
        <f t="shared" si="1"/>
        <v>0</v>
      </c>
      <c r="R24" s="36">
        <f t="shared" si="1"/>
        <v>0.5</v>
      </c>
      <c r="S24" s="37">
        <f t="shared" si="2"/>
        <v>0.16666666666666666</v>
      </c>
      <c r="T24" s="37">
        <f t="shared" si="2"/>
        <v>0.1</v>
      </c>
      <c r="U24" s="37">
        <f t="shared" si="2"/>
        <v>0.6</v>
      </c>
      <c r="V24" s="38">
        <f t="shared" si="2"/>
        <v>0.15</v>
      </c>
      <c r="W24" s="6" t="e">
        <f>'SAM 07 FEV'!W24+'LUN 09 FEV'!W24+#REF!+#REF!+#REF!+#REF!</f>
        <v>#REF!</v>
      </c>
      <c r="X24" s="7" t="e">
        <f>'SAM 07 FEV'!X24+'LUN 09 FEV'!X24+#REF!+#REF!+#REF!+#REF!</f>
        <v>#REF!</v>
      </c>
      <c r="Y24" s="7" t="e">
        <f>'SAM 07 FEV'!Y24+'LUN 09 FEV'!Y24+#REF!+#REF!+#REF!+#REF!</f>
        <v>#REF!</v>
      </c>
      <c r="Z24" s="7" t="e">
        <f>'SAM 07 FEV'!Z24+'LUN 09 FEV'!Z24+#REF!+#REF!+#REF!+#REF!</f>
        <v>#REF!</v>
      </c>
      <c r="AA24" s="8" t="e">
        <f>'SAM 07 FEV'!AA24+'LUN 09 FEV'!AA24+#REF!+#REF!+#REF!+#REF!</f>
        <v>#REF!</v>
      </c>
      <c r="AB24" s="10" t="e">
        <f>'SAM 07 FEV'!AB24+'LUN 09 FEV'!AB24+#REF!+#REF!+#REF!+#REF!</f>
        <v>#REF!</v>
      </c>
      <c r="AC24" s="10" t="e">
        <f>'SAM 07 FEV'!AC24+'LUN 09 FEV'!AC24+#REF!+#REF!+#REF!+#REF!</f>
        <v>#REF!</v>
      </c>
      <c r="AD24" s="10" t="e">
        <f>'SAM 07 FEV'!AD24+'LUN 09 FEV'!AD24+#REF!+#REF!+#REF!+#REF!</f>
        <v>#REF!</v>
      </c>
      <c r="AE24" s="10" t="e">
        <f>'SAM 07 FEV'!AE24+'LUN 09 FEV'!AE24+#REF!+#REF!+#REF!+#REF!</f>
        <v>#REF!</v>
      </c>
      <c r="AF24" s="10" t="e">
        <f>'SAM 07 FEV'!AF24+'LUN 09 FEV'!AF24+#REF!+#REF!+#REF!+#REF!</f>
        <v>#REF!</v>
      </c>
      <c r="AG24" s="6" t="e">
        <f>'SAM 07 FEV'!AG24+'LUN 09 FEV'!AG24+#REF!+#REF!+#REF!+#REF!</f>
        <v>#REF!</v>
      </c>
      <c r="AH24" s="7" t="e">
        <f>'SAM 07 FEV'!AH24+'LUN 09 FEV'!AH24+#REF!+#REF!+#REF!+#REF!</f>
        <v>#REF!</v>
      </c>
      <c r="AI24" s="7" t="e">
        <f>'SAM 07 FEV'!AI24+'LUN 09 FEV'!AI24+#REF!+#REF!+#REF!+#REF!</f>
        <v>#REF!</v>
      </c>
      <c r="AJ24" s="7" t="e">
        <f>'SAM 07 FEV'!AJ24+'LUN 09 FEV'!AJ24+#REF!+#REF!+#REF!+#REF!</f>
        <v>#REF!</v>
      </c>
      <c r="AK24" s="8" t="e">
        <f>'SAM 07 FEV'!AK24+'LUN 09 FEV'!AK24+#REF!+#REF!+#REF!+#REF!</f>
        <v>#REF!</v>
      </c>
      <c r="AL24" s="9" t="e">
        <f>'SAM 07 FEV'!AL24+'LUN 09 FEV'!AL24+#REF!+#REF!+#REF!+#REF!</f>
        <v>#REF!</v>
      </c>
      <c r="AM24" s="10" t="e">
        <f>'SAM 07 FEV'!AM24+'LUN 09 FEV'!AM24+#REF!+#REF!+#REF!+#REF!</f>
        <v>#REF!</v>
      </c>
      <c r="AN24" s="10" t="e">
        <f>'SAM 07 FEV'!AN24+'LUN 09 FEV'!AN24+#REF!+#REF!+#REF!+#REF!</f>
        <v>#REF!</v>
      </c>
      <c r="AO24" s="10" t="e">
        <f>'SAM 07 FEV'!AO24+'LUN 09 FEV'!AO24+#REF!+#REF!+#REF!+#REF!</f>
        <v>#REF!</v>
      </c>
      <c r="AP24" s="11" t="e">
        <f>'SAM 07 FEV'!AP24+'LUN 09 FEV'!AP24+#REF!+#REF!+#REF!+#REF!</f>
        <v>#REF!</v>
      </c>
      <c r="AQ24" s="90" t="e">
        <f>'SAM 07 FEV'!AQ24+'LUN 09 FEV'!AQ24+#REF!+#REF!+#REF!+#REF!</f>
        <v>#REF!</v>
      </c>
      <c r="AR24" s="10" t="e">
        <f>'SAM 07 FEV'!AR24+'LUN 09 FEV'!AR24+#REF!+#REF!+#REF!+#REF!</f>
        <v>#REF!</v>
      </c>
      <c r="AS24" s="10" t="e">
        <f>'SAM 07 FEV'!AS24+'LUN 09 FEV'!AS24+#REF!+#REF!+#REF!+#REF!</f>
        <v>#REF!</v>
      </c>
      <c r="AT24" s="10" t="e">
        <f>'SAM 07 FEV'!AT24+'LUN 09 FEV'!AT24+#REF!+#REF!+#REF!+#REF!</f>
        <v>#REF!</v>
      </c>
      <c r="AU24" s="10" t="e">
        <f>'SAM 07 FEV'!AU24+'LUN 09 FEV'!AU24+#REF!+#REF!+#REF!+#REF!</f>
        <v>#REF!</v>
      </c>
      <c r="AV24" s="6" t="e">
        <f>'SAM 07 FEV'!AV24+'LUN 09 FEV'!AV24+#REF!+#REF!+#REF!+#REF!</f>
        <v>#REF!</v>
      </c>
      <c r="AW24" s="7" t="e">
        <f>'SAM 07 FEV'!AW24+'LUN 09 FEV'!AW24+#REF!+#REF!+#REF!+#REF!</f>
        <v>#REF!</v>
      </c>
      <c r="AX24" s="7" t="e">
        <f>'SAM 07 FEV'!AX24+'LUN 09 FEV'!AX24+#REF!+#REF!+#REF!+#REF!</f>
        <v>#REF!</v>
      </c>
      <c r="AY24" s="7" t="e">
        <f>'SAM 07 FEV'!AY24+'LUN 09 FEV'!AY24+#REF!+#REF!+#REF!+#REF!</f>
        <v>#REF!</v>
      </c>
      <c r="AZ24" s="8" t="e">
        <f>'SAM 07 FEV'!AZ24+'LUN 09 FEV'!AZ24+#REF!+#REF!+#REF!+#REF!</f>
        <v>#REF!</v>
      </c>
      <c r="BA24" s="6" t="e">
        <f>'SAM 07 FEV'!BA24+'LUN 09 FEV'!BA24+#REF!+#REF!+#REF!+#REF!</f>
        <v>#REF!</v>
      </c>
      <c r="BB24" s="7" t="e">
        <f>'SAM 07 FEV'!BB24+'LUN 09 FEV'!BB24+#REF!+#REF!+#REF!+#REF!</f>
        <v>#REF!</v>
      </c>
      <c r="BC24" s="8" t="e">
        <f>'SAM 07 FEV'!BC24+'LUN 09 FEV'!BC24+#REF!+#REF!+#REF!+#REF!</f>
        <v>#REF!</v>
      </c>
      <c r="BD24" s="18"/>
      <c r="BE24" s="12"/>
    </row>
    <row r="25" spans="1:57" ht="31.9" customHeight="1" x14ac:dyDescent="0.2">
      <c r="A25" s="20">
        <v>18</v>
      </c>
      <c r="B25" s="16"/>
      <c r="C25" s="9">
        <f t="shared" si="1"/>
        <v>10</v>
      </c>
      <c r="D25" s="10">
        <f t="shared" si="1"/>
        <v>3</v>
      </c>
      <c r="E25" s="10">
        <f t="shared" si="1"/>
        <v>2</v>
      </c>
      <c r="F25" s="10">
        <f t="shared" si="1"/>
        <v>2</v>
      </c>
      <c r="G25" s="11">
        <f t="shared" si="1"/>
        <v>3</v>
      </c>
      <c r="H25" s="9">
        <f t="shared" si="1"/>
        <v>3</v>
      </c>
      <c r="I25" s="10">
        <f t="shared" si="1"/>
        <v>1</v>
      </c>
      <c r="J25" s="10">
        <f t="shared" si="1"/>
        <v>1</v>
      </c>
      <c r="K25" s="10">
        <f t="shared" si="1"/>
        <v>1</v>
      </c>
      <c r="L25" s="11">
        <f t="shared" si="1"/>
        <v>1</v>
      </c>
      <c r="M25" s="9">
        <f t="shared" si="1"/>
        <v>3</v>
      </c>
      <c r="N25" s="10">
        <f t="shared" si="1"/>
        <v>1</v>
      </c>
      <c r="O25" s="10">
        <f t="shared" si="1"/>
        <v>3</v>
      </c>
      <c r="P25" s="10">
        <f t="shared" si="1"/>
        <v>0</v>
      </c>
      <c r="Q25" s="11">
        <f t="shared" si="1"/>
        <v>0</v>
      </c>
      <c r="R25" s="36">
        <f t="shared" si="1"/>
        <v>0.5</v>
      </c>
      <c r="S25" s="37">
        <f t="shared" si="2"/>
        <v>0.16666666666666666</v>
      </c>
      <c r="T25" s="37">
        <f t="shared" si="2"/>
        <v>0.1</v>
      </c>
      <c r="U25" s="37">
        <f t="shared" si="2"/>
        <v>0.6</v>
      </c>
      <c r="V25" s="38">
        <f t="shared" si="2"/>
        <v>0.15</v>
      </c>
      <c r="W25" s="6" t="e">
        <f>'SAM 07 FEV'!W25+'LUN 09 FEV'!W25+#REF!+#REF!+#REF!+#REF!</f>
        <v>#REF!</v>
      </c>
      <c r="X25" s="7" t="e">
        <f>'SAM 07 FEV'!X25+'LUN 09 FEV'!X25+#REF!+#REF!+#REF!+#REF!</f>
        <v>#REF!</v>
      </c>
      <c r="Y25" s="7" t="e">
        <f>'SAM 07 FEV'!Y25+'LUN 09 FEV'!Y25+#REF!+#REF!+#REF!+#REF!</f>
        <v>#REF!</v>
      </c>
      <c r="Z25" s="7" t="e">
        <f>'SAM 07 FEV'!Z25+'LUN 09 FEV'!Z25+#REF!+#REF!+#REF!+#REF!</f>
        <v>#REF!</v>
      </c>
      <c r="AA25" s="8" t="e">
        <f>'SAM 07 FEV'!AA25+'LUN 09 FEV'!AA25+#REF!+#REF!+#REF!+#REF!</f>
        <v>#REF!</v>
      </c>
      <c r="AB25" s="10" t="e">
        <f>'SAM 07 FEV'!AB25+'LUN 09 FEV'!AB25+#REF!+#REF!+#REF!+#REF!</f>
        <v>#REF!</v>
      </c>
      <c r="AC25" s="10" t="e">
        <f>'SAM 07 FEV'!AC25+'LUN 09 FEV'!AC25+#REF!+#REF!+#REF!+#REF!</f>
        <v>#REF!</v>
      </c>
      <c r="AD25" s="10" t="e">
        <f>'SAM 07 FEV'!AD25+'LUN 09 FEV'!AD25+#REF!+#REF!+#REF!+#REF!</f>
        <v>#REF!</v>
      </c>
      <c r="AE25" s="10" t="e">
        <f>'SAM 07 FEV'!AE25+'LUN 09 FEV'!AE25+#REF!+#REF!+#REF!+#REF!</f>
        <v>#REF!</v>
      </c>
      <c r="AF25" s="10" t="e">
        <f>'SAM 07 FEV'!AF25+'LUN 09 FEV'!AF25+#REF!+#REF!+#REF!+#REF!</f>
        <v>#REF!</v>
      </c>
      <c r="AG25" s="6" t="e">
        <f>'SAM 07 FEV'!AG25+'LUN 09 FEV'!AG25+#REF!+#REF!+#REF!+#REF!</f>
        <v>#REF!</v>
      </c>
      <c r="AH25" s="7" t="e">
        <f>'SAM 07 FEV'!AH25+'LUN 09 FEV'!AH25+#REF!+#REF!+#REF!+#REF!</f>
        <v>#REF!</v>
      </c>
      <c r="AI25" s="7" t="e">
        <f>'SAM 07 FEV'!AI25+'LUN 09 FEV'!AI25+#REF!+#REF!+#REF!+#REF!</f>
        <v>#REF!</v>
      </c>
      <c r="AJ25" s="7" t="e">
        <f>'SAM 07 FEV'!AJ25+'LUN 09 FEV'!AJ25+#REF!+#REF!+#REF!+#REF!</f>
        <v>#REF!</v>
      </c>
      <c r="AK25" s="8" t="e">
        <f>'SAM 07 FEV'!AK25+'LUN 09 FEV'!AK25+#REF!+#REF!+#REF!+#REF!</f>
        <v>#REF!</v>
      </c>
      <c r="AL25" s="9" t="e">
        <f>'SAM 07 FEV'!AL25+'LUN 09 FEV'!AL25+#REF!+#REF!+#REF!+#REF!</f>
        <v>#REF!</v>
      </c>
      <c r="AM25" s="10" t="e">
        <f>'SAM 07 FEV'!AM25+'LUN 09 FEV'!AM25+#REF!+#REF!+#REF!+#REF!</f>
        <v>#REF!</v>
      </c>
      <c r="AN25" s="10" t="e">
        <f>'SAM 07 FEV'!AN25+'LUN 09 FEV'!AN25+#REF!+#REF!+#REF!+#REF!</f>
        <v>#REF!</v>
      </c>
      <c r="AO25" s="10" t="e">
        <f>'SAM 07 FEV'!AO25+'LUN 09 FEV'!AO25+#REF!+#REF!+#REF!+#REF!</f>
        <v>#REF!</v>
      </c>
      <c r="AP25" s="11" t="e">
        <f>'SAM 07 FEV'!AP25+'LUN 09 FEV'!AP25+#REF!+#REF!+#REF!+#REF!</f>
        <v>#REF!</v>
      </c>
      <c r="AQ25" s="90" t="e">
        <f>'SAM 07 FEV'!AQ25+'LUN 09 FEV'!AQ25+#REF!+#REF!+#REF!+#REF!</f>
        <v>#REF!</v>
      </c>
      <c r="AR25" s="10" t="e">
        <f>'SAM 07 FEV'!AR25+'LUN 09 FEV'!AR25+#REF!+#REF!+#REF!+#REF!</f>
        <v>#REF!</v>
      </c>
      <c r="AS25" s="10" t="e">
        <f>'SAM 07 FEV'!AS25+'LUN 09 FEV'!AS25+#REF!+#REF!+#REF!+#REF!</f>
        <v>#REF!</v>
      </c>
      <c r="AT25" s="10" t="e">
        <f>'SAM 07 FEV'!AT25+'LUN 09 FEV'!AT25+#REF!+#REF!+#REF!+#REF!</f>
        <v>#REF!</v>
      </c>
      <c r="AU25" s="10" t="e">
        <f>'SAM 07 FEV'!AU25+'LUN 09 FEV'!AU25+#REF!+#REF!+#REF!+#REF!</f>
        <v>#REF!</v>
      </c>
      <c r="AV25" s="6" t="e">
        <f>'SAM 07 FEV'!AV25+'LUN 09 FEV'!AV25+#REF!+#REF!+#REF!+#REF!</f>
        <v>#REF!</v>
      </c>
      <c r="AW25" s="7" t="e">
        <f>'SAM 07 FEV'!AW25+'LUN 09 FEV'!AW25+#REF!+#REF!+#REF!+#REF!</f>
        <v>#REF!</v>
      </c>
      <c r="AX25" s="7" t="e">
        <f>'SAM 07 FEV'!AX25+'LUN 09 FEV'!AX25+#REF!+#REF!+#REF!+#REF!</f>
        <v>#REF!</v>
      </c>
      <c r="AY25" s="7" t="e">
        <f>'SAM 07 FEV'!AY25+'LUN 09 FEV'!AY25+#REF!+#REF!+#REF!+#REF!</f>
        <v>#REF!</v>
      </c>
      <c r="AZ25" s="8" t="e">
        <f>'SAM 07 FEV'!AZ25+'LUN 09 FEV'!AZ25+#REF!+#REF!+#REF!+#REF!</f>
        <v>#REF!</v>
      </c>
      <c r="BA25" s="6" t="e">
        <f>'SAM 07 FEV'!BA25+'LUN 09 FEV'!BA25+#REF!+#REF!+#REF!+#REF!</f>
        <v>#REF!</v>
      </c>
      <c r="BB25" s="7" t="e">
        <f>'SAM 07 FEV'!BB25+'LUN 09 FEV'!BB25+#REF!+#REF!+#REF!+#REF!</f>
        <v>#REF!</v>
      </c>
      <c r="BC25" s="8" t="e">
        <f>'SAM 07 FEV'!BC25+'LUN 09 FEV'!BC25+#REF!+#REF!+#REF!+#REF!</f>
        <v>#REF!</v>
      </c>
      <c r="BD25" s="18"/>
      <c r="BE25" s="12"/>
    </row>
    <row r="26" spans="1:57" ht="31.9" customHeight="1" x14ac:dyDescent="0.2">
      <c r="A26" s="50">
        <v>19</v>
      </c>
      <c r="B26" s="51"/>
      <c r="C26" s="52">
        <f t="shared" si="1"/>
        <v>10</v>
      </c>
      <c r="D26" s="53">
        <f t="shared" si="1"/>
        <v>3</v>
      </c>
      <c r="E26" s="53">
        <f t="shared" si="1"/>
        <v>2</v>
      </c>
      <c r="F26" s="53">
        <f t="shared" si="1"/>
        <v>2</v>
      </c>
      <c r="G26" s="54">
        <f t="shared" si="1"/>
        <v>3</v>
      </c>
      <c r="H26" s="52">
        <f t="shared" si="1"/>
        <v>3</v>
      </c>
      <c r="I26" s="53">
        <f t="shared" si="1"/>
        <v>1</v>
      </c>
      <c r="J26" s="53">
        <f t="shared" si="1"/>
        <v>1</v>
      </c>
      <c r="K26" s="53">
        <f t="shared" si="1"/>
        <v>1</v>
      </c>
      <c r="L26" s="54">
        <f t="shared" si="1"/>
        <v>1</v>
      </c>
      <c r="M26" s="52">
        <f t="shared" si="1"/>
        <v>3</v>
      </c>
      <c r="N26" s="53">
        <f t="shared" si="1"/>
        <v>1</v>
      </c>
      <c r="O26" s="53">
        <f t="shared" si="1"/>
        <v>3</v>
      </c>
      <c r="P26" s="53">
        <f t="shared" si="1"/>
        <v>0</v>
      </c>
      <c r="Q26" s="54">
        <f t="shared" si="1"/>
        <v>0</v>
      </c>
      <c r="R26" s="55">
        <f t="shared" si="1"/>
        <v>0.5</v>
      </c>
      <c r="S26" s="56">
        <f t="shared" si="2"/>
        <v>0.16666666666666666</v>
      </c>
      <c r="T26" s="56">
        <f t="shared" si="2"/>
        <v>0.1</v>
      </c>
      <c r="U26" s="56">
        <f t="shared" si="2"/>
        <v>0.6</v>
      </c>
      <c r="V26" s="57">
        <f t="shared" si="2"/>
        <v>0.15</v>
      </c>
      <c r="W26" s="6" t="e">
        <f>'SAM 07 FEV'!W26+'LUN 09 FEV'!W26+#REF!+#REF!+#REF!+#REF!</f>
        <v>#REF!</v>
      </c>
      <c r="X26" s="7" t="e">
        <f>'SAM 07 FEV'!X26+'LUN 09 FEV'!X26+#REF!+#REF!+#REF!+#REF!</f>
        <v>#REF!</v>
      </c>
      <c r="Y26" s="7" t="e">
        <f>'SAM 07 FEV'!Y26+'LUN 09 FEV'!Y26+#REF!+#REF!+#REF!+#REF!</f>
        <v>#REF!</v>
      </c>
      <c r="Z26" s="7" t="e">
        <f>'SAM 07 FEV'!Z26+'LUN 09 FEV'!Z26+#REF!+#REF!+#REF!+#REF!</f>
        <v>#REF!</v>
      </c>
      <c r="AA26" s="8" t="e">
        <f>'SAM 07 FEV'!AA26+'LUN 09 FEV'!AA26+#REF!+#REF!+#REF!+#REF!</f>
        <v>#REF!</v>
      </c>
      <c r="AB26" s="10" t="e">
        <f>'SAM 07 FEV'!AB26+'LUN 09 FEV'!AB26+#REF!+#REF!+#REF!+#REF!</f>
        <v>#REF!</v>
      </c>
      <c r="AC26" s="10" t="e">
        <f>'SAM 07 FEV'!AC26+'LUN 09 FEV'!AC26+#REF!+#REF!+#REF!+#REF!</f>
        <v>#REF!</v>
      </c>
      <c r="AD26" s="10" t="e">
        <f>'SAM 07 FEV'!AD26+'LUN 09 FEV'!AD26+#REF!+#REF!+#REF!+#REF!</f>
        <v>#REF!</v>
      </c>
      <c r="AE26" s="10" t="e">
        <f>'SAM 07 FEV'!AE26+'LUN 09 FEV'!AE26+#REF!+#REF!+#REF!+#REF!</f>
        <v>#REF!</v>
      </c>
      <c r="AF26" s="10" t="e">
        <f>'SAM 07 FEV'!AF26+'LUN 09 FEV'!AF26+#REF!+#REF!+#REF!+#REF!</f>
        <v>#REF!</v>
      </c>
      <c r="AG26" s="6" t="e">
        <f>'SAM 07 FEV'!AG26+'LUN 09 FEV'!AG26+#REF!+#REF!+#REF!+#REF!</f>
        <v>#REF!</v>
      </c>
      <c r="AH26" s="7" t="e">
        <f>'SAM 07 FEV'!AH26+'LUN 09 FEV'!AH26+#REF!+#REF!+#REF!+#REF!</f>
        <v>#REF!</v>
      </c>
      <c r="AI26" s="7" t="e">
        <f>'SAM 07 FEV'!AI26+'LUN 09 FEV'!AI26+#REF!+#REF!+#REF!+#REF!</f>
        <v>#REF!</v>
      </c>
      <c r="AJ26" s="7" t="e">
        <f>'SAM 07 FEV'!AJ26+'LUN 09 FEV'!AJ26+#REF!+#REF!+#REF!+#REF!</f>
        <v>#REF!</v>
      </c>
      <c r="AK26" s="8" t="e">
        <f>'SAM 07 FEV'!AK26+'LUN 09 FEV'!AK26+#REF!+#REF!+#REF!+#REF!</f>
        <v>#REF!</v>
      </c>
      <c r="AL26" s="9" t="e">
        <f>'SAM 07 FEV'!AL26+'LUN 09 FEV'!AL26+#REF!+#REF!+#REF!+#REF!</f>
        <v>#REF!</v>
      </c>
      <c r="AM26" s="10" t="e">
        <f>'SAM 07 FEV'!AM26+'LUN 09 FEV'!AM26+#REF!+#REF!+#REF!+#REF!</f>
        <v>#REF!</v>
      </c>
      <c r="AN26" s="10" t="e">
        <f>'SAM 07 FEV'!AN26+'LUN 09 FEV'!AN26+#REF!+#REF!+#REF!+#REF!</f>
        <v>#REF!</v>
      </c>
      <c r="AO26" s="10" t="e">
        <f>'SAM 07 FEV'!AO26+'LUN 09 FEV'!AO26+#REF!+#REF!+#REF!+#REF!</f>
        <v>#REF!</v>
      </c>
      <c r="AP26" s="11" t="e">
        <f>'SAM 07 FEV'!AP26+'LUN 09 FEV'!AP26+#REF!+#REF!+#REF!+#REF!</f>
        <v>#REF!</v>
      </c>
      <c r="AQ26" s="90" t="e">
        <f>'SAM 07 FEV'!AQ26+'LUN 09 FEV'!AQ26+#REF!+#REF!+#REF!+#REF!</f>
        <v>#REF!</v>
      </c>
      <c r="AR26" s="10" t="e">
        <f>'SAM 07 FEV'!AR26+'LUN 09 FEV'!AR26+#REF!+#REF!+#REF!+#REF!</f>
        <v>#REF!</v>
      </c>
      <c r="AS26" s="10" t="e">
        <f>'SAM 07 FEV'!AS26+'LUN 09 FEV'!AS26+#REF!+#REF!+#REF!+#REF!</f>
        <v>#REF!</v>
      </c>
      <c r="AT26" s="10" t="e">
        <f>'SAM 07 FEV'!AT26+'LUN 09 FEV'!AT26+#REF!+#REF!+#REF!+#REF!</f>
        <v>#REF!</v>
      </c>
      <c r="AU26" s="10" t="e">
        <f>'SAM 07 FEV'!AU26+'LUN 09 FEV'!AU26+#REF!+#REF!+#REF!+#REF!</f>
        <v>#REF!</v>
      </c>
      <c r="AV26" s="6" t="e">
        <f>'SAM 07 FEV'!AV26+'LUN 09 FEV'!AV26+#REF!+#REF!+#REF!+#REF!</f>
        <v>#REF!</v>
      </c>
      <c r="AW26" s="7" t="e">
        <f>'SAM 07 FEV'!AW26+'LUN 09 FEV'!AW26+#REF!+#REF!+#REF!+#REF!</f>
        <v>#REF!</v>
      </c>
      <c r="AX26" s="7" t="e">
        <f>'SAM 07 FEV'!AX26+'LUN 09 FEV'!AX26+#REF!+#REF!+#REF!+#REF!</f>
        <v>#REF!</v>
      </c>
      <c r="AY26" s="7" t="e">
        <f>'SAM 07 FEV'!AY26+'LUN 09 FEV'!AY26+#REF!+#REF!+#REF!+#REF!</f>
        <v>#REF!</v>
      </c>
      <c r="AZ26" s="8" t="e">
        <f>'SAM 07 FEV'!AZ26+'LUN 09 FEV'!AZ26+#REF!+#REF!+#REF!+#REF!</f>
        <v>#REF!</v>
      </c>
      <c r="BA26" s="6" t="e">
        <f>'SAM 07 FEV'!BA26+'LUN 09 FEV'!BA26+#REF!+#REF!+#REF!+#REF!</f>
        <v>#REF!</v>
      </c>
      <c r="BB26" s="7" t="e">
        <f>'SAM 07 FEV'!BB26+'LUN 09 FEV'!BB26+#REF!+#REF!+#REF!+#REF!</f>
        <v>#REF!</v>
      </c>
      <c r="BC26" s="8" t="e">
        <f>'SAM 07 FEV'!BC26+'LUN 09 FEV'!BC26+#REF!+#REF!+#REF!+#REF!</f>
        <v>#REF!</v>
      </c>
      <c r="BD26" s="60"/>
      <c r="BE26" s="61"/>
    </row>
    <row r="27" spans="1:57" ht="31.9" customHeight="1" thickBot="1" x14ac:dyDescent="0.25">
      <c r="A27" s="50">
        <v>20</v>
      </c>
      <c r="B27" s="51"/>
      <c r="C27" s="52">
        <f t="shared" si="1"/>
        <v>10</v>
      </c>
      <c r="D27" s="53">
        <f t="shared" si="1"/>
        <v>3</v>
      </c>
      <c r="E27" s="53">
        <f t="shared" si="1"/>
        <v>2</v>
      </c>
      <c r="F27" s="53">
        <f t="shared" si="1"/>
        <v>2</v>
      </c>
      <c r="G27" s="54">
        <f t="shared" si="1"/>
        <v>3</v>
      </c>
      <c r="H27" s="52">
        <f t="shared" si="1"/>
        <v>3</v>
      </c>
      <c r="I27" s="53">
        <f t="shared" si="1"/>
        <v>1</v>
      </c>
      <c r="J27" s="53">
        <f t="shared" si="1"/>
        <v>1</v>
      </c>
      <c r="K27" s="53">
        <f t="shared" si="1"/>
        <v>1</v>
      </c>
      <c r="L27" s="54">
        <f t="shared" si="1"/>
        <v>1</v>
      </c>
      <c r="M27" s="52">
        <f t="shared" si="1"/>
        <v>3</v>
      </c>
      <c r="N27" s="53">
        <f t="shared" si="1"/>
        <v>1</v>
      </c>
      <c r="O27" s="53">
        <f t="shared" si="1"/>
        <v>3</v>
      </c>
      <c r="P27" s="53">
        <f t="shared" si="1"/>
        <v>0</v>
      </c>
      <c r="Q27" s="54">
        <f t="shared" si="1"/>
        <v>0</v>
      </c>
      <c r="R27" s="55">
        <f t="shared" si="1"/>
        <v>0.5</v>
      </c>
      <c r="S27" s="56">
        <f t="shared" si="2"/>
        <v>0.16666666666666666</v>
      </c>
      <c r="T27" s="56">
        <f t="shared" si="2"/>
        <v>0.1</v>
      </c>
      <c r="U27" s="56">
        <f t="shared" si="2"/>
        <v>0.6</v>
      </c>
      <c r="V27" s="57">
        <f t="shared" si="2"/>
        <v>0.15</v>
      </c>
      <c r="W27" s="91" t="e">
        <f>'SAM 07 FEV'!W27+'LUN 09 FEV'!W27+#REF!+#REF!+#REF!+#REF!</f>
        <v>#REF!</v>
      </c>
      <c r="X27" s="92" t="e">
        <f>'SAM 07 FEV'!X27+'LUN 09 FEV'!X27+#REF!+#REF!+#REF!+#REF!</f>
        <v>#REF!</v>
      </c>
      <c r="Y27" s="92" t="e">
        <f>'SAM 07 FEV'!Y27+'LUN 09 FEV'!Y27+#REF!+#REF!+#REF!+#REF!</f>
        <v>#REF!</v>
      </c>
      <c r="Z27" s="92" t="e">
        <f>'SAM 07 FEV'!Z27+'LUN 09 FEV'!Z27+#REF!+#REF!+#REF!+#REF!</f>
        <v>#REF!</v>
      </c>
      <c r="AA27" s="93" t="e">
        <f>'SAM 07 FEV'!AA27+'LUN 09 FEV'!AA27+#REF!+#REF!+#REF!+#REF!</f>
        <v>#REF!</v>
      </c>
      <c r="AB27" s="22" t="e">
        <f>'SAM 07 FEV'!AB27+'LUN 09 FEV'!AB27+#REF!+#REF!+#REF!+#REF!</f>
        <v>#REF!</v>
      </c>
      <c r="AC27" s="22" t="e">
        <f>'SAM 07 FEV'!AC27+'LUN 09 FEV'!AC27+#REF!+#REF!+#REF!+#REF!</f>
        <v>#REF!</v>
      </c>
      <c r="AD27" s="22" t="e">
        <f>'SAM 07 FEV'!AD27+'LUN 09 FEV'!AD27+#REF!+#REF!+#REF!+#REF!</f>
        <v>#REF!</v>
      </c>
      <c r="AE27" s="22" t="e">
        <f>'SAM 07 FEV'!AE27+'LUN 09 FEV'!AE27+#REF!+#REF!+#REF!+#REF!</f>
        <v>#REF!</v>
      </c>
      <c r="AF27" s="22" t="e">
        <f>'SAM 07 FEV'!AF27+'LUN 09 FEV'!AF27+#REF!+#REF!+#REF!+#REF!</f>
        <v>#REF!</v>
      </c>
      <c r="AG27" s="91" t="e">
        <f>'SAM 07 FEV'!AG27+'LUN 09 FEV'!AG27+#REF!+#REF!+#REF!+#REF!</f>
        <v>#REF!</v>
      </c>
      <c r="AH27" s="92" t="e">
        <f>'SAM 07 FEV'!AH27+'LUN 09 FEV'!AH27+#REF!+#REF!+#REF!+#REF!</f>
        <v>#REF!</v>
      </c>
      <c r="AI27" s="92" t="e">
        <f>'SAM 07 FEV'!AI27+'LUN 09 FEV'!AI27+#REF!+#REF!+#REF!+#REF!</f>
        <v>#REF!</v>
      </c>
      <c r="AJ27" s="92" t="e">
        <f>'SAM 07 FEV'!AJ27+'LUN 09 FEV'!AJ27+#REF!+#REF!+#REF!+#REF!</f>
        <v>#REF!</v>
      </c>
      <c r="AK27" s="93" t="e">
        <f>'SAM 07 FEV'!AK27+'LUN 09 FEV'!AK27+#REF!+#REF!+#REF!+#REF!</f>
        <v>#REF!</v>
      </c>
      <c r="AL27" s="21" t="e">
        <f>'SAM 07 FEV'!AL27+'LUN 09 FEV'!AL27+#REF!+#REF!+#REF!+#REF!</f>
        <v>#REF!</v>
      </c>
      <c r="AM27" s="22" t="e">
        <f>'SAM 07 FEV'!AM27+'LUN 09 FEV'!AM27+#REF!+#REF!+#REF!+#REF!</f>
        <v>#REF!</v>
      </c>
      <c r="AN27" s="22" t="e">
        <f>'SAM 07 FEV'!AN27+'LUN 09 FEV'!AN27+#REF!+#REF!+#REF!+#REF!</f>
        <v>#REF!</v>
      </c>
      <c r="AO27" s="22" t="e">
        <f>'SAM 07 FEV'!AO27+'LUN 09 FEV'!AO27+#REF!+#REF!+#REF!+#REF!</f>
        <v>#REF!</v>
      </c>
      <c r="AP27" s="23" t="e">
        <f>'SAM 07 FEV'!AP27+'LUN 09 FEV'!AP27+#REF!+#REF!+#REF!+#REF!</f>
        <v>#REF!</v>
      </c>
      <c r="AQ27" s="94" t="e">
        <f>'SAM 07 FEV'!AQ27+'LUN 09 FEV'!AQ27+#REF!+#REF!+#REF!+#REF!</f>
        <v>#REF!</v>
      </c>
      <c r="AR27" s="22" t="e">
        <f>'SAM 07 FEV'!AR27+'LUN 09 FEV'!AR27+#REF!+#REF!+#REF!+#REF!</f>
        <v>#REF!</v>
      </c>
      <c r="AS27" s="22" t="e">
        <f>'SAM 07 FEV'!AS27+'LUN 09 FEV'!AS27+#REF!+#REF!+#REF!+#REF!</f>
        <v>#REF!</v>
      </c>
      <c r="AT27" s="22" t="e">
        <f>'SAM 07 FEV'!AT27+'LUN 09 FEV'!AT27+#REF!+#REF!+#REF!+#REF!</f>
        <v>#REF!</v>
      </c>
      <c r="AU27" s="22" t="e">
        <f>'SAM 07 FEV'!AU27+'LUN 09 FEV'!AU27+#REF!+#REF!+#REF!+#REF!</f>
        <v>#REF!</v>
      </c>
      <c r="AV27" s="91" t="e">
        <f>'SAM 07 FEV'!AV27+'LUN 09 FEV'!AV27+#REF!+#REF!+#REF!+#REF!</f>
        <v>#REF!</v>
      </c>
      <c r="AW27" s="92" t="e">
        <f>'SAM 07 FEV'!AW27+'LUN 09 FEV'!AW27+#REF!+#REF!+#REF!+#REF!</f>
        <v>#REF!</v>
      </c>
      <c r="AX27" s="92" t="e">
        <f>'SAM 07 FEV'!AX27+'LUN 09 FEV'!AX27+#REF!+#REF!+#REF!+#REF!</f>
        <v>#REF!</v>
      </c>
      <c r="AY27" s="92" t="e">
        <f>'SAM 07 FEV'!AY27+'LUN 09 FEV'!AY27+#REF!+#REF!+#REF!+#REF!</f>
        <v>#REF!</v>
      </c>
      <c r="AZ27" s="93" t="e">
        <f>'SAM 07 FEV'!AZ27+'LUN 09 FEV'!AZ27+#REF!+#REF!+#REF!+#REF!</f>
        <v>#REF!</v>
      </c>
      <c r="BA27" s="91" t="e">
        <f>'SAM 07 FEV'!BA27+'LUN 09 FEV'!BA27+#REF!+#REF!+#REF!+#REF!</f>
        <v>#REF!</v>
      </c>
      <c r="BB27" s="92" t="e">
        <f>'SAM 07 FEV'!BB27+'LUN 09 FEV'!BB27+#REF!+#REF!+#REF!+#REF!</f>
        <v>#REF!</v>
      </c>
      <c r="BC27" s="93" t="e">
        <f>'SAM 07 FEV'!BC27+'LUN 09 FEV'!BC27+#REF!+#REF!+#REF!+#REF!</f>
        <v>#REF!</v>
      </c>
      <c r="BD27" s="60"/>
      <c r="BE27" s="61"/>
    </row>
    <row r="28" spans="1:57" s="3" customFormat="1" ht="34.15" customHeight="1" thickBot="1" x14ac:dyDescent="0.3">
      <c r="A28" s="14"/>
      <c r="B28" s="14" t="s">
        <v>0</v>
      </c>
      <c r="C28" s="29">
        <f t="shared" ref="C28:AH28" si="3">SUM(C8:C27)</f>
        <v>200</v>
      </c>
      <c r="D28" s="30">
        <f t="shared" si="3"/>
        <v>60</v>
      </c>
      <c r="E28" s="30">
        <f t="shared" si="3"/>
        <v>40</v>
      </c>
      <c r="F28" s="30">
        <f t="shared" si="3"/>
        <v>40</v>
      </c>
      <c r="G28" s="31">
        <f t="shared" si="3"/>
        <v>60</v>
      </c>
      <c r="H28" s="29">
        <f t="shared" si="3"/>
        <v>60</v>
      </c>
      <c r="I28" s="30">
        <f t="shared" si="3"/>
        <v>20</v>
      </c>
      <c r="J28" s="30">
        <f t="shared" si="3"/>
        <v>20</v>
      </c>
      <c r="K28" s="30">
        <f t="shared" si="3"/>
        <v>20</v>
      </c>
      <c r="L28" s="31">
        <f t="shared" si="3"/>
        <v>20</v>
      </c>
      <c r="M28" s="29">
        <f t="shared" si="3"/>
        <v>60</v>
      </c>
      <c r="N28" s="30">
        <f t="shared" si="3"/>
        <v>20</v>
      </c>
      <c r="O28" s="30">
        <f t="shared" si="3"/>
        <v>60</v>
      </c>
      <c r="P28" s="30">
        <f t="shared" si="3"/>
        <v>0</v>
      </c>
      <c r="Q28" s="31">
        <f t="shared" si="3"/>
        <v>0</v>
      </c>
      <c r="R28" s="29">
        <f t="shared" si="3"/>
        <v>10</v>
      </c>
      <c r="S28" s="30">
        <f t="shared" si="3"/>
        <v>3.3333333333333321</v>
      </c>
      <c r="T28" s="30">
        <f t="shared" si="3"/>
        <v>2.0000000000000004</v>
      </c>
      <c r="U28" s="30">
        <f t="shared" si="3"/>
        <v>11.999999999999996</v>
      </c>
      <c r="V28" s="31">
        <f t="shared" si="3"/>
        <v>2.9999999999999991</v>
      </c>
      <c r="W28" s="95" t="e">
        <f t="shared" si="3"/>
        <v>#REF!</v>
      </c>
      <c r="X28" s="96" t="e">
        <f t="shared" si="3"/>
        <v>#REF!</v>
      </c>
      <c r="Y28" s="96" t="e">
        <f t="shared" si="3"/>
        <v>#REF!</v>
      </c>
      <c r="Z28" s="96" t="e">
        <f t="shared" si="3"/>
        <v>#REF!</v>
      </c>
      <c r="AA28" s="97" t="e">
        <f t="shared" si="3"/>
        <v>#REF!</v>
      </c>
      <c r="AB28" s="96" t="e">
        <f t="shared" si="3"/>
        <v>#REF!</v>
      </c>
      <c r="AC28" s="96" t="e">
        <f t="shared" si="3"/>
        <v>#REF!</v>
      </c>
      <c r="AD28" s="96" t="e">
        <f t="shared" si="3"/>
        <v>#REF!</v>
      </c>
      <c r="AE28" s="96" t="e">
        <f t="shared" si="3"/>
        <v>#REF!</v>
      </c>
      <c r="AF28" s="96" t="e">
        <f t="shared" si="3"/>
        <v>#REF!</v>
      </c>
      <c r="AG28" s="95" t="e">
        <f t="shared" si="3"/>
        <v>#REF!</v>
      </c>
      <c r="AH28" s="96" t="e">
        <f t="shared" si="3"/>
        <v>#REF!</v>
      </c>
      <c r="AI28" s="96" t="e">
        <f t="shared" ref="AI28:BE28" si="4">SUM(AI8:AI27)</f>
        <v>#REF!</v>
      </c>
      <c r="AJ28" s="96" t="e">
        <f t="shared" si="4"/>
        <v>#REF!</v>
      </c>
      <c r="AK28" s="97" t="e">
        <f t="shared" si="4"/>
        <v>#REF!</v>
      </c>
      <c r="AL28" s="95" t="e">
        <f t="shared" si="4"/>
        <v>#REF!</v>
      </c>
      <c r="AM28" s="96" t="e">
        <f t="shared" si="4"/>
        <v>#REF!</v>
      </c>
      <c r="AN28" s="96" t="e">
        <f t="shared" si="4"/>
        <v>#REF!</v>
      </c>
      <c r="AO28" s="96" t="e">
        <f t="shared" si="4"/>
        <v>#REF!</v>
      </c>
      <c r="AP28" s="97" t="e">
        <f t="shared" si="4"/>
        <v>#REF!</v>
      </c>
      <c r="AQ28" s="98" t="e">
        <f t="shared" si="4"/>
        <v>#REF!</v>
      </c>
      <c r="AR28" s="96" t="e">
        <f t="shared" si="4"/>
        <v>#REF!</v>
      </c>
      <c r="AS28" s="96" t="e">
        <f t="shared" si="4"/>
        <v>#REF!</v>
      </c>
      <c r="AT28" s="96" t="e">
        <f t="shared" si="4"/>
        <v>#REF!</v>
      </c>
      <c r="AU28" s="96" t="e">
        <f t="shared" si="4"/>
        <v>#REF!</v>
      </c>
      <c r="AV28" s="95" t="e">
        <f t="shared" si="4"/>
        <v>#REF!</v>
      </c>
      <c r="AW28" s="96" t="e">
        <f t="shared" si="4"/>
        <v>#REF!</v>
      </c>
      <c r="AX28" s="96" t="e">
        <f t="shared" si="4"/>
        <v>#REF!</v>
      </c>
      <c r="AY28" s="96" t="e">
        <f t="shared" si="4"/>
        <v>#REF!</v>
      </c>
      <c r="AZ28" s="97" t="e">
        <f t="shared" si="4"/>
        <v>#REF!</v>
      </c>
      <c r="BA28" s="95" t="e">
        <f t="shared" si="4"/>
        <v>#REF!</v>
      </c>
      <c r="BB28" s="96" t="e">
        <f t="shared" si="4"/>
        <v>#REF!</v>
      </c>
      <c r="BC28" s="97" t="e">
        <f t="shared" si="4"/>
        <v>#REF!</v>
      </c>
      <c r="BD28" s="19">
        <f t="shared" si="4"/>
        <v>0</v>
      </c>
      <c r="BE28" s="2">
        <f t="shared" si="4"/>
        <v>0</v>
      </c>
    </row>
  </sheetData>
  <mergeCells count="20">
    <mergeCell ref="BD10:BD12"/>
    <mergeCell ref="R6:V6"/>
    <mergeCell ref="W6:AA6"/>
    <mergeCell ref="AB6:AF6"/>
    <mergeCell ref="AG6:AK6"/>
    <mergeCell ref="AL6:AP6"/>
    <mergeCell ref="AQ6:AU6"/>
    <mergeCell ref="BE5:BE7"/>
    <mergeCell ref="A6:A7"/>
    <mergeCell ref="B6:B7"/>
    <mergeCell ref="C6:G6"/>
    <mergeCell ref="H6:L6"/>
    <mergeCell ref="M6:Q6"/>
    <mergeCell ref="AV6:AZ6"/>
    <mergeCell ref="BA6:BC6"/>
    <mergeCell ref="A2:B2"/>
    <mergeCell ref="A4:B4"/>
    <mergeCell ref="C5:V5"/>
    <mergeCell ref="W5:BC5"/>
    <mergeCell ref="BD5:BD7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 07 FEV</vt:lpstr>
      <vt:lpstr>LUN 09 FEV</vt:lpstr>
      <vt:lpstr>Synthèse semaine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N'dri, S. (Serge)</dc:creator>
  <cp:lastModifiedBy>TANOH ERNEST</cp:lastModifiedBy>
  <cp:lastPrinted>2024-06-29T11:58:54Z</cp:lastPrinted>
  <dcterms:created xsi:type="dcterms:W3CDTF">2015-06-05T18:17:20Z</dcterms:created>
  <dcterms:modified xsi:type="dcterms:W3CDTF">2026-03-04T10:42:32Z</dcterms:modified>
</cp:coreProperties>
</file>