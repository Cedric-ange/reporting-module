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4240" windowHeight="13740"/>
  </bookViews>
  <sheets>
    <sheet name="Feuil1" sheetId="1" r:id="rId1"/>
  </sheets>
  <definedNames>
    <definedName name="_xlnm.Print_Area" localSheetId="0">Feuil1!$A$1:$Z$14</definedName>
  </definedNames>
  <calcPr calcId="145621"/>
</workbook>
</file>

<file path=xl/calcChain.xml><?xml version="1.0" encoding="utf-8"?>
<calcChain xmlns="http://schemas.openxmlformats.org/spreadsheetml/2006/main">
  <c r="HK10" i="1" l="1"/>
  <c r="HL10" i="1"/>
  <c r="HM10" i="1"/>
  <c r="HN10" i="1"/>
  <c r="HO10" i="1"/>
  <c r="HP10" i="1"/>
  <c r="HQ10" i="1"/>
  <c r="HR10" i="1"/>
  <c r="HS10" i="1"/>
  <c r="HT10" i="1"/>
  <c r="HU10" i="1"/>
  <c r="HV10" i="1"/>
  <c r="HW10" i="1"/>
  <c r="HX10" i="1"/>
  <c r="HY10" i="1"/>
  <c r="HZ10" i="1"/>
  <c r="IA10" i="1"/>
  <c r="IB10" i="1"/>
  <c r="HK11" i="1"/>
  <c r="HL11" i="1"/>
  <c r="HM11" i="1"/>
  <c r="HN11" i="1"/>
  <c r="HO11" i="1"/>
  <c r="HP11" i="1"/>
  <c r="HQ11" i="1"/>
  <c r="HR11" i="1"/>
  <c r="HS11" i="1"/>
  <c r="HT11" i="1"/>
  <c r="HU11" i="1"/>
  <c r="HV11" i="1"/>
  <c r="HW11" i="1"/>
  <c r="HX11" i="1"/>
  <c r="HY11" i="1"/>
  <c r="HZ11" i="1"/>
  <c r="IA11" i="1"/>
  <c r="IB11" i="1"/>
  <c r="HK12" i="1"/>
  <c r="HL12" i="1"/>
  <c r="HM12" i="1"/>
  <c r="HN12" i="1"/>
  <c r="HO12" i="1"/>
  <c r="HP12" i="1"/>
  <c r="HQ12" i="1"/>
  <c r="HR12" i="1"/>
  <c r="HS12" i="1"/>
  <c r="HT12" i="1"/>
  <c r="HU12" i="1"/>
  <c r="HV12" i="1"/>
  <c r="HW12" i="1"/>
  <c r="HX12" i="1"/>
  <c r="HY12" i="1"/>
  <c r="HZ12" i="1"/>
  <c r="IA12" i="1"/>
  <c r="IB12" i="1"/>
  <c r="HK13" i="1"/>
  <c r="HL13" i="1"/>
  <c r="HM13" i="1"/>
  <c r="HN13" i="1"/>
  <c r="HO13" i="1"/>
  <c r="HP13" i="1"/>
  <c r="HQ13" i="1"/>
  <c r="HR13" i="1"/>
  <c r="HS13" i="1"/>
  <c r="HT13" i="1"/>
  <c r="HU13" i="1"/>
  <c r="HV13" i="1"/>
  <c r="HW13" i="1"/>
  <c r="HX13" i="1"/>
  <c r="HY13" i="1"/>
  <c r="HZ13" i="1"/>
  <c r="IA13" i="1"/>
  <c r="IB13" i="1"/>
  <c r="HL9" i="1"/>
  <c r="HM9" i="1"/>
  <c r="HN9" i="1"/>
  <c r="HO9" i="1"/>
  <c r="HP9" i="1"/>
  <c r="HQ9" i="1"/>
  <c r="HR9" i="1"/>
  <c r="HS9" i="1"/>
  <c r="HT9" i="1"/>
  <c r="HU9" i="1"/>
  <c r="HV9" i="1"/>
  <c r="HW9" i="1"/>
  <c r="HX9" i="1"/>
  <c r="HY9" i="1"/>
  <c r="HZ9" i="1"/>
  <c r="IA9" i="1"/>
  <c r="IB9" i="1"/>
  <c r="HK9" i="1"/>
  <c r="HD14" i="1" l="1"/>
  <c r="HC14" i="1"/>
  <c r="HB14" i="1"/>
  <c r="HA14" i="1"/>
  <c r="GZ14" i="1"/>
  <c r="GY14" i="1"/>
  <c r="GX14" i="1"/>
  <c r="GW14" i="1"/>
  <c r="GV14" i="1"/>
  <c r="GU14" i="1"/>
  <c r="GT14" i="1"/>
  <c r="GS14" i="1"/>
  <c r="GR14" i="1"/>
  <c r="GQ14" i="1"/>
  <c r="GP14" i="1"/>
  <c r="GO14" i="1"/>
  <c r="GN14" i="1"/>
  <c r="GM14" i="1"/>
  <c r="HJ13" i="1"/>
  <c r="HI13" i="1"/>
  <c r="HH13" i="1"/>
  <c r="HG13" i="1"/>
  <c r="HF13" i="1"/>
  <c r="HE13" i="1"/>
  <c r="HJ12" i="1"/>
  <c r="HI12" i="1"/>
  <c r="HH12" i="1"/>
  <c r="HG12" i="1"/>
  <c r="HF12" i="1"/>
  <c r="HE12" i="1"/>
  <c r="HJ11" i="1"/>
  <c r="HI11" i="1"/>
  <c r="HH11" i="1"/>
  <c r="HG11" i="1"/>
  <c r="HF11" i="1"/>
  <c r="HE11" i="1"/>
  <c r="HJ10" i="1"/>
  <c r="HI10" i="1"/>
  <c r="HH10" i="1"/>
  <c r="HG10" i="1"/>
  <c r="HF10" i="1"/>
  <c r="HE10" i="1"/>
  <c r="HJ9" i="1"/>
  <c r="HI9" i="1"/>
  <c r="HH9" i="1"/>
  <c r="HG9" i="1"/>
  <c r="HF9" i="1"/>
  <c r="HE9" i="1"/>
  <c r="GF14" i="1"/>
  <c r="GE14" i="1"/>
  <c r="GD14" i="1"/>
  <c r="GC14" i="1"/>
  <c r="GB14" i="1"/>
  <c r="GA14" i="1"/>
  <c r="FZ14" i="1"/>
  <c r="FY14" i="1"/>
  <c r="FX14" i="1"/>
  <c r="FW14" i="1"/>
  <c r="FV14" i="1"/>
  <c r="FU14" i="1"/>
  <c r="FT14" i="1"/>
  <c r="FS14" i="1"/>
  <c r="FR14" i="1"/>
  <c r="FQ14" i="1"/>
  <c r="FP14" i="1"/>
  <c r="FO14" i="1"/>
  <c r="GL13" i="1"/>
  <c r="GK13" i="1"/>
  <c r="GJ13" i="1"/>
  <c r="GI13" i="1"/>
  <c r="GH13" i="1"/>
  <c r="GG13" i="1"/>
  <c r="GL12" i="1"/>
  <c r="GK12" i="1"/>
  <c r="GJ12" i="1"/>
  <c r="GI12" i="1"/>
  <c r="GH12" i="1"/>
  <c r="GG12" i="1"/>
  <c r="GL11" i="1"/>
  <c r="GK11" i="1"/>
  <c r="GJ11" i="1"/>
  <c r="GI11" i="1"/>
  <c r="GH11" i="1"/>
  <c r="GG11" i="1"/>
  <c r="GL10" i="1"/>
  <c r="GK10" i="1"/>
  <c r="GJ10" i="1"/>
  <c r="GI10" i="1"/>
  <c r="GH10" i="1"/>
  <c r="GG10" i="1"/>
  <c r="GL9" i="1"/>
  <c r="GK9" i="1"/>
  <c r="GJ9" i="1"/>
  <c r="GI9" i="1"/>
  <c r="GH9" i="1"/>
  <c r="GG9" i="1"/>
  <c r="FH14" i="1"/>
  <c r="FG14" i="1"/>
  <c r="FF14" i="1"/>
  <c r="FE14" i="1"/>
  <c r="FD14" i="1"/>
  <c r="FC14" i="1"/>
  <c r="FB14" i="1"/>
  <c r="FA14" i="1"/>
  <c r="EZ14" i="1"/>
  <c r="EY14" i="1"/>
  <c r="EX14" i="1"/>
  <c r="EW14" i="1"/>
  <c r="EV14" i="1"/>
  <c r="EU14" i="1"/>
  <c r="ET14" i="1"/>
  <c r="ES14" i="1"/>
  <c r="ER14" i="1"/>
  <c r="EQ14" i="1"/>
  <c r="FN13" i="1"/>
  <c r="FM13" i="1"/>
  <c r="FL13" i="1"/>
  <c r="FK13" i="1"/>
  <c r="FJ13" i="1"/>
  <c r="FI13" i="1"/>
  <c r="FN12" i="1"/>
  <c r="FM12" i="1"/>
  <c r="FL12" i="1"/>
  <c r="FK12" i="1"/>
  <c r="FJ12" i="1"/>
  <c r="FI12" i="1"/>
  <c r="FN11" i="1"/>
  <c r="FM11" i="1"/>
  <c r="FL11" i="1"/>
  <c r="FK11" i="1"/>
  <c r="FJ11" i="1"/>
  <c r="FI11" i="1"/>
  <c r="FN10" i="1"/>
  <c r="FM10" i="1"/>
  <c r="FL10" i="1"/>
  <c r="FK10" i="1"/>
  <c r="FJ10" i="1"/>
  <c r="FI10" i="1"/>
  <c r="FN9" i="1"/>
  <c r="FM9" i="1"/>
  <c r="FL9" i="1"/>
  <c r="FK9" i="1"/>
  <c r="FJ9" i="1"/>
  <c r="FI9" i="1"/>
  <c r="EJ14" i="1"/>
  <c r="EI14" i="1"/>
  <c r="EH14" i="1"/>
  <c r="EG14" i="1"/>
  <c r="EF14" i="1"/>
  <c r="EE14" i="1"/>
  <c r="ED14" i="1"/>
  <c r="EC14" i="1"/>
  <c r="EB14" i="1"/>
  <c r="EA14" i="1"/>
  <c r="DZ14" i="1"/>
  <c r="DY14" i="1"/>
  <c r="DX14" i="1"/>
  <c r="DW14" i="1"/>
  <c r="DV14" i="1"/>
  <c r="DU14" i="1"/>
  <c r="DT14" i="1"/>
  <c r="DS14" i="1"/>
  <c r="EP13" i="1"/>
  <c r="EO13" i="1"/>
  <c r="EN13" i="1"/>
  <c r="EM13" i="1"/>
  <c r="EL13" i="1"/>
  <c r="EK13" i="1"/>
  <c r="EP12" i="1"/>
  <c r="EO12" i="1"/>
  <c r="EN12" i="1"/>
  <c r="EM12" i="1"/>
  <c r="EL12" i="1"/>
  <c r="EK12" i="1"/>
  <c r="EP11" i="1"/>
  <c r="EO11" i="1"/>
  <c r="EN11" i="1"/>
  <c r="EM11" i="1"/>
  <c r="EL11" i="1"/>
  <c r="EK11" i="1"/>
  <c r="EP10" i="1"/>
  <c r="EO10" i="1"/>
  <c r="EN10" i="1"/>
  <c r="EM10" i="1"/>
  <c r="EL10" i="1"/>
  <c r="EK10" i="1"/>
  <c r="EP9" i="1"/>
  <c r="EO9" i="1"/>
  <c r="EN9" i="1"/>
  <c r="EM9" i="1"/>
  <c r="EL9" i="1"/>
  <c r="EK9" i="1"/>
  <c r="DL14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DR13" i="1"/>
  <c r="DQ13" i="1"/>
  <c r="DP13" i="1"/>
  <c r="DO13" i="1"/>
  <c r="DN13" i="1"/>
  <c r="DM13" i="1"/>
  <c r="DR12" i="1"/>
  <c r="DQ12" i="1"/>
  <c r="DP12" i="1"/>
  <c r="DO12" i="1"/>
  <c r="DN12" i="1"/>
  <c r="DM12" i="1"/>
  <c r="DR11" i="1"/>
  <c r="DQ11" i="1"/>
  <c r="DP11" i="1"/>
  <c r="DO11" i="1"/>
  <c r="DN11" i="1"/>
  <c r="DM11" i="1"/>
  <c r="DR10" i="1"/>
  <c r="DQ10" i="1"/>
  <c r="DP10" i="1"/>
  <c r="DO10" i="1"/>
  <c r="DN10" i="1"/>
  <c r="DM10" i="1"/>
  <c r="DR9" i="1"/>
  <c r="DQ9" i="1"/>
  <c r="DP9" i="1"/>
  <c r="DO9" i="1"/>
  <c r="DN9" i="1"/>
  <c r="DM9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CT13" i="1"/>
  <c r="CS13" i="1"/>
  <c r="CR13" i="1"/>
  <c r="CQ13" i="1"/>
  <c r="CP13" i="1"/>
  <c r="CO13" i="1"/>
  <c r="CT12" i="1"/>
  <c r="CS12" i="1"/>
  <c r="CR12" i="1"/>
  <c r="CQ12" i="1"/>
  <c r="CP12" i="1"/>
  <c r="CO12" i="1"/>
  <c r="CT11" i="1"/>
  <c r="CS11" i="1"/>
  <c r="CR11" i="1"/>
  <c r="CQ11" i="1"/>
  <c r="CP11" i="1"/>
  <c r="CO11" i="1"/>
  <c r="CT10" i="1"/>
  <c r="CS10" i="1"/>
  <c r="CR10" i="1"/>
  <c r="CQ10" i="1"/>
  <c r="CP10" i="1"/>
  <c r="CO10" i="1"/>
  <c r="CT9" i="1"/>
  <c r="CS9" i="1"/>
  <c r="CR9" i="1"/>
  <c r="CQ9" i="1"/>
  <c r="CP9" i="1"/>
  <c r="CO9" i="1"/>
  <c r="EN14" i="1" l="1"/>
  <c r="FI14" i="1"/>
  <c r="HF14" i="1"/>
  <c r="HE14" i="1"/>
  <c r="EL14" i="1"/>
  <c r="GI14" i="1"/>
  <c r="GL14" i="1"/>
  <c r="EO14" i="1"/>
  <c r="FK14" i="1"/>
  <c r="FN14" i="1"/>
  <c r="HI14" i="1"/>
  <c r="GH14" i="1"/>
  <c r="GK14" i="1"/>
  <c r="HG14" i="1"/>
  <c r="HJ14" i="1"/>
  <c r="GG14" i="1"/>
  <c r="HH14" i="1"/>
  <c r="GJ14" i="1"/>
  <c r="EM14" i="1"/>
  <c r="EP14" i="1"/>
  <c r="CT14" i="1"/>
  <c r="DP14" i="1"/>
  <c r="FJ14" i="1"/>
  <c r="FM14" i="1"/>
  <c r="CQ14" i="1"/>
  <c r="EK14" i="1"/>
  <c r="FL14" i="1"/>
  <c r="CR14" i="1"/>
  <c r="CO14" i="1"/>
  <c r="DN14" i="1"/>
  <c r="DQ14" i="1"/>
  <c r="DM14" i="1"/>
  <c r="CP14" i="1"/>
  <c r="CS14" i="1"/>
  <c r="DO14" i="1"/>
  <c r="DR14" i="1"/>
  <c r="HR14" i="1"/>
  <c r="AG14" i="1"/>
  <c r="AH14" i="1"/>
  <c r="BE14" i="1"/>
  <c r="BF14" i="1"/>
  <c r="I14" i="1"/>
  <c r="J14" i="1"/>
  <c r="BP14" i="1"/>
  <c r="BO14" i="1"/>
  <c r="BN14" i="1"/>
  <c r="BM14" i="1"/>
  <c r="BL14" i="1"/>
  <c r="BK14" i="1"/>
  <c r="BJ14" i="1"/>
  <c r="BI14" i="1"/>
  <c r="BH14" i="1"/>
  <c r="BG14" i="1"/>
  <c r="BD14" i="1"/>
  <c r="BC14" i="1"/>
  <c r="BB14" i="1"/>
  <c r="BA14" i="1"/>
  <c r="AZ14" i="1"/>
  <c r="AY14" i="1"/>
  <c r="BV13" i="1"/>
  <c r="BU13" i="1"/>
  <c r="BT13" i="1"/>
  <c r="BS13" i="1"/>
  <c r="BR13" i="1"/>
  <c r="BQ13" i="1"/>
  <c r="BV12" i="1"/>
  <c r="BU12" i="1"/>
  <c r="BT12" i="1"/>
  <c r="BS12" i="1"/>
  <c r="BR12" i="1"/>
  <c r="BQ12" i="1"/>
  <c r="BV11" i="1"/>
  <c r="BU11" i="1"/>
  <c r="BT11" i="1"/>
  <c r="BS11" i="1"/>
  <c r="BR11" i="1"/>
  <c r="BQ11" i="1"/>
  <c r="BV10" i="1"/>
  <c r="BU10" i="1"/>
  <c r="BT10" i="1"/>
  <c r="BS10" i="1"/>
  <c r="BR10" i="1"/>
  <c r="BQ10" i="1"/>
  <c r="BV9" i="1"/>
  <c r="BU9" i="1"/>
  <c r="BT9" i="1"/>
  <c r="BS9" i="1"/>
  <c r="BR9" i="1"/>
  <c r="BQ9" i="1"/>
  <c r="HQ14" i="1" l="1"/>
  <c r="BT14" i="1"/>
  <c r="BQ14" i="1"/>
  <c r="BR14" i="1"/>
  <c r="BU14" i="1"/>
  <c r="BS14" i="1"/>
  <c r="BV14" i="1"/>
  <c r="ID10" i="1"/>
  <c r="IG10" i="1"/>
  <c r="IE11" i="1"/>
  <c r="IH11" i="1"/>
  <c r="HV14" i="1"/>
  <c r="IE9" i="1"/>
  <c r="IG9" i="1"/>
  <c r="HX14" i="1"/>
  <c r="HM14" i="1"/>
  <c r="HP14" i="1"/>
  <c r="IF11" i="1"/>
  <c r="IC12" i="1"/>
  <c r="ID13" i="1"/>
  <c r="HK14" i="1"/>
  <c r="HT14" i="1"/>
  <c r="HN14" i="1"/>
  <c r="IH13" i="1"/>
  <c r="IF13" i="1"/>
  <c r="IE13" i="1"/>
  <c r="IC13" i="1"/>
  <c r="IE12" i="1"/>
  <c r="ID12" i="1"/>
  <c r="IG11" i="1"/>
  <c r="ID11" i="1"/>
  <c r="IH10" i="1"/>
  <c r="IF10" i="1"/>
  <c r="IE10" i="1"/>
  <c r="IC10" i="1"/>
  <c r="IF9" i="1"/>
  <c r="ID9" i="1"/>
  <c r="AR14" i="1"/>
  <c r="AQ14" i="1"/>
  <c r="AP14" i="1"/>
  <c r="AO14" i="1"/>
  <c r="AN14" i="1"/>
  <c r="AM14" i="1"/>
  <c r="AL14" i="1"/>
  <c r="AK14" i="1"/>
  <c r="AJ14" i="1"/>
  <c r="AI14" i="1"/>
  <c r="AF14" i="1"/>
  <c r="AE14" i="1"/>
  <c r="AD14" i="1"/>
  <c r="AC14" i="1"/>
  <c r="AB14" i="1"/>
  <c r="AA14" i="1"/>
  <c r="AX13" i="1"/>
  <c r="AW13" i="1"/>
  <c r="AV13" i="1"/>
  <c r="AU13" i="1"/>
  <c r="AT13" i="1"/>
  <c r="AS13" i="1"/>
  <c r="AX12" i="1"/>
  <c r="AW12" i="1"/>
  <c r="AV12" i="1"/>
  <c r="AU12" i="1"/>
  <c r="AT12" i="1"/>
  <c r="AS12" i="1"/>
  <c r="AX11" i="1"/>
  <c r="AW11" i="1"/>
  <c r="AV11" i="1"/>
  <c r="AU11" i="1"/>
  <c r="AT11" i="1"/>
  <c r="AS11" i="1"/>
  <c r="AX10" i="1"/>
  <c r="AW10" i="1"/>
  <c r="AV10" i="1"/>
  <c r="AU10" i="1"/>
  <c r="AT10" i="1"/>
  <c r="AS10" i="1"/>
  <c r="AX9" i="1"/>
  <c r="AW9" i="1"/>
  <c r="AV9" i="1"/>
  <c r="AU9" i="1"/>
  <c r="AT9" i="1"/>
  <c r="AS9" i="1"/>
  <c r="U10" i="1"/>
  <c r="V10" i="1"/>
  <c r="W10" i="1"/>
  <c r="X10" i="1"/>
  <c r="Y10" i="1"/>
  <c r="Z10" i="1"/>
  <c r="U11" i="1"/>
  <c r="V11" i="1"/>
  <c r="W11" i="1"/>
  <c r="X11" i="1"/>
  <c r="Y11" i="1"/>
  <c r="Z11" i="1"/>
  <c r="U12" i="1"/>
  <c r="V12" i="1"/>
  <c r="W12" i="1"/>
  <c r="X12" i="1"/>
  <c r="Y12" i="1"/>
  <c r="Z12" i="1"/>
  <c r="U13" i="1"/>
  <c r="V13" i="1"/>
  <c r="W13" i="1"/>
  <c r="X13" i="1"/>
  <c r="Y13" i="1"/>
  <c r="Z13" i="1"/>
  <c r="V9" i="1"/>
  <c r="W9" i="1"/>
  <c r="X9" i="1"/>
  <c r="Y9" i="1"/>
  <c r="Z9" i="1"/>
  <c r="U9" i="1"/>
  <c r="S14" i="1"/>
  <c r="R14" i="1"/>
  <c r="T14" i="1"/>
  <c r="Q14" i="1"/>
  <c r="P14" i="1"/>
  <c r="O14" i="1"/>
  <c r="N14" i="1"/>
  <c r="M14" i="1"/>
  <c r="L14" i="1"/>
  <c r="K14" i="1"/>
  <c r="AU14" i="1" l="1"/>
  <c r="AX14" i="1"/>
  <c r="AV14" i="1"/>
  <c r="HS14" i="1"/>
  <c r="IC14" i="1" s="1"/>
  <c r="HU14" i="1"/>
  <c r="IE14" i="1" s="1"/>
  <c r="IH12" i="1"/>
  <c r="AS14" i="1"/>
  <c r="IF12" i="1"/>
  <c r="HO14" i="1"/>
  <c r="HL14" i="1"/>
  <c r="ID14" i="1" s="1"/>
  <c r="HZ14" i="1"/>
  <c r="IA14" i="1"/>
  <c r="IC11" i="1"/>
  <c r="AT14" i="1"/>
  <c r="AW14" i="1"/>
  <c r="IC9" i="1"/>
  <c r="IG13" i="1"/>
  <c r="HW14" i="1"/>
  <c r="IH9" i="1"/>
  <c r="IG12" i="1"/>
  <c r="HY14" i="1"/>
  <c r="IB14" i="1"/>
  <c r="IF14" i="1"/>
  <c r="IH14" i="1"/>
  <c r="C14" i="1"/>
  <c r="U14" i="1" s="1"/>
  <c r="E14" i="1"/>
  <c r="W14" i="1" s="1"/>
  <c r="F14" i="1"/>
  <c r="X14" i="1" s="1"/>
  <c r="G14" i="1"/>
  <c r="Y14" i="1" s="1"/>
  <c r="H14" i="1"/>
  <c r="Z14" i="1" s="1"/>
  <c r="D14" i="1"/>
  <c r="V14" i="1" s="1"/>
  <c r="IG14" i="1" l="1"/>
</calcChain>
</file>

<file path=xl/sharedStrings.xml><?xml version="1.0" encoding="utf-8"?>
<sst xmlns="http://schemas.openxmlformats.org/spreadsheetml/2006/main" count="357" uniqueCount="35">
  <si>
    <t>TOTAL</t>
  </si>
  <si>
    <t>Taux de réalisation</t>
  </si>
  <si>
    <t>REPORTING DES VENTES JOURNALIERES</t>
  </si>
  <si>
    <t>VILLE</t>
  </si>
  <si>
    <t>GROSSISTE</t>
  </si>
  <si>
    <t>BONDOUKOU</t>
  </si>
  <si>
    <t>ABENGOUROU</t>
  </si>
  <si>
    <t>BOUAFLE</t>
  </si>
  <si>
    <t>BOUAKE</t>
  </si>
  <si>
    <t>KORHOGO</t>
  </si>
  <si>
    <t>Lait</t>
  </si>
  <si>
    <t>16G</t>
  </si>
  <si>
    <t>360G</t>
  </si>
  <si>
    <t>900G</t>
  </si>
  <si>
    <t>Flocon d'avoine</t>
  </si>
  <si>
    <t>50G</t>
  </si>
  <si>
    <t>400G</t>
  </si>
  <si>
    <t>Lait 16G</t>
  </si>
  <si>
    <t>Lait 900G</t>
  </si>
  <si>
    <t>Flocon d'avoine 50g</t>
  </si>
  <si>
    <t>Objectif de vente (carton)</t>
  </si>
  <si>
    <t>Réalisation (carton)</t>
  </si>
  <si>
    <t>Gratuit (chapelet &amp; sachet)</t>
  </si>
  <si>
    <t>Affiche</t>
  </si>
  <si>
    <t>TAHIROU AMADOU</t>
  </si>
  <si>
    <t>DISTRIBAF</t>
  </si>
  <si>
    <t>ETS KONE &amp; FRERE</t>
  </si>
  <si>
    <t>ETS SABAH SOUHEIL</t>
  </si>
  <si>
    <t>SODIAMA</t>
  </si>
  <si>
    <t>ACTIVATION  GROSSISTES LAIT ET FLOCON D'AVOINE BIBLOS</t>
  </si>
  <si>
    <t>personnes approchées</t>
  </si>
  <si>
    <t>Client acheteur</t>
  </si>
  <si>
    <t>25KG Excell +Super</t>
  </si>
  <si>
    <t>25KG Excell + Super</t>
  </si>
  <si>
    <t>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</si>
</sst>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ndara"/>
      <family val="2"/>
    </font>
    <font>
      <b/>
      <sz val="12"/>
      <color rgb="FFFF0000"/>
      <name val="Candara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ndara"/>
      <family val="2"/>
    </font>
    <font>
      <b/>
      <sz val="12"/>
      <name val="Candara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rgb="FFC00000"/>
      <name val="Candara"/>
      <family val="2"/>
    </font>
    <font>
      <sz val="12"/>
      <color rgb="FFC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254">
    <xf numFmtId="0" fontId="0" fillId="0" borderId="0" xfId="0"/>
    <xf numFmtId="0" fontId="1" fillId="0" borderId="0" xfId="0" applyFont="1" applyFill="1" applyAlignment="1"/>
    <xf numFmtId="0" fontId="0" fillId="0" borderId="0" xfId="0" applyFont="1" applyFill="1"/>
    <xf numFmtId="0" fontId="2" fillId="0" borderId="0" xfId="0" applyFont="1" applyFill="1"/>
    <xf numFmtId="0" fontId="2" fillId="0" borderId="0" xfId="0" applyFont="1" applyFill="1" applyBorder="1"/>
    <xf numFmtId="0" fontId="8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9" fillId="0" borderId="5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left" vertical="center"/>
    </xf>
    <xf numFmtId="0" fontId="7" fillId="2" borderId="15" xfId="0" applyNumberFormat="1" applyFont="1" applyFill="1" applyBorder="1" applyAlignment="1">
      <alignment horizontal="center" vertical="center"/>
    </xf>
    <xf numFmtId="0" fontId="7" fillId="2" borderId="16" xfId="0" applyNumberFormat="1" applyFont="1" applyFill="1" applyBorder="1" applyAlignment="1">
      <alignment horizontal="center" vertical="center"/>
    </xf>
    <xf numFmtId="0" fontId="7" fillId="2" borderId="17" xfId="0" applyNumberFormat="1" applyFont="1" applyFill="1" applyBorder="1" applyAlignment="1">
      <alignment horizontal="center" vertical="center"/>
    </xf>
    <xf numFmtId="0" fontId="7" fillId="2" borderId="40" xfId="0" applyNumberFormat="1" applyFont="1" applyFill="1" applyBorder="1" applyAlignment="1">
      <alignment horizontal="center" vertical="center"/>
    </xf>
    <xf numFmtId="0" fontId="9" fillId="0" borderId="35" xfId="0" applyFont="1" applyFill="1" applyBorder="1" applyAlignment="1">
      <alignment horizontal="left" vertical="center"/>
    </xf>
    <xf numFmtId="9" fontId="8" fillId="3" borderId="15" xfId="1" applyFont="1" applyFill="1" applyBorder="1" applyAlignment="1">
      <alignment horizontal="center" vertical="center"/>
    </xf>
    <xf numFmtId="9" fontId="8" fillId="3" borderId="16" xfId="1" applyFont="1" applyFill="1" applyBorder="1" applyAlignment="1">
      <alignment horizontal="center" vertical="center"/>
    </xf>
    <xf numFmtId="9" fontId="8" fillId="3" borderId="17" xfId="1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 wrapText="1"/>
    </xf>
    <xf numFmtId="0" fontId="10" fillId="5" borderId="14" xfId="0" applyFont="1" applyFill="1" applyBorder="1" applyAlignment="1">
      <alignment horizontal="center" vertical="center" wrapText="1"/>
    </xf>
    <xf numFmtId="0" fontId="10" fillId="5" borderId="39" xfId="0" applyFont="1" applyFill="1" applyBorder="1" applyAlignment="1">
      <alignment horizontal="center" vertical="center" wrapText="1"/>
    </xf>
    <xf numFmtId="0" fontId="6" fillId="5" borderId="6" xfId="0" applyNumberFormat="1" applyFont="1" applyFill="1" applyBorder="1" applyAlignment="1">
      <alignment horizontal="center" vertical="center"/>
    </xf>
    <xf numFmtId="0" fontId="6" fillId="5" borderId="7" xfId="0" applyNumberFormat="1" applyFont="1" applyFill="1" applyBorder="1" applyAlignment="1">
      <alignment horizontal="center" vertical="center"/>
    </xf>
    <xf numFmtId="0" fontId="6" fillId="5" borderId="26" xfId="0" applyNumberFormat="1" applyFont="1" applyFill="1" applyBorder="1" applyAlignment="1">
      <alignment horizontal="center" vertical="center"/>
    </xf>
    <xf numFmtId="0" fontId="6" fillId="5" borderId="27" xfId="0" applyNumberFormat="1" applyFont="1" applyFill="1" applyBorder="1" applyAlignment="1">
      <alignment horizontal="center" vertical="center"/>
    </xf>
    <xf numFmtId="0" fontId="6" fillId="5" borderId="28" xfId="0" applyNumberFormat="1" applyFont="1" applyFill="1" applyBorder="1" applyAlignment="1">
      <alignment horizontal="center" vertical="center"/>
    </xf>
    <xf numFmtId="0" fontId="6" fillId="5" borderId="37" xfId="0" applyNumberFormat="1" applyFont="1" applyFill="1" applyBorder="1" applyAlignment="1">
      <alignment horizontal="center" vertical="center"/>
    </xf>
    <xf numFmtId="9" fontId="6" fillId="5" borderId="27" xfId="1" applyFont="1" applyFill="1" applyBorder="1" applyAlignment="1">
      <alignment horizontal="center" vertical="center"/>
    </xf>
    <xf numFmtId="9" fontId="6" fillId="5" borderId="28" xfId="1" applyFont="1" applyFill="1" applyBorder="1" applyAlignment="1">
      <alignment horizontal="center" vertical="center"/>
    </xf>
    <xf numFmtId="0" fontId="6" fillId="5" borderId="9" xfId="0" applyNumberFormat="1" applyFont="1" applyFill="1" applyBorder="1" applyAlignment="1">
      <alignment horizontal="center" vertical="center"/>
    </xf>
    <xf numFmtId="0" fontId="6" fillId="5" borderId="10" xfId="0" applyNumberFormat="1" applyFont="1" applyFill="1" applyBorder="1" applyAlignment="1">
      <alignment horizontal="center" vertical="center"/>
    </xf>
    <xf numFmtId="0" fontId="6" fillId="5" borderId="11" xfId="0" applyNumberFormat="1" applyFont="1" applyFill="1" applyBorder="1" applyAlignment="1">
      <alignment horizontal="center" vertical="center"/>
    </xf>
    <xf numFmtId="0" fontId="6" fillId="5" borderId="38" xfId="0" applyNumberFormat="1" applyFont="1" applyFill="1" applyBorder="1" applyAlignment="1">
      <alignment horizontal="center" vertical="center"/>
    </xf>
    <xf numFmtId="9" fontId="6" fillId="5" borderId="9" xfId="1" applyFont="1" applyFill="1" applyBorder="1" applyAlignment="1">
      <alignment horizontal="center" vertical="center"/>
    </xf>
    <xf numFmtId="9" fontId="6" fillId="5" borderId="10" xfId="1" applyFont="1" applyFill="1" applyBorder="1" applyAlignment="1">
      <alignment horizontal="center" vertical="center"/>
    </xf>
    <xf numFmtId="9" fontId="6" fillId="5" borderId="11" xfId="1" applyFont="1" applyFill="1" applyBorder="1" applyAlignment="1">
      <alignment horizontal="center" vertical="center"/>
    </xf>
    <xf numFmtId="0" fontId="6" fillId="5" borderId="23" xfId="0" applyNumberFormat="1" applyFont="1" applyFill="1" applyBorder="1" applyAlignment="1">
      <alignment horizontal="center" vertical="center"/>
    </xf>
    <xf numFmtId="0" fontId="6" fillId="5" borderId="24" xfId="0" applyNumberFormat="1" applyFont="1" applyFill="1" applyBorder="1" applyAlignment="1">
      <alignment horizontal="center" vertical="center"/>
    </xf>
    <xf numFmtId="0" fontId="6" fillId="5" borderId="36" xfId="0" applyNumberFormat="1" applyFont="1" applyFill="1" applyBorder="1" applyAlignment="1">
      <alignment horizontal="center" vertical="center"/>
    </xf>
    <xf numFmtId="0" fontId="6" fillId="5" borderId="25" xfId="0" applyNumberFormat="1" applyFont="1" applyFill="1" applyBorder="1" applyAlignment="1">
      <alignment horizontal="center" vertical="center"/>
    </xf>
    <xf numFmtId="9" fontId="6" fillId="5" borderId="23" xfId="1" applyFont="1" applyFill="1" applyBorder="1" applyAlignment="1">
      <alignment horizontal="center" vertical="center"/>
    </xf>
    <xf numFmtId="9" fontId="6" fillId="5" borderId="24" xfId="1" applyFont="1" applyFill="1" applyBorder="1" applyAlignment="1">
      <alignment horizontal="center" vertical="center"/>
    </xf>
    <xf numFmtId="9" fontId="6" fillId="5" borderId="25" xfId="1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center" vertical="center" wrapText="1"/>
    </xf>
    <xf numFmtId="0" fontId="10" fillId="4" borderId="39" xfId="0" applyFont="1" applyFill="1" applyBorder="1" applyAlignment="1">
      <alignment horizontal="center" vertical="center" wrapText="1"/>
    </xf>
    <xf numFmtId="0" fontId="6" fillId="4" borderId="6" xfId="0" applyNumberFormat="1" applyFont="1" applyFill="1" applyBorder="1" applyAlignment="1">
      <alignment horizontal="center" vertical="center"/>
    </xf>
    <xf numFmtId="0" fontId="6" fillId="4" borderId="7" xfId="0" applyNumberFormat="1" applyFont="1" applyFill="1" applyBorder="1" applyAlignment="1">
      <alignment horizontal="center" vertical="center"/>
    </xf>
    <xf numFmtId="0" fontId="6" fillId="4" borderId="26" xfId="0" applyNumberFormat="1" applyFont="1" applyFill="1" applyBorder="1" applyAlignment="1">
      <alignment horizontal="center" vertical="center"/>
    </xf>
    <xf numFmtId="0" fontId="6" fillId="4" borderId="27" xfId="0" applyNumberFormat="1" applyFont="1" applyFill="1" applyBorder="1" applyAlignment="1">
      <alignment horizontal="center" vertical="center"/>
    </xf>
    <xf numFmtId="0" fontId="6" fillId="4" borderId="28" xfId="0" applyNumberFormat="1" applyFont="1" applyFill="1" applyBorder="1" applyAlignment="1">
      <alignment horizontal="center" vertical="center"/>
    </xf>
    <xf numFmtId="0" fontId="6" fillId="4" borderId="37" xfId="0" applyNumberFormat="1" applyFont="1" applyFill="1" applyBorder="1" applyAlignment="1">
      <alignment horizontal="center" vertical="center"/>
    </xf>
    <xf numFmtId="9" fontId="6" fillId="4" borderId="27" xfId="1" applyFont="1" applyFill="1" applyBorder="1" applyAlignment="1">
      <alignment horizontal="center" vertical="center"/>
    </xf>
    <xf numFmtId="9" fontId="6" fillId="4" borderId="28" xfId="1" applyFont="1" applyFill="1" applyBorder="1" applyAlignment="1">
      <alignment horizontal="center" vertical="center"/>
    </xf>
    <xf numFmtId="9" fontId="6" fillId="4" borderId="26" xfId="1" applyFont="1" applyFill="1" applyBorder="1" applyAlignment="1">
      <alignment horizontal="center" vertical="center"/>
    </xf>
    <xf numFmtId="0" fontId="6" fillId="4" borderId="9" xfId="0" applyNumberFormat="1" applyFont="1" applyFill="1" applyBorder="1" applyAlignment="1">
      <alignment horizontal="center" vertical="center"/>
    </xf>
    <xf numFmtId="0" fontId="6" fillId="4" borderId="10" xfId="0" applyNumberFormat="1" applyFont="1" applyFill="1" applyBorder="1" applyAlignment="1">
      <alignment horizontal="center" vertical="center"/>
    </xf>
    <xf numFmtId="0" fontId="6" fillId="4" borderId="11" xfId="0" applyNumberFormat="1" applyFont="1" applyFill="1" applyBorder="1" applyAlignment="1">
      <alignment horizontal="center" vertical="center"/>
    </xf>
    <xf numFmtId="0" fontId="6" fillId="4" borderId="38" xfId="0" applyNumberFormat="1" applyFont="1" applyFill="1" applyBorder="1" applyAlignment="1">
      <alignment horizontal="center" vertical="center"/>
    </xf>
    <xf numFmtId="9" fontId="6" fillId="4" borderId="9" xfId="1" applyFont="1" applyFill="1" applyBorder="1" applyAlignment="1">
      <alignment horizontal="center" vertical="center"/>
    </xf>
    <xf numFmtId="9" fontId="6" fillId="4" borderId="10" xfId="1" applyFont="1" applyFill="1" applyBorder="1" applyAlignment="1">
      <alignment horizontal="center" vertical="center"/>
    </xf>
    <xf numFmtId="9" fontId="6" fillId="4" borderId="11" xfId="1" applyFont="1" applyFill="1" applyBorder="1" applyAlignment="1">
      <alignment horizontal="center" vertical="center"/>
    </xf>
    <xf numFmtId="0" fontId="6" fillId="4" borderId="23" xfId="0" applyNumberFormat="1" applyFont="1" applyFill="1" applyBorder="1" applyAlignment="1">
      <alignment horizontal="center" vertical="center"/>
    </xf>
    <xf numFmtId="0" fontId="6" fillId="4" borderId="24" xfId="0" applyNumberFormat="1" applyFont="1" applyFill="1" applyBorder="1" applyAlignment="1">
      <alignment horizontal="center" vertical="center"/>
    </xf>
    <xf numFmtId="0" fontId="6" fillId="4" borderId="36" xfId="0" applyNumberFormat="1" applyFont="1" applyFill="1" applyBorder="1" applyAlignment="1">
      <alignment horizontal="center" vertical="center"/>
    </xf>
    <xf numFmtId="0" fontId="6" fillId="4" borderId="25" xfId="0" applyNumberFormat="1" applyFont="1" applyFill="1" applyBorder="1" applyAlignment="1">
      <alignment horizontal="center" vertical="center"/>
    </xf>
    <xf numFmtId="9" fontId="6" fillId="4" borderId="23" xfId="1" applyFont="1" applyFill="1" applyBorder="1" applyAlignment="1">
      <alignment horizontal="center" vertical="center"/>
    </xf>
    <xf numFmtId="9" fontId="6" fillId="4" borderId="24" xfId="1" applyFont="1" applyFill="1" applyBorder="1" applyAlignment="1">
      <alignment horizontal="center" vertical="center"/>
    </xf>
    <xf numFmtId="9" fontId="6" fillId="4" borderId="25" xfId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9" fontId="14" fillId="3" borderId="27" xfId="1" applyFont="1" applyFill="1" applyBorder="1" applyAlignment="1">
      <alignment horizontal="center" vertical="center"/>
    </xf>
    <xf numFmtId="9" fontId="14" fillId="3" borderId="28" xfId="1" applyFont="1" applyFill="1" applyBorder="1" applyAlignment="1">
      <alignment horizontal="center" vertical="center"/>
    </xf>
    <xf numFmtId="9" fontId="14" fillId="3" borderId="26" xfId="1" applyFont="1" applyFill="1" applyBorder="1" applyAlignment="1">
      <alignment horizontal="center" vertical="center"/>
    </xf>
    <xf numFmtId="0" fontId="14" fillId="3" borderId="9" xfId="0" applyNumberFormat="1" applyFont="1" applyFill="1" applyBorder="1" applyAlignment="1">
      <alignment horizontal="center" vertical="center"/>
    </xf>
    <xf numFmtId="0" fontId="14" fillId="3" borderId="10" xfId="0" applyNumberFormat="1" applyFont="1" applyFill="1" applyBorder="1" applyAlignment="1">
      <alignment horizontal="center" vertical="center"/>
    </xf>
    <xf numFmtId="0" fontId="14" fillId="3" borderId="11" xfId="0" applyNumberFormat="1" applyFont="1" applyFill="1" applyBorder="1" applyAlignment="1">
      <alignment horizontal="center" vertical="center"/>
    </xf>
    <xf numFmtId="9" fontId="14" fillId="3" borderId="9" xfId="1" applyFont="1" applyFill="1" applyBorder="1" applyAlignment="1">
      <alignment horizontal="center" vertical="center"/>
    </xf>
    <xf numFmtId="9" fontId="14" fillId="3" borderId="10" xfId="1" applyFont="1" applyFill="1" applyBorder="1" applyAlignment="1">
      <alignment horizontal="center" vertical="center"/>
    </xf>
    <xf numFmtId="9" fontId="14" fillId="3" borderId="11" xfId="1" applyFont="1" applyFill="1" applyBorder="1" applyAlignment="1">
      <alignment horizontal="center" vertical="center"/>
    </xf>
    <xf numFmtId="9" fontId="14" fillId="3" borderId="23" xfId="1" applyFont="1" applyFill="1" applyBorder="1" applyAlignment="1">
      <alignment horizontal="center" vertical="center"/>
    </xf>
    <xf numFmtId="9" fontId="14" fillId="3" borderId="24" xfId="1" applyFont="1" applyFill="1" applyBorder="1" applyAlignment="1">
      <alignment horizontal="center" vertical="center"/>
    </xf>
    <xf numFmtId="9" fontId="14" fillId="3" borderId="25" xfId="1" applyFont="1" applyFill="1" applyBorder="1" applyAlignment="1">
      <alignment horizontal="center" vertical="center"/>
    </xf>
    <xf numFmtId="9" fontId="6" fillId="5" borderId="8" xfId="1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9" fillId="0" borderId="41" xfId="0" applyFont="1" applyFill="1" applyBorder="1" applyAlignment="1">
      <alignment horizontal="left" vertical="center"/>
    </xf>
    <xf numFmtId="0" fontId="9" fillId="0" borderId="42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6" fillId="5" borderId="27" xfId="1" applyNumberFormat="1" applyFont="1" applyFill="1" applyBorder="1" applyAlignment="1">
      <alignment horizontal="center" vertical="center"/>
    </xf>
    <xf numFmtId="0" fontId="6" fillId="5" borderId="26" xfId="1" applyNumberFormat="1" applyFont="1" applyFill="1" applyBorder="1" applyAlignment="1">
      <alignment horizontal="center" vertical="center"/>
    </xf>
    <xf numFmtId="0" fontId="6" fillId="5" borderId="9" xfId="1" applyNumberFormat="1" applyFont="1" applyFill="1" applyBorder="1" applyAlignment="1">
      <alignment horizontal="center" vertical="center"/>
    </xf>
    <xf numFmtId="0" fontId="6" fillId="5" borderId="11" xfId="1" applyNumberFormat="1" applyFont="1" applyFill="1" applyBorder="1" applyAlignment="1">
      <alignment horizontal="center" vertical="center"/>
    </xf>
    <xf numFmtId="0" fontId="6" fillId="5" borderId="23" xfId="1" applyNumberFormat="1" applyFont="1" applyFill="1" applyBorder="1" applyAlignment="1">
      <alignment horizontal="center" vertical="center"/>
    </xf>
    <xf numFmtId="0" fontId="6" fillId="5" borderId="25" xfId="1" applyNumberFormat="1" applyFont="1" applyFill="1" applyBorder="1" applyAlignment="1">
      <alignment horizontal="center" vertical="center"/>
    </xf>
    <xf numFmtId="0" fontId="8" fillId="2" borderId="15" xfId="1" applyNumberFormat="1" applyFont="1" applyFill="1" applyBorder="1" applyAlignment="1">
      <alignment horizontal="center" vertical="center"/>
    </xf>
    <xf numFmtId="0" fontId="8" fillId="2" borderId="17" xfId="1" applyNumberFormat="1" applyFont="1" applyFill="1" applyBorder="1" applyAlignment="1">
      <alignment horizontal="center" vertical="center"/>
    </xf>
    <xf numFmtId="0" fontId="6" fillId="4" borderId="8" xfId="0" applyNumberFormat="1" applyFont="1" applyFill="1" applyBorder="1" applyAlignment="1">
      <alignment horizontal="center" vertical="center"/>
    </xf>
    <xf numFmtId="0" fontId="6" fillId="4" borderId="50" xfId="0" applyNumberFormat="1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left" vertical="center"/>
    </xf>
    <xf numFmtId="0" fontId="7" fillId="6" borderId="15" xfId="0" applyNumberFormat="1" applyFont="1" applyFill="1" applyBorder="1" applyAlignment="1">
      <alignment horizontal="center" vertical="center"/>
    </xf>
    <xf numFmtId="0" fontId="7" fillId="6" borderId="16" xfId="0" applyNumberFormat="1" applyFont="1" applyFill="1" applyBorder="1" applyAlignment="1">
      <alignment horizontal="center" vertical="center"/>
    </xf>
    <xf numFmtId="0" fontId="8" fillId="6" borderId="15" xfId="1" applyNumberFormat="1" applyFont="1" applyFill="1" applyBorder="1" applyAlignment="1">
      <alignment horizontal="center" vertical="center"/>
    </xf>
    <xf numFmtId="0" fontId="8" fillId="6" borderId="17" xfId="1" applyNumberFormat="1" applyFont="1" applyFill="1" applyBorder="1" applyAlignment="1">
      <alignment horizontal="center" vertical="center"/>
    </xf>
    <xf numFmtId="0" fontId="7" fillId="6" borderId="17" xfId="0" applyNumberFormat="1" applyFont="1" applyFill="1" applyBorder="1" applyAlignment="1">
      <alignment horizontal="center" vertical="center"/>
    </xf>
    <xf numFmtId="0" fontId="7" fillId="6" borderId="40" xfId="0" applyNumberFormat="1" applyFont="1" applyFill="1" applyBorder="1" applyAlignment="1">
      <alignment horizontal="center" vertical="center"/>
    </xf>
    <xf numFmtId="9" fontId="8" fillId="6" borderId="15" xfId="1" applyFont="1" applyFill="1" applyBorder="1" applyAlignment="1">
      <alignment horizontal="center" vertical="center"/>
    </xf>
    <xf numFmtId="9" fontId="8" fillId="6" borderId="16" xfId="1" applyFont="1" applyFill="1" applyBorder="1" applyAlignment="1">
      <alignment horizontal="center" vertical="center"/>
    </xf>
    <xf numFmtId="9" fontId="8" fillId="6" borderId="17" xfId="1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39" xfId="0" applyFont="1" applyFill="1" applyBorder="1" applyAlignment="1">
      <alignment horizontal="center" vertical="center" wrapText="1"/>
    </xf>
    <xf numFmtId="0" fontId="6" fillId="7" borderId="6" xfId="0" applyNumberFormat="1" applyFont="1" applyFill="1" applyBorder="1" applyAlignment="1">
      <alignment horizontal="center" vertical="center"/>
    </xf>
    <xf numFmtId="0" fontId="6" fillId="7" borderId="7" xfId="0" applyNumberFormat="1" applyFont="1" applyFill="1" applyBorder="1" applyAlignment="1">
      <alignment horizontal="center" vertical="center"/>
    </xf>
    <xf numFmtId="0" fontId="6" fillId="7" borderId="27" xfId="1" applyNumberFormat="1" applyFont="1" applyFill="1" applyBorder="1" applyAlignment="1">
      <alignment horizontal="center" vertical="center"/>
    </xf>
    <xf numFmtId="0" fontId="6" fillId="7" borderId="26" xfId="1" applyNumberFormat="1" applyFont="1" applyFill="1" applyBorder="1" applyAlignment="1">
      <alignment horizontal="center" vertical="center"/>
    </xf>
    <xf numFmtId="0" fontId="6" fillId="7" borderId="26" xfId="0" applyNumberFormat="1" applyFont="1" applyFill="1" applyBorder="1" applyAlignment="1">
      <alignment horizontal="center" vertical="center"/>
    </xf>
    <xf numFmtId="0" fontId="6" fillId="7" borderId="27" xfId="0" applyNumberFormat="1" applyFont="1" applyFill="1" applyBorder="1" applyAlignment="1">
      <alignment horizontal="center" vertical="center"/>
    </xf>
    <xf numFmtId="0" fontId="6" fillId="7" borderId="28" xfId="0" applyNumberFormat="1" applyFont="1" applyFill="1" applyBorder="1" applyAlignment="1">
      <alignment horizontal="center" vertical="center"/>
    </xf>
    <xf numFmtId="0" fontId="6" fillId="7" borderId="37" xfId="0" applyNumberFormat="1" applyFont="1" applyFill="1" applyBorder="1" applyAlignment="1">
      <alignment horizontal="center" vertical="center"/>
    </xf>
    <xf numFmtId="9" fontId="6" fillId="7" borderId="27" xfId="1" applyFont="1" applyFill="1" applyBorder="1" applyAlignment="1">
      <alignment horizontal="center" vertical="center"/>
    </xf>
    <xf numFmtId="9" fontId="6" fillId="7" borderId="28" xfId="1" applyFont="1" applyFill="1" applyBorder="1" applyAlignment="1">
      <alignment horizontal="center" vertical="center"/>
    </xf>
    <xf numFmtId="9" fontId="6" fillId="7" borderId="8" xfId="1" applyFont="1" applyFill="1" applyBorder="1" applyAlignment="1">
      <alignment horizontal="center" vertical="center"/>
    </xf>
    <xf numFmtId="0" fontId="6" fillId="7" borderId="9" xfId="0" applyNumberFormat="1" applyFont="1" applyFill="1" applyBorder="1" applyAlignment="1">
      <alignment horizontal="center" vertical="center"/>
    </xf>
    <xf numFmtId="0" fontId="6" fillId="7" borderId="10" xfId="0" applyNumberFormat="1" applyFont="1" applyFill="1" applyBorder="1" applyAlignment="1">
      <alignment horizontal="center" vertical="center"/>
    </xf>
    <xf numFmtId="0" fontId="6" fillId="7" borderId="9" xfId="1" applyNumberFormat="1" applyFont="1" applyFill="1" applyBorder="1" applyAlignment="1">
      <alignment horizontal="center" vertical="center"/>
    </xf>
    <xf numFmtId="0" fontId="6" fillId="7" borderId="11" xfId="1" applyNumberFormat="1" applyFont="1" applyFill="1" applyBorder="1" applyAlignment="1">
      <alignment horizontal="center" vertical="center"/>
    </xf>
    <xf numFmtId="0" fontId="6" fillId="7" borderId="11" xfId="0" applyNumberFormat="1" applyFont="1" applyFill="1" applyBorder="1" applyAlignment="1">
      <alignment horizontal="center" vertical="center"/>
    </xf>
    <xf numFmtId="0" fontId="6" fillId="7" borderId="38" xfId="0" applyNumberFormat="1" applyFont="1" applyFill="1" applyBorder="1" applyAlignment="1">
      <alignment horizontal="center" vertical="center"/>
    </xf>
    <xf numFmtId="9" fontId="6" fillId="7" borderId="9" xfId="1" applyFont="1" applyFill="1" applyBorder="1" applyAlignment="1">
      <alignment horizontal="center" vertical="center"/>
    </xf>
    <xf numFmtId="9" fontId="6" fillId="7" borderId="10" xfId="1" applyFont="1" applyFill="1" applyBorder="1" applyAlignment="1">
      <alignment horizontal="center" vertical="center"/>
    </xf>
    <xf numFmtId="9" fontId="6" fillId="7" borderId="11" xfId="1" applyFont="1" applyFill="1" applyBorder="1" applyAlignment="1">
      <alignment horizontal="center" vertical="center"/>
    </xf>
    <xf numFmtId="0" fontId="6" fillId="7" borderId="23" xfId="1" applyNumberFormat="1" applyFont="1" applyFill="1" applyBorder="1" applyAlignment="1">
      <alignment horizontal="center" vertical="center"/>
    </xf>
    <xf numFmtId="0" fontId="6" fillId="7" borderId="25" xfId="1" applyNumberFormat="1" applyFont="1" applyFill="1" applyBorder="1" applyAlignment="1">
      <alignment horizontal="center" vertical="center"/>
    </xf>
    <xf numFmtId="0" fontId="6" fillId="7" borderId="23" xfId="0" applyNumberFormat="1" applyFont="1" applyFill="1" applyBorder="1" applyAlignment="1">
      <alignment horizontal="center" vertical="center"/>
    </xf>
    <xf numFmtId="0" fontId="6" fillId="7" borderId="24" xfId="0" applyNumberFormat="1" applyFont="1" applyFill="1" applyBorder="1" applyAlignment="1">
      <alignment horizontal="center" vertical="center"/>
    </xf>
    <xf numFmtId="0" fontId="6" fillId="7" borderId="36" xfId="0" applyNumberFormat="1" applyFont="1" applyFill="1" applyBorder="1" applyAlignment="1">
      <alignment horizontal="center" vertical="center"/>
    </xf>
    <xf numFmtId="0" fontId="6" fillId="7" borderId="25" xfId="0" applyNumberFormat="1" applyFont="1" applyFill="1" applyBorder="1" applyAlignment="1">
      <alignment horizontal="center" vertical="center"/>
    </xf>
    <xf numFmtId="9" fontId="6" fillId="7" borderId="23" xfId="1" applyFont="1" applyFill="1" applyBorder="1" applyAlignment="1">
      <alignment horizontal="center" vertical="center"/>
    </xf>
    <xf numFmtId="9" fontId="6" fillId="7" borderId="24" xfId="1" applyFont="1" applyFill="1" applyBorder="1" applyAlignment="1">
      <alignment horizontal="center" vertical="center"/>
    </xf>
    <xf numFmtId="9" fontId="6" fillId="7" borderId="25" xfId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14" fontId="5" fillId="4" borderId="5" xfId="0" applyNumberFormat="1" applyFont="1" applyFill="1" applyBorder="1" applyAlignment="1">
      <alignment horizontal="center"/>
    </xf>
    <xf numFmtId="14" fontId="5" fillId="4" borderId="18" xfId="0" applyNumberFormat="1" applyFont="1" applyFill="1" applyBorder="1" applyAlignment="1">
      <alignment horizontal="center"/>
    </xf>
    <xf numFmtId="14" fontId="5" fillId="4" borderId="19" xfId="0" applyNumberFormat="1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38" xfId="0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0" fontId="10" fillId="4" borderId="43" xfId="0" applyFont="1" applyFill="1" applyBorder="1" applyAlignment="1">
      <alignment horizontal="center" vertical="center" wrapText="1"/>
    </xf>
    <xf numFmtId="0" fontId="10" fillId="4" borderId="48" xfId="0" applyFont="1" applyFill="1" applyBorder="1" applyAlignment="1">
      <alignment horizontal="center" vertical="center" wrapText="1"/>
    </xf>
    <xf numFmtId="0" fontId="10" fillId="4" borderId="25" xfId="0" applyFont="1" applyFill="1" applyBorder="1" applyAlignment="1">
      <alignment horizontal="center" vertical="center" wrapText="1"/>
    </xf>
    <xf numFmtId="0" fontId="10" fillId="4" borderId="45" xfId="0" applyFont="1" applyFill="1" applyBorder="1" applyAlignment="1">
      <alignment horizontal="center" vertical="center" wrapText="1"/>
    </xf>
    <xf numFmtId="0" fontId="10" fillId="4" borderId="47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10" fillId="4" borderId="22" xfId="0" applyFont="1" applyFill="1" applyBorder="1" applyAlignment="1">
      <alignment horizontal="center" vertical="center" wrapText="1"/>
    </xf>
    <xf numFmtId="0" fontId="10" fillId="4" borderId="31" xfId="0" applyFont="1" applyFill="1" applyBorder="1" applyAlignment="1">
      <alignment horizontal="center" vertical="center" wrapText="1"/>
    </xf>
    <xf numFmtId="0" fontId="10" fillId="4" borderId="0" xfId="0" applyFont="1" applyFill="1" applyBorder="1" applyAlignment="1">
      <alignment horizontal="center" vertical="center" wrapText="1"/>
    </xf>
    <xf numFmtId="0" fontId="10" fillId="4" borderId="46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30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14" fontId="5" fillId="5" borderId="5" xfId="0" applyNumberFormat="1" applyFont="1" applyFill="1" applyBorder="1" applyAlignment="1">
      <alignment horizontal="center"/>
    </xf>
    <xf numFmtId="14" fontId="5" fillId="5" borderId="18" xfId="0" applyNumberFormat="1" applyFont="1" applyFill="1" applyBorder="1" applyAlignment="1">
      <alignment horizontal="center"/>
    </xf>
    <xf numFmtId="14" fontId="5" fillId="5" borderId="19" xfId="0" applyNumberFormat="1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23" xfId="0" applyFont="1" applyFill="1" applyBorder="1" applyAlignment="1">
      <alignment horizontal="center" vertical="center" wrapText="1"/>
    </xf>
    <xf numFmtId="0" fontId="10" fillId="5" borderId="43" xfId="0" applyFont="1" applyFill="1" applyBorder="1" applyAlignment="1">
      <alignment horizontal="center" vertical="center" wrapText="1"/>
    </xf>
    <xf numFmtId="0" fontId="10" fillId="5" borderId="48" xfId="0" applyFont="1" applyFill="1" applyBorder="1" applyAlignment="1">
      <alignment horizontal="center" vertical="center" wrapText="1"/>
    </xf>
    <xf numFmtId="0" fontId="10" fillId="5" borderId="25" xfId="0" applyFont="1" applyFill="1" applyBorder="1" applyAlignment="1">
      <alignment horizontal="center" vertical="center" wrapText="1"/>
    </xf>
    <xf numFmtId="0" fontId="10" fillId="5" borderId="45" xfId="0" applyFont="1" applyFill="1" applyBorder="1" applyAlignment="1">
      <alignment horizontal="center" vertical="center" wrapText="1"/>
    </xf>
    <xf numFmtId="0" fontId="10" fillId="5" borderId="47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0" fillId="5" borderId="20" xfId="0" applyFont="1" applyFill="1" applyBorder="1" applyAlignment="1">
      <alignment horizontal="center" vertical="center" wrapText="1"/>
    </xf>
    <xf numFmtId="0" fontId="10" fillId="5" borderId="21" xfId="0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center" vertical="center" wrapText="1"/>
    </xf>
    <xf numFmtId="0" fontId="10" fillId="5" borderId="31" xfId="0" applyFont="1" applyFill="1" applyBorder="1" applyAlignment="1">
      <alignment horizontal="center" vertical="center" wrapText="1"/>
    </xf>
    <xf numFmtId="0" fontId="10" fillId="5" borderId="0" xfId="0" applyFont="1" applyFill="1" applyBorder="1" applyAlignment="1">
      <alignment horizontal="center" vertical="center" wrapText="1"/>
    </xf>
    <xf numFmtId="0" fontId="10" fillId="5" borderId="46" xfId="0" applyFont="1" applyFill="1" applyBorder="1" applyAlignment="1">
      <alignment horizontal="center" vertical="center" wrapText="1"/>
    </xf>
    <xf numFmtId="0" fontId="10" fillId="5" borderId="2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30" xfId="0" applyFont="1" applyFill="1" applyBorder="1" applyAlignment="1">
      <alignment horizontal="center" vertical="center" wrapText="1"/>
    </xf>
    <xf numFmtId="0" fontId="10" fillId="5" borderId="33" xfId="0" applyFont="1" applyFill="1" applyBorder="1" applyAlignment="1">
      <alignment horizontal="center" vertical="center" wrapText="1"/>
    </xf>
    <xf numFmtId="0" fontId="10" fillId="5" borderId="3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14" fontId="5" fillId="7" borderId="5" xfId="0" applyNumberFormat="1" applyFont="1" applyFill="1" applyBorder="1" applyAlignment="1">
      <alignment horizontal="center"/>
    </xf>
    <xf numFmtId="14" fontId="5" fillId="7" borderId="18" xfId="0" applyNumberFormat="1" applyFont="1" applyFill="1" applyBorder="1" applyAlignment="1">
      <alignment horizontal="center"/>
    </xf>
    <xf numFmtId="14" fontId="5" fillId="7" borderId="19" xfId="0" applyNumberFormat="1" applyFont="1" applyFill="1" applyBorder="1" applyAlignment="1">
      <alignment horizontal="center"/>
    </xf>
    <xf numFmtId="0" fontId="10" fillId="7" borderId="9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10" fillId="7" borderId="23" xfId="0" applyFont="1" applyFill="1" applyBorder="1" applyAlignment="1">
      <alignment horizontal="center" vertical="center" wrapText="1"/>
    </xf>
    <xf numFmtId="0" fontId="10" fillId="7" borderId="43" xfId="0" applyFont="1" applyFill="1" applyBorder="1" applyAlignment="1">
      <alignment horizontal="center" vertical="center" wrapText="1"/>
    </xf>
    <xf numFmtId="0" fontId="10" fillId="7" borderId="48" xfId="0" applyFont="1" applyFill="1" applyBorder="1" applyAlignment="1">
      <alignment horizontal="center" vertical="center" wrapText="1"/>
    </xf>
    <xf numFmtId="0" fontId="10" fillId="7" borderId="25" xfId="0" applyFont="1" applyFill="1" applyBorder="1" applyAlignment="1">
      <alignment horizontal="center" vertical="center" wrapText="1"/>
    </xf>
    <xf numFmtId="0" fontId="10" fillId="7" borderId="45" xfId="0" applyFont="1" applyFill="1" applyBorder="1" applyAlignment="1">
      <alignment horizontal="center" vertical="center" wrapText="1"/>
    </xf>
    <xf numFmtId="0" fontId="10" fillId="7" borderId="47" xfId="0" applyFont="1" applyFill="1" applyBorder="1" applyAlignment="1">
      <alignment horizontal="center" vertical="center" wrapText="1"/>
    </xf>
    <xf numFmtId="0" fontId="10" fillId="7" borderId="11" xfId="0" applyFont="1" applyFill="1" applyBorder="1" applyAlignment="1">
      <alignment horizontal="center" vertical="center" wrapText="1"/>
    </xf>
    <xf numFmtId="0" fontId="10" fillId="7" borderId="20" xfId="0" applyFont="1" applyFill="1" applyBorder="1" applyAlignment="1">
      <alignment horizontal="center" vertical="center" wrapText="1"/>
    </xf>
    <xf numFmtId="0" fontId="10" fillId="7" borderId="21" xfId="0" applyFont="1" applyFill="1" applyBorder="1" applyAlignment="1">
      <alignment horizontal="center" vertical="center" wrapText="1"/>
    </xf>
    <xf numFmtId="0" fontId="10" fillId="7" borderId="22" xfId="0" applyFont="1" applyFill="1" applyBorder="1" applyAlignment="1">
      <alignment horizontal="center" vertical="center" wrapText="1"/>
    </xf>
    <xf numFmtId="0" fontId="10" fillId="7" borderId="31" xfId="0" applyFont="1" applyFill="1" applyBorder="1" applyAlignment="1">
      <alignment horizontal="center" vertical="center" wrapText="1"/>
    </xf>
    <xf numFmtId="0" fontId="10" fillId="7" borderId="0" xfId="0" applyFont="1" applyFill="1" applyBorder="1" applyAlignment="1">
      <alignment horizontal="center" vertical="center" wrapText="1"/>
    </xf>
    <xf numFmtId="0" fontId="10" fillId="7" borderId="46" xfId="0" applyFont="1" applyFill="1" applyBorder="1" applyAlignment="1">
      <alignment horizontal="center" vertical="center" wrapText="1"/>
    </xf>
    <xf numFmtId="0" fontId="10" fillId="7" borderId="24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7" borderId="30" xfId="0" applyFont="1" applyFill="1" applyBorder="1" applyAlignment="1">
      <alignment horizontal="center" vertical="center" wrapText="1"/>
    </xf>
    <xf numFmtId="0" fontId="10" fillId="7" borderId="33" xfId="0" applyFont="1" applyFill="1" applyBorder="1" applyAlignment="1">
      <alignment horizontal="center" vertical="center" wrapText="1"/>
    </xf>
    <xf numFmtId="0" fontId="10" fillId="7" borderId="38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7" borderId="8" xfId="0" applyFont="1" applyFill="1" applyBorder="1" applyAlignment="1">
      <alignment horizontal="center" vertical="center" wrapText="1"/>
    </xf>
    <xf numFmtId="14" fontId="12" fillId="3" borderId="5" xfId="0" applyNumberFormat="1" applyFont="1" applyFill="1" applyBorder="1" applyAlignment="1">
      <alignment horizontal="center"/>
    </xf>
    <xf numFmtId="14" fontId="12" fillId="3" borderId="18" xfId="0" applyNumberFormat="1" applyFont="1" applyFill="1" applyBorder="1" applyAlignment="1">
      <alignment horizontal="center"/>
    </xf>
    <xf numFmtId="14" fontId="12" fillId="3" borderId="19" xfId="0" applyNumberFormat="1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38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0" fontId="13" fillId="3" borderId="25" xfId="0" applyFont="1" applyFill="1" applyBorder="1" applyAlignment="1">
      <alignment horizontal="center" vertical="center" wrapText="1"/>
    </xf>
    <xf numFmtId="0" fontId="13" fillId="3" borderId="43" xfId="0" applyFont="1" applyFill="1" applyBorder="1" applyAlignment="1">
      <alignment horizontal="center" vertical="center" wrapText="1"/>
    </xf>
    <xf numFmtId="0" fontId="13" fillId="3" borderId="44" xfId="0" applyFont="1" applyFill="1" applyBorder="1" applyAlignment="1">
      <alignment horizontal="center" vertical="center" wrapText="1"/>
    </xf>
    <xf numFmtId="0" fontId="13" fillId="3" borderId="45" xfId="0" applyFont="1" applyFill="1" applyBorder="1" applyAlignment="1">
      <alignment horizontal="center" vertical="center" wrapText="1"/>
    </xf>
    <xf numFmtId="0" fontId="13" fillId="3" borderId="30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3" fillId="2" borderId="32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0" fillId="4" borderId="49" xfId="0" applyFont="1" applyFill="1" applyBorder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colors>
    <mruColors>
      <color rgb="FFFAD8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A21"/>
  <sheetViews>
    <sheetView tabSelected="1" zoomScaleNormal="100" zoomScaleSheetLayoutView="70" workbookViewId="0">
      <pane xSplit="1" topLeftCell="HE1" activePane="topRight" state="frozen"/>
      <selection pane="topRight" activeCell="HE16" sqref="HE16"/>
    </sheetView>
  </sheetViews>
  <sheetFormatPr baseColWidth="10" defaultColWidth="11.42578125" defaultRowHeight="15" x14ac:dyDescent="0.25"/>
  <cols>
    <col min="1" max="2" width="38.42578125" style="2" customWidth="1"/>
    <col min="3" max="26" width="10.7109375" style="2" customWidth="1"/>
    <col min="27" max="16384" width="11.42578125" style="2"/>
  </cols>
  <sheetData>
    <row r="1" spans="1:261" ht="17.25" x14ac:dyDescent="0.3">
      <c r="A1" s="246" t="s">
        <v>29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</row>
    <row r="2" spans="1:261" ht="17.25" x14ac:dyDescent="0.3">
      <c r="A2" s="246" t="s">
        <v>2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</row>
    <row r="3" spans="1:261" ht="18" thickBot="1" x14ac:dyDescent="0.35">
      <c r="A3" s="1"/>
      <c r="B3" s="1"/>
    </row>
    <row r="4" spans="1:261" s="3" customFormat="1" ht="16.5" customHeight="1" x14ac:dyDescent="0.25">
      <c r="A4" s="247" t="s">
        <v>3</v>
      </c>
      <c r="B4" s="250" t="s">
        <v>4</v>
      </c>
      <c r="C4" s="148">
        <v>46046</v>
      </c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50"/>
      <c r="AA4" s="173">
        <v>46048</v>
      </c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4"/>
      <c r="AP4" s="174"/>
      <c r="AQ4" s="174"/>
      <c r="AR4" s="174"/>
      <c r="AS4" s="174"/>
      <c r="AT4" s="174"/>
      <c r="AU4" s="174"/>
      <c r="AV4" s="174"/>
      <c r="AW4" s="174"/>
      <c r="AX4" s="175"/>
      <c r="AY4" s="148">
        <v>46049</v>
      </c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49"/>
      <c r="BL4" s="149"/>
      <c r="BM4" s="149"/>
      <c r="BN4" s="149"/>
      <c r="BO4" s="149"/>
      <c r="BP4" s="149"/>
      <c r="BQ4" s="149"/>
      <c r="BR4" s="149"/>
      <c r="BS4" s="149"/>
      <c r="BT4" s="149"/>
      <c r="BU4" s="149"/>
      <c r="BV4" s="150"/>
      <c r="BW4" s="199">
        <v>46050</v>
      </c>
      <c r="BX4" s="200"/>
      <c r="BY4" s="200"/>
      <c r="BZ4" s="200"/>
      <c r="CA4" s="200"/>
      <c r="CB4" s="200"/>
      <c r="CC4" s="200"/>
      <c r="CD4" s="200"/>
      <c r="CE4" s="200"/>
      <c r="CF4" s="200"/>
      <c r="CG4" s="200"/>
      <c r="CH4" s="200"/>
      <c r="CI4" s="200"/>
      <c r="CJ4" s="200"/>
      <c r="CK4" s="200"/>
      <c r="CL4" s="200"/>
      <c r="CM4" s="200"/>
      <c r="CN4" s="200"/>
      <c r="CO4" s="200"/>
      <c r="CP4" s="200"/>
      <c r="CQ4" s="200"/>
      <c r="CR4" s="200"/>
      <c r="CS4" s="200"/>
      <c r="CT4" s="201"/>
      <c r="CU4" s="148">
        <v>46051</v>
      </c>
      <c r="CV4" s="149"/>
      <c r="CW4" s="149"/>
      <c r="CX4" s="149"/>
      <c r="CY4" s="149"/>
      <c r="CZ4" s="149"/>
      <c r="DA4" s="149"/>
      <c r="DB4" s="149"/>
      <c r="DC4" s="149"/>
      <c r="DD4" s="149"/>
      <c r="DE4" s="149"/>
      <c r="DF4" s="149"/>
      <c r="DG4" s="149"/>
      <c r="DH4" s="149"/>
      <c r="DI4" s="149"/>
      <c r="DJ4" s="149"/>
      <c r="DK4" s="149"/>
      <c r="DL4" s="149"/>
      <c r="DM4" s="149"/>
      <c r="DN4" s="149"/>
      <c r="DO4" s="149"/>
      <c r="DP4" s="149"/>
      <c r="DQ4" s="149"/>
      <c r="DR4" s="150"/>
      <c r="DS4" s="173">
        <v>46052</v>
      </c>
      <c r="DT4" s="174"/>
      <c r="DU4" s="174"/>
      <c r="DV4" s="174"/>
      <c r="DW4" s="174"/>
      <c r="DX4" s="174"/>
      <c r="DY4" s="174"/>
      <c r="DZ4" s="174"/>
      <c r="EA4" s="174"/>
      <c r="EB4" s="174"/>
      <c r="EC4" s="174"/>
      <c r="ED4" s="174"/>
      <c r="EE4" s="174"/>
      <c r="EF4" s="174"/>
      <c r="EG4" s="174"/>
      <c r="EH4" s="174"/>
      <c r="EI4" s="174"/>
      <c r="EJ4" s="174"/>
      <c r="EK4" s="174"/>
      <c r="EL4" s="174"/>
      <c r="EM4" s="174"/>
      <c r="EN4" s="174"/>
      <c r="EO4" s="174"/>
      <c r="EP4" s="175"/>
      <c r="EQ4" s="148">
        <v>46053</v>
      </c>
      <c r="ER4" s="149"/>
      <c r="ES4" s="149"/>
      <c r="ET4" s="149"/>
      <c r="EU4" s="149"/>
      <c r="EV4" s="149"/>
      <c r="EW4" s="149"/>
      <c r="EX4" s="149"/>
      <c r="EY4" s="149"/>
      <c r="EZ4" s="149"/>
      <c r="FA4" s="149"/>
      <c r="FB4" s="149"/>
      <c r="FC4" s="149"/>
      <c r="FD4" s="149"/>
      <c r="FE4" s="149"/>
      <c r="FF4" s="149"/>
      <c r="FG4" s="149"/>
      <c r="FH4" s="149"/>
      <c r="FI4" s="149"/>
      <c r="FJ4" s="149"/>
      <c r="FK4" s="149"/>
      <c r="FL4" s="149"/>
      <c r="FM4" s="149"/>
      <c r="FN4" s="150"/>
      <c r="FO4" s="173">
        <v>46055</v>
      </c>
      <c r="FP4" s="174"/>
      <c r="FQ4" s="174"/>
      <c r="FR4" s="174"/>
      <c r="FS4" s="174"/>
      <c r="FT4" s="174"/>
      <c r="FU4" s="174"/>
      <c r="FV4" s="174"/>
      <c r="FW4" s="174"/>
      <c r="FX4" s="174"/>
      <c r="FY4" s="174"/>
      <c r="FZ4" s="174"/>
      <c r="GA4" s="174"/>
      <c r="GB4" s="174"/>
      <c r="GC4" s="174"/>
      <c r="GD4" s="174"/>
      <c r="GE4" s="174"/>
      <c r="GF4" s="174"/>
      <c r="GG4" s="174"/>
      <c r="GH4" s="174"/>
      <c r="GI4" s="174"/>
      <c r="GJ4" s="174"/>
      <c r="GK4" s="174"/>
      <c r="GL4" s="175"/>
      <c r="GM4" s="148">
        <v>46056</v>
      </c>
      <c r="GN4" s="149"/>
      <c r="GO4" s="149"/>
      <c r="GP4" s="149"/>
      <c r="GQ4" s="149"/>
      <c r="GR4" s="149"/>
      <c r="GS4" s="149"/>
      <c r="GT4" s="149"/>
      <c r="GU4" s="149"/>
      <c r="GV4" s="149"/>
      <c r="GW4" s="149"/>
      <c r="GX4" s="149"/>
      <c r="GY4" s="149"/>
      <c r="GZ4" s="149"/>
      <c r="HA4" s="149"/>
      <c r="HB4" s="149"/>
      <c r="HC4" s="149"/>
      <c r="HD4" s="149"/>
      <c r="HE4" s="149"/>
      <c r="HF4" s="149"/>
      <c r="HG4" s="149"/>
      <c r="HH4" s="149"/>
      <c r="HI4" s="149"/>
      <c r="HJ4" s="150"/>
      <c r="HK4" s="225" t="s">
        <v>0</v>
      </c>
      <c r="HL4" s="226"/>
      <c r="HM4" s="226"/>
      <c r="HN4" s="226"/>
      <c r="HO4" s="226"/>
      <c r="HP4" s="226"/>
      <c r="HQ4" s="226"/>
      <c r="HR4" s="226"/>
      <c r="HS4" s="226"/>
      <c r="HT4" s="226"/>
      <c r="HU4" s="226"/>
      <c r="HV4" s="226"/>
      <c r="HW4" s="226"/>
      <c r="HX4" s="226"/>
      <c r="HY4" s="226"/>
      <c r="HZ4" s="226"/>
      <c r="IA4" s="226"/>
      <c r="IB4" s="226"/>
      <c r="IC4" s="226"/>
      <c r="ID4" s="226"/>
      <c r="IE4" s="226"/>
      <c r="IF4" s="226"/>
      <c r="IG4" s="226"/>
      <c r="IH4" s="227"/>
    </row>
    <row r="5" spans="1:261" s="3" customFormat="1" ht="15.75" customHeight="1" thickBot="1" x14ac:dyDescent="0.3">
      <c r="A5" s="248"/>
      <c r="B5" s="251"/>
      <c r="C5" s="151" t="s">
        <v>20</v>
      </c>
      <c r="D5" s="152"/>
      <c r="E5" s="152"/>
      <c r="F5" s="152"/>
      <c r="G5" s="152"/>
      <c r="H5" s="160"/>
      <c r="I5" s="154" t="s">
        <v>30</v>
      </c>
      <c r="J5" s="157" t="s">
        <v>31</v>
      </c>
      <c r="K5" s="151" t="s">
        <v>21</v>
      </c>
      <c r="L5" s="152"/>
      <c r="M5" s="152"/>
      <c r="N5" s="152"/>
      <c r="O5" s="152"/>
      <c r="P5" s="160"/>
      <c r="Q5" s="161" t="s">
        <v>22</v>
      </c>
      <c r="R5" s="162"/>
      <c r="S5" s="162"/>
      <c r="T5" s="163"/>
      <c r="U5" s="151" t="s">
        <v>1</v>
      </c>
      <c r="V5" s="152"/>
      <c r="W5" s="152"/>
      <c r="X5" s="152"/>
      <c r="Y5" s="152"/>
      <c r="Z5" s="160"/>
      <c r="AA5" s="176" t="s">
        <v>20</v>
      </c>
      <c r="AB5" s="177"/>
      <c r="AC5" s="177"/>
      <c r="AD5" s="177"/>
      <c r="AE5" s="177"/>
      <c r="AF5" s="177"/>
      <c r="AG5" s="178" t="s">
        <v>30</v>
      </c>
      <c r="AH5" s="181" t="s">
        <v>31</v>
      </c>
      <c r="AI5" s="176" t="s">
        <v>21</v>
      </c>
      <c r="AJ5" s="177"/>
      <c r="AK5" s="177"/>
      <c r="AL5" s="177"/>
      <c r="AM5" s="177"/>
      <c r="AN5" s="184"/>
      <c r="AO5" s="185" t="s">
        <v>22</v>
      </c>
      <c r="AP5" s="186"/>
      <c r="AQ5" s="186"/>
      <c r="AR5" s="187"/>
      <c r="AS5" s="176" t="s">
        <v>1</v>
      </c>
      <c r="AT5" s="177"/>
      <c r="AU5" s="177"/>
      <c r="AV5" s="177"/>
      <c r="AW5" s="177"/>
      <c r="AX5" s="184"/>
      <c r="AY5" s="151" t="s">
        <v>20</v>
      </c>
      <c r="AZ5" s="152"/>
      <c r="BA5" s="152"/>
      <c r="BB5" s="152"/>
      <c r="BC5" s="152"/>
      <c r="BD5" s="153"/>
      <c r="BE5" s="154" t="s">
        <v>30</v>
      </c>
      <c r="BF5" s="157" t="s">
        <v>31</v>
      </c>
      <c r="BG5" s="151" t="s">
        <v>21</v>
      </c>
      <c r="BH5" s="152"/>
      <c r="BI5" s="152"/>
      <c r="BJ5" s="152"/>
      <c r="BK5" s="152"/>
      <c r="BL5" s="160"/>
      <c r="BM5" s="161" t="s">
        <v>22</v>
      </c>
      <c r="BN5" s="162"/>
      <c r="BO5" s="162"/>
      <c r="BP5" s="163"/>
      <c r="BQ5" s="151" t="s">
        <v>1</v>
      </c>
      <c r="BR5" s="152"/>
      <c r="BS5" s="152"/>
      <c r="BT5" s="152"/>
      <c r="BU5" s="152"/>
      <c r="BV5" s="160"/>
      <c r="BW5" s="202" t="s">
        <v>20</v>
      </c>
      <c r="BX5" s="203"/>
      <c r="BY5" s="203"/>
      <c r="BZ5" s="203"/>
      <c r="CA5" s="203"/>
      <c r="CB5" s="203"/>
      <c r="CC5" s="204" t="s">
        <v>30</v>
      </c>
      <c r="CD5" s="207" t="s">
        <v>31</v>
      </c>
      <c r="CE5" s="202" t="s">
        <v>21</v>
      </c>
      <c r="CF5" s="203"/>
      <c r="CG5" s="203"/>
      <c r="CH5" s="203"/>
      <c r="CI5" s="203"/>
      <c r="CJ5" s="210"/>
      <c r="CK5" s="211" t="s">
        <v>22</v>
      </c>
      <c r="CL5" s="212"/>
      <c r="CM5" s="212"/>
      <c r="CN5" s="213"/>
      <c r="CO5" s="202" t="s">
        <v>1</v>
      </c>
      <c r="CP5" s="203"/>
      <c r="CQ5" s="203"/>
      <c r="CR5" s="203"/>
      <c r="CS5" s="203"/>
      <c r="CT5" s="210"/>
      <c r="CU5" s="151" t="s">
        <v>20</v>
      </c>
      <c r="CV5" s="152"/>
      <c r="CW5" s="152"/>
      <c r="CX5" s="152"/>
      <c r="CY5" s="152"/>
      <c r="CZ5" s="153"/>
      <c r="DA5" s="154" t="s">
        <v>30</v>
      </c>
      <c r="DB5" s="157" t="s">
        <v>31</v>
      </c>
      <c r="DC5" s="151" t="s">
        <v>21</v>
      </c>
      <c r="DD5" s="152"/>
      <c r="DE5" s="152"/>
      <c r="DF5" s="152"/>
      <c r="DG5" s="152"/>
      <c r="DH5" s="160"/>
      <c r="DI5" s="161" t="s">
        <v>22</v>
      </c>
      <c r="DJ5" s="162"/>
      <c r="DK5" s="162"/>
      <c r="DL5" s="163"/>
      <c r="DM5" s="151" t="s">
        <v>1</v>
      </c>
      <c r="DN5" s="152"/>
      <c r="DO5" s="152"/>
      <c r="DP5" s="152"/>
      <c r="DQ5" s="152"/>
      <c r="DR5" s="160"/>
      <c r="DS5" s="176" t="s">
        <v>20</v>
      </c>
      <c r="DT5" s="177"/>
      <c r="DU5" s="177"/>
      <c r="DV5" s="177"/>
      <c r="DW5" s="177"/>
      <c r="DX5" s="177"/>
      <c r="DY5" s="178" t="s">
        <v>30</v>
      </c>
      <c r="DZ5" s="181" t="s">
        <v>31</v>
      </c>
      <c r="EA5" s="176" t="s">
        <v>21</v>
      </c>
      <c r="EB5" s="177"/>
      <c r="EC5" s="177"/>
      <c r="ED5" s="177"/>
      <c r="EE5" s="177"/>
      <c r="EF5" s="184"/>
      <c r="EG5" s="185" t="s">
        <v>22</v>
      </c>
      <c r="EH5" s="186"/>
      <c r="EI5" s="186"/>
      <c r="EJ5" s="187"/>
      <c r="EK5" s="176" t="s">
        <v>1</v>
      </c>
      <c r="EL5" s="177"/>
      <c r="EM5" s="177"/>
      <c r="EN5" s="177"/>
      <c r="EO5" s="177"/>
      <c r="EP5" s="184"/>
      <c r="EQ5" s="151" t="s">
        <v>20</v>
      </c>
      <c r="ER5" s="152"/>
      <c r="ES5" s="152"/>
      <c r="ET5" s="152"/>
      <c r="EU5" s="152"/>
      <c r="EV5" s="153"/>
      <c r="EW5" s="154" t="s">
        <v>30</v>
      </c>
      <c r="EX5" s="157" t="s">
        <v>31</v>
      </c>
      <c r="EY5" s="151" t="s">
        <v>21</v>
      </c>
      <c r="EZ5" s="152"/>
      <c r="FA5" s="152"/>
      <c r="FB5" s="152"/>
      <c r="FC5" s="152"/>
      <c r="FD5" s="160"/>
      <c r="FE5" s="161" t="s">
        <v>22</v>
      </c>
      <c r="FF5" s="162"/>
      <c r="FG5" s="162"/>
      <c r="FH5" s="163"/>
      <c r="FI5" s="151" t="s">
        <v>1</v>
      </c>
      <c r="FJ5" s="152"/>
      <c r="FK5" s="152"/>
      <c r="FL5" s="152"/>
      <c r="FM5" s="152"/>
      <c r="FN5" s="160"/>
      <c r="FO5" s="176" t="s">
        <v>20</v>
      </c>
      <c r="FP5" s="177"/>
      <c r="FQ5" s="177"/>
      <c r="FR5" s="177"/>
      <c r="FS5" s="177"/>
      <c r="FT5" s="177"/>
      <c r="FU5" s="178" t="s">
        <v>30</v>
      </c>
      <c r="FV5" s="181" t="s">
        <v>31</v>
      </c>
      <c r="FW5" s="176" t="s">
        <v>21</v>
      </c>
      <c r="FX5" s="177"/>
      <c r="FY5" s="177"/>
      <c r="FZ5" s="177"/>
      <c r="GA5" s="177"/>
      <c r="GB5" s="184"/>
      <c r="GC5" s="185" t="s">
        <v>22</v>
      </c>
      <c r="GD5" s="186"/>
      <c r="GE5" s="186"/>
      <c r="GF5" s="187"/>
      <c r="GG5" s="176" t="s">
        <v>1</v>
      </c>
      <c r="GH5" s="177"/>
      <c r="GI5" s="177"/>
      <c r="GJ5" s="177"/>
      <c r="GK5" s="177"/>
      <c r="GL5" s="184"/>
      <c r="GM5" s="151" t="s">
        <v>20</v>
      </c>
      <c r="GN5" s="152"/>
      <c r="GO5" s="152"/>
      <c r="GP5" s="152"/>
      <c r="GQ5" s="152"/>
      <c r="GR5" s="153"/>
      <c r="GS5" s="154" t="s">
        <v>30</v>
      </c>
      <c r="GT5" s="157" t="s">
        <v>31</v>
      </c>
      <c r="GU5" s="151" t="s">
        <v>21</v>
      </c>
      <c r="GV5" s="152"/>
      <c r="GW5" s="152"/>
      <c r="GX5" s="152"/>
      <c r="GY5" s="152"/>
      <c r="GZ5" s="160"/>
      <c r="HA5" s="161" t="s">
        <v>22</v>
      </c>
      <c r="HB5" s="162"/>
      <c r="HC5" s="162"/>
      <c r="HD5" s="163"/>
      <c r="HE5" s="151" t="s">
        <v>1</v>
      </c>
      <c r="HF5" s="152"/>
      <c r="HG5" s="152"/>
      <c r="HH5" s="152"/>
      <c r="HI5" s="152"/>
      <c r="HJ5" s="160"/>
      <c r="HK5" s="228" t="s">
        <v>20</v>
      </c>
      <c r="HL5" s="229"/>
      <c r="HM5" s="229"/>
      <c r="HN5" s="229"/>
      <c r="HO5" s="229"/>
      <c r="HP5" s="230"/>
      <c r="HQ5" s="242" t="s">
        <v>30</v>
      </c>
      <c r="HR5" s="244" t="s">
        <v>31</v>
      </c>
      <c r="HS5" s="228" t="s">
        <v>21</v>
      </c>
      <c r="HT5" s="229"/>
      <c r="HU5" s="229"/>
      <c r="HV5" s="229"/>
      <c r="HW5" s="229"/>
      <c r="HX5" s="231"/>
      <c r="HY5" s="232" t="s">
        <v>22</v>
      </c>
      <c r="HZ5" s="233"/>
      <c r="IA5" s="233"/>
      <c r="IB5" s="234"/>
      <c r="IC5" s="228" t="s">
        <v>1</v>
      </c>
      <c r="ID5" s="229"/>
      <c r="IE5" s="229"/>
      <c r="IF5" s="229"/>
      <c r="IG5" s="229"/>
      <c r="IH5" s="231"/>
    </row>
    <row r="6" spans="1:261" s="4" customFormat="1" ht="7.5" customHeight="1" thickBot="1" x14ac:dyDescent="0.3">
      <c r="A6" s="248"/>
      <c r="B6" s="251"/>
      <c r="C6" s="151"/>
      <c r="D6" s="152"/>
      <c r="E6" s="152"/>
      <c r="F6" s="152"/>
      <c r="G6" s="152"/>
      <c r="H6" s="160"/>
      <c r="I6" s="155"/>
      <c r="J6" s="158"/>
      <c r="K6" s="151"/>
      <c r="L6" s="152"/>
      <c r="M6" s="152"/>
      <c r="N6" s="152"/>
      <c r="O6" s="152"/>
      <c r="P6" s="160"/>
      <c r="Q6" s="164"/>
      <c r="R6" s="165"/>
      <c r="S6" s="165"/>
      <c r="T6" s="166"/>
      <c r="U6" s="154"/>
      <c r="V6" s="167"/>
      <c r="W6" s="167"/>
      <c r="X6" s="167"/>
      <c r="Y6" s="167"/>
      <c r="Z6" s="157"/>
      <c r="AA6" s="176"/>
      <c r="AB6" s="177"/>
      <c r="AC6" s="177"/>
      <c r="AD6" s="177"/>
      <c r="AE6" s="177"/>
      <c r="AF6" s="177"/>
      <c r="AG6" s="179"/>
      <c r="AH6" s="182"/>
      <c r="AI6" s="176"/>
      <c r="AJ6" s="177"/>
      <c r="AK6" s="177"/>
      <c r="AL6" s="177"/>
      <c r="AM6" s="177"/>
      <c r="AN6" s="184"/>
      <c r="AO6" s="188"/>
      <c r="AP6" s="189"/>
      <c r="AQ6" s="189"/>
      <c r="AR6" s="190"/>
      <c r="AS6" s="178"/>
      <c r="AT6" s="191"/>
      <c r="AU6" s="191"/>
      <c r="AV6" s="191"/>
      <c r="AW6" s="191"/>
      <c r="AX6" s="181"/>
      <c r="AY6" s="151"/>
      <c r="AZ6" s="152"/>
      <c r="BA6" s="152"/>
      <c r="BB6" s="152"/>
      <c r="BC6" s="152"/>
      <c r="BD6" s="153"/>
      <c r="BE6" s="155"/>
      <c r="BF6" s="158"/>
      <c r="BG6" s="151"/>
      <c r="BH6" s="152"/>
      <c r="BI6" s="152"/>
      <c r="BJ6" s="152"/>
      <c r="BK6" s="152"/>
      <c r="BL6" s="160"/>
      <c r="BM6" s="164"/>
      <c r="BN6" s="165"/>
      <c r="BO6" s="165"/>
      <c r="BP6" s="166"/>
      <c r="BQ6" s="154"/>
      <c r="BR6" s="167"/>
      <c r="BS6" s="167"/>
      <c r="BT6" s="167"/>
      <c r="BU6" s="167"/>
      <c r="BV6" s="157"/>
      <c r="BW6" s="202"/>
      <c r="BX6" s="203"/>
      <c r="BY6" s="203"/>
      <c r="BZ6" s="203"/>
      <c r="CA6" s="203"/>
      <c r="CB6" s="203"/>
      <c r="CC6" s="205"/>
      <c r="CD6" s="208"/>
      <c r="CE6" s="202"/>
      <c r="CF6" s="203"/>
      <c r="CG6" s="203"/>
      <c r="CH6" s="203"/>
      <c r="CI6" s="203"/>
      <c r="CJ6" s="210"/>
      <c r="CK6" s="214"/>
      <c r="CL6" s="215"/>
      <c r="CM6" s="215"/>
      <c r="CN6" s="216"/>
      <c r="CO6" s="204"/>
      <c r="CP6" s="217"/>
      <c r="CQ6" s="217"/>
      <c r="CR6" s="217"/>
      <c r="CS6" s="217"/>
      <c r="CT6" s="207"/>
      <c r="CU6" s="151"/>
      <c r="CV6" s="152"/>
      <c r="CW6" s="152"/>
      <c r="CX6" s="152"/>
      <c r="CY6" s="152"/>
      <c r="CZ6" s="153"/>
      <c r="DA6" s="155"/>
      <c r="DB6" s="158"/>
      <c r="DC6" s="151"/>
      <c r="DD6" s="152"/>
      <c r="DE6" s="152"/>
      <c r="DF6" s="152"/>
      <c r="DG6" s="152"/>
      <c r="DH6" s="160"/>
      <c r="DI6" s="164"/>
      <c r="DJ6" s="165"/>
      <c r="DK6" s="165"/>
      <c r="DL6" s="166"/>
      <c r="DM6" s="154"/>
      <c r="DN6" s="167"/>
      <c r="DO6" s="167"/>
      <c r="DP6" s="167"/>
      <c r="DQ6" s="167"/>
      <c r="DR6" s="157"/>
      <c r="DS6" s="176"/>
      <c r="DT6" s="177"/>
      <c r="DU6" s="177"/>
      <c r="DV6" s="177"/>
      <c r="DW6" s="177"/>
      <c r="DX6" s="177"/>
      <c r="DY6" s="179"/>
      <c r="DZ6" s="182"/>
      <c r="EA6" s="176"/>
      <c r="EB6" s="177"/>
      <c r="EC6" s="177"/>
      <c r="ED6" s="177"/>
      <c r="EE6" s="177"/>
      <c r="EF6" s="184"/>
      <c r="EG6" s="188"/>
      <c r="EH6" s="189"/>
      <c r="EI6" s="189"/>
      <c r="EJ6" s="190"/>
      <c r="EK6" s="178"/>
      <c r="EL6" s="191"/>
      <c r="EM6" s="191"/>
      <c r="EN6" s="191"/>
      <c r="EO6" s="191"/>
      <c r="EP6" s="181"/>
      <c r="EQ6" s="151"/>
      <c r="ER6" s="152"/>
      <c r="ES6" s="152"/>
      <c r="ET6" s="152"/>
      <c r="EU6" s="152"/>
      <c r="EV6" s="153"/>
      <c r="EW6" s="155"/>
      <c r="EX6" s="158"/>
      <c r="EY6" s="151"/>
      <c r="EZ6" s="152"/>
      <c r="FA6" s="152"/>
      <c r="FB6" s="152"/>
      <c r="FC6" s="152"/>
      <c r="FD6" s="160"/>
      <c r="FE6" s="164"/>
      <c r="FF6" s="165"/>
      <c r="FG6" s="165"/>
      <c r="FH6" s="166"/>
      <c r="FI6" s="154"/>
      <c r="FJ6" s="167"/>
      <c r="FK6" s="167"/>
      <c r="FL6" s="167"/>
      <c r="FM6" s="167"/>
      <c r="FN6" s="157"/>
      <c r="FO6" s="176"/>
      <c r="FP6" s="177"/>
      <c r="FQ6" s="177"/>
      <c r="FR6" s="177"/>
      <c r="FS6" s="177"/>
      <c r="FT6" s="177"/>
      <c r="FU6" s="179"/>
      <c r="FV6" s="182"/>
      <c r="FW6" s="176"/>
      <c r="FX6" s="177"/>
      <c r="FY6" s="177"/>
      <c r="FZ6" s="177"/>
      <c r="GA6" s="177"/>
      <c r="GB6" s="184"/>
      <c r="GC6" s="188"/>
      <c r="GD6" s="189"/>
      <c r="GE6" s="189"/>
      <c r="GF6" s="190"/>
      <c r="GG6" s="178"/>
      <c r="GH6" s="191"/>
      <c r="GI6" s="191"/>
      <c r="GJ6" s="191"/>
      <c r="GK6" s="191"/>
      <c r="GL6" s="181"/>
      <c r="GM6" s="151"/>
      <c r="GN6" s="152"/>
      <c r="GO6" s="152"/>
      <c r="GP6" s="152"/>
      <c r="GQ6" s="152"/>
      <c r="GR6" s="153"/>
      <c r="GS6" s="155"/>
      <c r="GT6" s="158"/>
      <c r="GU6" s="151"/>
      <c r="GV6" s="152"/>
      <c r="GW6" s="152"/>
      <c r="GX6" s="152"/>
      <c r="GY6" s="152"/>
      <c r="GZ6" s="160"/>
      <c r="HA6" s="164"/>
      <c r="HB6" s="165"/>
      <c r="HC6" s="165"/>
      <c r="HD6" s="166"/>
      <c r="HE6" s="154"/>
      <c r="HF6" s="167"/>
      <c r="HG6" s="167"/>
      <c r="HH6" s="167"/>
      <c r="HI6" s="167"/>
      <c r="HJ6" s="157"/>
      <c r="HK6" s="228"/>
      <c r="HL6" s="229"/>
      <c r="HM6" s="229"/>
      <c r="HN6" s="229"/>
      <c r="HO6" s="229"/>
      <c r="HP6" s="230"/>
      <c r="HQ6" s="243"/>
      <c r="HR6" s="245"/>
      <c r="HS6" s="228"/>
      <c r="HT6" s="229"/>
      <c r="HU6" s="229"/>
      <c r="HV6" s="229"/>
      <c r="HW6" s="229"/>
      <c r="HX6" s="231"/>
      <c r="HY6" s="235"/>
      <c r="HZ6" s="236"/>
      <c r="IA6" s="236"/>
      <c r="IB6" s="237"/>
      <c r="IC6" s="232"/>
      <c r="ID6" s="233"/>
      <c r="IE6" s="233"/>
      <c r="IF6" s="233"/>
      <c r="IG6" s="233"/>
      <c r="IH6" s="234"/>
    </row>
    <row r="7" spans="1:261" s="4" customFormat="1" ht="25.5" customHeight="1" thickBot="1" x14ac:dyDescent="0.3">
      <c r="A7" s="248"/>
      <c r="B7" s="251"/>
      <c r="C7" s="168" t="s">
        <v>10</v>
      </c>
      <c r="D7" s="169"/>
      <c r="E7" s="169"/>
      <c r="F7" s="169"/>
      <c r="G7" s="153" t="s">
        <v>14</v>
      </c>
      <c r="H7" s="253"/>
      <c r="I7" s="155"/>
      <c r="J7" s="158"/>
      <c r="K7" s="151" t="s">
        <v>10</v>
      </c>
      <c r="L7" s="152"/>
      <c r="M7" s="152"/>
      <c r="N7" s="152"/>
      <c r="O7" s="152" t="s">
        <v>14</v>
      </c>
      <c r="P7" s="160"/>
      <c r="Q7" s="164"/>
      <c r="R7" s="165"/>
      <c r="S7" s="165"/>
      <c r="T7" s="166"/>
      <c r="U7" s="170" t="s">
        <v>10</v>
      </c>
      <c r="V7" s="171"/>
      <c r="W7" s="171"/>
      <c r="X7" s="171"/>
      <c r="Y7" s="171" t="s">
        <v>14</v>
      </c>
      <c r="Z7" s="172"/>
      <c r="AA7" s="192" t="s">
        <v>10</v>
      </c>
      <c r="AB7" s="193"/>
      <c r="AC7" s="193"/>
      <c r="AD7" s="193"/>
      <c r="AE7" s="195" t="s">
        <v>14</v>
      </c>
      <c r="AF7" s="194"/>
      <c r="AG7" s="179"/>
      <c r="AH7" s="182"/>
      <c r="AI7" s="176" t="s">
        <v>10</v>
      </c>
      <c r="AJ7" s="177"/>
      <c r="AK7" s="177"/>
      <c r="AL7" s="177"/>
      <c r="AM7" s="177" t="s">
        <v>14</v>
      </c>
      <c r="AN7" s="184"/>
      <c r="AO7" s="188"/>
      <c r="AP7" s="189"/>
      <c r="AQ7" s="189"/>
      <c r="AR7" s="190"/>
      <c r="AS7" s="196" t="s">
        <v>10</v>
      </c>
      <c r="AT7" s="197"/>
      <c r="AU7" s="197"/>
      <c r="AV7" s="197"/>
      <c r="AW7" s="197" t="s">
        <v>14</v>
      </c>
      <c r="AX7" s="198"/>
      <c r="AY7" s="168" t="s">
        <v>10</v>
      </c>
      <c r="AZ7" s="169"/>
      <c r="BA7" s="169"/>
      <c r="BB7" s="169"/>
      <c r="BC7" s="153" t="s">
        <v>14</v>
      </c>
      <c r="BD7" s="169"/>
      <c r="BE7" s="155"/>
      <c r="BF7" s="158"/>
      <c r="BG7" s="151" t="s">
        <v>10</v>
      </c>
      <c r="BH7" s="152"/>
      <c r="BI7" s="152"/>
      <c r="BJ7" s="152"/>
      <c r="BK7" s="152" t="s">
        <v>14</v>
      </c>
      <c r="BL7" s="160"/>
      <c r="BM7" s="164"/>
      <c r="BN7" s="165"/>
      <c r="BO7" s="165"/>
      <c r="BP7" s="166"/>
      <c r="BQ7" s="170" t="s">
        <v>10</v>
      </c>
      <c r="BR7" s="171"/>
      <c r="BS7" s="171"/>
      <c r="BT7" s="171"/>
      <c r="BU7" s="171" t="s">
        <v>14</v>
      </c>
      <c r="BV7" s="172"/>
      <c r="BW7" s="218" t="s">
        <v>10</v>
      </c>
      <c r="BX7" s="219"/>
      <c r="BY7" s="219"/>
      <c r="BZ7" s="219"/>
      <c r="CA7" s="221" t="s">
        <v>14</v>
      </c>
      <c r="CB7" s="220"/>
      <c r="CC7" s="205"/>
      <c r="CD7" s="208"/>
      <c r="CE7" s="202" t="s">
        <v>10</v>
      </c>
      <c r="CF7" s="203"/>
      <c r="CG7" s="203"/>
      <c r="CH7" s="203"/>
      <c r="CI7" s="203" t="s">
        <v>14</v>
      </c>
      <c r="CJ7" s="210"/>
      <c r="CK7" s="214"/>
      <c r="CL7" s="215"/>
      <c r="CM7" s="215"/>
      <c r="CN7" s="216"/>
      <c r="CO7" s="222" t="s">
        <v>10</v>
      </c>
      <c r="CP7" s="223"/>
      <c r="CQ7" s="223"/>
      <c r="CR7" s="223"/>
      <c r="CS7" s="223" t="s">
        <v>14</v>
      </c>
      <c r="CT7" s="224"/>
      <c r="CU7" s="168" t="s">
        <v>10</v>
      </c>
      <c r="CV7" s="169"/>
      <c r="CW7" s="169"/>
      <c r="CX7" s="169"/>
      <c r="CY7" s="153" t="s">
        <v>14</v>
      </c>
      <c r="CZ7" s="169"/>
      <c r="DA7" s="155"/>
      <c r="DB7" s="158"/>
      <c r="DC7" s="151" t="s">
        <v>10</v>
      </c>
      <c r="DD7" s="152"/>
      <c r="DE7" s="152"/>
      <c r="DF7" s="152"/>
      <c r="DG7" s="152" t="s">
        <v>14</v>
      </c>
      <c r="DH7" s="160"/>
      <c r="DI7" s="164"/>
      <c r="DJ7" s="165"/>
      <c r="DK7" s="165"/>
      <c r="DL7" s="166"/>
      <c r="DM7" s="170" t="s">
        <v>10</v>
      </c>
      <c r="DN7" s="171"/>
      <c r="DO7" s="171"/>
      <c r="DP7" s="171"/>
      <c r="DQ7" s="171" t="s">
        <v>14</v>
      </c>
      <c r="DR7" s="172"/>
      <c r="DS7" s="192" t="s">
        <v>10</v>
      </c>
      <c r="DT7" s="193"/>
      <c r="DU7" s="193"/>
      <c r="DV7" s="193"/>
      <c r="DW7" s="195" t="s">
        <v>14</v>
      </c>
      <c r="DX7" s="194"/>
      <c r="DY7" s="179"/>
      <c r="DZ7" s="182"/>
      <c r="EA7" s="176" t="s">
        <v>10</v>
      </c>
      <c r="EB7" s="177"/>
      <c r="EC7" s="177"/>
      <c r="ED7" s="177"/>
      <c r="EE7" s="177" t="s">
        <v>14</v>
      </c>
      <c r="EF7" s="184"/>
      <c r="EG7" s="188"/>
      <c r="EH7" s="189"/>
      <c r="EI7" s="189"/>
      <c r="EJ7" s="190"/>
      <c r="EK7" s="196" t="s">
        <v>10</v>
      </c>
      <c r="EL7" s="197"/>
      <c r="EM7" s="197"/>
      <c r="EN7" s="197"/>
      <c r="EO7" s="197" t="s">
        <v>14</v>
      </c>
      <c r="EP7" s="198"/>
      <c r="EQ7" s="168" t="s">
        <v>10</v>
      </c>
      <c r="ER7" s="169"/>
      <c r="ES7" s="169"/>
      <c r="ET7" s="169"/>
      <c r="EU7" s="153" t="s">
        <v>14</v>
      </c>
      <c r="EV7" s="169"/>
      <c r="EW7" s="155"/>
      <c r="EX7" s="158"/>
      <c r="EY7" s="151" t="s">
        <v>10</v>
      </c>
      <c r="EZ7" s="152"/>
      <c r="FA7" s="152"/>
      <c r="FB7" s="152"/>
      <c r="FC7" s="152" t="s">
        <v>14</v>
      </c>
      <c r="FD7" s="160"/>
      <c r="FE7" s="164"/>
      <c r="FF7" s="165"/>
      <c r="FG7" s="165"/>
      <c r="FH7" s="166"/>
      <c r="FI7" s="170" t="s">
        <v>10</v>
      </c>
      <c r="FJ7" s="171"/>
      <c r="FK7" s="171"/>
      <c r="FL7" s="171"/>
      <c r="FM7" s="171" t="s">
        <v>14</v>
      </c>
      <c r="FN7" s="172"/>
      <c r="FO7" s="192" t="s">
        <v>10</v>
      </c>
      <c r="FP7" s="193"/>
      <c r="FQ7" s="193"/>
      <c r="FR7" s="193"/>
      <c r="FS7" s="195" t="s">
        <v>14</v>
      </c>
      <c r="FT7" s="194"/>
      <c r="FU7" s="179"/>
      <c r="FV7" s="182"/>
      <c r="FW7" s="176" t="s">
        <v>10</v>
      </c>
      <c r="FX7" s="177"/>
      <c r="FY7" s="177"/>
      <c r="FZ7" s="177"/>
      <c r="GA7" s="177" t="s">
        <v>14</v>
      </c>
      <c r="GB7" s="184"/>
      <c r="GC7" s="188"/>
      <c r="GD7" s="189"/>
      <c r="GE7" s="189"/>
      <c r="GF7" s="190"/>
      <c r="GG7" s="196" t="s">
        <v>10</v>
      </c>
      <c r="GH7" s="197"/>
      <c r="GI7" s="197"/>
      <c r="GJ7" s="197"/>
      <c r="GK7" s="197" t="s">
        <v>14</v>
      </c>
      <c r="GL7" s="198"/>
      <c r="GM7" s="168" t="s">
        <v>10</v>
      </c>
      <c r="GN7" s="169"/>
      <c r="GO7" s="169"/>
      <c r="GP7" s="169"/>
      <c r="GQ7" s="153" t="s">
        <v>14</v>
      </c>
      <c r="GR7" s="169"/>
      <c r="GS7" s="155"/>
      <c r="GT7" s="158"/>
      <c r="GU7" s="151" t="s">
        <v>10</v>
      </c>
      <c r="GV7" s="152"/>
      <c r="GW7" s="152"/>
      <c r="GX7" s="152"/>
      <c r="GY7" s="152" t="s">
        <v>14</v>
      </c>
      <c r="GZ7" s="160"/>
      <c r="HA7" s="164"/>
      <c r="HB7" s="165"/>
      <c r="HC7" s="165"/>
      <c r="HD7" s="166"/>
      <c r="HE7" s="170" t="s">
        <v>10</v>
      </c>
      <c r="HF7" s="171"/>
      <c r="HG7" s="171"/>
      <c r="HH7" s="171"/>
      <c r="HI7" s="171" t="s">
        <v>14</v>
      </c>
      <c r="HJ7" s="172"/>
      <c r="HK7" s="228" t="s">
        <v>10</v>
      </c>
      <c r="HL7" s="229"/>
      <c r="HM7" s="229"/>
      <c r="HN7" s="229"/>
      <c r="HO7" s="238" t="s">
        <v>14</v>
      </c>
      <c r="HP7" s="238"/>
      <c r="HQ7" s="243"/>
      <c r="HR7" s="245"/>
      <c r="HS7" s="228" t="s">
        <v>10</v>
      </c>
      <c r="HT7" s="229"/>
      <c r="HU7" s="229"/>
      <c r="HV7" s="229"/>
      <c r="HW7" s="228" t="s">
        <v>14</v>
      </c>
      <c r="HX7" s="231"/>
      <c r="HY7" s="235"/>
      <c r="HZ7" s="236"/>
      <c r="IA7" s="236"/>
      <c r="IB7" s="237"/>
      <c r="IC7" s="239" t="s">
        <v>10</v>
      </c>
      <c r="ID7" s="240"/>
      <c r="IE7" s="240"/>
      <c r="IF7" s="240"/>
      <c r="IG7" s="240" t="s">
        <v>14</v>
      </c>
      <c r="IH7" s="241"/>
    </row>
    <row r="8" spans="1:261" s="4" customFormat="1" ht="51" customHeight="1" thickBot="1" x14ac:dyDescent="0.3">
      <c r="A8" s="249"/>
      <c r="B8" s="252"/>
      <c r="C8" s="43" t="s">
        <v>11</v>
      </c>
      <c r="D8" s="44" t="s">
        <v>12</v>
      </c>
      <c r="E8" s="44" t="s">
        <v>13</v>
      </c>
      <c r="F8" s="44" t="s">
        <v>33</v>
      </c>
      <c r="G8" s="44" t="s">
        <v>15</v>
      </c>
      <c r="H8" s="45" t="s">
        <v>16</v>
      </c>
      <c r="I8" s="156"/>
      <c r="J8" s="159"/>
      <c r="K8" s="43" t="s">
        <v>11</v>
      </c>
      <c r="L8" s="44" t="s">
        <v>12</v>
      </c>
      <c r="M8" s="44" t="s">
        <v>13</v>
      </c>
      <c r="N8" s="44" t="s">
        <v>33</v>
      </c>
      <c r="O8" s="44" t="s">
        <v>15</v>
      </c>
      <c r="P8" s="45" t="s">
        <v>16</v>
      </c>
      <c r="Q8" s="43" t="s">
        <v>17</v>
      </c>
      <c r="R8" s="44" t="s">
        <v>18</v>
      </c>
      <c r="S8" s="46" t="s">
        <v>19</v>
      </c>
      <c r="T8" s="45" t="s">
        <v>23</v>
      </c>
      <c r="U8" s="43" t="s">
        <v>11</v>
      </c>
      <c r="V8" s="44" t="s">
        <v>12</v>
      </c>
      <c r="W8" s="44" t="s">
        <v>13</v>
      </c>
      <c r="X8" s="44" t="s">
        <v>33</v>
      </c>
      <c r="Y8" s="44" t="s">
        <v>15</v>
      </c>
      <c r="Z8" s="45" t="s">
        <v>16</v>
      </c>
      <c r="AA8" s="17" t="s">
        <v>11</v>
      </c>
      <c r="AB8" s="18" t="s">
        <v>12</v>
      </c>
      <c r="AC8" s="18" t="s">
        <v>13</v>
      </c>
      <c r="AD8" s="18" t="s">
        <v>33</v>
      </c>
      <c r="AE8" s="18" t="s">
        <v>15</v>
      </c>
      <c r="AF8" s="18" t="s">
        <v>16</v>
      </c>
      <c r="AG8" s="180"/>
      <c r="AH8" s="183"/>
      <c r="AI8" s="17" t="s">
        <v>11</v>
      </c>
      <c r="AJ8" s="18" t="s">
        <v>12</v>
      </c>
      <c r="AK8" s="18" t="s">
        <v>13</v>
      </c>
      <c r="AL8" s="18" t="s">
        <v>33</v>
      </c>
      <c r="AM8" s="18" t="s">
        <v>15</v>
      </c>
      <c r="AN8" s="19" t="s">
        <v>16</v>
      </c>
      <c r="AO8" s="17" t="s">
        <v>17</v>
      </c>
      <c r="AP8" s="18" t="s">
        <v>18</v>
      </c>
      <c r="AQ8" s="20" t="s">
        <v>19</v>
      </c>
      <c r="AR8" s="19" t="s">
        <v>23</v>
      </c>
      <c r="AS8" s="17" t="s">
        <v>11</v>
      </c>
      <c r="AT8" s="18" t="s">
        <v>12</v>
      </c>
      <c r="AU8" s="18" t="s">
        <v>13</v>
      </c>
      <c r="AV8" s="18" t="s">
        <v>33</v>
      </c>
      <c r="AW8" s="18" t="s">
        <v>15</v>
      </c>
      <c r="AX8" s="19" t="s">
        <v>16</v>
      </c>
      <c r="AY8" s="43" t="s">
        <v>11</v>
      </c>
      <c r="AZ8" s="44" t="s">
        <v>12</v>
      </c>
      <c r="BA8" s="44" t="s">
        <v>13</v>
      </c>
      <c r="BB8" s="44" t="s">
        <v>33</v>
      </c>
      <c r="BC8" s="44" t="s">
        <v>15</v>
      </c>
      <c r="BD8" s="46" t="s">
        <v>16</v>
      </c>
      <c r="BE8" s="156"/>
      <c r="BF8" s="159"/>
      <c r="BG8" s="43" t="s">
        <v>11</v>
      </c>
      <c r="BH8" s="44" t="s">
        <v>12</v>
      </c>
      <c r="BI8" s="44" t="s">
        <v>13</v>
      </c>
      <c r="BJ8" s="44" t="s">
        <v>33</v>
      </c>
      <c r="BK8" s="44" t="s">
        <v>15</v>
      </c>
      <c r="BL8" s="45" t="s">
        <v>16</v>
      </c>
      <c r="BM8" s="43" t="s">
        <v>17</v>
      </c>
      <c r="BN8" s="44" t="s">
        <v>18</v>
      </c>
      <c r="BO8" s="46" t="s">
        <v>19</v>
      </c>
      <c r="BP8" s="45" t="s">
        <v>23</v>
      </c>
      <c r="BQ8" s="43" t="s">
        <v>11</v>
      </c>
      <c r="BR8" s="44" t="s">
        <v>12</v>
      </c>
      <c r="BS8" s="44" t="s">
        <v>13</v>
      </c>
      <c r="BT8" s="44" t="s">
        <v>33</v>
      </c>
      <c r="BU8" s="44" t="s">
        <v>15</v>
      </c>
      <c r="BV8" s="45" t="s">
        <v>16</v>
      </c>
      <c r="BW8" s="110" t="s">
        <v>11</v>
      </c>
      <c r="BX8" s="111" t="s">
        <v>12</v>
      </c>
      <c r="BY8" s="111" t="s">
        <v>13</v>
      </c>
      <c r="BZ8" s="111" t="s">
        <v>33</v>
      </c>
      <c r="CA8" s="111" t="s">
        <v>15</v>
      </c>
      <c r="CB8" s="111" t="s">
        <v>16</v>
      </c>
      <c r="CC8" s="206"/>
      <c r="CD8" s="209"/>
      <c r="CE8" s="110" t="s">
        <v>11</v>
      </c>
      <c r="CF8" s="111" t="s">
        <v>12</v>
      </c>
      <c r="CG8" s="111" t="s">
        <v>13</v>
      </c>
      <c r="CH8" s="111" t="s">
        <v>33</v>
      </c>
      <c r="CI8" s="111" t="s">
        <v>15</v>
      </c>
      <c r="CJ8" s="112" t="s">
        <v>16</v>
      </c>
      <c r="CK8" s="110" t="s">
        <v>17</v>
      </c>
      <c r="CL8" s="111" t="s">
        <v>18</v>
      </c>
      <c r="CM8" s="113" t="s">
        <v>19</v>
      </c>
      <c r="CN8" s="112" t="s">
        <v>23</v>
      </c>
      <c r="CO8" s="110" t="s">
        <v>11</v>
      </c>
      <c r="CP8" s="111" t="s">
        <v>12</v>
      </c>
      <c r="CQ8" s="111" t="s">
        <v>13</v>
      </c>
      <c r="CR8" s="111" t="s">
        <v>33</v>
      </c>
      <c r="CS8" s="111" t="s">
        <v>15</v>
      </c>
      <c r="CT8" s="112" t="s">
        <v>16</v>
      </c>
      <c r="CU8" s="43" t="s">
        <v>11</v>
      </c>
      <c r="CV8" s="44" t="s">
        <v>12</v>
      </c>
      <c r="CW8" s="44" t="s">
        <v>13</v>
      </c>
      <c r="CX8" s="44" t="s">
        <v>33</v>
      </c>
      <c r="CY8" s="44" t="s">
        <v>15</v>
      </c>
      <c r="CZ8" s="46" t="s">
        <v>16</v>
      </c>
      <c r="DA8" s="156"/>
      <c r="DB8" s="159"/>
      <c r="DC8" s="43" t="s">
        <v>11</v>
      </c>
      <c r="DD8" s="44" t="s">
        <v>12</v>
      </c>
      <c r="DE8" s="44" t="s">
        <v>13</v>
      </c>
      <c r="DF8" s="44" t="s">
        <v>33</v>
      </c>
      <c r="DG8" s="44" t="s">
        <v>15</v>
      </c>
      <c r="DH8" s="45" t="s">
        <v>16</v>
      </c>
      <c r="DI8" s="43" t="s">
        <v>17</v>
      </c>
      <c r="DJ8" s="44" t="s">
        <v>18</v>
      </c>
      <c r="DK8" s="46" t="s">
        <v>19</v>
      </c>
      <c r="DL8" s="45" t="s">
        <v>23</v>
      </c>
      <c r="DM8" s="43" t="s">
        <v>11</v>
      </c>
      <c r="DN8" s="44" t="s">
        <v>12</v>
      </c>
      <c r="DO8" s="44" t="s">
        <v>13</v>
      </c>
      <c r="DP8" s="44" t="s">
        <v>33</v>
      </c>
      <c r="DQ8" s="44" t="s">
        <v>15</v>
      </c>
      <c r="DR8" s="45" t="s">
        <v>16</v>
      </c>
      <c r="DS8" s="17" t="s">
        <v>11</v>
      </c>
      <c r="DT8" s="18" t="s">
        <v>12</v>
      </c>
      <c r="DU8" s="18" t="s">
        <v>13</v>
      </c>
      <c r="DV8" s="18" t="s">
        <v>33</v>
      </c>
      <c r="DW8" s="18" t="s">
        <v>15</v>
      </c>
      <c r="DX8" s="18" t="s">
        <v>16</v>
      </c>
      <c r="DY8" s="180"/>
      <c r="DZ8" s="183"/>
      <c r="EA8" s="17" t="s">
        <v>11</v>
      </c>
      <c r="EB8" s="18" t="s">
        <v>12</v>
      </c>
      <c r="EC8" s="18" t="s">
        <v>13</v>
      </c>
      <c r="ED8" s="18" t="s">
        <v>33</v>
      </c>
      <c r="EE8" s="18" t="s">
        <v>15</v>
      </c>
      <c r="EF8" s="19" t="s">
        <v>16</v>
      </c>
      <c r="EG8" s="17" t="s">
        <v>17</v>
      </c>
      <c r="EH8" s="18" t="s">
        <v>18</v>
      </c>
      <c r="EI8" s="20" t="s">
        <v>19</v>
      </c>
      <c r="EJ8" s="19" t="s">
        <v>23</v>
      </c>
      <c r="EK8" s="17" t="s">
        <v>11</v>
      </c>
      <c r="EL8" s="18" t="s">
        <v>12</v>
      </c>
      <c r="EM8" s="18" t="s">
        <v>13</v>
      </c>
      <c r="EN8" s="18" t="s">
        <v>33</v>
      </c>
      <c r="EO8" s="18" t="s">
        <v>15</v>
      </c>
      <c r="EP8" s="19" t="s">
        <v>16</v>
      </c>
      <c r="EQ8" s="43" t="s">
        <v>11</v>
      </c>
      <c r="ER8" s="44" t="s">
        <v>12</v>
      </c>
      <c r="ES8" s="44" t="s">
        <v>13</v>
      </c>
      <c r="ET8" s="44" t="s">
        <v>33</v>
      </c>
      <c r="EU8" s="44" t="s">
        <v>15</v>
      </c>
      <c r="EV8" s="46" t="s">
        <v>16</v>
      </c>
      <c r="EW8" s="156"/>
      <c r="EX8" s="159"/>
      <c r="EY8" s="43" t="s">
        <v>11</v>
      </c>
      <c r="EZ8" s="44" t="s">
        <v>12</v>
      </c>
      <c r="FA8" s="44" t="s">
        <v>13</v>
      </c>
      <c r="FB8" s="44" t="s">
        <v>33</v>
      </c>
      <c r="FC8" s="44" t="s">
        <v>15</v>
      </c>
      <c r="FD8" s="45" t="s">
        <v>16</v>
      </c>
      <c r="FE8" s="43" t="s">
        <v>17</v>
      </c>
      <c r="FF8" s="44" t="s">
        <v>18</v>
      </c>
      <c r="FG8" s="46" t="s">
        <v>19</v>
      </c>
      <c r="FH8" s="45" t="s">
        <v>23</v>
      </c>
      <c r="FI8" s="43" t="s">
        <v>11</v>
      </c>
      <c r="FJ8" s="44" t="s">
        <v>12</v>
      </c>
      <c r="FK8" s="44" t="s">
        <v>13</v>
      </c>
      <c r="FL8" s="44" t="s">
        <v>33</v>
      </c>
      <c r="FM8" s="44" t="s">
        <v>15</v>
      </c>
      <c r="FN8" s="45" t="s">
        <v>16</v>
      </c>
      <c r="FO8" s="17" t="s">
        <v>11</v>
      </c>
      <c r="FP8" s="18" t="s">
        <v>12</v>
      </c>
      <c r="FQ8" s="18" t="s">
        <v>13</v>
      </c>
      <c r="FR8" s="18" t="s">
        <v>33</v>
      </c>
      <c r="FS8" s="18" t="s">
        <v>15</v>
      </c>
      <c r="FT8" s="18" t="s">
        <v>16</v>
      </c>
      <c r="FU8" s="180"/>
      <c r="FV8" s="183"/>
      <c r="FW8" s="17" t="s">
        <v>11</v>
      </c>
      <c r="FX8" s="18" t="s">
        <v>12</v>
      </c>
      <c r="FY8" s="18" t="s">
        <v>13</v>
      </c>
      <c r="FZ8" s="18" t="s">
        <v>33</v>
      </c>
      <c r="GA8" s="18" t="s">
        <v>15</v>
      </c>
      <c r="GB8" s="19" t="s">
        <v>16</v>
      </c>
      <c r="GC8" s="17" t="s">
        <v>17</v>
      </c>
      <c r="GD8" s="18" t="s">
        <v>18</v>
      </c>
      <c r="GE8" s="20" t="s">
        <v>19</v>
      </c>
      <c r="GF8" s="19" t="s">
        <v>23</v>
      </c>
      <c r="GG8" s="17" t="s">
        <v>11</v>
      </c>
      <c r="GH8" s="18" t="s">
        <v>12</v>
      </c>
      <c r="GI8" s="18" t="s">
        <v>13</v>
      </c>
      <c r="GJ8" s="18" t="s">
        <v>33</v>
      </c>
      <c r="GK8" s="18" t="s">
        <v>15</v>
      </c>
      <c r="GL8" s="19" t="s">
        <v>16</v>
      </c>
      <c r="GM8" s="43" t="s">
        <v>11</v>
      </c>
      <c r="GN8" s="44" t="s">
        <v>12</v>
      </c>
      <c r="GO8" s="44" t="s">
        <v>13</v>
      </c>
      <c r="GP8" s="44" t="s">
        <v>33</v>
      </c>
      <c r="GQ8" s="44" t="s">
        <v>15</v>
      </c>
      <c r="GR8" s="46" t="s">
        <v>16</v>
      </c>
      <c r="GS8" s="156"/>
      <c r="GT8" s="159"/>
      <c r="GU8" s="43" t="s">
        <v>11</v>
      </c>
      <c r="GV8" s="44" t="s">
        <v>12</v>
      </c>
      <c r="GW8" s="44" t="s">
        <v>13</v>
      </c>
      <c r="GX8" s="44" t="s">
        <v>32</v>
      </c>
      <c r="GY8" s="44" t="s">
        <v>15</v>
      </c>
      <c r="GZ8" s="45" t="s">
        <v>16</v>
      </c>
      <c r="HA8" s="43" t="s">
        <v>17</v>
      </c>
      <c r="HB8" s="44" t="s">
        <v>18</v>
      </c>
      <c r="HC8" s="46" t="s">
        <v>19</v>
      </c>
      <c r="HD8" s="45" t="s">
        <v>23</v>
      </c>
      <c r="HE8" s="43" t="s">
        <v>11</v>
      </c>
      <c r="HF8" s="44" t="s">
        <v>12</v>
      </c>
      <c r="HG8" s="44" t="s">
        <v>13</v>
      </c>
      <c r="HH8" s="44" t="s">
        <v>32</v>
      </c>
      <c r="HI8" s="44" t="s">
        <v>15</v>
      </c>
      <c r="HJ8" s="45" t="s">
        <v>16</v>
      </c>
      <c r="HK8" s="143" t="s">
        <v>11</v>
      </c>
      <c r="HL8" s="144" t="s">
        <v>12</v>
      </c>
      <c r="HM8" s="144" t="s">
        <v>13</v>
      </c>
      <c r="HN8" s="144" t="s">
        <v>32</v>
      </c>
      <c r="HO8" s="143" t="s">
        <v>15</v>
      </c>
      <c r="HP8" s="145" t="s">
        <v>16</v>
      </c>
      <c r="HQ8" s="243"/>
      <c r="HR8" s="245"/>
      <c r="HS8" s="146" t="s">
        <v>11</v>
      </c>
      <c r="HT8" s="71" t="s">
        <v>12</v>
      </c>
      <c r="HU8" s="71" t="s">
        <v>13</v>
      </c>
      <c r="HV8" s="71" t="s">
        <v>32</v>
      </c>
      <c r="HW8" s="146" t="s">
        <v>15</v>
      </c>
      <c r="HX8" s="147" t="s">
        <v>16</v>
      </c>
      <c r="HY8" s="146" t="s">
        <v>17</v>
      </c>
      <c r="HZ8" s="71" t="s">
        <v>18</v>
      </c>
      <c r="IA8" s="71" t="s">
        <v>19</v>
      </c>
      <c r="IB8" s="147" t="s">
        <v>23</v>
      </c>
      <c r="IC8" s="70" t="s">
        <v>11</v>
      </c>
      <c r="ID8" s="71" t="s">
        <v>12</v>
      </c>
      <c r="IE8" s="71" t="s">
        <v>13</v>
      </c>
      <c r="IF8" s="71" t="s">
        <v>32</v>
      </c>
      <c r="IG8" s="71" t="s">
        <v>15</v>
      </c>
      <c r="IH8" s="72" t="s">
        <v>16</v>
      </c>
    </row>
    <row r="9" spans="1:261" s="6" customFormat="1" ht="39.950000000000003" customHeight="1" x14ac:dyDescent="0.25">
      <c r="A9" s="87" t="s">
        <v>5</v>
      </c>
      <c r="B9" s="7" t="s">
        <v>24</v>
      </c>
      <c r="C9" s="47">
        <v>5</v>
      </c>
      <c r="D9" s="48">
        <v>5</v>
      </c>
      <c r="E9" s="48">
        <v>1</v>
      </c>
      <c r="F9" s="48">
        <v>1</v>
      </c>
      <c r="G9" s="48">
        <v>5</v>
      </c>
      <c r="H9" s="98">
        <v>5</v>
      </c>
      <c r="I9" s="47">
        <v>28</v>
      </c>
      <c r="J9" s="98">
        <v>0</v>
      </c>
      <c r="K9" s="47"/>
      <c r="L9" s="48"/>
      <c r="M9" s="48"/>
      <c r="N9" s="48"/>
      <c r="O9" s="48"/>
      <c r="P9" s="49"/>
      <c r="Q9" s="50"/>
      <c r="R9" s="51"/>
      <c r="S9" s="52"/>
      <c r="T9" s="49">
        <v>0</v>
      </c>
      <c r="U9" s="53">
        <f>K9/C9</f>
        <v>0</v>
      </c>
      <c r="V9" s="54">
        <f>L9/D9</f>
        <v>0</v>
      </c>
      <c r="W9" s="54">
        <f>M9/E9</f>
        <v>0</v>
      </c>
      <c r="X9" s="54">
        <f>N9/F9</f>
        <v>0</v>
      </c>
      <c r="Y9" s="54">
        <f>O9/G9</f>
        <v>0</v>
      </c>
      <c r="Z9" s="55">
        <f>P9/H9</f>
        <v>0</v>
      </c>
      <c r="AA9" s="21">
        <v>5</v>
      </c>
      <c r="AB9" s="22">
        <v>5</v>
      </c>
      <c r="AC9" s="22">
        <v>1</v>
      </c>
      <c r="AD9" s="22">
        <v>1</v>
      </c>
      <c r="AE9" s="22">
        <v>5</v>
      </c>
      <c r="AF9" s="22">
        <v>5</v>
      </c>
      <c r="AG9" s="90">
        <v>55</v>
      </c>
      <c r="AH9" s="91">
        <v>3</v>
      </c>
      <c r="AI9" s="21">
        <v>1</v>
      </c>
      <c r="AJ9" s="22"/>
      <c r="AK9" s="22"/>
      <c r="AL9" s="22"/>
      <c r="AM9" s="22">
        <v>1</v>
      </c>
      <c r="AN9" s="23">
        <v>1</v>
      </c>
      <c r="AO9" s="24">
        <v>2</v>
      </c>
      <c r="AP9" s="25"/>
      <c r="AQ9" s="26">
        <v>1</v>
      </c>
      <c r="AR9" s="23">
        <v>0</v>
      </c>
      <c r="AS9" s="27">
        <f>AI9/AA9</f>
        <v>0.2</v>
      </c>
      <c r="AT9" s="28">
        <f>AJ9/AB9</f>
        <v>0</v>
      </c>
      <c r="AU9" s="28">
        <f>AK9/AC9</f>
        <v>0</v>
      </c>
      <c r="AV9" s="28">
        <f>AL9/AD9</f>
        <v>0</v>
      </c>
      <c r="AW9" s="28">
        <f>AM9/AE9</f>
        <v>0.2</v>
      </c>
      <c r="AX9" s="85">
        <f>AN9/AF9</f>
        <v>0.2</v>
      </c>
      <c r="AY9" s="47">
        <v>5</v>
      </c>
      <c r="AZ9" s="48">
        <v>5</v>
      </c>
      <c r="BA9" s="48">
        <v>1</v>
      </c>
      <c r="BB9" s="48">
        <v>1</v>
      </c>
      <c r="BC9" s="48">
        <v>5</v>
      </c>
      <c r="BD9" s="99">
        <v>5</v>
      </c>
      <c r="BE9" s="47">
        <v>35</v>
      </c>
      <c r="BF9" s="98">
        <v>2</v>
      </c>
      <c r="BG9" s="47">
        <v>2</v>
      </c>
      <c r="BH9" s="48"/>
      <c r="BI9" s="48"/>
      <c r="BJ9" s="48"/>
      <c r="BK9" s="48"/>
      <c r="BL9" s="49"/>
      <c r="BM9" s="50">
        <v>2</v>
      </c>
      <c r="BN9" s="51"/>
      <c r="BO9" s="52"/>
      <c r="BP9" s="49"/>
      <c r="BQ9" s="53">
        <f>BG9/AY9</f>
        <v>0.4</v>
      </c>
      <c r="BR9" s="54">
        <f>BH9/AZ9</f>
        <v>0</v>
      </c>
      <c r="BS9" s="54">
        <f>BI9/BA9</f>
        <v>0</v>
      </c>
      <c r="BT9" s="54">
        <f>BJ9/BB9</f>
        <v>0</v>
      </c>
      <c r="BU9" s="54">
        <f>BK9/BC9</f>
        <v>0</v>
      </c>
      <c r="BV9" s="55">
        <f>BL9/BD9</f>
        <v>0</v>
      </c>
      <c r="BW9" s="114">
        <v>5</v>
      </c>
      <c r="BX9" s="115">
        <v>5</v>
      </c>
      <c r="BY9" s="115">
        <v>1</v>
      </c>
      <c r="BZ9" s="115">
        <v>1</v>
      </c>
      <c r="CA9" s="115">
        <v>5</v>
      </c>
      <c r="CB9" s="115">
        <v>5</v>
      </c>
      <c r="CC9" s="116">
        <v>30</v>
      </c>
      <c r="CD9" s="117">
        <v>2</v>
      </c>
      <c r="CE9" s="114">
        <v>1</v>
      </c>
      <c r="CF9" s="115"/>
      <c r="CG9" s="115"/>
      <c r="CH9" s="115"/>
      <c r="CI9" s="115"/>
      <c r="CJ9" s="118">
        <v>1</v>
      </c>
      <c r="CK9" s="119">
        <v>1</v>
      </c>
      <c r="CL9" s="120"/>
      <c r="CM9" s="121">
        <v>1</v>
      </c>
      <c r="CN9" s="118"/>
      <c r="CO9" s="122">
        <f>CE9/BW9</f>
        <v>0.2</v>
      </c>
      <c r="CP9" s="123">
        <f>CF9/BX9</f>
        <v>0</v>
      </c>
      <c r="CQ9" s="123">
        <f>CG9/BY9</f>
        <v>0</v>
      </c>
      <c r="CR9" s="123">
        <f>CH9/BZ9</f>
        <v>0</v>
      </c>
      <c r="CS9" s="123">
        <f>CI9/CA9</f>
        <v>0</v>
      </c>
      <c r="CT9" s="124">
        <f>CJ9/CB9</f>
        <v>0.2</v>
      </c>
      <c r="CU9" s="47">
        <v>5</v>
      </c>
      <c r="CV9" s="48">
        <v>5</v>
      </c>
      <c r="CW9" s="48">
        <v>1</v>
      </c>
      <c r="CX9" s="48">
        <v>1</v>
      </c>
      <c r="CY9" s="48">
        <v>5</v>
      </c>
      <c r="CZ9" s="99">
        <v>5</v>
      </c>
      <c r="DA9" s="47">
        <v>27</v>
      </c>
      <c r="DB9" s="98">
        <v>0</v>
      </c>
      <c r="DC9" s="47"/>
      <c r="DD9" s="48"/>
      <c r="DE9" s="48"/>
      <c r="DF9" s="48"/>
      <c r="DG9" s="48"/>
      <c r="DH9" s="49"/>
      <c r="DI9" s="50"/>
      <c r="DJ9" s="51"/>
      <c r="DK9" s="52"/>
      <c r="DL9" s="49"/>
      <c r="DM9" s="53">
        <f>DC9/CU9</f>
        <v>0</v>
      </c>
      <c r="DN9" s="54">
        <f>DD9/CV9</f>
        <v>0</v>
      </c>
      <c r="DO9" s="54">
        <f>DE9/CW9</f>
        <v>0</v>
      </c>
      <c r="DP9" s="54">
        <f>DF9/CX9</f>
        <v>0</v>
      </c>
      <c r="DQ9" s="54">
        <f>DG9/CY9</f>
        <v>0</v>
      </c>
      <c r="DR9" s="55">
        <f>DH9/CZ9</f>
        <v>0</v>
      </c>
      <c r="DS9" s="21">
        <v>5</v>
      </c>
      <c r="DT9" s="22">
        <v>5</v>
      </c>
      <c r="DU9" s="22">
        <v>1</v>
      </c>
      <c r="DV9" s="22">
        <v>1</v>
      </c>
      <c r="DW9" s="22">
        <v>5</v>
      </c>
      <c r="DX9" s="22">
        <v>5</v>
      </c>
      <c r="DY9" s="90">
        <v>35</v>
      </c>
      <c r="DZ9" s="91">
        <v>2</v>
      </c>
      <c r="EA9" s="21">
        <v>1</v>
      </c>
      <c r="EB9" s="22"/>
      <c r="EC9" s="22"/>
      <c r="ED9" s="22"/>
      <c r="EE9" s="22"/>
      <c r="EF9" s="23">
        <v>1</v>
      </c>
      <c r="EG9" s="24">
        <v>1</v>
      </c>
      <c r="EH9" s="25"/>
      <c r="EI9" s="26">
        <v>1</v>
      </c>
      <c r="EJ9" s="23"/>
      <c r="EK9" s="27">
        <f>EA9/DS9</f>
        <v>0.2</v>
      </c>
      <c r="EL9" s="28">
        <f>EB9/DT9</f>
        <v>0</v>
      </c>
      <c r="EM9" s="28">
        <f>EC9/DU9</f>
        <v>0</v>
      </c>
      <c r="EN9" s="28">
        <f>ED9/DV9</f>
        <v>0</v>
      </c>
      <c r="EO9" s="28">
        <f>EE9/DW9</f>
        <v>0</v>
      </c>
      <c r="EP9" s="85">
        <f>EF9/DX9</f>
        <v>0.2</v>
      </c>
      <c r="EQ9" s="47">
        <v>5</v>
      </c>
      <c r="ER9" s="48">
        <v>5</v>
      </c>
      <c r="ES9" s="48">
        <v>1</v>
      </c>
      <c r="ET9" s="48">
        <v>1</v>
      </c>
      <c r="EU9" s="48">
        <v>5</v>
      </c>
      <c r="EV9" s="99">
        <v>5</v>
      </c>
      <c r="EW9" s="47">
        <v>27</v>
      </c>
      <c r="EX9" s="98">
        <v>0</v>
      </c>
      <c r="EY9" s="47"/>
      <c r="EZ9" s="48"/>
      <c r="FA9" s="48"/>
      <c r="FB9" s="48"/>
      <c r="FC9" s="48"/>
      <c r="FD9" s="49"/>
      <c r="FE9" s="50"/>
      <c r="FF9" s="51"/>
      <c r="FG9" s="52"/>
      <c r="FH9" s="49"/>
      <c r="FI9" s="53">
        <f>EY9/EQ9</f>
        <v>0</v>
      </c>
      <c r="FJ9" s="54">
        <f>EZ9/ER9</f>
        <v>0</v>
      </c>
      <c r="FK9" s="54">
        <f>FA9/ES9</f>
        <v>0</v>
      </c>
      <c r="FL9" s="54">
        <f>FB9/ET9</f>
        <v>0</v>
      </c>
      <c r="FM9" s="54">
        <f>FC9/EU9</f>
        <v>0</v>
      </c>
      <c r="FN9" s="55">
        <f>FD9/EV9</f>
        <v>0</v>
      </c>
      <c r="FO9" s="21">
        <v>5</v>
      </c>
      <c r="FP9" s="22">
        <v>5</v>
      </c>
      <c r="FQ9" s="22">
        <v>1</v>
      </c>
      <c r="FR9" s="22">
        <v>1</v>
      </c>
      <c r="FS9" s="22">
        <v>5</v>
      </c>
      <c r="FT9" s="22">
        <v>5</v>
      </c>
      <c r="FU9" s="90">
        <v>38</v>
      </c>
      <c r="FV9" s="91">
        <v>2</v>
      </c>
      <c r="FW9" s="21">
        <v>1</v>
      </c>
      <c r="FX9" s="22"/>
      <c r="FY9" s="22"/>
      <c r="FZ9" s="22"/>
      <c r="GA9" s="22">
        <v>1</v>
      </c>
      <c r="GB9" s="23"/>
      <c r="GC9" s="24">
        <v>1</v>
      </c>
      <c r="GD9" s="25"/>
      <c r="GE9" s="26">
        <v>1</v>
      </c>
      <c r="GF9" s="23"/>
      <c r="GG9" s="27">
        <f>FW9/FO9</f>
        <v>0.2</v>
      </c>
      <c r="GH9" s="28">
        <f>FX9/FP9</f>
        <v>0</v>
      </c>
      <c r="GI9" s="28">
        <f>FY9/FQ9</f>
        <v>0</v>
      </c>
      <c r="GJ9" s="28">
        <f>FZ9/FR9</f>
        <v>0</v>
      </c>
      <c r="GK9" s="28">
        <f>GA9/FS9</f>
        <v>0.2</v>
      </c>
      <c r="GL9" s="85">
        <f>GB9/FT9</f>
        <v>0</v>
      </c>
      <c r="GM9" s="47">
        <v>5</v>
      </c>
      <c r="GN9" s="48">
        <v>5</v>
      </c>
      <c r="GO9" s="48">
        <v>1</v>
      </c>
      <c r="GP9" s="48">
        <v>1</v>
      </c>
      <c r="GQ9" s="48">
        <v>5</v>
      </c>
      <c r="GR9" s="99">
        <v>5</v>
      </c>
      <c r="GS9" s="47">
        <v>20</v>
      </c>
      <c r="GT9" s="98">
        <v>0</v>
      </c>
      <c r="GU9" s="47"/>
      <c r="GV9" s="48"/>
      <c r="GW9" s="48"/>
      <c r="GX9" s="48"/>
      <c r="GY9" s="48"/>
      <c r="GZ9" s="49"/>
      <c r="HA9" s="50"/>
      <c r="HB9" s="51"/>
      <c r="HC9" s="52"/>
      <c r="HD9" s="49"/>
      <c r="HE9" s="53">
        <f>GU9/GM9</f>
        <v>0</v>
      </c>
      <c r="HF9" s="54">
        <f>GV9/GN9</f>
        <v>0</v>
      </c>
      <c r="HG9" s="54">
        <f>GW9/GO9</f>
        <v>0</v>
      </c>
      <c r="HH9" s="54">
        <f>GX9/GP9</f>
        <v>0</v>
      </c>
      <c r="HI9" s="54">
        <f>GY9/GQ9</f>
        <v>0</v>
      </c>
      <c r="HJ9" s="55">
        <f>GZ9/GR9</f>
        <v>0</v>
      </c>
      <c r="HK9" s="76">
        <f>C9+AA9+AY9+BW9+CU9+DS9+EQ9+FO9+GM9</f>
        <v>45</v>
      </c>
      <c r="HL9" s="77">
        <f>D9+AB9+AZ9+BX9+CV9+DT9+ER9+FP9+GN9</f>
        <v>45</v>
      </c>
      <c r="HM9" s="77">
        <f>E9+AC9+BA9+BY9+CW9+DU9+ES9+FQ9+GO9</f>
        <v>9</v>
      </c>
      <c r="HN9" s="77">
        <f>F9+AD9+BB9+BZ9+CX9+DV9+ET9+FR9+GP9</f>
        <v>9</v>
      </c>
      <c r="HO9" s="76">
        <f>G9+AE9+BC9+CA9+CY9+DW9+EU9+FS9+GQ9</f>
        <v>45</v>
      </c>
      <c r="HP9" s="78">
        <f>H9+AF9+BD9+CB9+CZ9+DX9+EV9+FT9+GR9</f>
        <v>45</v>
      </c>
      <c r="HQ9" s="76">
        <f>I9+AG9+BE9+CC9+DA9+DY9+EW9+FU9+GS9</f>
        <v>295</v>
      </c>
      <c r="HR9" s="78">
        <f>J9+AH9+BF9+CD9+DB9+DZ9+EX9+FV9+GT9</f>
        <v>11</v>
      </c>
      <c r="HS9" s="76">
        <f>K9+AI9+BG9+CE9+DC9+EA9+EY9+FW9+GU9</f>
        <v>6</v>
      </c>
      <c r="HT9" s="77">
        <f>L9+AJ9+BH9+CF9+DD9+EB9+EZ9+FX9+GV9</f>
        <v>0</v>
      </c>
      <c r="HU9" s="77">
        <f>M9+AK9+BI9+CG9+DE9+EC9+FA9+FY9+GW9</f>
        <v>0</v>
      </c>
      <c r="HV9" s="77">
        <f>N9+AL9+BJ9+CH9+DF9+ED9+FB9+FZ9+GX9</f>
        <v>0</v>
      </c>
      <c r="HW9" s="76">
        <f>O9+AM9+BK9+CI9+DG9+EE9+FC9+GA9+GY9</f>
        <v>2</v>
      </c>
      <c r="HX9" s="78">
        <f>P9+AN9+BL9+CJ9+DH9+EF9+FD9+GB9+GZ9</f>
        <v>3</v>
      </c>
      <c r="HY9" s="76">
        <f>Q9+AO9+BM9+CK9+DI9+EG9+FE9+GC9+HA9</f>
        <v>7</v>
      </c>
      <c r="HZ9" s="77">
        <f>R9+AP9+BN9+CL9+DJ9+EH9+FF9+GD9+HB9</f>
        <v>0</v>
      </c>
      <c r="IA9" s="77">
        <f>S9+AQ9+BO9+CM9+DK9+EI9+FG9+GE9+HC9</f>
        <v>4</v>
      </c>
      <c r="IB9" s="78">
        <f>T9+AR9+BP9+CN9+DL9+EJ9+FH9+GF9+HD9</f>
        <v>0</v>
      </c>
      <c r="IC9" s="73">
        <f>HS9/HK9</f>
        <v>0.13333333333333333</v>
      </c>
      <c r="ID9" s="74">
        <f>HT9/HL9</f>
        <v>0</v>
      </c>
      <c r="IE9" s="74">
        <f>HU9/HM9</f>
        <v>0</v>
      </c>
      <c r="IF9" s="74">
        <f>HV9/HN9</f>
        <v>0</v>
      </c>
      <c r="IG9" s="74">
        <f>HW9/HO9</f>
        <v>4.4444444444444446E-2</v>
      </c>
      <c r="IH9" s="75">
        <f>HX9/HP9</f>
        <v>6.6666666666666666E-2</v>
      </c>
    </row>
    <row r="10" spans="1:261" s="6" customFormat="1" ht="39.950000000000003" customHeight="1" x14ac:dyDescent="0.25">
      <c r="A10" s="88" t="s">
        <v>6</v>
      </c>
      <c r="B10" s="13" t="s">
        <v>25</v>
      </c>
      <c r="C10" s="56">
        <v>5</v>
      </c>
      <c r="D10" s="57">
        <v>5</v>
      </c>
      <c r="E10" s="57">
        <v>1</v>
      </c>
      <c r="F10" s="57">
        <v>1</v>
      </c>
      <c r="G10" s="57">
        <v>5</v>
      </c>
      <c r="H10" s="58">
        <v>5</v>
      </c>
      <c r="I10" s="56">
        <v>36</v>
      </c>
      <c r="J10" s="58">
        <v>1</v>
      </c>
      <c r="K10" s="56">
        <v>1</v>
      </c>
      <c r="L10" s="57"/>
      <c r="M10" s="57"/>
      <c r="N10" s="57"/>
      <c r="O10" s="57"/>
      <c r="P10" s="58"/>
      <c r="Q10" s="56">
        <v>1</v>
      </c>
      <c r="R10" s="57"/>
      <c r="S10" s="59"/>
      <c r="T10" s="58">
        <v>0</v>
      </c>
      <c r="U10" s="60">
        <f>K10/C10</f>
        <v>0.2</v>
      </c>
      <c r="V10" s="61">
        <f>L10/D10</f>
        <v>0</v>
      </c>
      <c r="W10" s="61">
        <f>M10/E10</f>
        <v>0</v>
      </c>
      <c r="X10" s="61">
        <f>N10/F10</f>
        <v>0</v>
      </c>
      <c r="Y10" s="61">
        <f>O10/G10</f>
        <v>0</v>
      </c>
      <c r="Z10" s="62">
        <f>P10/H10</f>
        <v>0</v>
      </c>
      <c r="AA10" s="29">
        <v>5</v>
      </c>
      <c r="AB10" s="30">
        <v>5</v>
      </c>
      <c r="AC10" s="30">
        <v>1</v>
      </c>
      <c r="AD10" s="30">
        <v>1</v>
      </c>
      <c r="AE10" s="30">
        <v>5</v>
      </c>
      <c r="AF10" s="30">
        <v>5</v>
      </c>
      <c r="AG10" s="92">
        <v>45</v>
      </c>
      <c r="AH10" s="93">
        <v>0</v>
      </c>
      <c r="AI10" s="29"/>
      <c r="AJ10" s="30"/>
      <c r="AK10" s="30"/>
      <c r="AL10" s="30"/>
      <c r="AM10" s="30"/>
      <c r="AN10" s="31"/>
      <c r="AO10" s="29"/>
      <c r="AP10" s="30"/>
      <c r="AQ10" s="32"/>
      <c r="AR10" s="31">
        <v>0</v>
      </c>
      <c r="AS10" s="33">
        <f>AI10/AA10</f>
        <v>0</v>
      </c>
      <c r="AT10" s="34">
        <f>AJ10/AB10</f>
        <v>0</v>
      </c>
      <c r="AU10" s="34">
        <f>AK10/AC10</f>
        <v>0</v>
      </c>
      <c r="AV10" s="34">
        <f>AL10/AD10</f>
        <v>0</v>
      </c>
      <c r="AW10" s="34">
        <f>AM10/AE10</f>
        <v>0</v>
      </c>
      <c r="AX10" s="35">
        <f>AN10/AF10</f>
        <v>0</v>
      </c>
      <c r="AY10" s="56">
        <v>5</v>
      </c>
      <c r="AZ10" s="57">
        <v>5</v>
      </c>
      <c r="BA10" s="57">
        <v>1</v>
      </c>
      <c r="BB10" s="57">
        <v>1</v>
      </c>
      <c r="BC10" s="57">
        <v>5</v>
      </c>
      <c r="BD10" s="59">
        <v>5</v>
      </c>
      <c r="BE10" s="56">
        <v>56</v>
      </c>
      <c r="BF10" s="58">
        <v>0</v>
      </c>
      <c r="BG10" s="56"/>
      <c r="BH10" s="57"/>
      <c r="BI10" s="57"/>
      <c r="BJ10" s="57"/>
      <c r="BK10" s="57"/>
      <c r="BL10" s="58"/>
      <c r="BM10" s="56"/>
      <c r="BN10" s="57"/>
      <c r="BO10" s="59"/>
      <c r="BP10" s="58"/>
      <c r="BQ10" s="60">
        <f>BG10/AY10</f>
        <v>0</v>
      </c>
      <c r="BR10" s="61">
        <f>BH10/AZ10</f>
        <v>0</v>
      </c>
      <c r="BS10" s="61">
        <f>BI10/BA10</f>
        <v>0</v>
      </c>
      <c r="BT10" s="61">
        <f>BJ10/BB10</f>
        <v>0</v>
      </c>
      <c r="BU10" s="61">
        <f>BK10/BC10</f>
        <v>0</v>
      </c>
      <c r="BV10" s="62">
        <f>BL10/BD10</f>
        <v>0</v>
      </c>
      <c r="BW10" s="125">
        <v>5</v>
      </c>
      <c r="BX10" s="126">
        <v>5</v>
      </c>
      <c r="BY10" s="126">
        <v>1</v>
      </c>
      <c r="BZ10" s="126">
        <v>1</v>
      </c>
      <c r="CA10" s="126">
        <v>5</v>
      </c>
      <c r="CB10" s="126">
        <v>5</v>
      </c>
      <c r="CC10" s="127">
        <v>12</v>
      </c>
      <c r="CD10" s="128"/>
      <c r="CE10" s="125"/>
      <c r="CF10" s="126"/>
      <c r="CG10" s="126"/>
      <c r="CH10" s="126"/>
      <c r="CI10" s="126"/>
      <c r="CJ10" s="129"/>
      <c r="CK10" s="125"/>
      <c r="CL10" s="126"/>
      <c r="CM10" s="130"/>
      <c r="CN10" s="129"/>
      <c r="CO10" s="131">
        <f>CE10/BW10</f>
        <v>0</v>
      </c>
      <c r="CP10" s="132">
        <f>CF10/BX10</f>
        <v>0</v>
      </c>
      <c r="CQ10" s="132">
        <f>CG10/BY10</f>
        <v>0</v>
      </c>
      <c r="CR10" s="132">
        <f>CH10/BZ10</f>
        <v>0</v>
      </c>
      <c r="CS10" s="132">
        <f>CI10/CA10</f>
        <v>0</v>
      </c>
      <c r="CT10" s="133">
        <f>CJ10/CB10</f>
        <v>0</v>
      </c>
      <c r="CU10" s="56">
        <v>5</v>
      </c>
      <c r="CV10" s="57">
        <v>5</v>
      </c>
      <c r="CW10" s="57">
        <v>1</v>
      </c>
      <c r="CX10" s="57">
        <v>1</v>
      </c>
      <c r="CY10" s="57">
        <v>5</v>
      </c>
      <c r="CZ10" s="59">
        <v>5</v>
      </c>
      <c r="DA10" s="56">
        <v>25</v>
      </c>
      <c r="DB10" s="58">
        <v>0</v>
      </c>
      <c r="DC10" s="56"/>
      <c r="DD10" s="57"/>
      <c r="DE10" s="57"/>
      <c r="DF10" s="57"/>
      <c r="DG10" s="57"/>
      <c r="DH10" s="58"/>
      <c r="DI10" s="56"/>
      <c r="DJ10" s="57"/>
      <c r="DK10" s="59"/>
      <c r="DL10" s="58"/>
      <c r="DM10" s="60">
        <f>DC10/CU10</f>
        <v>0</v>
      </c>
      <c r="DN10" s="61">
        <f>DD10/CV10</f>
        <v>0</v>
      </c>
      <c r="DO10" s="61">
        <f>DE10/CW10</f>
        <v>0</v>
      </c>
      <c r="DP10" s="61">
        <f>DF10/CX10</f>
        <v>0</v>
      </c>
      <c r="DQ10" s="61">
        <f>DG10/CY10</f>
        <v>0</v>
      </c>
      <c r="DR10" s="62">
        <f>DH10/CZ10</f>
        <v>0</v>
      </c>
      <c r="DS10" s="29">
        <v>5</v>
      </c>
      <c r="DT10" s="30">
        <v>5</v>
      </c>
      <c r="DU10" s="30">
        <v>1</v>
      </c>
      <c r="DV10" s="30">
        <v>1</v>
      </c>
      <c r="DW10" s="30">
        <v>5</v>
      </c>
      <c r="DX10" s="30">
        <v>5</v>
      </c>
      <c r="DY10" s="92">
        <v>36</v>
      </c>
      <c r="DZ10" s="93">
        <v>0</v>
      </c>
      <c r="EA10" s="29"/>
      <c r="EB10" s="30"/>
      <c r="EC10" s="30"/>
      <c r="ED10" s="30"/>
      <c r="EE10" s="30"/>
      <c r="EF10" s="31"/>
      <c r="EG10" s="29"/>
      <c r="EH10" s="30"/>
      <c r="EI10" s="32"/>
      <c r="EJ10" s="31"/>
      <c r="EK10" s="33">
        <f>EA10/DS10</f>
        <v>0</v>
      </c>
      <c r="EL10" s="34">
        <f>EB10/DT10</f>
        <v>0</v>
      </c>
      <c r="EM10" s="34">
        <f>EC10/DU10</f>
        <v>0</v>
      </c>
      <c r="EN10" s="34">
        <f>ED10/DV10</f>
        <v>0</v>
      </c>
      <c r="EO10" s="34">
        <f>EE10/DW10</f>
        <v>0</v>
      </c>
      <c r="EP10" s="35">
        <f>EF10/DX10</f>
        <v>0</v>
      </c>
      <c r="EQ10" s="56">
        <v>5</v>
      </c>
      <c r="ER10" s="57">
        <v>5</v>
      </c>
      <c r="ES10" s="57">
        <v>1</v>
      </c>
      <c r="ET10" s="57">
        <v>1</v>
      </c>
      <c r="EU10" s="57">
        <v>5</v>
      </c>
      <c r="EV10" s="59">
        <v>5</v>
      </c>
      <c r="EW10" s="56">
        <v>40</v>
      </c>
      <c r="EX10" s="58">
        <v>0</v>
      </c>
      <c r="EY10" s="56"/>
      <c r="EZ10" s="57"/>
      <c r="FA10" s="57"/>
      <c r="FB10" s="57"/>
      <c r="FC10" s="57"/>
      <c r="FD10" s="58"/>
      <c r="FE10" s="56"/>
      <c r="FF10" s="57"/>
      <c r="FG10" s="59"/>
      <c r="FH10" s="58"/>
      <c r="FI10" s="60">
        <f>EY10/EQ10</f>
        <v>0</v>
      </c>
      <c r="FJ10" s="61">
        <f>EZ10/ER10</f>
        <v>0</v>
      </c>
      <c r="FK10" s="61">
        <f>FA10/ES10</f>
        <v>0</v>
      </c>
      <c r="FL10" s="61">
        <f>FB10/ET10</f>
        <v>0</v>
      </c>
      <c r="FM10" s="61">
        <f>FC10/EU10</f>
        <v>0</v>
      </c>
      <c r="FN10" s="62">
        <f>FD10/EV10</f>
        <v>0</v>
      </c>
      <c r="FO10" s="29">
        <v>5</v>
      </c>
      <c r="FP10" s="30">
        <v>5</v>
      </c>
      <c r="FQ10" s="30">
        <v>1</v>
      </c>
      <c r="FR10" s="30">
        <v>1</v>
      </c>
      <c r="FS10" s="30">
        <v>5</v>
      </c>
      <c r="FT10" s="30">
        <v>5</v>
      </c>
      <c r="FU10" s="92">
        <v>13</v>
      </c>
      <c r="FV10" s="93">
        <v>1</v>
      </c>
      <c r="FW10" s="29">
        <v>6</v>
      </c>
      <c r="FX10" s="30"/>
      <c r="FY10" s="30"/>
      <c r="FZ10" s="30"/>
      <c r="GA10" s="30">
        <v>6</v>
      </c>
      <c r="GB10" s="31"/>
      <c r="GC10" s="29">
        <v>6</v>
      </c>
      <c r="GD10" s="30"/>
      <c r="GE10" s="32">
        <v>6</v>
      </c>
      <c r="GF10" s="31"/>
      <c r="GG10" s="33">
        <f>FW10/FO10</f>
        <v>1.2</v>
      </c>
      <c r="GH10" s="34">
        <f>FX10/FP10</f>
        <v>0</v>
      </c>
      <c r="GI10" s="34">
        <f>FY10/FQ10</f>
        <v>0</v>
      </c>
      <c r="GJ10" s="34">
        <f>FZ10/FR10</f>
        <v>0</v>
      </c>
      <c r="GK10" s="34">
        <f>GA10/FS10</f>
        <v>1.2</v>
      </c>
      <c r="GL10" s="35">
        <f>GB10/FT10</f>
        <v>0</v>
      </c>
      <c r="GM10" s="56">
        <v>5</v>
      </c>
      <c r="GN10" s="57">
        <v>5</v>
      </c>
      <c r="GO10" s="57">
        <v>1</v>
      </c>
      <c r="GP10" s="57">
        <v>1</v>
      </c>
      <c r="GQ10" s="57">
        <v>5</v>
      </c>
      <c r="GR10" s="59">
        <v>5</v>
      </c>
      <c r="GS10" s="56">
        <v>12</v>
      </c>
      <c r="GT10" s="58">
        <v>1</v>
      </c>
      <c r="GU10" s="56">
        <v>6</v>
      </c>
      <c r="GV10" s="57"/>
      <c r="GW10" s="57"/>
      <c r="GX10" s="57"/>
      <c r="GY10" s="57"/>
      <c r="GZ10" s="58"/>
      <c r="HA10" s="56">
        <v>6</v>
      </c>
      <c r="HB10" s="57"/>
      <c r="HC10" s="59"/>
      <c r="HD10" s="58"/>
      <c r="HE10" s="60">
        <f>GU10/GM10</f>
        <v>1.2</v>
      </c>
      <c r="HF10" s="61">
        <f>GV10/GN10</f>
        <v>0</v>
      </c>
      <c r="HG10" s="61">
        <f>GW10/GO10</f>
        <v>0</v>
      </c>
      <c r="HH10" s="61">
        <f>GX10/GP10</f>
        <v>0</v>
      </c>
      <c r="HI10" s="61">
        <f>GY10/GQ10</f>
        <v>0</v>
      </c>
      <c r="HJ10" s="62">
        <f>GZ10/GR10</f>
        <v>0</v>
      </c>
      <c r="HK10" s="76">
        <f>C10+AA10+AY10+BW10+CU10+DS10+EQ10+FO10+GM10</f>
        <v>45</v>
      </c>
      <c r="HL10" s="77">
        <f>D10+AB10+AZ10+BX10+CV10+DT10+ER10+FP10+GN10</f>
        <v>45</v>
      </c>
      <c r="HM10" s="77">
        <f>E10+AC10+BA10+BY10+CW10+DU10+ES10+FQ10+GO10</f>
        <v>9</v>
      </c>
      <c r="HN10" s="77">
        <f>F10+AD10+BB10+BZ10+CX10+DV10+ET10+FR10+GP10</f>
        <v>9</v>
      </c>
      <c r="HO10" s="76">
        <f>G10+AE10+BC10+CA10+CY10+DW10+EU10+FS10+GQ10</f>
        <v>45</v>
      </c>
      <c r="HP10" s="78">
        <f>H10+AF10+BD10+CB10+CZ10+DX10+EV10+FT10+GR10</f>
        <v>45</v>
      </c>
      <c r="HQ10" s="76">
        <f>I10+AG10+BE10+CC10+DA10+DY10+EW10+FU10+GS10</f>
        <v>275</v>
      </c>
      <c r="HR10" s="78">
        <f>J10+AH10+BF10+CD10+DB10+DZ10+EX10+FV10+GT10</f>
        <v>3</v>
      </c>
      <c r="HS10" s="76">
        <f>K10+AI10+BG10+CE10+DC10+EA10+EY10+FW10+GU10</f>
        <v>13</v>
      </c>
      <c r="HT10" s="77">
        <f>L10+AJ10+BH10+CF10+DD10+EB10+EZ10+FX10+GV10</f>
        <v>0</v>
      </c>
      <c r="HU10" s="77">
        <f>M10+AK10+BI10+CG10+DE10+EC10+FA10+FY10+GW10</f>
        <v>0</v>
      </c>
      <c r="HV10" s="77">
        <f>N10+AL10+BJ10+CH10+DF10+ED10+FB10+FZ10+GX10</f>
        <v>0</v>
      </c>
      <c r="HW10" s="76">
        <f>O10+AM10+BK10+CI10+DG10+EE10+FC10+GA10+GY10</f>
        <v>6</v>
      </c>
      <c r="HX10" s="78">
        <f>P10+AN10+BL10+CJ10+DH10+EF10+FD10+GB10+GZ10</f>
        <v>0</v>
      </c>
      <c r="HY10" s="76">
        <f>Q10+AO10+BM10+CK10+DI10+EG10+FE10+GC10+HA10</f>
        <v>13</v>
      </c>
      <c r="HZ10" s="77">
        <f>R10+AP10+BN10+CL10+DJ10+EH10+FF10+GD10+HB10</f>
        <v>0</v>
      </c>
      <c r="IA10" s="77">
        <f>S10+AQ10+BO10+CM10+DK10+EI10+FG10+GE10+HC10</f>
        <v>6</v>
      </c>
      <c r="IB10" s="78">
        <f>T10+AR10+BP10+CN10+DL10+EJ10+FH10+GF10+HD10</f>
        <v>0</v>
      </c>
      <c r="IC10" s="79">
        <f>HS10/HK10</f>
        <v>0.28888888888888886</v>
      </c>
      <c r="ID10" s="80">
        <f>HT10/HL10</f>
        <v>0</v>
      </c>
      <c r="IE10" s="80">
        <f>HU10/HM10</f>
        <v>0</v>
      </c>
      <c r="IF10" s="80">
        <f>HV10/HN10</f>
        <v>0</v>
      </c>
      <c r="IG10" s="80">
        <f>HW10/HO10</f>
        <v>0.13333333333333333</v>
      </c>
      <c r="IH10" s="81">
        <f>HX10/HP10</f>
        <v>0</v>
      </c>
    </row>
    <row r="11" spans="1:261" s="6" customFormat="1" ht="39.950000000000003" customHeight="1" x14ac:dyDescent="0.25">
      <c r="A11" s="88" t="s">
        <v>7</v>
      </c>
      <c r="B11" s="8" t="s">
        <v>27</v>
      </c>
      <c r="C11" s="56">
        <v>5</v>
      </c>
      <c r="D11" s="57">
        <v>5</v>
      </c>
      <c r="E11" s="57">
        <v>1</v>
      </c>
      <c r="F11" s="57">
        <v>1</v>
      </c>
      <c r="G11" s="57">
        <v>5</v>
      </c>
      <c r="H11" s="58">
        <v>5</v>
      </c>
      <c r="I11" s="56"/>
      <c r="J11" s="58"/>
      <c r="K11" s="56"/>
      <c r="L11" s="57"/>
      <c r="M11" s="57"/>
      <c r="N11" s="57"/>
      <c r="O11" s="57"/>
      <c r="P11" s="58"/>
      <c r="Q11" s="56"/>
      <c r="R11" s="57"/>
      <c r="S11" s="59"/>
      <c r="T11" s="58"/>
      <c r="U11" s="60">
        <f>K11/C11</f>
        <v>0</v>
      </c>
      <c r="V11" s="61">
        <f>L11/D11</f>
        <v>0</v>
      </c>
      <c r="W11" s="61">
        <f>M11/E11</f>
        <v>0</v>
      </c>
      <c r="X11" s="61">
        <f>N11/F11</f>
        <v>0</v>
      </c>
      <c r="Y11" s="61">
        <f>O11/G11</f>
        <v>0</v>
      </c>
      <c r="Z11" s="62">
        <f>P11/H11</f>
        <v>0</v>
      </c>
      <c r="AA11" s="29">
        <v>5</v>
      </c>
      <c r="AB11" s="30">
        <v>5</v>
      </c>
      <c r="AC11" s="30">
        <v>1</v>
      </c>
      <c r="AD11" s="30">
        <v>1</v>
      </c>
      <c r="AE11" s="30">
        <v>5</v>
      </c>
      <c r="AF11" s="30">
        <v>5</v>
      </c>
      <c r="AG11" s="92"/>
      <c r="AH11" s="93"/>
      <c r="AI11" s="29"/>
      <c r="AJ11" s="30"/>
      <c r="AK11" s="30"/>
      <c r="AL11" s="30"/>
      <c r="AM11" s="30"/>
      <c r="AN11" s="31"/>
      <c r="AO11" s="29"/>
      <c r="AP11" s="30"/>
      <c r="AQ11" s="32"/>
      <c r="AR11" s="31"/>
      <c r="AS11" s="33">
        <f>AI11/AA11</f>
        <v>0</v>
      </c>
      <c r="AT11" s="34">
        <f>AJ11/AB11</f>
        <v>0</v>
      </c>
      <c r="AU11" s="34">
        <f>AK11/AC11</f>
        <v>0</v>
      </c>
      <c r="AV11" s="34">
        <f>AL11/AD11</f>
        <v>0</v>
      </c>
      <c r="AW11" s="34">
        <f>AM11/AE11</f>
        <v>0</v>
      </c>
      <c r="AX11" s="35">
        <f>AN11/AF11</f>
        <v>0</v>
      </c>
      <c r="AY11" s="56">
        <v>5</v>
      </c>
      <c r="AZ11" s="57">
        <v>5</v>
      </c>
      <c r="BA11" s="57">
        <v>1</v>
      </c>
      <c r="BB11" s="57">
        <v>1</v>
      </c>
      <c r="BC11" s="57">
        <v>5</v>
      </c>
      <c r="BD11" s="59">
        <v>5</v>
      </c>
      <c r="BE11" s="56"/>
      <c r="BF11" s="58"/>
      <c r="BG11" s="56"/>
      <c r="BH11" s="57"/>
      <c r="BI11" s="57"/>
      <c r="BJ11" s="57"/>
      <c r="BK11" s="57"/>
      <c r="BL11" s="58"/>
      <c r="BM11" s="56"/>
      <c r="BN11" s="57"/>
      <c r="BO11" s="59"/>
      <c r="BP11" s="58"/>
      <c r="BQ11" s="60">
        <f>BG11/AY11</f>
        <v>0</v>
      </c>
      <c r="BR11" s="61">
        <f>BH11/AZ11</f>
        <v>0</v>
      </c>
      <c r="BS11" s="61">
        <f>BI11/BA11</f>
        <v>0</v>
      </c>
      <c r="BT11" s="61">
        <f>BJ11/BB11</f>
        <v>0</v>
      </c>
      <c r="BU11" s="61">
        <f>BK11/BC11</f>
        <v>0</v>
      </c>
      <c r="BV11" s="62">
        <f>BL11/BD11</f>
        <v>0</v>
      </c>
      <c r="BW11" s="125">
        <v>5</v>
      </c>
      <c r="BX11" s="126">
        <v>5</v>
      </c>
      <c r="BY11" s="126">
        <v>1</v>
      </c>
      <c r="BZ11" s="126">
        <v>1</v>
      </c>
      <c r="CA11" s="126">
        <v>5</v>
      </c>
      <c r="CB11" s="126">
        <v>5</v>
      </c>
      <c r="CC11" s="127"/>
      <c r="CD11" s="128"/>
      <c r="CE11" s="125"/>
      <c r="CF11" s="126"/>
      <c r="CG11" s="126"/>
      <c r="CH11" s="126"/>
      <c r="CI11" s="126"/>
      <c r="CJ11" s="129"/>
      <c r="CK11" s="125"/>
      <c r="CL11" s="126"/>
      <c r="CM11" s="130"/>
      <c r="CN11" s="129"/>
      <c r="CO11" s="131">
        <f>CE11/BW11</f>
        <v>0</v>
      </c>
      <c r="CP11" s="132">
        <f>CF11/BX11</f>
        <v>0</v>
      </c>
      <c r="CQ11" s="132">
        <f>CG11/BY11</f>
        <v>0</v>
      </c>
      <c r="CR11" s="132">
        <f>CH11/BZ11</f>
        <v>0</v>
      </c>
      <c r="CS11" s="132">
        <f>CI11/CA11</f>
        <v>0</v>
      </c>
      <c r="CT11" s="133">
        <f>CJ11/CB11</f>
        <v>0</v>
      </c>
      <c r="CU11" s="56">
        <v>5</v>
      </c>
      <c r="CV11" s="57">
        <v>5</v>
      </c>
      <c r="CW11" s="57">
        <v>1</v>
      </c>
      <c r="CX11" s="57">
        <v>1</v>
      </c>
      <c r="CY11" s="57">
        <v>5</v>
      </c>
      <c r="CZ11" s="59">
        <v>5</v>
      </c>
      <c r="DA11" s="56"/>
      <c r="DB11" s="58"/>
      <c r="DC11" s="56"/>
      <c r="DD11" s="57"/>
      <c r="DE11" s="57"/>
      <c r="DF11" s="57"/>
      <c r="DG11" s="57"/>
      <c r="DH11" s="58"/>
      <c r="DI11" s="56"/>
      <c r="DJ11" s="57"/>
      <c r="DK11" s="59"/>
      <c r="DL11" s="58"/>
      <c r="DM11" s="60">
        <f>DC11/CU11</f>
        <v>0</v>
      </c>
      <c r="DN11" s="61">
        <f>DD11/CV11</f>
        <v>0</v>
      </c>
      <c r="DO11" s="61">
        <f>DE11/CW11</f>
        <v>0</v>
      </c>
      <c r="DP11" s="61">
        <f>DF11/CX11</f>
        <v>0</v>
      </c>
      <c r="DQ11" s="61">
        <f>DG11/CY11</f>
        <v>0</v>
      </c>
      <c r="DR11" s="62">
        <f>DH11/CZ11</f>
        <v>0</v>
      </c>
      <c r="DS11" s="29">
        <v>5</v>
      </c>
      <c r="DT11" s="30">
        <v>5</v>
      </c>
      <c r="DU11" s="30">
        <v>1</v>
      </c>
      <c r="DV11" s="30">
        <v>1</v>
      </c>
      <c r="DW11" s="30">
        <v>5</v>
      </c>
      <c r="DX11" s="30">
        <v>5</v>
      </c>
      <c r="DY11" s="92"/>
      <c r="DZ11" s="93"/>
      <c r="EA11" s="29"/>
      <c r="EB11" s="30"/>
      <c r="EC11" s="30"/>
      <c r="ED11" s="30"/>
      <c r="EE11" s="30"/>
      <c r="EF11" s="31"/>
      <c r="EG11" s="29"/>
      <c r="EH11" s="30"/>
      <c r="EI11" s="32"/>
      <c r="EJ11" s="31"/>
      <c r="EK11" s="33">
        <f>EA11/DS11</f>
        <v>0</v>
      </c>
      <c r="EL11" s="34">
        <f>EB11/DT11</f>
        <v>0</v>
      </c>
      <c r="EM11" s="34">
        <f>EC11/DU11</f>
        <v>0</v>
      </c>
      <c r="EN11" s="34">
        <f>ED11/DV11</f>
        <v>0</v>
      </c>
      <c r="EO11" s="34">
        <f>EE11/DW11</f>
        <v>0</v>
      </c>
      <c r="EP11" s="35">
        <f>EF11/DX11</f>
        <v>0</v>
      </c>
      <c r="EQ11" s="56">
        <v>5</v>
      </c>
      <c r="ER11" s="57">
        <v>5</v>
      </c>
      <c r="ES11" s="57">
        <v>1</v>
      </c>
      <c r="ET11" s="57">
        <v>1</v>
      </c>
      <c r="EU11" s="57">
        <v>5</v>
      </c>
      <c r="EV11" s="59">
        <v>5</v>
      </c>
      <c r="EW11" s="56"/>
      <c r="EX11" s="58"/>
      <c r="EY11" s="56"/>
      <c r="EZ11" s="57"/>
      <c r="FA11" s="57"/>
      <c r="FB11" s="57"/>
      <c r="FC11" s="57"/>
      <c r="FD11" s="58"/>
      <c r="FE11" s="56"/>
      <c r="FF11" s="57"/>
      <c r="FG11" s="59"/>
      <c r="FH11" s="58"/>
      <c r="FI11" s="60">
        <f>EY11/EQ11</f>
        <v>0</v>
      </c>
      <c r="FJ11" s="61">
        <f>EZ11/ER11</f>
        <v>0</v>
      </c>
      <c r="FK11" s="61">
        <f>FA11/ES11</f>
        <v>0</v>
      </c>
      <c r="FL11" s="61">
        <f>FB11/ET11</f>
        <v>0</v>
      </c>
      <c r="FM11" s="61">
        <f>FC11/EU11</f>
        <v>0</v>
      </c>
      <c r="FN11" s="62">
        <f>FD11/EV11</f>
        <v>0</v>
      </c>
      <c r="FO11" s="29">
        <v>5</v>
      </c>
      <c r="FP11" s="30">
        <v>5</v>
      </c>
      <c r="FQ11" s="30">
        <v>1</v>
      </c>
      <c r="FR11" s="30">
        <v>1</v>
      </c>
      <c r="FS11" s="30">
        <v>5</v>
      </c>
      <c r="FT11" s="30">
        <v>5</v>
      </c>
      <c r="FU11" s="92"/>
      <c r="FV11" s="93"/>
      <c r="FW11" s="29"/>
      <c r="FX11" s="30"/>
      <c r="FY11" s="30"/>
      <c r="FZ11" s="30"/>
      <c r="GA11" s="30"/>
      <c r="GB11" s="31"/>
      <c r="GC11" s="29"/>
      <c r="GD11" s="30"/>
      <c r="GE11" s="32"/>
      <c r="GF11" s="31"/>
      <c r="GG11" s="33">
        <f>FW11/FO11</f>
        <v>0</v>
      </c>
      <c r="GH11" s="34">
        <f>FX11/FP11</f>
        <v>0</v>
      </c>
      <c r="GI11" s="34">
        <f>FY11/FQ11</f>
        <v>0</v>
      </c>
      <c r="GJ11" s="34">
        <f>FZ11/FR11</f>
        <v>0</v>
      </c>
      <c r="GK11" s="34">
        <f>GA11/FS11</f>
        <v>0</v>
      </c>
      <c r="GL11" s="35">
        <f>GB11/FT11</f>
        <v>0</v>
      </c>
      <c r="GM11" s="56">
        <v>5</v>
      </c>
      <c r="GN11" s="57">
        <v>5</v>
      </c>
      <c r="GO11" s="57">
        <v>1</v>
      </c>
      <c r="GP11" s="57">
        <v>1</v>
      </c>
      <c r="GQ11" s="57">
        <v>5</v>
      </c>
      <c r="GR11" s="59">
        <v>5</v>
      </c>
      <c r="GS11" s="56"/>
      <c r="GT11" s="58"/>
      <c r="GU11" s="56"/>
      <c r="GV11" s="57"/>
      <c r="GW11" s="57"/>
      <c r="GX11" s="57"/>
      <c r="GY11" s="57"/>
      <c r="GZ11" s="58"/>
      <c r="HA11" s="56"/>
      <c r="HB11" s="57"/>
      <c r="HC11" s="59"/>
      <c r="HD11" s="58"/>
      <c r="HE11" s="60">
        <f>GU11/GM11</f>
        <v>0</v>
      </c>
      <c r="HF11" s="61">
        <f>GV11/GN11</f>
        <v>0</v>
      </c>
      <c r="HG11" s="61">
        <f>GW11/GO11</f>
        <v>0</v>
      </c>
      <c r="HH11" s="61">
        <f>GX11/GP11</f>
        <v>0</v>
      </c>
      <c r="HI11" s="61">
        <f>GY11/GQ11</f>
        <v>0</v>
      </c>
      <c r="HJ11" s="62">
        <f>GZ11/GR11</f>
        <v>0</v>
      </c>
      <c r="HK11" s="76">
        <f>C11+AA11+AY11+BW11+CU11+DS11+EQ11+FO11+GM11</f>
        <v>45</v>
      </c>
      <c r="HL11" s="77">
        <f>D11+AB11+AZ11+BX11+CV11+DT11+ER11+FP11+GN11</f>
        <v>45</v>
      </c>
      <c r="HM11" s="77">
        <f>E11+AC11+BA11+BY11+CW11+DU11+ES11+FQ11+GO11</f>
        <v>9</v>
      </c>
      <c r="HN11" s="77">
        <f>F11+AD11+BB11+BZ11+CX11+DV11+ET11+FR11+GP11</f>
        <v>9</v>
      </c>
      <c r="HO11" s="76">
        <f>G11+AE11+BC11+CA11+CY11+DW11+EU11+FS11+GQ11</f>
        <v>45</v>
      </c>
      <c r="HP11" s="78">
        <f>H11+AF11+BD11+CB11+CZ11+DX11+EV11+FT11+GR11</f>
        <v>45</v>
      </c>
      <c r="HQ11" s="76">
        <f>I11+AG11+BE11+CC11+DA11+DY11+EW11+FU11+GS11</f>
        <v>0</v>
      </c>
      <c r="HR11" s="78">
        <f>J11+AH11+BF11+CD11+DB11+DZ11+EX11+FV11+GT11</f>
        <v>0</v>
      </c>
      <c r="HS11" s="76">
        <f>K11+AI11+BG11+CE11+DC11+EA11+EY11+FW11+GU11</f>
        <v>0</v>
      </c>
      <c r="HT11" s="77">
        <f>L11+AJ11+BH11+CF11+DD11+EB11+EZ11+FX11+GV11</f>
        <v>0</v>
      </c>
      <c r="HU11" s="77">
        <f>M11+AK11+BI11+CG11+DE11+EC11+FA11+FY11+GW11</f>
        <v>0</v>
      </c>
      <c r="HV11" s="77">
        <f>N11+AL11+BJ11+CH11+DF11+ED11+FB11+FZ11+GX11</f>
        <v>0</v>
      </c>
      <c r="HW11" s="76">
        <f>O11+AM11+BK11+CI11+DG11+EE11+FC11+GA11+GY11</f>
        <v>0</v>
      </c>
      <c r="HX11" s="78">
        <f>P11+AN11+BL11+CJ11+DH11+EF11+FD11+GB11+GZ11</f>
        <v>0</v>
      </c>
      <c r="HY11" s="76">
        <f>Q11+AO11+BM11+CK11+DI11+EG11+FE11+GC11+HA11</f>
        <v>0</v>
      </c>
      <c r="HZ11" s="77">
        <f>R11+AP11+BN11+CL11+DJ11+EH11+FF11+GD11+HB11</f>
        <v>0</v>
      </c>
      <c r="IA11" s="77">
        <f>S11+AQ11+BO11+CM11+DK11+EI11+FG11+GE11+HC11</f>
        <v>0</v>
      </c>
      <c r="IB11" s="78">
        <f>T11+AR11+BP11+CN11+DL11+EJ11+FH11+GF11+HD11</f>
        <v>0</v>
      </c>
      <c r="IC11" s="79">
        <f>HS11/HK11</f>
        <v>0</v>
      </c>
      <c r="ID11" s="80">
        <f>HT11/HL11</f>
        <v>0</v>
      </c>
      <c r="IE11" s="80">
        <f>HU11/HM11</f>
        <v>0</v>
      </c>
      <c r="IF11" s="80">
        <f>HV11/HN11</f>
        <v>0</v>
      </c>
      <c r="IG11" s="80">
        <f>HW11/HO11</f>
        <v>0</v>
      </c>
      <c r="IH11" s="81">
        <f>HX11/HP11</f>
        <v>0</v>
      </c>
    </row>
    <row r="12" spans="1:261" s="6" customFormat="1" ht="39.950000000000003" customHeight="1" x14ac:dyDescent="0.25">
      <c r="A12" s="88" t="s">
        <v>8</v>
      </c>
      <c r="B12" s="8" t="s">
        <v>28</v>
      </c>
      <c r="C12" s="56">
        <v>5</v>
      </c>
      <c r="D12" s="57">
        <v>5</v>
      </c>
      <c r="E12" s="57">
        <v>1</v>
      </c>
      <c r="F12" s="57">
        <v>1</v>
      </c>
      <c r="G12" s="57">
        <v>5</v>
      </c>
      <c r="H12" s="58">
        <v>5</v>
      </c>
      <c r="I12" s="56">
        <v>62</v>
      </c>
      <c r="J12" s="58">
        <v>13</v>
      </c>
      <c r="K12" s="56">
        <v>2</v>
      </c>
      <c r="L12" s="57"/>
      <c r="M12" s="57"/>
      <c r="N12" s="57">
        <v>19</v>
      </c>
      <c r="O12" s="57">
        <v>4</v>
      </c>
      <c r="P12" s="58"/>
      <c r="Q12" s="56">
        <v>2</v>
      </c>
      <c r="R12" s="57">
        <v>19</v>
      </c>
      <c r="S12" s="59">
        <v>4</v>
      </c>
      <c r="T12" s="58">
        <v>0</v>
      </c>
      <c r="U12" s="60">
        <f>K12/C12</f>
        <v>0.4</v>
      </c>
      <c r="V12" s="61">
        <f>L12/D12</f>
        <v>0</v>
      </c>
      <c r="W12" s="61">
        <f>M12/E12</f>
        <v>0</v>
      </c>
      <c r="X12" s="61">
        <f>N12/F12</f>
        <v>19</v>
      </c>
      <c r="Y12" s="61">
        <f>O12/G12</f>
        <v>0.8</v>
      </c>
      <c r="Z12" s="62">
        <f>P12/H12</f>
        <v>0</v>
      </c>
      <c r="AA12" s="29">
        <v>5</v>
      </c>
      <c r="AB12" s="30">
        <v>5</v>
      </c>
      <c r="AC12" s="30">
        <v>1</v>
      </c>
      <c r="AD12" s="30">
        <v>1</v>
      </c>
      <c r="AE12" s="30">
        <v>5</v>
      </c>
      <c r="AF12" s="30">
        <v>5</v>
      </c>
      <c r="AG12" s="92">
        <v>56</v>
      </c>
      <c r="AH12" s="93">
        <v>16</v>
      </c>
      <c r="AI12" s="29">
        <v>1</v>
      </c>
      <c r="AJ12" s="30"/>
      <c r="AK12" s="30"/>
      <c r="AL12" s="30">
        <v>37</v>
      </c>
      <c r="AM12" s="30">
        <v>2</v>
      </c>
      <c r="AN12" s="31">
        <v>1</v>
      </c>
      <c r="AO12" s="29">
        <v>1</v>
      </c>
      <c r="AP12" s="30">
        <v>37</v>
      </c>
      <c r="AQ12" s="32">
        <v>3</v>
      </c>
      <c r="AR12" s="31">
        <v>0</v>
      </c>
      <c r="AS12" s="33">
        <f>AI12/AA12</f>
        <v>0.2</v>
      </c>
      <c r="AT12" s="34">
        <f>AJ12/AB12</f>
        <v>0</v>
      </c>
      <c r="AU12" s="34">
        <f>AK12/AC12</f>
        <v>0</v>
      </c>
      <c r="AV12" s="34">
        <f>AL12/AD12</f>
        <v>37</v>
      </c>
      <c r="AW12" s="34">
        <f>AM12/AE12</f>
        <v>0.4</v>
      </c>
      <c r="AX12" s="35">
        <f>AN12/AF12</f>
        <v>0.2</v>
      </c>
      <c r="AY12" s="56">
        <v>5</v>
      </c>
      <c r="AZ12" s="57">
        <v>5</v>
      </c>
      <c r="BA12" s="57">
        <v>1</v>
      </c>
      <c r="BB12" s="57">
        <v>1</v>
      </c>
      <c r="BC12" s="57">
        <v>5</v>
      </c>
      <c r="BD12" s="59">
        <v>5</v>
      </c>
      <c r="BE12" s="56">
        <v>32</v>
      </c>
      <c r="BF12" s="58">
        <v>6</v>
      </c>
      <c r="BG12" s="56"/>
      <c r="BH12" s="57"/>
      <c r="BI12" s="57">
        <v>0.5</v>
      </c>
      <c r="BJ12" s="57">
        <v>14</v>
      </c>
      <c r="BK12" s="57">
        <v>1</v>
      </c>
      <c r="BL12" s="58"/>
      <c r="BM12" s="56"/>
      <c r="BN12" s="57">
        <v>14</v>
      </c>
      <c r="BO12" s="59">
        <v>1</v>
      </c>
      <c r="BP12" s="58"/>
      <c r="BQ12" s="60">
        <f>BG12/AY12</f>
        <v>0</v>
      </c>
      <c r="BR12" s="61">
        <f>BH12/AZ12</f>
        <v>0</v>
      </c>
      <c r="BS12" s="61">
        <f>BI12/BA12</f>
        <v>0.5</v>
      </c>
      <c r="BT12" s="61">
        <f>BJ12/BB12</f>
        <v>14</v>
      </c>
      <c r="BU12" s="61">
        <f>BK12/BC12</f>
        <v>0.2</v>
      </c>
      <c r="BV12" s="62">
        <f>BL12/BD12</f>
        <v>0</v>
      </c>
      <c r="BW12" s="125">
        <v>5</v>
      </c>
      <c r="BX12" s="126">
        <v>5</v>
      </c>
      <c r="BY12" s="126">
        <v>1</v>
      </c>
      <c r="BZ12" s="126">
        <v>1</v>
      </c>
      <c r="CA12" s="126">
        <v>5</v>
      </c>
      <c r="CB12" s="126">
        <v>5</v>
      </c>
      <c r="CC12" s="127">
        <v>40</v>
      </c>
      <c r="CD12" s="128">
        <v>8</v>
      </c>
      <c r="CE12" s="125"/>
      <c r="CF12" s="126"/>
      <c r="CG12" s="126"/>
      <c r="CH12" s="126">
        <v>15</v>
      </c>
      <c r="CI12" s="126">
        <v>1</v>
      </c>
      <c r="CJ12" s="129"/>
      <c r="CK12" s="125"/>
      <c r="CL12" s="126">
        <v>15</v>
      </c>
      <c r="CM12" s="130">
        <v>1</v>
      </c>
      <c r="CN12" s="129"/>
      <c r="CO12" s="131">
        <f>CE12/BW12</f>
        <v>0</v>
      </c>
      <c r="CP12" s="132">
        <f>CF12/BX12</f>
        <v>0</v>
      </c>
      <c r="CQ12" s="132">
        <f>CG12/BY12</f>
        <v>0</v>
      </c>
      <c r="CR12" s="132">
        <f>CH12/BZ12</f>
        <v>15</v>
      </c>
      <c r="CS12" s="132">
        <f>CI12/CA12</f>
        <v>0.2</v>
      </c>
      <c r="CT12" s="133">
        <f>CJ12/CB12</f>
        <v>0</v>
      </c>
      <c r="CU12" s="56">
        <v>5</v>
      </c>
      <c r="CV12" s="57">
        <v>5</v>
      </c>
      <c r="CW12" s="57">
        <v>1</v>
      </c>
      <c r="CX12" s="57">
        <v>1</v>
      </c>
      <c r="CY12" s="57">
        <v>5</v>
      </c>
      <c r="CZ12" s="59">
        <v>5</v>
      </c>
      <c r="DA12" s="56">
        <v>42</v>
      </c>
      <c r="DB12" s="58">
        <v>6</v>
      </c>
      <c r="DC12" s="56"/>
      <c r="DD12" s="57"/>
      <c r="DE12" s="57">
        <v>1</v>
      </c>
      <c r="DF12" s="57">
        <v>78</v>
      </c>
      <c r="DG12" s="57"/>
      <c r="DH12" s="58"/>
      <c r="DI12" s="56"/>
      <c r="DJ12" s="57">
        <v>79</v>
      </c>
      <c r="DK12" s="59"/>
      <c r="DL12" s="58"/>
      <c r="DM12" s="60">
        <f>DC12/CU12</f>
        <v>0</v>
      </c>
      <c r="DN12" s="61">
        <f>DD12/CV12</f>
        <v>0</v>
      </c>
      <c r="DO12" s="61">
        <f>DE12/CW12</f>
        <v>1</v>
      </c>
      <c r="DP12" s="61">
        <f>DF12/CX12</f>
        <v>78</v>
      </c>
      <c r="DQ12" s="61">
        <f>DG12/CY12</f>
        <v>0</v>
      </c>
      <c r="DR12" s="62">
        <f>DH12/CZ12</f>
        <v>0</v>
      </c>
      <c r="DS12" s="29">
        <v>5</v>
      </c>
      <c r="DT12" s="30">
        <v>5</v>
      </c>
      <c r="DU12" s="30">
        <v>1</v>
      </c>
      <c r="DV12" s="30">
        <v>1</v>
      </c>
      <c r="DW12" s="30">
        <v>5</v>
      </c>
      <c r="DX12" s="30">
        <v>5</v>
      </c>
      <c r="DY12" s="92">
        <v>30</v>
      </c>
      <c r="DZ12" s="93">
        <v>3</v>
      </c>
      <c r="EA12" s="29"/>
      <c r="EB12" s="30"/>
      <c r="EC12" s="30"/>
      <c r="ED12" s="30">
        <v>3</v>
      </c>
      <c r="EE12" s="30">
        <v>1</v>
      </c>
      <c r="EF12" s="31"/>
      <c r="EG12" s="29"/>
      <c r="EH12" s="30">
        <v>3</v>
      </c>
      <c r="EI12" s="32">
        <v>1</v>
      </c>
      <c r="EJ12" s="31"/>
      <c r="EK12" s="33">
        <f>EA12/DS12</f>
        <v>0</v>
      </c>
      <c r="EL12" s="34">
        <f>EB12/DT12</f>
        <v>0</v>
      </c>
      <c r="EM12" s="34">
        <f>EC12/DU12</f>
        <v>0</v>
      </c>
      <c r="EN12" s="34">
        <f>ED12/DV12</f>
        <v>3</v>
      </c>
      <c r="EO12" s="34">
        <f>EE12/DW12</f>
        <v>0.2</v>
      </c>
      <c r="EP12" s="35">
        <f>EF12/DX12</f>
        <v>0</v>
      </c>
      <c r="EQ12" s="56">
        <v>5</v>
      </c>
      <c r="ER12" s="57">
        <v>5</v>
      </c>
      <c r="ES12" s="57">
        <v>1</v>
      </c>
      <c r="ET12" s="57">
        <v>1</v>
      </c>
      <c r="EU12" s="57">
        <v>5</v>
      </c>
      <c r="EV12" s="59">
        <v>5</v>
      </c>
      <c r="EW12" s="56">
        <v>32</v>
      </c>
      <c r="EX12" s="58">
        <v>2</v>
      </c>
      <c r="EY12" s="56"/>
      <c r="EZ12" s="57"/>
      <c r="FA12" s="57"/>
      <c r="FB12" s="57">
        <v>2</v>
      </c>
      <c r="FC12" s="57"/>
      <c r="FD12" s="58"/>
      <c r="FE12" s="56"/>
      <c r="FF12" s="57">
        <v>2</v>
      </c>
      <c r="FG12" s="59"/>
      <c r="FH12" s="58"/>
      <c r="FI12" s="60">
        <f>EY12/EQ12</f>
        <v>0</v>
      </c>
      <c r="FJ12" s="61">
        <f>EZ12/ER12</f>
        <v>0</v>
      </c>
      <c r="FK12" s="61">
        <f>FA12/ES12</f>
        <v>0</v>
      </c>
      <c r="FL12" s="61">
        <f>FB12/ET12</f>
        <v>2</v>
      </c>
      <c r="FM12" s="61">
        <f>FC12/EU12</f>
        <v>0</v>
      </c>
      <c r="FN12" s="62">
        <f>FD12/EV12</f>
        <v>0</v>
      </c>
      <c r="FO12" s="29">
        <v>5</v>
      </c>
      <c r="FP12" s="30">
        <v>5</v>
      </c>
      <c r="FQ12" s="30">
        <v>1</v>
      </c>
      <c r="FR12" s="30">
        <v>1</v>
      </c>
      <c r="FS12" s="30">
        <v>5</v>
      </c>
      <c r="FT12" s="30">
        <v>5</v>
      </c>
      <c r="FU12" s="92">
        <v>42</v>
      </c>
      <c r="FV12" s="93">
        <v>8</v>
      </c>
      <c r="FW12" s="29"/>
      <c r="FX12" s="30"/>
      <c r="FY12" s="30">
        <v>2</v>
      </c>
      <c r="FZ12" s="30">
        <v>18</v>
      </c>
      <c r="GA12" s="30">
        <v>1</v>
      </c>
      <c r="GB12" s="31"/>
      <c r="GC12" s="29"/>
      <c r="GD12" s="30">
        <v>20</v>
      </c>
      <c r="GE12" s="32">
        <v>1</v>
      </c>
      <c r="GF12" s="31"/>
      <c r="GG12" s="33">
        <f>FW12/FO12</f>
        <v>0</v>
      </c>
      <c r="GH12" s="34">
        <f>FX12/FP12</f>
        <v>0</v>
      </c>
      <c r="GI12" s="34">
        <f>FY12/FQ12</f>
        <v>2</v>
      </c>
      <c r="GJ12" s="34">
        <f>FZ12/FR12</f>
        <v>18</v>
      </c>
      <c r="GK12" s="34">
        <f>GA12/FS12</f>
        <v>0.2</v>
      </c>
      <c r="GL12" s="35">
        <f>GB12/FT12</f>
        <v>0</v>
      </c>
      <c r="GM12" s="56">
        <v>5</v>
      </c>
      <c r="GN12" s="57">
        <v>5</v>
      </c>
      <c r="GO12" s="57">
        <v>1</v>
      </c>
      <c r="GP12" s="57">
        <v>1</v>
      </c>
      <c r="GQ12" s="57">
        <v>5</v>
      </c>
      <c r="GR12" s="59">
        <v>5</v>
      </c>
      <c r="GS12" s="56">
        <v>54</v>
      </c>
      <c r="GT12" s="58">
        <v>6</v>
      </c>
      <c r="GU12" s="56"/>
      <c r="GV12" s="57"/>
      <c r="GW12" s="57"/>
      <c r="GX12" s="57">
        <v>8</v>
      </c>
      <c r="GY12" s="57"/>
      <c r="GZ12" s="58"/>
      <c r="HA12" s="56"/>
      <c r="HB12" s="57">
        <v>8</v>
      </c>
      <c r="HC12" s="59"/>
      <c r="HD12" s="58"/>
      <c r="HE12" s="60">
        <f>GU12/GM12</f>
        <v>0</v>
      </c>
      <c r="HF12" s="61">
        <f>GV12/GN12</f>
        <v>0</v>
      </c>
      <c r="HG12" s="61">
        <f>GW12/GO12</f>
        <v>0</v>
      </c>
      <c r="HH12" s="61">
        <f>GX12/GP12</f>
        <v>8</v>
      </c>
      <c r="HI12" s="61">
        <f>GY12/GQ12</f>
        <v>0</v>
      </c>
      <c r="HJ12" s="62">
        <f>GZ12/GR12</f>
        <v>0</v>
      </c>
      <c r="HK12" s="76">
        <f>C12+AA12+AY12+BW12+CU12+DS12+EQ12+FO12+GM12</f>
        <v>45</v>
      </c>
      <c r="HL12" s="77">
        <f>D12+AB12+AZ12+BX12+CV12+DT12+ER12+FP12+GN12</f>
        <v>45</v>
      </c>
      <c r="HM12" s="77">
        <f>E12+AC12+BA12+BY12+CW12+DU12+ES12+FQ12+GO12</f>
        <v>9</v>
      </c>
      <c r="HN12" s="77">
        <f>F12+AD12+BB12+BZ12+CX12+DV12+ET12+FR12+GP12</f>
        <v>9</v>
      </c>
      <c r="HO12" s="76">
        <f>G12+AE12+BC12+CA12+CY12+DW12+EU12+FS12+GQ12</f>
        <v>45</v>
      </c>
      <c r="HP12" s="78">
        <f>H12+AF12+BD12+CB12+CZ12+DX12+EV12+FT12+GR12</f>
        <v>45</v>
      </c>
      <c r="HQ12" s="76">
        <f>I12+AG12+BE12+CC12+DA12+DY12+EW12+FU12+GS12</f>
        <v>390</v>
      </c>
      <c r="HR12" s="78">
        <f>J12+AH12+BF12+CD12+DB12+DZ12+EX12+FV12+GT12</f>
        <v>68</v>
      </c>
      <c r="HS12" s="76">
        <f>K12+AI12+BG12+CE12+DC12+EA12+EY12+FW12+GU12</f>
        <v>3</v>
      </c>
      <c r="HT12" s="77">
        <f>L12+AJ12+BH12+CF12+DD12+EB12+EZ12+FX12+GV12</f>
        <v>0</v>
      </c>
      <c r="HU12" s="77">
        <f>M12+AK12+BI12+CG12+DE12+EC12+FA12+FY12+GW12</f>
        <v>3.5</v>
      </c>
      <c r="HV12" s="77">
        <f>N12+AL12+BJ12+CH12+DF12+ED12+FB12+FZ12+GX12</f>
        <v>194</v>
      </c>
      <c r="HW12" s="76">
        <f>O12+AM12+BK12+CI12+DG12+EE12+FC12+GA12+GY12</f>
        <v>10</v>
      </c>
      <c r="HX12" s="78">
        <f>P12+AN12+BL12+CJ12+DH12+EF12+FD12+GB12+GZ12</f>
        <v>1</v>
      </c>
      <c r="HY12" s="76">
        <f>Q12+AO12+BM12+CK12+DI12+EG12+FE12+GC12+HA12</f>
        <v>3</v>
      </c>
      <c r="HZ12" s="77">
        <f>R12+AP12+BN12+CL12+DJ12+EH12+FF12+GD12+HB12</f>
        <v>197</v>
      </c>
      <c r="IA12" s="77">
        <f>S12+AQ12+BO12+CM12+DK12+EI12+FG12+GE12+HC12</f>
        <v>11</v>
      </c>
      <c r="IB12" s="78">
        <f>T12+AR12+BP12+CN12+DL12+EJ12+FH12+GF12+HD12</f>
        <v>0</v>
      </c>
      <c r="IC12" s="79">
        <f>HS12/HK12</f>
        <v>6.6666666666666666E-2</v>
      </c>
      <c r="ID12" s="80">
        <f>HT12/HL12</f>
        <v>0</v>
      </c>
      <c r="IE12" s="80">
        <f>HU12/HM12</f>
        <v>0.3888888888888889</v>
      </c>
      <c r="IF12" s="80">
        <f>HV12/HN12</f>
        <v>21.555555555555557</v>
      </c>
      <c r="IG12" s="80">
        <f>HW12/HO12</f>
        <v>0.22222222222222221</v>
      </c>
      <c r="IH12" s="81">
        <f>HX12/HP12</f>
        <v>2.2222222222222223E-2</v>
      </c>
    </row>
    <row r="13" spans="1:261" s="5" customFormat="1" ht="39.950000000000003" customHeight="1" thickBot="1" x14ac:dyDescent="0.3">
      <c r="A13" s="89" t="s">
        <v>9</v>
      </c>
      <c r="B13" s="8" t="s">
        <v>26</v>
      </c>
      <c r="C13" s="56">
        <v>5</v>
      </c>
      <c r="D13" s="57">
        <v>5</v>
      </c>
      <c r="E13" s="57">
        <v>1</v>
      </c>
      <c r="F13" s="57">
        <v>1</v>
      </c>
      <c r="G13" s="57">
        <v>5</v>
      </c>
      <c r="H13" s="58">
        <v>5</v>
      </c>
      <c r="I13" s="56">
        <v>38</v>
      </c>
      <c r="J13" s="58">
        <v>1</v>
      </c>
      <c r="K13" s="56"/>
      <c r="L13" s="57"/>
      <c r="M13" s="57"/>
      <c r="N13" s="57"/>
      <c r="O13" s="57">
        <v>1</v>
      </c>
      <c r="P13" s="58"/>
      <c r="Q13" s="63"/>
      <c r="R13" s="64"/>
      <c r="S13" s="65">
        <v>1</v>
      </c>
      <c r="T13" s="66">
        <v>0</v>
      </c>
      <c r="U13" s="67">
        <f>K13/C13</f>
        <v>0</v>
      </c>
      <c r="V13" s="68">
        <f>L13/D13</f>
        <v>0</v>
      </c>
      <c r="W13" s="68">
        <f>M13/E13</f>
        <v>0</v>
      </c>
      <c r="X13" s="68">
        <f>N13/F13</f>
        <v>0</v>
      </c>
      <c r="Y13" s="68">
        <f>O13/G13</f>
        <v>0.2</v>
      </c>
      <c r="Z13" s="69">
        <f>P13/H13</f>
        <v>0</v>
      </c>
      <c r="AA13" s="29">
        <v>5</v>
      </c>
      <c r="AB13" s="30">
        <v>5</v>
      </c>
      <c r="AC13" s="30">
        <v>1</v>
      </c>
      <c r="AD13" s="30">
        <v>1</v>
      </c>
      <c r="AE13" s="30">
        <v>5</v>
      </c>
      <c r="AF13" s="30">
        <v>5</v>
      </c>
      <c r="AG13" s="94">
        <v>61</v>
      </c>
      <c r="AH13" s="95">
        <v>1</v>
      </c>
      <c r="AI13" s="29">
        <v>3</v>
      </c>
      <c r="AJ13" s="30"/>
      <c r="AK13" s="30"/>
      <c r="AL13" s="30"/>
      <c r="AM13" s="30">
        <v>3</v>
      </c>
      <c r="AN13" s="31"/>
      <c r="AO13" s="36">
        <v>3</v>
      </c>
      <c r="AP13" s="37"/>
      <c r="AQ13" s="38">
        <v>3</v>
      </c>
      <c r="AR13" s="39">
        <v>0</v>
      </c>
      <c r="AS13" s="40">
        <f>AI13/AA13</f>
        <v>0.6</v>
      </c>
      <c r="AT13" s="41">
        <f>AJ13/AB13</f>
        <v>0</v>
      </c>
      <c r="AU13" s="41">
        <f>AK13/AC13</f>
        <v>0</v>
      </c>
      <c r="AV13" s="41">
        <f>AL13/AD13</f>
        <v>0</v>
      </c>
      <c r="AW13" s="41">
        <f>AM13/AE13</f>
        <v>0.6</v>
      </c>
      <c r="AX13" s="42">
        <f>AN13/AF13</f>
        <v>0</v>
      </c>
      <c r="AY13" s="56">
        <v>5</v>
      </c>
      <c r="AZ13" s="57">
        <v>5</v>
      </c>
      <c r="BA13" s="57">
        <v>1</v>
      </c>
      <c r="BB13" s="57">
        <v>1</v>
      </c>
      <c r="BC13" s="57">
        <v>5</v>
      </c>
      <c r="BD13" s="59">
        <v>5</v>
      </c>
      <c r="BE13" s="56">
        <v>69</v>
      </c>
      <c r="BF13" s="58">
        <v>3</v>
      </c>
      <c r="BG13" s="56"/>
      <c r="BH13" s="57"/>
      <c r="BI13" s="57"/>
      <c r="BJ13" s="57">
        <v>6</v>
      </c>
      <c r="BK13" s="57"/>
      <c r="BL13" s="58">
        <v>1</v>
      </c>
      <c r="BM13" s="63"/>
      <c r="BN13" s="64">
        <v>6</v>
      </c>
      <c r="BO13" s="65">
        <v>1</v>
      </c>
      <c r="BP13" s="66"/>
      <c r="BQ13" s="67">
        <f>BG13/AY13</f>
        <v>0</v>
      </c>
      <c r="BR13" s="68">
        <f>BH13/AZ13</f>
        <v>0</v>
      </c>
      <c r="BS13" s="68">
        <f>BI13/BA13</f>
        <v>0</v>
      </c>
      <c r="BT13" s="68">
        <f>BJ13/BB13</f>
        <v>6</v>
      </c>
      <c r="BU13" s="68">
        <f>BK13/BC13</f>
        <v>0</v>
      </c>
      <c r="BV13" s="69">
        <f>BL13/BD13</f>
        <v>0.2</v>
      </c>
      <c r="BW13" s="125">
        <v>5</v>
      </c>
      <c r="BX13" s="126">
        <v>5</v>
      </c>
      <c r="BY13" s="126">
        <v>1</v>
      </c>
      <c r="BZ13" s="126">
        <v>1</v>
      </c>
      <c r="CA13" s="126">
        <v>5</v>
      </c>
      <c r="CB13" s="126">
        <v>5</v>
      </c>
      <c r="CC13" s="134">
        <v>72</v>
      </c>
      <c r="CD13" s="135">
        <v>1</v>
      </c>
      <c r="CE13" s="125"/>
      <c r="CF13" s="126"/>
      <c r="CG13" s="126"/>
      <c r="CH13" s="126"/>
      <c r="CI13" s="126">
        <v>1</v>
      </c>
      <c r="CJ13" s="129"/>
      <c r="CK13" s="136"/>
      <c r="CL13" s="137"/>
      <c r="CM13" s="138">
        <v>1</v>
      </c>
      <c r="CN13" s="139"/>
      <c r="CO13" s="140">
        <f>CE13/BW13</f>
        <v>0</v>
      </c>
      <c r="CP13" s="141">
        <f>CF13/BX13</f>
        <v>0</v>
      </c>
      <c r="CQ13" s="141">
        <f>CG13/BY13</f>
        <v>0</v>
      </c>
      <c r="CR13" s="141">
        <f>CH13/BZ13</f>
        <v>0</v>
      </c>
      <c r="CS13" s="141">
        <f>CI13/CA13</f>
        <v>0.2</v>
      </c>
      <c r="CT13" s="142">
        <f>CJ13/CB13</f>
        <v>0</v>
      </c>
      <c r="CU13" s="56">
        <v>5</v>
      </c>
      <c r="CV13" s="57">
        <v>5</v>
      </c>
      <c r="CW13" s="57">
        <v>1</v>
      </c>
      <c r="CX13" s="57">
        <v>1</v>
      </c>
      <c r="CY13" s="57">
        <v>5</v>
      </c>
      <c r="CZ13" s="59">
        <v>5</v>
      </c>
      <c r="DA13" s="56">
        <v>52</v>
      </c>
      <c r="DB13" s="58">
        <v>1</v>
      </c>
      <c r="DC13" s="56"/>
      <c r="DD13" s="57"/>
      <c r="DE13" s="57"/>
      <c r="DF13" s="57"/>
      <c r="DG13" s="57">
        <v>1</v>
      </c>
      <c r="DH13" s="58"/>
      <c r="DI13" s="63"/>
      <c r="DJ13" s="64"/>
      <c r="DK13" s="65">
        <v>1</v>
      </c>
      <c r="DL13" s="66"/>
      <c r="DM13" s="67">
        <f>DC13/CU13</f>
        <v>0</v>
      </c>
      <c r="DN13" s="68">
        <f>DD13/CV13</f>
        <v>0</v>
      </c>
      <c r="DO13" s="68">
        <f>DE13/CW13</f>
        <v>0</v>
      </c>
      <c r="DP13" s="68">
        <f>DF13/CX13</f>
        <v>0</v>
      </c>
      <c r="DQ13" s="68">
        <f>DG13/CY13</f>
        <v>0.2</v>
      </c>
      <c r="DR13" s="69">
        <f>DH13/CZ13</f>
        <v>0</v>
      </c>
      <c r="DS13" s="29">
        <v>5</v>
      </c>
      <c r="DT13" s="30">
        <v>5</v>
      </c>
      <c r="DU13" s="30">
        <v>1</v>
      </c>
      <c r="DV13" s="30">
        <v>1</v>
      </c>
      <c r="DW13" s="30">
        <v>5</v>
      </c>
      <c r="DX13" s="30">
        <v>5</v>
      </c>
      <c r="DY13" s="94">
        <v>72</v>
      </c>
      <c r="DZ13" s="95">
        <v>2</v>
      </c>
      <c r="EA13" s="29"/>
      <c r="EB13" s="30"/>
      <c r="EC13" s="30"/>
      <c r="ED13" s="30"/>
      <c r="EE13" s="30">
        <v>2</v>
      </c>
      <c r="EF13" s="31"/>
      <c r="EG13" s="36"/>
      <c r="EH13" s="37"/>
      <c r="EI13" s="38">
        <v>2</v>
      </c>
      <c r="EJ13" s="39"/>
      <c r="EK13" s="40">
        <f>EA13/DS13</f>
        <v>0</v>
      </c>
      <c r="EL13" s="41">
        <f>EB13/DT13</f>
        <v>0</v>
      </c>
      <c r="EM13" s="41">
        <f>EC13/DU13</f>
        <v>0</v>
      </c>
      <c r="EN13" s="41">
        <f>ED13/DV13</f>
        <v>0</v>
      </c>
      <c r="EO13" s="41">
        <f>EE13/DW13</f>
        <v>0.4</v>
      </c>
      <c r="EP13" s="42">
        <f>EF13/DX13</f>
        <v>0</v>
      </c>
      <c r="EQ13" s="56">
        <v>5</v>
      </c>
      <c r="ER13" s="57">
        <v>5</v>
      </c>
      <c r="ES13" s="57">
        <v>1</v>
      </c>
      <c r="ET13" s="57">
        <v>1</v>
      </c>
      <c r="EU13" s="57">
        <v>5</v>
      </c>
      <c r="EV13" s="59">
        <v>5</v>
      </c>
      <c r="EW13" s="56">
        <v>59</v>
      </c>
      <c r="EX13" s="58">
        <v>1</v>
      </c>
      <c r="EY13" s="56"/>
      <c r="EZ13" s="57"/>
      <c r="FA13" s="57"/>
      <c r="FB13" s="57">
        <v>1</v>
      </c>
      <c r="FC13" s="57"/>
      <c r="FD13" s="58"/>
      <c r="FE13" s="63"/>
      <c r="FF13" s="64">
        <v>1</v>
      </c>
      <c r="FG13" s="65"/>
      <c r="FH13" s="66"/>
      <c r="FI13" s="67">
        <f>EY13/EQ13</f>
        <v>0</v>
      </c>
      <c r="FJ13" s="68">
        <f>EZ13/ER13</f>
        <v>0</v>
      </c>
      <c r="FK13" s="68">
        <f>FA13/ES13</f>
        <v>0</v>
      </c>
      <c r="FL13" s="68">
        <f>FB13/ET13</f>
        <v>1</v>
      </c>
      <c r="FM13" s="68">
        <f>FC13/EU13</f>
        <v>0</v>
      </c>
      <c r="FN13" s="69">
        <f>FD13/EV13</f>
        <v>0</v>
      </c>
      <c r="FO13" s="29">
        <v>5</v>
      </c>
      <c r="FP13" s="30">
        <v>5</v>
      </c>
      <c r="FQ13" s="30">
        <v>1</v>
      </c>
      <c r="FR13" s="30">
        <v>1</v>
      </c>
      <c r="FS13" s="30">
        <v>5</v>
      </c>
      <c r="FT13" s="30">
        <v>5</v>
      </c>
      <c r="FU13" s="94">
        <v>64</v>
      </c>
      <c r="FV13" s="95">
        <v>3</v>
      </c>
      <c r="FW13" s="29"/>
      <c r="FX13" s="30"/>
      <c r="FY13" s="30"/>
      <c r="FZ13" s="30">
        <v>1</v>
      </c>
      <c r="GA13" s="30">
        <v>1</v>
      </c>
      <c r="GB13" s="31">
        <v>1</v>
      </c>
      <c r="GC13" s="36"/>
      <c r="GD13" s="37">
        <v>1</v>
      </c>
      <c r="GE13" s="38">
        <v>2</v>
      </c>
      <c r="GF13" s="39"/>
      <c r="GG13" s="40">
        <f>FW13/FO13</f>
        <v>0</v>
      </c>
      <c r="GH13" s="41">
        <f>FX13/FP13</f>
        <v>0</v>
      </c>
      <c r="GI13" s="41">
        <f>FY13/FQ13</f>
        <v>0</v>
      </c>
      <c r="GJ13" s="41">
        <f>FZ13/FR13</f>
        <v>1</v>
      </c>
      <c r="GK13" s="41">
        <f>GA13/FS13</f>
        <v>0.2</v>
      </c>
      <c r="GL13" s="42">
        <f>GB13/FT13</f>
        <v>0.2</v>
      </c>
      <c r="GM13" s="56">
        <v>5</v>
      </c>
      <c r="GN13" s="57">
        <v>5</v>
      </c>
      <c r="GO13" s="57">
        <v>1</v>
      </c>
      <c r="GP13" s="57">
        <v>1</v>
      </c>
      <c r="GQ13" s="57">
        <v>5</v>
      </c>
      <c r="GR13" s="59">
        <v>5</v>
      </c>
      <c r="GS13" s="56">
        <v>69</v>
      </c>
      <c r="GT13" s="58">
        <v>0</v>
      </c>
      <c r="GU13" s="56"/>
      <c r="GV13" s="57"/>
      <c r="GW13" s="57"/>
      <c r="GX13" s="57"/>
      <c r="GY13" s="57"/>
      <c r="GZ13" s="58"/>
      <c r="HA13" s="63"/>
      <c r="HB13" s="64"/>
      <c r="HC13" s="65"/>
      <c r="HD13" s="66"/>
      <c r="HE13" s="67">
        <f>GU13/GM13</f>
        <v>0</v>
      </c>
      <c r="HF13" s="68">
        <f>GV13/GN13</f>
        <v>0</v>
      </c>
      <c r="HG13" s="68">
        <f>GW13/GO13</f>
        <v>0</v>
      </c>
      <c r="HH13" s="68">
        <f>GX13/GP13</f>
        <v>0</v>
      </c>
      <c r="HI13" s="68">
        <f>GY13/GQ13</f>
        <v>0</v>
      </c>
      <c r="HJ13" s="69">
        <f>GZ13/GR13</f>
        <v>0</v>
      </c>
      <c r="HK13" s="76">
        <f>C13+AA13+AY13+BW13+CU13+DS13+EQ13+FO13+GM13</f>
        <v>45</v>
      </c>
      <c r="HL13" s="77">
        <f>D13+AB13+AZ13+BX13+CV13+DT13+ER13+FP13+GN13</f>
        <v>45</v>
      </c>
      <c r="HM13" s="77">
        <f>E13+AC13+BA13+BY13+CW13+DU13+ES13+FQ13+GO13</f>
        <v>9</v>
      </c>
      <c r="HN13" s="77">
        <f>F13+AD13+BB13+BZ13+CX13+DV13+ET13+FR13+GP13</f>
        <v>9</v>
      </c>
      <c r="HO13" s="76">
        <f>G13+AE13+BC13+CA13+CY13+DW13+EU13+FS13+GQ13</f>
        <v>45</v>
      </c>
      <c r="HP13" s="78">
        <f>H13+AF13+BD13+CB13+CZ13+DX13+EV13+FT13+GR13</f>
        <v>45</v>
      </c>
      <c r="HQ13" s="76">
        <f>I13+AG13+BE13+CC13+DA13+DY13+EW13+FU13+GS13</f>
        <v>556</v>
      </c>
      <c r="HR13" s="78">
        <f>J13+AH13+BF13+CD13+DB13+DZ13+EX13+FV13+GT13</f>
        <v>13</v>
      </c>
      <c r="HS13" s="76">
        <f>K13+AI13+BG13+CE13+DC13+EA13+EY13+FW13+GU13</f>
        <v>3</v>
      </c>
      <c r="HT13" s="77">
        <f>L13+AJ13+BH13+CF13+DD13+EB13+EZ13+FX13+GV13</f>
        <v>0</v>
      </c>
      <c r="HU13" s="77">
        <f>M13+AK13+BI13+CG13+DE13+EC13+FA13+FY13+GW13</f>
        <v>0</v>
      </c>
      <c r="HV13" s="77">
        <f>N13+AL13+BJ13+CH13+DF13+ED13+FB13+FZ13+GX13</f>
        <v>8</v>
      </c>
      <c r="HW13" s="76">
        <f>O13+AM13+BK13+CI13+DG13+EE13+FC13+GA13+GY13</f>
        <v>9</v>
      </c>
      <c r="HX13" s="78">
        <f>P13+AN13+BL13+CJ13+DH13+EF13+FD13+GB13+GZ13</f>
        <v>2</v>
      </c>
      <c r="HY13" s="76">
        <f>Q13+AO13+BM13+CK13+DI13+EG13+FE13+GC13+HA13</f>
        <v>3</v>
      </c>
      <c r="HZ13" s="77">
        <f>R13+AP13+BN13+CL13+DJ13+EH13+FF13+GD13+HB13</f>
        <v>8</v>
      </c>
      <c r="IA13" s="77">
        <f>S13+AQ13+BO13+CM13+DK13+EI13+FG13+GE13+HC13</f>
        <v>11</v>
      </c>
      <c r="IB13" s="78">
        <f>T13+AR13+BP13+CN13+DL13+EJ13+FH13+GF13+HD13</f>
        <v>0</v>
      </c>
      <c r="IC13" s="82">
        <f>HS13/HK13</f>
        <v>6.6666666666666666E-2</v>
      </c>
      <c r="ID13" s="83">
        <f>HT13/HL13</f>
        <v>0</v>
      </c>
      <c r="IE13" s="83">
        <f>HU13/HM13</f>
        <v>0</v>
      </c>
      <c r="IF13" s="83">
        <f>HV13/HN13</f>
        <v>0.88888888888888884</v>
      </c>
      <c r="IG13" s="83">
        <f>HW13/HO13</f>
        <v>0.2</v>
      </c>
      <c r="IH13" s="84">
        <f>HX13/HP13</f>
        <v>4.4444444444444446E-2</v>
      </c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</row>
    <row r="14" spans="1:261" s="86" customFormat="1" ht="39.950000000000003" customHeight="1" thickBot="1" x14ac:dyDescent="0.3">
      <c r="A14" s="100" t="s">
        <v>0</v>
      </c>
      <c r="B14" s="100"/>
      <c r="C14" s="9">
        <f t="shared" ref="C14:H14" si="0">SUM(C9:C13)</f>
        <v>25</v>
      </c>
      <c r="D14" s="10">
        <f t="shared" si="0"/>
        <v>25</v>
      </c>
      <c r="E14" s="10">
        <f t="shared" si="0"/>
        <v>5</v>
      </c>
      <c r="F14" s="10">
        <f t="shared" si="0"/>
        <v>5</v>
      </c>
      <c r="G14" s="10">
        <f t="shared" si="0"/>
        <v>25</v>
      </c>
      <c r="H14" s="11">
        <f t="shared" si="0"/>
        <v>25</v>
      </c>
      <c r="I14" s="9">
        <f>SUM(I9:I13)</f>
        <v>164</v>
      </c>
      <c r="J14" s="11">
        <f>SUM(J9:J13)</f>
        <v>15</v>
      </c>
      <c r="K14" s="9">
        <f t="shared" ref="K14:P14" si="1">SUM(K9:K13)</f>
        <v>3</v>
      </c>
      <c r="L14" s="10">
        <f t="shared" si="1"/>
        <v>0</v>
      </c>
      <c r="M14" s="10">
        <f t="shared" si="1"/>
        <v>0</v>
      </c>
      <c r="N14" s="10">
        <f t="shared" si="1"/>
        <v>19</v>
      </c>
      <c r="O14" s="10">
        <f t="shared" si="1"/>
        <v>5</v>
      </c>
      <c r="P14" s="11">
        <f t="shared" si="1"/>
        <v>0</v>
      </c>
      <c r="Q14" s="9">
        <f>SUM(Q9:Q13)</f>
        <v>3</v>
      </c>
      <c r="R14" s="10">
        <f>SUM(R9:R13)</f>
        <v>19</v>
      </c>
      <c r="S14" s="12">
        <f>SUM(S9:S13)</f>
        <v>5</v>
      </c>
      <c r="T14" s="11">
        <f>SUM(T9:T13)</f>
        <v>0</v>
      </c>
      <c r="U14" s="14">
        <f>K14/C14</f>
        <v>0.12</v>
      </c>
      <c r="V14" s="15">
        <f>L14/D14</f>
        <v>0</v>
      </c>
      <c r="W14" s="15">
        <f>M14/E14</f>
        <v>0</v>
      </c>
      <c r="X14" s="15">
        <f>N14/F14</f>
        <v>3.8</v>
      </c>
      <c r="Y14" s="15">
        <f>O14/G14</f>
        <v>0.2</v>
      </c>
      <c r="Z14" s="16">
        <f>P14/H14</f>
        <v>0</v>
      </c>
      <c r="AA14" s="9">
        <f t="shared" ref="AA14:AN14" si="2">SUM(AA9:AA13)</f>
        <v>25</v>
      </c>
      <c r="AB14" s="10">
        <f t="shared" si="2"/>
        <v>25</v>
      </c>
      <c r="AC14" s="10">
        <f t="shared" si="2"/>
        <v>5</v>
      </c>
      <c r="AD14" s="10">
        <f t="shared" si="2"/>
        <v>5</v>
      </c>
      <c r="AE14" s="10">
        <f t="shared" si="2"/>
        <v>25</v>
      </c>
      <c r="AF14" s="10">
        <f t="shared" si="2"/>
        <v>25</v>
      </c>
      <c r="AG14" s="96">
        <f>SUM(AG9:AG13)</f>
        <v>217</v>
      </c>
      <c r="AH14" s="97">
        <f>SUM(AH9:AH13)</f>
        <v>20</v>
      </c>
      <c r="AI14" s="9">
        <f t="shared" si="2"/>
        <v>5</v>
      </c>
      <c r="AJ14" s="10">
        <f t="shared" si="2"/>
        <v>0</v>
      </c>
      <c r="AK14" s="10">
        <f t="shared" si="2"/>
        <v>0</v>
      </c>
      <c r="AL14" s="10">
        <f t="shared" si="2"/>
        <v>37</v>
      </c>
      <c r="AM14" s="10">
        <f t="shared" si="2"/>
        <v>6</v>
      </c>
      <c r="AN14" s="11">
        <f t="shared" si="2"/>
        <v>2</v>
      </c>
      <c r="AO14" s="9">
        <f>SUM(AO9:AO13)</f>
        <v>6</v>
      </c>
      <c r="AP14" s="10">
        <f>SUM(AP9:AP13)</f>
        <v>37</v>
      </c>
      <c r="AQ14" s="12">
        <f>SUM(AQ9:AQ13)</f>
        <v>7</v>
      </c>
      <c r="AR14" s="11">
        <f>SUM(AR9:AR13)</f>
        <v>0</v>
      </c>
      <c r="AS14" s="14">
        <f>AI14/AA14</f>
        <v>0.2</v>
      </c>
      <c r="AT14" s="15">
        <f>AJ14/AB14</f>
        <v>0</v>
      </c>
      <c r="AU14" s="15">
        <f>AK14/AC14</f>
        <v>0</v>
      </c>
      <c r="AV14" s="15">
        <f>AL14/AD14</f>
        <v>7.4</v>
      </c>
      <c r="AW14" s="15">
        <f>AM14/AE14</f>
        <v>0.24</v>
      </c>
      <c r="AX14" s="16">
        <f>AN14/AF14</f>
        <v>0.08</v>
      </c>
      <c r="AY14" s="9">
        <f t="shared" ref="AY14:BD14" si="3">SUM(AY9:AY13)</f>
        <v>25</v>
      </c>
      <c r="AZ14" s="10">
        <f t="shared" si="3"/>
        <v>25</v>
      </c>
      <c r="BA14" s="10">
        <f t="shared" si="3"/>
        <v>5</v>
      </c>
      <c r="BB14" s="10">
        <f t="shared" si="3"/>
        <v>5</v>
      </c>
      <c r="BC14" s="10">
        <f t="shared" si="3"/>
        <v>25</v>
      </c>
      <c r="BD14" s="12">
        <f t="shared" si="3"/>
        <v>25</v>
      </c>
      <c r="BE14" s="9">
        <f>SUM(BE9:BE13)</f>
        <v>192</v>
      </c>
      <c r="BF14" s="11">
        <f>SUM(BF9:BF13)</f>
        <v>11</v>
      </c>
      <c r="BG14" s="9">
        <f t="shared" ref="BG14:BL14" si="4">SUM(BG9:BG13)</f>
        <v>2</v>
      </c>
      <c r="BH14" s="10">
        <f t="shared" si="4"/>
        <v>0</v>
      </c>
      <c r="BI14" s="10">
        <f t="shared" si="4"/>
        <v>0.5</v>
      </c>
      <c r="BJ14" s="10">
        <f t="shared" si="4"/>
        <v>20</v>
      </c>
      <c r="BK14" s="10">
        <f t="shared" si="4"/>
        <v>1</v>
      </c>
      <c r="BL14" s="11">
        <f t="shared" si="4"/>
        <v>1</v>
      </c>
      <c r="BM14" s="9">
        <f>SUM(BM9:BM13)</f>
        <v>2</v>
      </c>
      <c r="BN14" s="10">
        <f>SUM(BN9:BN13)</f>
        <v>20</v>
      </c>
      <c r="BO14" s="12">
        <f>SUM(BO9:BO13)</f>
        <v>2</v>
      </c>
      <c r="BP14" s="11">
        <f>SUM(BP9:BP13)</f>
        <v>0</v>
      </c>
      <c r="BQ14" s="14">
        <f>BG14/AY14</f>
        <v>0.08</v>
      </c>
      <c r="BR14" s="15">
        <f>BH14/AZ14</f>
        <v>0</v>
      </c>
      <c r="BS14" s="15">
        <f>BI14/BA14</f>
        <v>0.1</v>
      </c>
      <c r="BT14" s="15">
        <f>BJ14/BB14</f>
        <v>4</v>
      </c>
      <c r="BU14" s="15">
        <f>BK14/BC14</f>
        <v>0.04</v>
      </c>
      <c r="BV14" s="16">
        <f>BL14/BD14</f>
        <v>0.04</v>
      </c>
      <c r="BW14" s="101">
        <f t="shared" ref="BW14:CB14" si="5">SUM(BW9:BW13)</f>
        <v>25</v>
      </c>
      <c r="BX14" s="102">
        <f t="shared" si="5"/>
        <v>25</v>
      </c>
      <c r="BY14" s="102">
        <f t="shared" si="5"/>
        <v>5</v>
      </c>
      <c r="BZ14" s="102">
        <f t="shared" si="5"/>
        <v>5</v>
      </c>
      <c r="CA14" s="102">
        <f t="shared" si="5"/>
        <v>25</v>
      </c>
      <c r="CB14" s="102">
        <f t="shared" si="5"/>
        <v>25</v>
      </c>
      <c r="CC14" s="103">
        <f>SUM(CC9:CC13)</f>
        <v>154</v>
      </c>
      <c r="CD14" s="104">
        <f>SUM(CD9:CD13)</f>
        <v>11</v>
      </c>
      <c r="CE14" s="101">
        <f t="shared" ref="CE14:CJ14" si="6">SUM(CE9:CE13)</f>
        <v>1</v>
      </c>
      <c r="CF14" s="102">
        <f t="shared" si="6"/>
        <v>0</v>
      </c>
      <c r="CG14" s="102">
        <f t="shared" si="6"/>
        <v>0</v>
      </c>
      <c r="CH14" s="102">
        <f t="shared" si="6"/>
        <v>15</v>
      </c>
      <c r="CI14" s="102">
        <f t="shared" si="6"/>
        <v>2</v>
      </c>
      <c r="CJ14" s="105">
        <f t="shared" si="6"/>
        <v>1</v>
      </c>
      <c r="CK14" s="101">
        <f>SUM(CK9:CK13)</f>
        <v>1</v>
      </c>
      <c r="CL14" s="102">
        <f>SUM(CL9:CL13)</f>
        <v>15</v>
      </c>
      <c r="CM14" s="106">
        <f>SUM(CM9:CM13)</f>
        <v>3</v>
      </c>
      <c r="CN14" s="105">
        <f>SUM(CN9:CN13)</f>
        <v>0</v>
      </c>
      <c r="CO14" s="107">
        <f>CE14/BW14</f>
        <v>0.04</v>
      </c>
      <c r="CP14" s="108">
        <f>CF14/BX14</f>
        <v>0</v>
      </c>
      <c r="CQ14" s="108">
        <f>CG14/BY14</f>
        <v>0</v>
      </c>
      <c r="CR14" s="108">
        <f>CH14/BZ14</f>
        <v>3</v>
      </c>
      <c r="CS14" s="108">
        <f>CI14/CA14</f>
        <v>0.08</v>
      </c>
      <c r="CT14" s="109">
        <f>CJ14/CB14</f>
        <v>0.04</v>
      </c>
      <c r="CU14" s="9">
        <f t="shared" ref="CU14:CZ14" si="7">SUM(CU9:CU13)</f>
        <v>25</v>
      </c>
      <c r="CV14" s="10">
        <f t="shared" si="7"/>
        <v>25</v>
      </c>
      <c r="CW14" s="10">
        <f t="shared" si="7"/>
        <v>5</v>
      </c>
      <c r="CX14" s="10">
        <f t="shared" si="7"/>
        <v>5</v>
      </c>
      <c r="CY14" s="10">
        <f t="shared" si="7"/>
        <v>25</v>
      </c>
      <c r="CZ14" s="12">
        <f t="shared" si="7"/>
        <v>25</v>
      </c>
      <c r="DA14" s="9">
        <f>SUM(DA9:DA13)</f>
        <v>146</v>
      </c>
      <c r="DB14" s="11">
        <f>SUM(DB9:DB13)</f>
        <v>7</v>
      </c>
      <c r="DC14" s="9">
        <f t="shared" ref="DC14:DH14" si="8">SUM(DC9:DC13)</f>
        <v>0</v>
      </c>
      <c r="DD14" s="10">
        <f t="shared" si="8"/>
        <v>0</v>
      </c>
      <c r="DE14" s="10">
        <f t="shared" si="8"/>
        <v>1</v>
      </c>
      <c r="DF14" s="10">
        <f t="shared" si="8"/>
        <v>78</v>
      </c>
      <c r="DG14" s="10">
        <f t="shared" si="8"/>
        <v>1</v>
      </c>
      <c r="DH14" s="11">
        <f t="shared" si="8"/>
        <v>0</v>
      </c>
      <c r="DI14" s="9">
        <f>SUM(DI9:DI13)</f>
        <v>0</v>
      </c>
      <c r="DJ14" s="10">
        <f>SUM(DJ9:DJ13)</f>
        <v>79</v>
      </c>
      <c r="DK14" s="12">
        <f>SUM(DK9:DK13)</f>
        <v>1</v>
      </c>
      <c r="DL14" s="11">
        <f>SUM(DL9:DL13)</f>
        <v>0</v>
      </c>
      <c r="DM14" s="14">
        <f>DC14/CU14</f>
        <v>0</v>
      </c>
      <c r="DN14" s="15">
        <f>DD14/CV14</f>
        <v>0</v>
      </c>
      <c r="DO14" s="15">
        <f>DE14/CW14</f>
        <v>0.2</v>
      </c>
      <c r="DP14" s="15">
        <f>DF14/CX14</f>
        <v>15.6</v>
      </c>
      <c r="DQ14" s="15">
        <f>DG14/CY14</f>
        <v>0.04</v>
      </c>
      <c r="DR14" s="16">
        <f>DH14/CZ14</f>
        <v>0</v>
      </c>
      <c r="DS14" s="9">
        <f t="shared" ref="DS14:DX14" si="9">SUM(DS9:DS13)</f>
        <v>25</v>
      </c>
      <c r="DT14" s="10">
        <f t="shared" si="9"/>
        <v>25</v>
      </c>
      <c r="DU14" s="10">
        <f t="shared" si="9"/>
        <v>5</v>
      </c>
      <c r="DV14" s="10">
        <f t="shared" si="9"/>
        <v>5</v>
      </c>
      <c r="DW14" s="10">
        <f t="shared" si="9"/>
        <v>25</v>
      </c>
      <c r="DX14" s="10">
        <f t="shared" si="9"/>
        <v>25</v>
      </c>
      <c r="DY14" s="96">
        <f>SUM(DY9:DY13)</f>
        <v>173</v>
      </c>
      <c r="DZ14" s="97">
        <f>SUM(DZ9:DZ13)</f>
        <v>7</v>
      </c>
      <c r="EA14" s="9">
        <f t="shared" ref="EA14:EF14" si="10">SUM(EA9:EA13)</f>
        <v>1</v>
      </c>
      <c r="EB14" s="10">
        <f t="shared" si="10"/>
        <v>0</v>
      </c>
      <c r="EC14" s="10">
        <f t="shared" si="10"/>
        <v>0</v>
      </c>
      <c r="ED14" s="10">
        <f t="shared" si="10"/>
        <v>3</v>
      </c>
      <c r="EE14" s="10">
        <f t="shared" si="10"/>
        <v>3</v>
      </c>
      <c r="EF14" s="11">
        <f t="shared" si="10"/>
        <v>1</v>
      </c>
      <c r="EG14" s="9">
        <f>SUM(EG9:EG13)</f>
        <v>1</v>
      </c>
      <c r="EH14" s="10">
        <f>SUM(EH9:EH13)</f>
        <v>3</v>
      </c>
      <c r="EI14" s="12">
        <f>SUM(EI9:EI13)</f>
        <v>4</v>
      </c>
      <c r="EJ14" s="11">
        <f>SUM(EJ9:EJ13)</f>
        <v>0</v>
      </c>
      <c r="EK14" s="14">
        <f>EA14/DS14</f>
        <v>0.04</v>
      </c>
      <c r="EL14" s="15">
        <f>EB14/DT14</f>
        <v>0</v>
      </c>
      <c r="EM14" s="15">
        <f>EC14/DU14</f>
        <v>0</v>
      </c>
      <c r="EN14" s="15">
        <f>ED14/DV14</f>
        <v>0.6</v>
      </c>
      <c r="EO14" s="15">
        <f>EE14/DW14</f>
        <v>0.12</v>
      </c>
      <c r="EP14" s="16">
        <f>EF14/DX14</f>
        <v>0.04</v>
      </c>
      <c r="EQ14" s="9">
        <f t="shared" ref="EQ14:EV14" si="11">SUM(EQ9:EQ13)</f>
        <v>25</v>
      </c>
      <c r="ER14" s="10">
        <f t="shared" si="11"/>
        <v>25</v>
      </c>
      <c r="ES14" s="10">
        <f t="shared" si="11"/>
        <v>5</v>
      </c>
      <c r="ET14" s="10">
        <f t="shared" si="11"/>
        <v>5</v>
      </c>
      <c r="EU14" s="10">
        <f t="shared" si="11"/>
        <v>25</v>
      </c>
      <c r="EV14" s="12">
        <f t="shared" si="11"/>
        <v>25</v>
      </c>
      <c r="EW14" s="9">
        <f>SUM(EW9:EW13)</f>
        <v>158</v>
      </c>
      <c r="EX14" s="11">
        <f>SUM(EX9:EX13)</f>
        <v>3</v>
      </c>
      <c r="EY14" s="9">
        <f t="shared" ref="EY14:FD14" si="12">SUM(EY9:EY13)</f>
        <v>0</v>
      </c>
      <c r="EZ14" s="10">
        <f t="shared" si="12"/>
        <v>0</v>
      </c>
      <c r="FA14" s="10">
        <f t="shared" si="12"/>
        <v>0</v>
      </c>
      <c r="FB14" s="10">
        <f t="shared" si="12"/>
        <v>3</v>
      </c>
      <c r="FC14" s="10">
        <f t="shared" si="12"/>
        <v>0</v>
      </c>
      <c r="FD14" s="11">
        <f t="shared" si="12"/>
        <v>0</v>
      </c>
      <c r="FE14" s="9">
        <f>SUM(FE9:FE13)</f>
        <v>0</v>
      </c>
      <c r="FF14" s="10">
        <f>SUM(FF9:FF13)</f>
        <v>3</v>
      </c>
      <c r="FG14" s="12">
        <f>SUM(FG9:FG13)</f>
        <v>0</v>
      </c>
      <c r="FH14" s="11">
        <f>SUM(FH9:FH13)</f>
        <v>0</v>
      </c>
      <c r="FI14" s="14">
        <f>EY14/EQ14</f>
        <v>0</v>
      </c>
      <c r="FJ14" s="15">
        <f>EZ14/ER14</f>
        <v>0</v>
      </c>
      <c r="FK14" s="15">
        <f>FA14/ES14</f>
        <v>0</v>
      </c>
      <c r="FL14" s="15">
        <f>FB14/ET14</f>
        <v>0.6</v>
      </c>
      <c r="FM14" s="15">
        <f>FC14/EU14</f>
        <v>0</v>
      </c>
      <c r="FN14" s="16">
        <f>FD14/EV14</f>
        <v>0</v>
      </c>
      <c r="FO14" s="9">
        <f t="shared" ref="FO14:FT14" si="13">SUM(FO9:FO13)</f>
        <v>25</v>
      </c>
      <c r="FP14" s="10">
        <f t="shared" si="13"/>
        <v>25</v>
      </c>
      <c r="FQ14" s="10">
        <f t="shared" si="13"/>
        <v>5</v>
      </c>
      <c r="FR14" s="10">
        <f t="shared" si="13"/>
        <v>5</v>
      </c>
      <c r="FS14" s="10">
        <f t="shared" si="13"/>
        <v>25</v>
      </c>
      <c r="FT14" s="10">
        <f t="shared" si="13"/>
        <v>25</v>
      </c>
      <c r="FU14" s="96">
        <f>SUM(FU9:FU13)</f>
        <v>157</v>
      </c>
      <c r="FV14" s="97">
        <f>SUM(FV9:FV13)</f>
        <v>14</v>
      </c>
      <c r="FW14" s="9">
        <f t="shared" ref="FW14:GB14" si="14">SUM(FW9:FW13)</f>
        <v>7</v>
      </c>
      <c r="FX14" s="10">
        <f t="shared" si="14"/>
        <v>0</v>
      </c>
      <c r="FY14" s="10">
        <f t="shared" si="14"/>
        <v>2</v>
      </c>
      <c r="FZ14" s="10">
        <f t="shared" si="14"/>
        <v>19</v>
      </c>
      <c r="GA14" s="10">
        <f t="shared" si="14"/>
        <v>9</v>
      </c>
      <c r="GB14" s="11">
        <f t="shared" si="14"/>
        <v>1</v>
      </c>
      <c r="GC14" s="9">
        <f>SUM(GC9:GC13)</f>
        <v>7</v>
      </c>
      <c r="GD14" s="10">
        <f>SUM(GD9:GD13)</f>
        <v>21</v>
      </c>
      <c r="GE14" s="12">
        <f>SUM(GE9:GE13)</f>
        <v>10</v>
      </c>
      <c r="GF14" s="11">
        <f>SUM(GF9:GF13)</f>
        <v>0</v>
      </c>
      <c r="GG14" s="14">
        <f>FW14/FO14</f>
        <v>0.28000000000000003</v>
      </c>
      <c r="GH14" s="15">
        <f>FX14/FP14</f>
        <v>0</v>
      </c>
      <c r="GI14" s="15">
        <f>FY14/FQ14</f>
        <v>0.4</v>
      </c>
      <c r="GJ14" s="15">
        <f>FZ14/FR14</f>
        <v>3.8</v>
      </c>
      <c r="GK14" s="15">
        <f>GA14/FS14</f>
        <v>0.36</v>
      </c>
      <c r="GL14" s="16">
        <f>GB14/FT14</f>
        <v>0.04</v>
      </c>
      <c r="GM14" s="9">
        <f t="shared" ref="GM14:GR14" si="15">SUM(GM9:GM13)</f>
        <v>25</v>
      </c>
      <c r="GN14" s="10">
        <f t="shared" si="15"/>
        <v>25</v>
      </c>
      <c r="GO14" s="10">
        <f t="shared" si="15"/>
        <v>5</v>
      </c>
      <c r="GP14" s="10">
        <f t="shared" si="15"/>
        <v>5</v>
      </c>
      <c r="GQ14" s="10">
        <f t="shared" si="15"/>
        <v>25</v>
      </c>
      <c r="GR14" s="12">
        <f t="shared" si="15"/>
        <v>25</v>
      </c>
      <c r="GS14" s="9">
        <f>SUM(GS9:GS13)</f>
        <v>155</v>
      </c>
      <c r="GT14" s="11">
        <f>SUM(GT9:GT13)</f>
        <v>7</v>
      </c>
      <c r="GU14" s="9">
        <f t="shared" ref="GU14:GZ14" si="16">SUM(GU9:GU13)</f>
        <v>6</v>
      </c>
      <c r="GV14" s="10">
        <f t="shared" si="16"/>
        <v>0</v>
      </c>
      <c r="GW14" s="10">
        <f t="shared" si="16"/>
        <v>0</v>
      </c>
      <c r="GX14" s="10">
        <f t="shared" si="16"/>
        <v>8</v>
      </c>
      <c r="GY14" s="10">
        <f t="shared" si="16"/>
        <v>0</v>
      </c>
      <c r="GZ14" s="11">
        <f t="shared" si="16"/>
        <v>0</v>
      </c>
      <c r="HA14" s="9">
        <f>SUM(HA9:HA13)</f>
        <v>6</v>
      </c>
      <c r="HB14" s="10">
        <f>SUM(HB9:HB13)</f>
        <v>8</v>
      </c>
      <c r="HC14" s="12">
        <f>SUM(HC9:HC13)</f>
        <v>0</v>
      </c>
      <c r="HD14" s="11">
        <f>SUM(HD9:HD13)</f>
        <v>0</v>
      </c>
      <c r="HE14" s="14">
        <f>GU14/GM14</f>
        <v>0.24</v>
      </c>
      <c r="HF14" s="15">
        <f>GV14/GN14</f>
        <v>0</v>
      </c>
      <c r="HG14" s="15">
        <f>GW14/GO14</f>
        <v>0</v>
      </c>
      <c r="HH14" s="15">
        <f>GX14/GP14</f>
        <v>1.6</v>
      </c>
      <c r="HI14" s="15">
        <f>GY14/GQ14</f>
        <v>0</v>
      </c>
      <c r="HJ14" s="16">
        <f>GZ14/GR14</f>
        <v>0</v>
      </c>
      <c r="HK14" s="9">
        <f t="shared" ref="HK14:HX14" si="17">SUM(HK9:HK13)</f>
        <v>225</v>
      </c>
      <c r="HL14" s="10">
        <f t="shared" si="17"/>
        <v>225</v>
      </c>
      <c r="HM14" s="10">
        <f t="shared" si="17"/>
        <v>45</v>
      </c>
      <c r="HN14" s="10">
        <f t="shared" si="17"/>
        <v>45</v>
      </c>
      <c r="HO14" s="9">
        <f t="shared" si="17"/>
        <v>225</v>
      </c>
      <c r="HP14" s="11">
        <f t="shared" si="17"/>
        <v>225</v>
      </c>
      <c r="HQ14" s="9">
        <f>SUM(HQ9:HQ13)</f>
        <v>1516</v>
      </c>
      <c r="HR14" s="11">
        <f>SUM(HR9:HR13)</f>
        <v>95</v>
      </c>
      <c r="HS14" s="9">
        <f t="shared" si="17"/>
        <v>25</v>
      </c>
      <c r="HT14" s="10">
        <f t="shared" si="17"/>
        <v>0</v>
      </c>
      <c r="HU14" s="10">
        <f t="shared" si="17"/>
        <v>3.5</v>
      </c>
      <c r="HV14" s="10">
        <f t="shared" si="17"/>
        <v>202</v>
      </c>
      <c r="HW14" s="9">
        <f t="shared" si="17"/>
        <v>27</v>
      </c>
      <c r="HX14" s="11">
        <f t="shared" si="17"/>
        <v>6</v>
      </c>
      <c r="HY14" s="9">
        <f>SUM(HY9:HY13)</f>
        <v>26</v>
      </c>
      <c r="HZ14" s="10">
        <f>SUM(HZ9:HZ13)</f>
        <v>205</v>
      </c>
      <c r="IA14" s="10">
        <f>SUM(IA9:IA13)</f>
        <v>32</v>
      </c>
      <c r="IB14" s="11">
        <f>SUM(IB9:IB13)</f>
        <v>0</v>
      </c>
      <c r="IC14" s="14">
        <f>HS14/HK14</f>
        <v>0.1111111111111111</v>
      </c>
      <c r="ID14" s="15">
        <f>HT14/HL14</f>
        <v>0</v>
      </c>
      <c r="IE14" s="15">
        <f>HU14/HM14</f>
        <v>7.7777777777777779E-2</v>
      </c>
      <c r="IF14" s="15">
        <f>HV14/HN14</f>
        <v>4.4888888888888889</v>
      </c>
      <c r="IG14" s="15">
        <f>HW14/HO14</f>
        <v>0.12</v>
      </c>
      <c r="IH14" s="16">
        <f>HX14/HP14</f>
        <v>2.6666666666666668E-2</v>
      </c>
    </row>
    <row r="18" spans="4:229" x14ac:dyDescent="0.25">
      <c r="HU18" s="2" t="s">
        <v>34</v>
      </c>
    </row>
    <row r="21" spans="4:229" x14ac:dyDescent="0.25">
      <c r="D21" s="2">
        <v>2</v>
      </c>
    </row>
  </sheetData>
  <mergeCells count="134">
    <mergeCell ref="BE5:BE8"/>
    <mergeCell ref="AY4:BV4"/>
    <mergeCell ref="AY5:BD6"/>
    <mergeCell ref="BG5:BL6"/>
    <mergeCell ref="BM5:BP7"/>
    <mergeCell ref="BQ5:BV6"/>
    <mergeCell ref="AY7:BB7"/>
    <mergeCell ref="BC7:BD7"/>
    <mergeCell ref="BG7:BJ7"/>
    <mergeCell ref="BK7:BL7"/>
    <mergeCell ref="BQ7:BT7"/>
    <mergeCell ref="BU7:BV7"/>
    <mergeCell ref="BF5:BF8"/>
    <mergeCell ref="A1:Z1"/>
    <mergeCell ref="A2:Z2"/>
    <mergeCell ref="A4:A8"/>
    <mergeCell ref="C5:H6"/>
    <mergeCell ref="B4:B8"/>
    <mergeCell ref="C7:F7"/>
    <mergeCell ref="I5:I8"/>
    <mergeCell ref="J5:J8"/>
    <mergeCell ref="U5:Z6"/>
    <mergeCell ref="U7:X7"/>
    <mergeCell ref="Y7:Z7"/>
    <mergeCell ref="C4:Z4"/>
    <mergeCell ref="Q5:T7"/>
    <mergeCell ref="G7:H7"/>
    <mergeCell ref="K5:P6"/>
    <mergeCell ref="K7:N7"/>
    <mergeCell ref="O7:P7"/>
    <mergeCell ref="AA4:AX4"/>
    <mergeCell ref="AA5:AF6"/>
    <mergeCell ref="AI5:AN6"/>
    <mergeCell ref="AO5:AR7"/>
    <mergeCell ref="AS5:AX6"/>
    <mergeCell ref="AA7:AD7"/>
    <mergeCell ref="AE7:AF7"/>
    <mergeCell ref="AI7:AL7"/>
    <mergeCell ref="AM7:AN7"/>
    <mergeCell ref="AS7:AV7"/>
    <mergeCell ref="AW7:AX7"/>
    <mergeCell ref="AG5:AG8"/>
    <mergeCell ref="AH5:AH8"/>
    <mergeCell ref="HK4:IH4"/>
    <mergeCell ref="HK5:HP6"/>
    <mergeCell ref="HS5:HX6"/>
    <mergeCell ref="HY5:IB7"/>
    <mergeCell ref="IC5:IH6"/>
    <mergeCell ref="HK7:HN7"/>
    <mergeCell ref="HO7:HP7"/>
    <mergeCell ref="HS7:HV7"/>
    <mergeCell ref="HW7:HX7"/>
    <mergeCell ref="IC7:IF7"/>
    <mergeCell ref="IG7:IH7"/>
    <mergeCell ref="HQ5:HQ8"/>
    <mergeCell ref="HR5:HR8"/>
    <mergeCell ref="BW4:CT4"/>
    <mergeCell ref="BW5:CB6"/>
    <mergeCell ref="CC5:CC8"/>
    <mergeCell ref="CD5:CD8"/>
    <mergeCell ref="CE5:CJ6"/>
    <mergeCell ref="CK5:CN7"/>
    <mergeCell ref="CO5:CT6"/>
    <mergeCell ref="BW7:BZ7"/>
    <mergeCell ref="CA7:CB7"/>
    <mergeCell ref="CE7:CH7"/>
    <mergeCell ref="CI7:CJ7"/>
    <mergeCell ref="CO7:CR7"/>
    <mergeCell ref="CS7:CT7"/>
    <mergeCell ref="CU4:DR4"/>
    <mergeCell ref="CU5:CZ6"/>
    <mergeCell ref="DA5:DA8"/>
    <mergeCell ref="DB5:DB8"/>
    <mergeCell ref="DC5:DH6"/>
    <mergeCell ref="DI5:DL7"/>
    <mergeCell ref="DM5:DR6"/>
    <mergeCell ref="CU7:CX7"/>
    <mergeCell ref="CY7:CZ7"/>
    <mergeCell ref="DC7:DF7"/>
    <mergeCell ref="DG7:DH7"/>
    <mergeCell ref="DM7:DP7"/>
    <mergeCell ref="DQ7:DR7"/>
    <mergeCell ref="DS4:EP4"/>
    <mergeCell ref="DS5:DX6"/>
    <mergeCell ref="DY5:DY8"/>
    <mergeCell ref="DZ5:DZ8"/>
    <mergeCell ref="EA5:EF6"/>
    <mergeCell ref="EG5:EJ7"/>
    <mergeCell ref="EK5:EP6"/>
    <mergeCell ref="DS7:DV7"/>
    <mergeCell ref="DW7:DX7"/>
    <mergeCell ref="EA7:ED7"/>
    <mergeCell ref="EE7:EF7"/>
    <mergeCell ref="EK7:EN7"/>
    <mergeCell ref="EO7:EP7"/>
    <mergeCell ref="EQ4:FN4"/>
    <mergeCell ref="EQ5:EV6"/>
    <mergeCell ref="EW5:EW8"/>
    <mergeCell ref="EX5:EX8"/>
    <mergeCell ref="EY5:FD6"/>
    <mergeCell ref="FE5:FH7"/>
    <mergeCell ref="FI5:FN6"/>
    <mergeCell ref="EQ7:ET7"/>
    <mergeCell ref="EU7:EV7"/>
    <mergeCell ref="EY7:FB7"/>
    <mergeCell ref="FC7:FD7"/>
    <mergeCell ref="FI7:FL7"/>
    <mergeCell ref="FM7:FN7"/>
    <mergeCell ref="FO4:GL4"/>
    <mergeCell ref="FO5:FT6"/>
    <mergeCell ref="FU5:FU8"/>
    <mergeCell ref="FV5:FV8"/>
    <mergeCell ref="FW5:GB6"/>
    <mergeCell ref="GC5:GF7"/>
    <mergeCell ref="GG5:GL6"/>
    <mergeCell ref="FO7:FR7"/>
    <mergeCell ref="FS7:FT7"/>
    <mergeCell ref="FW7:FZ7"/>
    <mergeCell ref="GA7:GB7"/>
    <mergeCell ref="GG7:GJ7"/>
    <mergeCell ref="GK7:GL7"/>
    <mergeCell ref="GM4:HJ4"/>
    <mergeCell ref="GM5:GR6"/>
    <mergeCell ref="GS5:GS8"/>
    <mergeCell ref="GT5:GT8"/>
    <mergeCell ref="GU5:GZ6"/>
    <mergeCell ref="HA5:HD7"/>
    <mergeCell ref="HE5:HJ6"/>
    <mergeCell ref="GM7:GP7"/>
    <mergeCell ref="GQ7:GR7"/>
    <mergeCell ref="GU7:GX7"/>
    <mergeCell ref="GY7:GZ7"/>
    <mergeCell ref="HE7:HH7"/>
    <mergeCell ref="HI7:HJ7"/>
  </mergeCells>
  <pageMargins left="0.19685039370078741" right="0.11811023622047245" top="0.74803149606299213" bottom="0.74803149606299213" header="0.31496062992125984" footer="0.31496062992125984"/>
  <pageSetup paperSize="9" scale="15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>HELC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TANOH</dc:creator>
  <cp:lastModifiedBy>BLANCH</cp:lastModifiedBy>
  <cp:lastPrinted>2014-06-10T03:22:17Z</cp:lastPrinted>
  <dcterms:created xsi:type="dcterms:W3CDTF">2014-06-03T22:09:22Z</dcterms:created>
  <dcterms:modified xsi:type="dcterms:W3CDTF">2026-02-04T21:14:59Z</dcterms:modified>
</cp:coreProperties>
</file>