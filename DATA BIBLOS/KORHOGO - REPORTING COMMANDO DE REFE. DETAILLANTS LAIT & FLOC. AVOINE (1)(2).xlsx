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240" windowHeight="13740" activeTab="2"/>
  </bookViews>
  <sheets>
    <sheet name="Lundi " sheetId="58" r:id="rId1"/>
    <sheet name="Mardi" sheetId="178" r:id="rId2"/>
    <sheet name="Mercredi" sheetId="179" r:id="rId3"/>
    <sheet name="Jeudi" sheetId="180" r:id="rId4"/>
    <sheet name="Vendredi" sheetId="181" r:id="rId5"/>
    <sheet name="Samedi" sheetId="182" r:id="rId6"/>
    <sheet name="Synthèse semaine" sheetId="183" r:id="rId7"/>
  </sheets>
  <calcPr calcId="1456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3" i="180" l="1"/>
  <c r="AG25" i="179" l="1"/>
  <c r="AG13" i="58"/>
  <c r="BC27" i="182"/>
  <c r="BA27" i="182"/>
  <c r="BA25" i="182"/>
  <c r="BC25" i="182"/>
  <c r="BC24" i="182"/>
  <c r="BC21" i="182"/>
  <c r="BA21" i="182"/>
  <c r="BC18" i="182"/>
  <c r="BA18" i="182"/>
  <c r="BC16" i="182"/>
  <c r="BA16" i="182"/>
  <c r="BC15" i="182"/>
  <c r="BA15" i="182"/>
  <c r="BC13" i="182"/>
  <c r="BA11" i="182"/>
  <c r="BC10" i="182"/>
  <c r="BC8" i="182"/>
  <c r="AG24" i="182"/>
  <c r="AG25" i="182"/>
  <c r="AG26" i="182"/>
  <c r="AG27" i="182"/>
  <c r="AG20" i="182"/>
  <c r="AG23" i="182"/>
  <c r="AG22" i="182"/>
  <c r="AG21" i="182"/>
  <c r="AG19" i="182"/>
  <c r="AG18" i="182"/>
  <c r="AG16" i="182"/>
  <c r="AG15" i="182"/>
  <c r="AG14" i="182"/>
  <c r="AG13" i="182"/>
  <c r="AG12" i="182"/>
  <c r="AG11" i="182"/>
  <c r="AG10" i="182"/>
  <c r="AG9" i="182"/>
  <c r="AG8" i="182"/>
  <c r="BA27" i="181"/>
  <c r="BC25" i="181"/>
  <c r="BC24" i="181"/>
  <c r="BA23" i="181"/>
  <c r="BC21" i="181"/>
  <c r="BA21" i="181"/>
  <c r="BC20" i="181"/>
  <c r="BA19" i="181"/>
  <c r="BC18" i="181"/>
  <c r="BA18" i="181"/>
  <c r="BC16" i="181"/>
  <c r="BC14" i="181"/>
  <c r="BA14" i="181"/>
  <c r="BC13" i="181"/>
  <c r="BA13" i="181"/>
  <c r="BC12" i="181"/>
  <c r="BC11" i="181"/>
  <c r="BA11" i="181"/>
  <c r="BC10" i="181"/>
  <c r="BC8" i="181"/>
  <c r="BA8" i="181"/>
  <c r="AG13" i="181"/>
  <c r="AG12" i="181"/>
  <c r="AG11" i="181"/>
  <c r="AG10" i="181"/>
  <c r="AG9" i="181"/>
  <c r="AG8" i="181"/>
  <c r="AG27" i="181"/>
  <c r="AG26" i="181"/>
  <c r="AG25" i="181"/>
  <c r="AG24" i="181"/>
  <c r="AG23" i="181"/>
  <c r="AG22" i="181"/>
  <c r="AG21" i="181"/>
  <c r="AG20" i="181"/>
  <c r="AG19" i="181"/>
  <c r="AG18" i="181"/>
  <c r="AG17" i="181"/>
  <c r="AG16" i="181"/>
  <c r="AG15" i="181"/>
  <c r="AG14" i="181"/>
  <c r="BA27" i="180"/>
  <c r="BC27" i="180"/>
  <c r="BC24" i="180"/>
  <c r="BA24" i="180"/>
  <c r="BA26" i="180"/>
  <c r="BC22" i="180"/>
  <c r="BA22" i="180"/>
  <c r="BC21" i="180"/>
  <c r="BA21" i="180"/>
  <c r="BC20" i="180"/>
  <c r="BA20" i="180"/>
  <c r="BA18" i="180"/>
  <c r="BC18" i="180"/>
  <c r="BC17" i="180"/>
  <c r="BA17" i="180"/>
  <c r="BC16" i="180"/>
  <c r="BA15" i="180"/>
  <c r="BC15" i="180"/>
  <c r="BC14" i="180"/>
  <c r="BC13" i="180"/>
  <c r="BA13" i="180"/>
  <c r="BC12" i="180"/>
  <c r="BA11" i="180"/>
  <c r="BC10" i="180"/>
  <c r="BC9" i="180"/>
  <c r="BC8" i="180"/>
  <c r="BA8" i="180"/>
  <c r="AQ26" i="180"/>
  <c r="AQ21" i="180"/>
  <c r="AQ25" i="180"/>
  <c r="AQ27" i="180"/>
  <c r="AQ24" i="180"/>
  <c r="AQ23" i="180"/>
  <c r="AQ22" i="180"/>
  <c r="AQ20" i="180"/>
  <c r="AQ19" i="180"/>
  <c r="AQ18" i="180"/>
  <c r="AQ17" i="180"/>
  <c r="AQ16" i="180"/>
  <c r="AQ15" i="180"/>
  <c r="AQ14" i="180"/>
  <c r="AQ13" i="180"/>
  <c r="AQ12" i="180"/>
  <c r="AQ11" i="180"/>
  <c r="AQ10" i="180"/>
  <c r="AQ9" i="180"/>
  <c r="AQ8" i="180"/>
  <c r="AG27" i="180"/>
  <c r="AG26" i="180"/>
  <c r="AG25" i="180"/>
  <c r="AG24" i="180"/>
  <c r="AG23" i="180"/>
  <c r="AG22" i="180"/>
  <c r="AG21" i="180"/>
  <c r="AG20" i="180"/>
  <c r="AG19" i="180"/>
  <c r="AG18" i="180"/>
  <c r="AG17" i="180"/>
  <c r="AG16" i="180"/>
  <c r="AG15" i="180"/>
  <c r="AG14" i="180"/>
  <c r="AG13" i="180"/>
  <c r="AG12" i="180"/>
  <c r="AG11" i="180"/>
  <c r="AG10" i="180"/>
  <c r="AG8" i="180"/>
  <c r="AG9" i="180"/>
  <c r="BC27" i="179"/>
  <c r="BA27" i="179"/>
  <c r="BC26" i="179"/>
  <c r="BC24" i="179"/>
  <c r="BC21" i="179"/>
  <c r="BA21" i="179"/>
  <c r="BA20" i="179"/>
  <c r="BC19" i="179"/>
  <c r="BC17" i="179"/>
  <c r="BA17" i="179"/>
  <c r="BC16" i="179"/>
  <c r="BC15" i="179"/>
  <c r="BA15" i="179"/>
  <c r="BC13" i="179"/>
  <c r="BC12" i="179"/>
  <c r="BA12" i="179"/>
  <c r="BC11" i="179"/>
  <c r="BA11" i="179"/>
  <c r="BC10" i="179"/>
  <c r="BA10" i="179"/>
  <c r="BC9" i="179"/>
  <c r="BA9" i="179"/>
  <c r="BC8" i="179"/>
  <c r="AG27" i="179"/>
  <c r="AG26" i="179"/>
  <c r="AG24" i="179"/>
  <c r="AG23" i="179"/>
  <c r="AG22" i="179"/>
  <c r="AG21" i="179"/>
  <c r="AG20" i="179"/>
  <c r="AG19" i="179"/>
  <c r="AG18" i="179"/>
  <c r="AG17" i="179"/>
  <c r="AG16" i="179"/>
  <c r="AG15" i="179"/>
  <c r="AG14" i="179"/>
  <c r="AG13" i="179"/>
  <c r="AG12" i="179"/>
  <c r="AG11" i="179"/>
  <c r="AG10" i="179"/>
  <c r="AG9" i="179"/>
  <c r="AG8" i="179"/>
  <c r="BA26" i="178"/>
  <c r="BC27" i="178"/>
  <c r="BC26" i="178"/>
  <c r="BC25" i="178"/>
  <c r="BC24" i="178"/>
  <c r="BA24" i="178"/>
  <c r="BC23" i="178"/>
  <c r="BA22" i="178"/>
  <c r="BC22" i="178"/>
  <c r="BC21" i="178"/>
  <c r="BC20" i="178"/>
  <c r="BA20" i="178"/>
  <c r="BC19" i="178"/>
  <c r="BA19" i="178"/>
  <c r="BA18" i="178"/>
  <c r="BC18" i="178"/>
  <c r="BC17" i="178"/>
  <c r="BA16" i="178"/>
  <c r="BC15" i="178"/>
  <c r="BA15" i="178"/>
  <c r="BC13" i="178"/>
  <c r="BC12" i="178"/>
  <c r="BC11" i="178"/>
  <c r="BA11" i="178"/>
  <c r="BC10" i="178"/>
  <c r="BA10" i="178"/>
  <c r="BC9" i="178"/>
  <c r="BA9" i="178"/>
  <c r="BC8" i="178"/>
  <c r="BA8" i="178"/>
  <c r="AG27" i="178"/>
  <c r="AG26" i="178"/>
  <c r="AG25" i="178"/>
  <c r="AG24" i="178"/>
  <c r="AG23" i="178"/>
  <c r="AG22" i="178"/>
  <c r="AG21" i="178"/>
  <c r="AG20" i="178"/>
  <c r="AG19" i="178"/>
  <c r="AG18" i="178"/>
  <c r="AG17" i="178"/>
  <c r="AG16" i="178"/>
  <c r="AG15" i="178"/>
  <c r="AG14" i="178"/>
  <c r="AG13" i="178"/>
  <c r="AG12" i="178"/>
  <c r="AG11" i="178"/>
  <c r="AG10" i="178"/>
  <c r="AG9" i="178"/>
  <c r="AG8" i="178"/>
  <c r="AG27" i="58"/>
  <c r="AG26" i="58"/>
  <c r="AG25" i="58"/>
  <c r="AG24" i="58"/>
  <c r="AG23" i="58"/>
  <c r="AG22" i="58"/>
  <c r="W27" i="58"/>
  <c r="W26" i="58"/>
  <c r="W25" i="58"/>
  <c r="W24" i="58"/>
  <c r="W23" i="58"/>
  <c r="W22" i="58"/>
  <c r="W21" i="58"/>
  <c r="W20" i="58"/>
  <c r="W19" i="58"/>
  <c r="W18" i="58"/>
  <c r="W17" i="58"/>
  <c r="W16" i="58"/>
  <c r="W15" i="58"/>
  <c r="W14" i="58"/>
  <c r="W13" i="58"/>
  <c r="W12" i="58"/>
  <c r="W11" i="58"/>
  <c r="W10" i="58"/>
  <c r="W9" i="58"/>
  <c r="W8" i="58"/>
  <c r="AG21" i="58"/>
  <c r="AG20" i="58"/>
  <c r="AG19" i="58"/>
  <c r="AG18" i="58"/>
  <c r="AG17" i="58"/>
  <c r="AG16" i="58"/>
  <c r="AG15" i="58"/>
  <c r="AG14" i="58"/>
  <c r="AG12" i="58"/>
  <c r="AG11" i="58"/>
  <c r="AG10" i="58"/>
  <c r="AG9" i="58"/>
  <c r="AP2" i="58"/>
  <c r="AG8" i="58"/>
  <c r="AQ27" i="182"/>
  <c r="AQ26" i="182"/>
  <c r="AQ25" i="182"/>
  <c r="AQ23" i="182"/>
  <c r="AQ22" i="182"/>
  <c r="AQ21" i="182"/>
  <c r="AQ20" i="182"/>
  <c r="AQ18" i="182"/>
  <c r="AQ17" i="182"/>
  <c r="AQ16" i="182"/>
  <c r="AQ15" i="182"/>
  <c r="AQ13" i="182"/>
  <c r="AQ11" i="182"/>
  <c r="AQ9" i="182"/>
  <c r="AQ8" i="182"/>
  <c r="AS27" i="182"/>
  <c r="AS19" i="182"/>
  <c r="AS10" i="182"/>
  <c r="AS27" i="181"/>
  <c r="AS25" i="181"/>
  <c r="AS23" i="181"/>
  <c r="AS22" i="181"/>
  <c r="AS21" i="181"/>
  <c r="AS19" i="181"/>
  <c r="AS18" i="181"/>
  <c r="AS17" i="181"/>
  <c r="AS14" i="181"/>
  <c r="AS13" i="181"/>
  <c r="AS11" i="181"/>
  <c r="AS8" i="181"/>
  <c r="AQ16" i="181"/>
  <c r="AQ23" i="181"/>
  <c r="AQ27" i="181"/>
  <c r="AQ24" i="181"/>
  <c r="AQ26" i="181"/>
  <c r="AQ21" i="181"/>
  <c r="AQ20" i="181"/>
  <c r="AQ19" i="181"/>
  <c r="AQ18" i="181"/>
  <c r="AQ15" i="181"/>
  <c r="AQ14" i="181"/>
  <c r="AQ13" i="181"/>
  <c r="AQ11" i="181"/>
  <c r="AQ10" i="181"/>
  <c r="AQ9" i="181"/>
  <c r="AQ8" i="181"/>
  <c r="AS13" i="180"/>
  <c r="AS20" i="180"/>
  <c r="AS27" i="180"/>
  <c r="AS26" i="180"/>
  <c r="AS24" i="180"/>
  <c r="AS22" i="180"/>
  <c r="AS21" i="180"/>
  <c r="AS18" i="180"/>
  <c r="AS17" i="180"/>
  <c r="AS15" i="180"/>
  <c r="AS11" i="180"/>
  <c r="AS8" i="180"/>
  <c r="AS8" i="179"/>
  <c r="AS9" i="179"/>
  <c r="AS10" i="179"/>
  <c r="AS11" i="179"/>
  <c r="AS12" i="179"/>
  <c r="AS13" i="179"/>
  <c r="AS15" i="179"/>
  <c r="AS17" i="179"/>
  <c r="AS20" i="179"/>
  <c r="AS21" i="179"/>
  <c r="AS23" i="179"/>
  <c r="AS26" i="179"/>
  <c r="AS27" i="179"/>
  <c r="AQ27" i="179" l="1"/>
  <c r="AQ25" i="179"/>
  <c r="AQ24" i="179"/>
  <c r="AQ22" i="179"/>
  <c r="AQ21" i="179"/>
  <c r="AQ20" i="179"/>
  <c r="AQ18" i="179"/>
  <c r="AQ17" i="179"/>
  <c r="AQ16" i="179"/>
  <c r="AQ15" i="179"/>
  <c r="AQ14" i="179"/>
  <c r="AQ12" i="179"/>
  <c r="AQ11" i="179"/>
  <c r="AQ10" i="179"/>
  <c r="AQ9" i="179"/>
  <c r="AQ22" i="178"/>
  <c r="AS19" i="178"/>
  <c r="AU18" i="178"/>
  <c r="AW32" i="178"/>
  <c r="AV32" i="178"/>
  <c r="AX32" i="178" s="1"/>
  <c r="AU21" i="178"/>
  <c r="AU20" i="178"/>
  <c r="AW3" i="178"/>
  <c r="AS26" i="178"/>
  <c r="AS8" i="178"/>
  <c r="AS9" i="178"/>
  <c r="AS10" i="178"/>
  <c r="AS11" i="178"/>
  <c r="AS15" i="178"/>
  <c r="AS16" i="178"/>
  <c r="AS18" i="178"/>
  <c r="AS20" i="178"/>
  <c r="AS22" i="178"/>
  <c r="AS24" i="178"/>
  <c r="AQ8" i="178"/>
  <c r="AQ20" i="178"/>
  <c r="AQ23" i="178"/>
  <c r="AQ18" i="178"/>
  <c r="AQ11" i="178"/>
  <c r="AQ21" i="178"/>
  <c r="AQ24" i="178"/>
  <c r="AQ25" i="178"/>
  <c r="AQ26" i="178"/>
  <c r="AQ17" i="178"/>
  <c r="AQ15" i="178"/>
  <c r="AQ14" i="178"/>
  <c r="AQ13" i="178"/>
  <c r="AQ9" i="178"/>
  <c r="BC27" i="58" l="1"/>
  <c r="BC26" i="58"/>
  <c r="BC25" i="58"/>
  <c r="BC24" i="58"/>
  <c r="BC23" i="58"/>
  <c r="BC22" i="58"/>
  <c r="BC21" i="58"/>
  <c r="BC20" i="58"/>
  <c r="BC19" i="58"/>
  <c r="BC18" i="58"/>
  <c r="BC17" i="58"/>
  <c r="BC16" i="58"/>
  <c r="BC15" i="58"/>
  <c r="BC14" i="58"/>
  <c r="BC13" i="58"/>
  <c r="BC12" i="58"/>
  <c r="BC11" i="58"/>
  <c r="BC10" i="58"/>
  <c r="BC9" i="58"/>
  <c r="BC8" i="58"/>
  <c r="BA27" i="58"/>
  <c r="BA26" i="58"/>
  <c r="BA25" i="58"/>
  <c r="BA24" i="58"/>
  <c r="BA23" i="58"/>
  <c r="BA22" i="58"/>
  <c r="BA20" i="58"/>
  <c r="BA18" i="58"/>
  <c r="BA17" i="58"/>
  <c r="BA16" i="58"/>
  <c r="BA15" i="58"/>
  <c r="BA14" i="58"/>
  <c r="BA12" i="58"/>
  <c r="BA11" i="58"/>
  <c r="BA10" i="58"/>
  <c r="BA9" i="58"/>
  <c r="BA8" i="58"/>
  <c r="AR3" i="58"/>
  <c r="AU3" i="58"/>
  <c r="AS16" i="58"/>
  <c r="AS21" i="58"/>
  <c r="AR36" i="58"/>
  <c r="AS24" i="58"/>
  <c r="AS27" i="58"/>
  <c r="AS26" i="58"/>
  <c r="AS25" i="58"/>
  <c r="AS23" i="58"/>
  <c r="AS20" i="58"/>
  <c r="AS18" i="58"/>
  <c r="AS22" i="58"/>
  <c r="AS17" i="58"/>
  <c r="AS15" i="58"/>
  <c r="AS14" i="58"/>
  <c r="AS12" i="58"/>
  <c r="AS11" i="58"/>
  <c r="AS10" i="58"/>
  <c r="AS9" i="58"/>
  <c r="AS8" i="58"/>
  <c r="AQ15" i="58"/>
  <c r="AU34" i="58"/>
  <c r="AT34" i="58"/>
  <c r="AS34" i="58"/>
  <c r="AS38" i="58" s="1"/>
  <c r="AQ34" i="58"/>
  <c r="AQ26" i="58"/>
  <c r="AQ16" i="58"/>
  <c r="AQ17" i="58"/>
  <c r="AQ18" i="58"/>
  <c r="AQ22" i="58"/>
  <c r="AQ23" i="58"/>
  <c r="AQ12" i="58"/>
  <c r="AQ13" i="58"/>
  <c r="AQ14" i="58"/>
  <c r="AQ9" i="58"/>
  <c r="AU20" i="58" l="1"/>
  <c r="AU19" i="58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C8" i="183"/>
  <c r="AB8" i="183"/>
  <c r="AA8" i="183"/>
  <c r="Z8" i="183"/>
  <c r="Y8" i="183"/>
  <c r="X8" i="183"/>
  <c r="W8" i="183"/>
  <c r="J16" i="183"/>
  <c r="BE28" i="183"/>
  <c r="BD28" i="183"/>
  <c r="U27" i="183"/>
  <c r="T27" i="183"/>
  <c r="S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S26" i="183"/>
  <c r="Q26" i="183"/>
  <c r="P26" i="183"/>
  <c r="O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O25" i="183"/>
  <c r="N25" i="183"/>
  <c r="M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S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S23" i="183"/>
  <c r="Q23" i="183"/>
  <c r="P23" i="183"/>
  <c r="O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O22" i="183"/>
  <c r="N22" i="183"/>
  <c r="M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S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S20" i="183"/>
  <c r="Q20" i="183"/>
  <c r="P20" i="183"/>
  <c r="O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O19" i="183"/>
  <c r="N19" i="183"/>
  <c r="M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S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S17" i="183"/>
  <c r="Q17" i="183"/>
  <c r="P17" i="183"/>
  <c r="O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O16" i="183"/>
  <c r="N16" i="183"/>
  <c r="M16" i="183"/>
  <c r="L16" i="183"/>
  <c r="K16" i="183"/>
  <c r="I16" i="183"/>
  <c r="H16" i="183"/>
  <c r="G16" i="183"/>
  <c r="F16" i="183"/>
  <c r="E16" i="183"/>
  <c r="D16" i="183"/>
  <c r="C16" i="183"/>
  <c r="U15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U14" i="183"/>
  <c r="T14" i="183"/>
  <c r="S14" i="183"/>
  <c r="Q14" i="183"/>
  <c r="P14" i="183"/>
  <c r="O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O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U12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U11" i="183"/>
  <c r="T11" i="183"/>
  <c r="S11" i="183"/>
  <c r="Q11" i="183"/>
  <c r="P11" i="183"/>
  <c r="O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O10" i="183"/>
  <c r="N10" i="183"/>
  <c r="M10" i="183"/>
  <c r="L10" i="183"/>
  <c r="L28" i="183" s="1"/>
  <c r="K10" i="183"/>
  <c r="K28" i="183" s="1"/>
  <c r="J10" i="183"/>
  <c r="J28" i="183" s="1"/>
  <c r="I10" i="183"/>
  <c r="H10" i="183"/>
  <c r="G10" i="183"/>
  <c r="F10" i="183"/>
  <c r="E10" i="183"/>
  <c r="D10" i="183"/>
  <c r="C10" i="183"/>
  <c r="U9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U8" i="183"/>
  <c r="T8" i="183"/>
  <c r="S8" i="183"/>
  <c r="Q8" i="183"/>
  <c r="Q28" i="183" s="1"/>
  <c r="P8" i="183"/>
  <c r="P28" i="183" s="1"/>
  <c r="O8" i="183"/>
  <c r="N8" i="183"/>
  <c r="N28" i="183" s="1"/>
  <c r="L8" i="183"/>
  <c r="K8" i="183"/>
  <c r="J8" i="183"/>
  <c r="I8" i="183"/>
  <c r="I28" i="183" s="1"/>
  <c r="H8" i="183"/>
  <c r="H28" i="183" s="1"/>
  <c r="G8" i="183"/>
  <c r="G28" i="183" s="1"/>
  <c r="F8" i="183"/>
  <c r="F28" i="183" s="1"/>
  <c r="E8" i="183"/>
  <c r="E28" i="183" s="1"/>
  <c r="D8" i="183"/>
  <c r="D28" i="183" s="1"/>
  <c r="C8" i="183"/>
  <c r="C28" i="183" s="1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2"/>
  <c r="BD28" i="182"/>
  <c r="BC28" i="182"/>
  <c r="BB28" i="182"/>
  <c r="BA28" i="182"/>
  <c r="AZ28" i="182"/>
  <c r="AY28" i="182"/>
  <c r="AX28" i="182"/>
  <c r="AW28" i="182"/>
  <c r="AV28" i="182"/>
  <c r="AU28" i="182"/>
  <c r="AT28" i="182"/>
  <c r="AS28" i="182"/>
  <c r="AR28" i="182"/>
  <c r="AQ28" i="182"/>
  <c r="AP28" i="182"/>
  <c r="AO28" i="182"/>
  <c r="AN28" i="182"/>
  <c r="AM28" i="182"/>
  <c r="AL28" i="182"/>
  <c r="AK28" i="182"/>
  <c r="AJ28" i="182"/>
  <c r="AI28" i="182"/>
  <c r="AH28" i="182"/>
  <c r="AG28" i="182"/>
  <c r="AF28" i="182"/>
  <c r="AE28" i="182"/>
  <c r="AD28" i="182"/>
  <c r="AC28" i="182"/>
  <c r="AB28" i="182"/>
  <c r="AA28" i="182"/>
  <c r="Z28" i="182"/>
  <c r="Y28" i="182"/>
  <c r="X28" i="182"/>
  <c r="W28" i="182"/>
  <c r="Q27" i="182"/>
  <c r="P27" i="182"/>
  <c r="N27" i="182"/>
  <c r="L27" i="182"/>
  <c r="K27" i="182"/>
  <c r="J27" i="182"/>
  <c r="I27" i="182"/>
  <c r="H27" i="182"/>
  <c r="G27" i="182"/>
  <c r="F27" i="182"/>
  <c r="E27" i="182"/>
  <c r="D27" i="182"/>
  <c r="C27" i="182"/>
  <c r="Q26" i="182"/>
  <c r="P26" i="182"/>
  <c r="N26" i="182"/>
  <c r="L26" i="182"/>
  <c r="K26" i="182"/>
  <c r="J26" i="182"/>
  <c r="I26" i="182"/>
  <c r="H26" i="182"/>
  <c r="G26" i="182"/>
  <c r="F26" i="182"/>
  <c r="E26" i="182"/>
  <c r="D26" i="182"/>
  <c r="C26" i="182"/>
  <c r="Q25" i="182"/>
  <c r="P25" i="182"/>
  <c r="N25" i="182"/>
  <c r="L25" i="182"/>
  <c r="K25" i="182"/>
  <c r="J25" i="182"/>
  <c r="I25" i="182"/>
  <c r="H25" i="182"/>
  <c r="G25" i="182"/>
  <c r="F25" i="182"/>
  <c r="E25" i="182"/>
  <c r="D25" i="182"/>
  <c r="C25" i="182"/>
  <c r="Q24" i="182"/>
  <c r="P24" i="182"/>
  <c r="N24" i="182"/>
  <c r="L24" i="182"/>
  <c r="K24" i="182"/>
  <c r="J24" i="182"/>
  <c r="I24" i="182"/>
  <c r="H24" i="182"/>
  <c r="G24" i="182"/>
  <c r="F24" i="182"/>
  <c r="E24" i="182"/>
  <c r="D24" i="182"/>
  <c r="C24" i="182"/>
  <c r="Q23" i="182"/>
  <c r="P23" i="182"/>
  <c r="N23" i="182"/>
  <c r="L23" i="182"/>
  <c r="K23" i="182"/>
  <c r="J23" i="182"/>
  <c r="I23" i="182"/>
  <c r="H23" i="182"/>
  <c r="G23" i="182"/>
  <c r="F23" i="182"/>
  <c r="E23" i="182"/>
  <c r="D23" i="182"/>
  <c r="C23" i="182"/>
  <c r="Q22" i="182"/>
  <c r="P22" i="182"/>
  <c r="N22" i="182"/>
  <c r="L22" i="182"/>
  <c r="K22" i="182"/>
  <c r="J22" i="182"/>
  <c r="I22" i="182"/>
  <c r="H22" i="182"/>
  <c r="G22" i="182"/>
  <c r="F22" i="182"/>
  <c r="E22" i="182"/>
  <c r="D22" i="182"/>
  <c r="C22" i="182"/>
  <c r="Q21" i="182"/>
  <c r="P21" i="182"/>
  <c r="N21" i="182"/>
  <c r="L21" i="182"/>
  <c r="K21" i="182"/>
  <c r="J21" i="182"/>
  <c r="I21" i="182"/>
  <c r="H21" i="182"/>
  <c r="G21" i="182"/>
  <c r="F21" i="182"/>
  <c r="E21" i="182"/>
  <c r="D21" i="182"/>
  <c r="C21" i="182"/>
  <c r="Q20" i="182"/>
  <c r="P20" i="182"/>
  <c r="N20" i="182"/>
  <c r="L20" i="182"/>
  <c r="K20" i="182"/>
  <c r="J20" i="182"/>
  <c r="I20" i="182"/>
  <c r="H20" i="182"/>
  <c r="G20" i="182"/>
  <c r="F20" i="182"/>
  <c r="E20" i="182"/>
  <c r="D20" i="182"/>
  <c r="C20" i="182"/>
  <c r="Q19" i="182"/>
  <c r="P19" i="182"/>
  <c r="N19" i="182"/>
  <c r="L19" i="182"/>
  <c r="K19" i="182"/>
  <c r="J19" i="182"/>
  <c r="I19" i="182"/>
  <c r="H19" i="182"/>
  <c r="G19" i="182"/>
  <c r="F19" i="182"/>
  <c r="E19" i="182"/>
  <c r="D19" i="182"/>
  <c r="C19" i="182"/>
  <c r="Q18" i="182"/>
  <c r="P18" i="182"/>
  <c r="N18" i="182"/>
  <c r="L18" i="182"/>
  <c r="K18" i="182"/>
  <c r="J18" i="182"/>
  <c r="I18" i="182"/>
  <c r="H18" i="182"/>
  <c r="G18" i="182"/>
  <c r="F18" i="182"/>
  <c r="E18" i="182"/>
  <c r="D18" i="182"/>
  <c r="C18" i="182"/>
  <c r="Q17" i="182"/>
  <c r="P17" i="182"/>
  <c r="N17" i="182"/>
  <c r="L17" i="182"/>
  <c r="K17" i="182"/>
  <c r="J17" i="182"/>
  <c r="I17" i="182"/>
  <c r="H17" i="182"/>
  <c r="G17" i="182"/>
  <c r="F17" i="182"/>
  <c r="E17" i="182"/>
  <c r="D17" i="182"/>
  <c r="C17" i="182"/>
  <c r="Q16" i="182"/>
  <c r="P16" i="182"/>
  <c r="N16" i="182"/>
  <c r="L16" i="182"/>
  <c r="K16" i="182"/>
  <c r="J16" i="182"/>
  <c r="I16" i="182"/>
  <c r="H16" i="182"/>
  <c r="G16" i="182"/>
  <c r="F16" i="182"/>
  <c r="E16" i="182"/>
  <c r="D16" i="182"/>
  <c r="C16" i="182"/>
  <c r="Q15" i="182"/>
  <c r="P15" i="182"/>
  <c r="N15" i="182"/>
  <c r="L15" i="182"/>
  <c r="K15" i="182"/>
  <c r="J15" i="182"/>
  <c r="I15" i="182"/>
  <c r="H15" i="182"/>
  <c r="G15" i="182"/>
  <c r="F15" i="182"/>
  <c r="E15" i="182"/>
  <c r="D15" i="182"/>
  <c r="C15" i="182"/>
  <c r="Q14" i="182"/>
  <c r="P14" i="182"/>
  <c r="N14" i="182"/>
  <c r="L14" i="182"/>
  <c r="K14" i="182"/>
  <c r="J14" i="182"/>
  <c r="I14" i="182"/>
  <c r="H14" i="182"/>
  <c r="G14" i="182"/>
  <c r="F14" i="182"/>
  <c r="E14" i="182"/>
  <c r="D14" i="182"/>
  <c r="C14" i="182"/>
  <c r="Q13" i="182"/>
  <c r="P13" i="182"/>
  <c r="N13" i="182"/>
  <c r="L13" i="182"/>
  <c r="K13" i="182"/>
  <c r="J13" i="182"/>
  <c r="I13" i="182"/>
  <c r="H13" i="182"/>
  <c r="G13" i="182"/>
  <c r="F13" i="182"/>
  <c r="E13" i="182"/>
  <c r="D13" i="182"/>
  <c r="C13" i="182"/>
  <c r="Q12" i="182"/>
  <c r="P12" i="182"/>
  <c r="N12" i="182"/>
  <c r="L12" i="182"/>
  <c r="K12" i="182"/>
  <c r="J12" i="182"/>
  <c r="I12" i="182"/>
  <c r="H12" i="182"/>
  <c r="G12" i="182"/>
  <c r="F12" i="182"/>
  <c r="E12" i="182"/>
  <c r="D12" i="182"/>
  <c r="C12" i="182"/>
  <c r="Q11" i="182"/>
  <c r="P11" i="182"/>
  <c r="N11" i="182"/>
  <c r="L11" i="182"/>
  <c r="K11" i="182"/>
  <c r="J11" i="182"/>
  <c r="I11" i="182"/>
  <c r="H11" i="182"/>
  <c r="G11" i="182"/>
  <c r="F11" i="182"/>
  <c r="E11" i="182"/>
  <c r="D11" i="182"/>
  <c r="C11" i="182"/>
  <c r="Q10" i="182"/>
  <c r="P10" i="182"/>
  <c r="N10" i="182"/>
  <c r="L10" i="182"/>
  <c r="K10" i="182"/>
  <c r="J10" i="182"/>
  <c r="I10" i="182"/>
  <c r="H10" i="182"/>
  <c r="G10" i="182"/>
  <c r="F10" i="182"/>
  <c r="E10" i="182"/>
  <c r="D10" i="182"/>
  <c r="C10" i="182"/>
  <c r="Q9" i="182"/>
  <c r="P9" i="182"/>
  <c r="N9" i="182"/>
  <c r="L9" i="182"/>
  <c r="K9" i="182"/>
  <c r="J9" i="182"/>
  <c r="I9" i="182"/>
  <c r="H9" i="182"/>
  <c r="G9" i="182"/>
  <c r="F9" i="182"/>
  <c r="E9" i="182"/>
  <c r="D9" i="182"/>
  <c r="C9" i="182"/>
  <c r="Q8" i="182"/>
  <c r="Q28" i="182" s="1"/>
  <c r="P8" i="182"/>
  <c r="P28" i="182" s="1"/>
  <c r="N8" i="182"/>
  <c r="L8" i="182"/>
  <c r="K8" i="182"/>
  <c r="J8" i="182"/>
  <c r="I8" i="182"/>
  <c r="H8" i="182"/>
  <c r="H28" i="182" s="1"/>
  <c r="G8" i="182"/>
  <c r="G28" i="182" s="1"/>
  <c r="F8" i="182"/>
  <c r="F28" i="182" s="1"/>
  <c r="E8" i="182"/>
  <c r="D8" i="182"/>
  <c r="D28" i="182" s="1"/>
  <c r="C8" i="182"/>
  <c r="C28" i="182" s="1"/>
  <c r="V3" i="182"/>
  <c r="V14" i="182" s="1"/>
  <c r="U3" i="182"/>
  <c r="U25" i="182" s="1"/>
  <c r="T3" i="182"/>
  <c r="T25" i="182" s="1"/>
  <c r="S3" i="182"/>
  <c r="S25" i="182" s="1"/>
  <c r="O3" i="182"/>
  <c r="O27" i="182" s="1"/>
  <c r="M3" i="182"/>
  <c r="M26" i="182" s="1"/>
  <c r="BE28" i="181"/>
  <c r="BD28" i="181"/>
  <c r="BC28" i="181"/>
  <c r="BB28" i="181"/>
  <c r="BA28" i="181"/>
  <c r="AZ28" i="181"/>
  <c r="AY28" i="181"/>
  <c r="AX28" i="181"/>
  <c r="AW28" i="181"/>
  <c r="AV28" i="181"/>
  <c r="AU28" i="181"/>
  <c r="AT28" i="181"/>
  <c r="AS28" i="181"/>
  <c r="AR28" i="181"/>
  <c r="AQ28" i="181"/>
  <c r="AP28" i="181"/>
  <c r="AO28" i="181"/>
  <c r="AN28" i="181"/>
  <c r="AM28" i="181"/>
  <c r="AL28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Q27" i="181"/>
  <c r="P27" i="181"/>
  <c r="N27" i="181"/>
  <c r="L27" i="181"/>
  <c r="K27" i="181"/>
  <c r="J27" i="181"/>
  <c r="I27" i="181"/>
  <c r="H27" i="181"/>
  <c r="G27" i="181"/>
  <c r="F27" i="181"/>
  <c r="E27" i="181"/>
  <c r="D27" i="181"/>
  <c r="C27" i="181"/>
  <c r="Q26" i="181"/>
  <c r="P26" i="181"/>
  <c r="N26" i="181"/>
  <c r="L26" i="181"/>
  <c r="K26" i="181"/>
  <c r="J26" i="181"/>
  <c r="I26" i="181"/>
  <c r="H26" i="181"/>
  <c r="G26" i="181"/>
  <c r="F26" i="181"/>
  <c r="E26" i="181"/>
  <c r="D26" i="181"/>
  <c r="C26" i="181"/>
  <c r="Q25" i="181"/>
  <c r="P25" i="181"/>
  <c r="N25" i="181"/>
  <c r="L25" i="181"/>
  <c r="K25" i="181"/>
  <c r="J25" i="181"/>
  <c r="I25" i="181"/>
  <c r="H25" i="181"/>
  <c r="G25" i="181"/>
  <c r="F25" i="181"/>
  <c r="E25" i="181"/>
  <c r="D25" i="181"/>
  <c r="C25" i="181"/>
  <c r="Q24" i="181"/>
  <c r="P24" i="181"/>
  <c r="N24" i="181"/>
  <c r="L24" i="181"/>
  <c r="K24" i="181"/>
  <c r="J24" i="181"/>
  <c r="I24" i="181"/>
  <c r="H24" i="181"/>
  <c r="G24" i="181"/>
  <c r="F24" i="181"/>
  <c r="E24" i="181"/>
  <c r="D24" i="181"/>
  <c r="C24" i="181"/>
  <c r="Q23" i="181"/>
  <c r="P23" i="181"/>
  <c r="N23" i="181"/>
  <c r="L23" i="181"/>
  <c r="K23" i="181"/>
  <c r="J23" i="181"/>
  <c r="I23" i="181"/>
  <c r="H23" i="181"/>
  <c r="G23" i="181"/>
  <c r="F23" i="181"/>
  <c r="E23" i="181"/>
  <c r="D23" i="181"/>
  <c r="C23" i="181"/>
  <c r="Q22" i="181"/>
  <c r="P22" i="181"/>
  <c r="N22" i="181"/>
  <c r="L22" i="181"/>
  <c r="K22" i="181"/>
  <c r="J22" i="181"/>
  <c r="I22" i="181"/>
  <c r="H22" i="181"/>
  <c r="G22" i="181"/>
  <c r="F22" i="181"/>
  <c r="E22" i="181"/>
  <c r="D22" i="181"/>
  <c r="C22" i="181"/>
  <c r="Q21" i="181"/>
  <c r="P21" i="181"/>
  <c r="N21" i="181"/>
  <c r="L21" i="181"/>
  <c r="K21" i="181"/>
  <c r="J21" i="181"/>
  <c r="I21" i="181"/>
  <c r="H21" i="181"/>
  <c r="G21" i="181"/>
  <c r="F21" i="181"/>
  <c r="E21" i="181"/>
  <c r="D21" i="181"/>
  <c r="C21" i="181"/>
  <c r="Q20" i="181"/>
  <c r="P20" i="181"/>
  <c r="N20" i="181"/>
  <c r="L20" i="181"/>
  <c r="K20" i="181"/>
  <c r="J20" i="181"/>
  <c r="I20" i="181"/>
  <c r="H20" i="181"/>
  <c r="G20" i="181"/>
  <c r="F20" i="181"/>
  <c r="E20" i="181"/>
  <c r="D20" i="181"/>
  <c r="C20" i="181"/>
  <c r="Q19" i="181"/>
  <c r="P19" i="181"/>
  <c r="N19" i="181"/>
  <c r="L19" i="181"/>
  <c r="K19" i="181"/>
  <c r="J19" i="181"/>
  <c r="I19" i="181"/>
  <c r="H19" i="181"/>
  <c r="G19" i="181"/>
  <c r="F19" i="181"/>
  <c r="E19" i="181"/>
  <c r="D19" i="181"/>
  <c r="C19" i="181"/>
  <c r="Q18" i="181"/>
  <c r="P18" i="181"/>
  <c r="N18" i="181"/>
  <c r="L18" i="181"/>
  <c r="K18" i="181"/>
  <c r="J18" i="181"/>
  <c r="I18" i="181"/>
  <c r="H18" i="181"/>
  <c r="G18" i="181"/>
  <c r="F18" i="181"/>
  <c r="E18" i="181"/>
  <c r="D18" i="181"/>
  <c r="C18" i="181"/>
  <c r="Q17" i="181"/>
  <c r="P17" i="181"/>
  <c r="N17" i="181"/>
  <c r="L17" i="181"/>
  <c r="K17" i="181"/>
  <c r="J17" i="181"/>
  <c r="I17" i="181"/>
  <c r="H17" i="181"/>
  <c r="G17" i="181"/>
  <c r="F17" i="181"/>
  <c r="E17" i="181"/>
  <c r="D17" i="181"/>
  <c r="C17" i="181"/>
  <c r="Q16" i="181"/>
  <c r="P16" i="181"/>
  <c r="N16" i="181"/>
  <c r="L16" i="181"/>
  <c r="K16" i="181"/>
  <c r="J16" i="181"/>
  <c r="I16" i="181"/>
  <c r="H16" i="181"/>
  <c r="G16" i="181"/>
  <c r="F16" i="181"/>
  <c r="E16" i="181"/>
  <c r="D16" i="181"/>
  <c r="C16" i="181"/>
  <c r="Q15" i="181"/>
  <c r="P15" i="181"/>
  <c r="N15" i="181"/>
  <c r="L15" i="181"/>
  <c r="K15" i="181"/>
  <c r="J15" i="181"/>
  <c r="I15" i="181"/>
  <c r="H15" i="181"/>
  <c r="G15" i="181"/>
  <c r="F15" i="181"/>
  <c r="E15" i="181"/>
  <c r="D15" i="181"/>
  <c r="C15" i="181"/>
  <c r="S14" i="181"/>
  <c r="Q14" i="181"/>
  <c r="P14" i="181"/>
  <c r="N14" i="181"/>
  <c r="L14" i="181"/>
  <c r="K14" i="181"/>
  <c r="J14" i="181"/>
  <c r="I14" i="181"/>
  <c r="H14" i="181"/>
  <c r="G14" i="181"/>
  <c r="F14" i="181"/>
  <c r="E14" i="181"/>
  <c r="D14" i="181"/>
  <c r="C14" i="181"/>
  <c r="Q13" i="181"/>
  <c r="P13" i="181"/>
  <c r="N13" i="181"/>
  <c r="L13" i="181"/>
  <c r="K13" i="181"/>
  <c r="J13" i="181"/>
  <c r="I13" i="181"/>
  <c r="H13" i="181"/>
  <c r="G13" i="181"/>
  <c r="F13" i="181"/>
  <c r="E13" i="181"/>
  <c r="D13" i="181"/>
  <c r="C13" i="181"/>
  <c r="S12" i="181"/>
  <c r="Q12" i="181"/>
  <c r="P12" i="181"/>
  <c r="N12" i="181"/>
  <c r="L12" i="181"/>
  <c r="K12" i="181"/>
  <c r="J12" i="181"/>
  <c r="I12" i="181"/>
  <c r="H12" i="181"/>
  <c r="G12" i="181"/>
  <c r="F12" i="181"/>
  <c r="E12" i="181"/>
  <c r="D12" i="181"/>
  <c r="C12" i="181"/>
  <c r="S11" i="181"/>
  <c r="Q11" i="181"/>
  <c r="P11" i="181"/>
  <c r="N11" i="181"/>
  <c r="L11" i="181"/>
  <c r="K11" i="181"/>
  <c r="J11" i="181"/>
  <c r="I11" i="181"/>
  <c r="H11" i="181"/>
  <c r="G11" i="181"/>
  <c r="F11" i="181"/>
  <c r="E11" i="181"/>
  <c r="D11" i="181"/>
  <c r="C11" i="181"/>
  <c r="Q10" i="181"/>
  <c r="P10" i="181"/>
  <c r="N10" i="181"/>
  <c r="L10" i="181"/>
  <c r="K10" i="181"/>
  <c r="J10" i="181"/>
  <c r="I10" i="181"/>
  <c r="H10" i="181"/>
  <c r="G10" i="181"/>
  <c r="F10" i="181"/>
  <c r="E10" i="181"/>
  <c r="D10" i="181"/>
  <c r="C10" i="181"/>
  <c r="S9" i="181"/>
  <c r="Q9" i="181"/>
  <c r="P9" i="181"/>
  <c r="N9" i="181"/>
  <c r="L9" i="181"/>
  <c r="K9" i="181"/>
  <c r="J9" i="181"/>
  <c r="I9" i="181"/>
  <c r="H9" i="181"/>
  <c r="G9" i="181"/>
  <c r="F9" i="181"/>
  <c r="E9" i="181"/>
  <c r="D9" i="181"/>
  <c r="C9" i="181"/>
  <c r="S8" i="181"/>
  <c r="Q8" i="181"/>
  <c r="Q28" i="181" s="1"/>
  <c r="P8" i="181"/>
  <c r="N8" i="181"/>
  <c r="N28" i="181" s="1"/>
  <c r="L8" i="181"/>
  <c r="K8" i="181"/>
  <c r="K28" i="181" s="1"/>
  <c r="J8" i="181"/>
  <c r="I8" i="181"/>
  <c r="I28" i="181" s="1"/>
  <c r="H8" i="181"/>
  <c r="G8" i="181"/>
  <c r="G28" i="181" s="1"/>
  <c r="F8" i="181"/>
  <c r="E8" i="181"/>
  <c r="E28" i="181" s="1"/>
  <c r="D8" i="181"/>
  <c r="C8" i="181"/>
  <c r="C28" i="181" s="1"/>
  <c r="V3" i="181"/>
  <c r="V26" i="181" s="1"/>
  <c r="U3" i="181"/>
  <c r="U25" i="181" s="1"/>
  <c r="T3" i="181"/>
  <c r="T25" i="181" s="1"/>
  <c r="S3" i="181"/>
  <c r="S25" i="181" s="1"/>
  <c r="O3" i="181"/>
  <c r="O27" i="181" s="1"/>
  <c r="M3" i="181"/>
  <c r="M26" i="181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W28" i="180"/>
  <c r="T27" i="180"/>
  <c r="S27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T26" i="180"/>
  <c r="S26" i="180"/>
  <c r="Q26" i="180"/>
  <c r="P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N25" i="180"/>
  <c r="M25" i="180"/>
  <c r="L25" i="180"/>
  <c r="K25" i="180"/>
  <c r="J25" i="180"/>
  <c r="I25" i="180"/>
  <c r="H25" i="180"/>
  <c r="G25" i="180"/>
  <c r="F25" i="180"/>
  <c r="E25" i="180"/>
  <c r="D25" i="180"/>
  <c r="C25" i="180"/>
  <c r="T24" i="180"/>
  <c r="S24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T23" i="180"/>
  <c r="S23" i="180"/>
  <c r="Q23" i="180"/>
  <c r="P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N22" i="180"/>
  <c r="M22" i="180"/>
  <c r="L22" i="180"/>
  <c r="K22" i="180"/>
  <c r="J22" i="180"/>
  <c r="I22" i="180"/>
  <c r="H22" i="180"/>
  <c r="G22" i="180"/>
  <c r="F22" i="180"/>
  <c r="E22" i="180"/>
  <c r="D22" i="180"/>
  <c r="C22" i="180"/>
  <c r="T21" i="180"/>
  <c r="S21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T20" i="180"/>
  <c r="S20" i="180"/>
  <c r="Q20" i="180"/>
  <c r="P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N19" i="180"/>
  <c r="M19" i="180"/>
  <c r="L19" i="180"/>
  <c r="K19" i="180"/>
  <c r="J19" i="180"/>
  <c r="I19" i="180"/>
  <c r="H19" i="180"/>
  <c r="G19" i="180"/>
  <c r="F19" i="180"/>
  <c r="E19" i="180"/>
  <c r="D19" i="180"/>
  <c r="C19" i="180"/>
  <c r="T18" i="180"/>
  <c r="S18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T17" i="180"/>
  <c r="S17" i="180"/>
  <c r="Q17" i="180"/>
  <c r="P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N16" i="180"/>
  <c r="M16" i="180"/>
  <c r="L16" i="180"/>
  <c r="K16" i="180"/>
  <c r="J16" i="180"/>
  <c r="I16" i="180"/>
  <c r="H16" i="180"/>
  <c r="G16" i="180"/>
  <c r="F16" i="180"/>
  <c r="E16" i="180"/>
  <c r="D16" i="180"/>
  <c r="C16" i="180"/>
  <c r="T15" i="180"/>
  <c r="S15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T14" i="180"/>
  <c r="S14" i="180"/>
  <c r="Q14" i="180"/>
  <c r="P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N13" i="180"/>
  <c r="M13" i="180"/>
  <c r="L13" i="180"/>
  <c r="K13" i="180"/>
  <c r="J13" i="180"/>
  <c r="I13" i="180"/>
  <c r="H13" i="180"/>
  <c r="G13" i="180"/>
  <c r="F13" i="180"/>
  <c r="E13" i="180"/>
  <c r="D13" i="180"/>
  <c r="C13" i="180"/>
  <c r="T12" i="180"/>
  <c r="S12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T11" i="180"/>
  <c r="S11" i="180"/>
  <c r="Q11" i="180"/>
  <c r="P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N10" i="180"/>
  <c r="M10" i="180"/>
  <c r="L10" i="180"/>
  <c r="K10" i="180"/>
  <c r="J10" i="180"/>
  <c r="I10" i="180"/>
  <c r="H10" i="180"/>
  <c r="G10" i="180"/>
  <c r="F10" i="180"/>
  <c r="E10" i="180"/>
  <c r="D10" i="180"/>
  <c r="C10" i="180"/>
  <c r="T9" i="180"/>
  <c r="S9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T8" i="180"/>
  <c r="S8" i="180"/>
  <c r="Q8" i="180"/>
  <c r="P8" i="180"/>
  <c r="N8" i="180"/>
  <c r="L8" i="180"/>
  <c r="K8" i="180"/>
  <c r="J8" i="180"/>
  <c r="I8" i="180"/>
  <c r="H8" i="180"/>
  <c r="G8" i="180"/>
  <c r="G28" i="180" s="1"/>
  <c r="F8" i="180"/>
  <c r="F28" i="180" s="1"/>
  <c r="E8" i="180"/>
  <c r="D8" i="180"/>
  <c r="C8" i="180"/>
  <c r="C28" i="180" s="1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Q20" i="179"/>
  <c r="P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Q14" i="179"/>
  <c r="P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N10" i="179"/>
  <c r="L10" i="179"/>
  <c r="K10" i="179"/>
  <c r="J10" i="179"/>
  <c r="I10" i="179"/>
  <c r="H10" i="179"/>
  <c r="G10" i="179"/>
  <c r="F10" i="179"/>
  <c r="E10" i="179"/>
  <c r="D10" i="179"/>
  <c r="C10" i="179"/>
  <c r="T9" i="179"/>
  <c r="S9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S8" i="179"/>
  <c r="Q8" i="179"/>
  <c r="Q28" i="179" s="1"/>
  <c r="P8" i="179"/>
  <c r="N8" i="179"/>
  <c r="N28" i="179" s="1"/>
  <c r="L8" i="179"/>
  <c r="K8" i="179"/>
  <c r="J8" i="179"/>
  <c r="I8" i="179"/>
  <c r="H8" i="179"/>
  <c r="G8" i="179"/>
  <c r="F8" i="179"/>
  <c r="F28" i="179" s="1"/>
  <c r="E8" i="179"/>
  <c r="E28" i="179" s="1"/>
  <c r="D8" i="179"/>
  <c r="C8" i="179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Q28" i="178" s="1"/>
  <c r="P8" i="178"/>
  <c r="P28" i="178" s="1"/>
  <c r="N8" i="178"/>
  <c r="N28" i="178" s="1"/>
  <c r="L8" i="178"/>
  <c r="K8" i="178"/>
  <c r="J8" i="178"/>
  <c r="I8" i="178"/>
  <c r="I28" i="178" s="1"/>
  <c r="H8" i="178"/>
  <c r="H28" i="178" s="1"/>
  <c r="G8" i="178"/>
  <c r="G28" i="178" s="1"/>
  <c r="F8" i="178"/>
  <c r="E8" i="178"/>
  <c r="E28" i="178" s="1"/>
  <c r="D8" i="178"/>
  <c r="D28" i="178" s="1"/>
  <c r="C8" i="178"/>
  <c r="C28" i="178" s="1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O14" i="180" l="1"/>
  <c r="O17" i="180"/>
  <c r="O20" i="180"/>
  <c r="O23" i="180"/>
  <c r="O26" i="180"/>
  <c r="P28" i="180"/>
  <c r="U8" i="180"/>
  <c r="U9" i="180"/>
  <c r="J28" i="180"/>
  <c r="U11" i="180"/>
  <c r="U12" i="180"/>
  <c r="U14" i="180"/>
  <c r="U15" i="180"/>
  <c r="U17" i="180"/>
  <c r="U18" i="180"/>
  <c r="U20" i="180"/>
  <c r="U21" i="180"/>
  <c r="U23" i="180"/>
  <c r="U24" i="180"/>
  <c r="U26" i="180"/>
  <c r="U27" i="180"/>
  <c r="O8" i="180"/>
  <c r="D28" i="180"/>
  <c r="H28" i="180"/>
  <c r="Q28" i="180"/>
  <c r="K28" i="180"/>
  <c r="O10" i="180"/>
  <c r="O13" i="180"/>
  <c r="O16" i="180"/>
  <c r="O19" i="180"/>
  <c r="O22" i="180"/>
  <c r="O25" i="180"/>
  <c r="O11" i="180"/>
  <c r="E28" i="180"/>
  <c r="I28" i="180"/>
  <c r="N28" i="180"/>
  <c r="L28" i="180"/>
  <c r="U8" i="182"/>
  <c r="U9" i="182"/>
  <c r="J28" i="182"/>
  <c r="U11" i="182"/>
  <c r="U12" i="182"/>
  <c r="U14" i="182"/>
  <c r="U15" i="182"/>
  <c r="U17" i="182"/>
  <c r="U18" i="182"/>
  <c r="U20" i="182"/>
  <c r="U21" i="182"/>
  <c r="U23" i="182"/>
  <c r="U24" i="182"/>
  <c r="U26" i="182"/>
  <c r="U27" i="182"/>
  <c r="K28" i="182"/>
  <c r="O10" i="182"/>
  <c r="O13" i="182"/>
  <c r="O16" i="182"/>
  <c r="O19" i="182"/>
  <c r="O22" i="182"/>
  <c r="O25" i="182"/>
  <c r="E28" i="182"/>
  <c r="I28" i="182"/>
  <c r="N28" i="182"/>
  <c r="S8" i="182"/>
  <c r="S9" i="182"/>
  <c r="L28" i="182"/>
  <c r="S11" i="182"/>
  <c r="S12" i="182"/>
  <c r="S14" i="182"/>
  <c r="S15" i="182"/>
  <c r="S17" i="182"/>
  <c r="S18" i="182"/>
  <c r="S20" i="182"/>
  <c r="S21" i="182"/>
  <c r="S23" i="182"/>
  <c r="S24" i="182"/>
  <c r="S26" i="182"/>
  <c r="S27" i="182"/>
  <c r="O8" i="182"/>
  <c r="T8" i="182"/>
  <c r="T9" i="182"/>
  <c r="M10" i="182"/>
  <c r="O11" i="182"/>
  <c r="T11" i="182"/>
  <c r="T12" i="182"/>
  <c r="M13" i="182"/>
  <c r="O14" i="182"/>
  <c r="T14" i="182"/>
  <c r="T15" i="182"/>
  <c r="M16" i="182"/>
  <c r="O17" i="182"/>
  <c r="T17" i="182"/>
  <c r="T18" i="182"/>
  <c r="M19" i="182"/>
  <c r="O20" i="182"/>
  <c r="T20" i="182"/>
  <c r="T21" i="182"/>
  <c r="M22" i="182"/>
  <c r="O23" i="182"/>
  <c r="T23" i="182"/>
  <c r="T24" i="182"/>
  <c r="M25" i="182"/>
  <c r="O26" i="182"/>
  <c r="T26" i="182"/>
  <c r="T27" i="182"/>
  <c r="F28" i="181"/>
  <c r="O8" i="181"/>
  <c r="T8" i="181"/>
  <c r="T9" i="181"/>
  <c r="M10" i="181"/>
  <c r="O11" i="181"/>
  <c r="T11" i="181"/>
  <c r="T12" i="181"/>
  <c r="M13" i="181"/>
  <c r="O14" i="181"/>
  <c r="T14" i="181"/>
  <c r="T15" i="181"/>
  <c r="M16" i="181"/>
  <c r="O17" i="181"/>
  <c r="T17" i="181"/>
  <c r="T18" i="181"/>
  <c r="M19" i="181"/>
  <c r="O20" i="181"/>
  <c r="T20" i="181"/>
  <c r="T21" i="181"/>
  <c r="M22" i="181"/>
  <c r="O23" i="181"/>
  <c r="T23" i="181"/>
  <c r="T24" i="181"/>
  <c r="M25" i="181"/>
  <c r="O26" i="181"/>
  <c r="T26" i="181"/>
  <c r="T27" i="181"/>
  <c r="U8" i="181"/>
  <c r="U9" i="181"/>
  <c r="J28" i="181"/>
  <c r="U11" i="181"/>
  <c r="U12" i="181"/>
  <c r="U14" i="181"/>
  <c r="U15" i="181"/>
  <c r="U17" i="181"/>
  <c r="U18" i="181"/>
  <c r="U20" i="181"/>
  <c r="U21" i="181"/>
  <c r="U23" i="181"/>
  <c r="U24" i="181"/>
  <c r="U26" i="181"/>
  <c r="U27" i="181"/>
  <c r="AI28" i="183"/>
  <c r="P28" i="181"/>
  <c r="D28" i="181"/>
  <c r="H28" i="181"/>
  <c r="O10" i="181"/>
  <c r="O13" i="181"/>
  <c r="O16" i="181"/>
  <c r="O19" i="181"/>
  <c r="O22" i="181"/>
  <c r="O25" i="181"/>
  <c r="L28" i="181"/>
  <c r="S15" i="181"/>
  <c r="S17" i="181"/>
  <c r="S18" i="181"/>
  <c r="S20" i="181"/>
  <c r="S21" i="181"/>
  <c r="S23" i="181"/>
  <c r="S24" i="181"/>
  <c r="S26" i="181"/>
  <c r="S27" i="181"/>
  <c r="C28" i="179"/>
  <c r="G28" i="179"/>
  <c r="O8" i="179"/>
  <c r="T8" i="179"/>
  <c r="K28" i="179"/>
  <c r="O10" i="179"/>
  <c r="M14" i="179"/>
  <c r="S15" i="179"/>
  <c r="M16" i="179"/>
  <c r="S17" i="179"/>
  <c r="T18" i="179"/>
  <c r="O20" i="179"/>
  <c r="T20" i="179"/>
  <c r="O22" i="179"/>
  <c r="M26" i="179"/>
  <c r="S27" i="179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M8" i="179"/>
  <c r="I28" i="179"/>
  <c r="M10" i="179"/>
  <c r="S11" i="179"/>
  <c r="T12" i="179"/>
  <c r="O14" i="179"/>
  <c r="T14" i="179"/>
  <c r="O16" i="179"/>
  <c r="M20" i="179"/>
  <c r="S21" i="179"/>
  <c r="M22" i="179"/>
  <c r="S23" i="179"/>
  <c r="T24" i="179"/>
  <c r="O26" i="179"/>
  <c r="T26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S8" i="178"/>
  <c r="S9" i="178"/>
  <c r="L28" i="178"/>
  <c r="S11" i="178"/>
  <c r="S12" i="178"/>
  <c r="S14" i="178"/>
  <c r="S15" i="178"/>
  <c r="S17" i="178"/>
  <c r="S18" i="178"/>
  <c r="S20" i="178"/>
  <c r="S21" i="178"/>
  <c r="S23" i="178"/>
  <c r="S24" i="178"/>
  <c r="S26" i="178"/>
  <c r="S27" i="178"/>
  <c r="X28" i="183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Z28" i="183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AA28" i="183"/>
  <c r="AY28" i="183"/>
  <c r="AK28" i="183"/>
  <c r="K28" i="178"/>
  <c r="O10" i="178"/>
  <c r="O13" i="178"/>
  <c r="O16" i="178"/>
  <c r="O19" i="178"/>
  <c r="O22" i="178"/>
  <c r="O25" i="178"/>
  <c r="AZ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AC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28" i="183" s="1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O28" i="183" s="1"/>
  <c r="M8" i="183"/>
  <c r="M28" i="183" s="1"/>
  <c r="U10" i="183"/>
  <c r="M11" i="183"/>
  <c r="U13" i="183"/>
  <c r="U28" i="183" s="1"/>
  <c r="M14" i="183"/>
  <c r="U16" i="183"/>
  <c r="M17" i="183"/>
  <c r="U19" i="183"/>
  <c r="M20" i="183"/>
  <c r="U22" i="183"/>
  <c r="M23" i="183"/>
  <c r="V9" i="182"/>
  <c r="V15" i="182"/>
  <c r="M9" i="182"/>
  <c r="M27" i="182"/>
  <c r="R3" i="182"/>
  <c r="V17" i="182"/>
  <c r="V26" i="182"/>
  <c r="O9" i="182"/>
  <c r="S10" i="182"/>
  <c r="O12" i="182"/>
  <c r="S13" i="182"/>
  <c r="O15" i="182"/>
  <c r="S16" i="182"/>
  <c r="O18" i="182"/>
  <c r="S19" i="182"/>
  <c r="O21" i="182"/>
  <c r="S22" i="182"/>
  <c r="O24" i="182"/>
  <c r="V13" i="182"/>
  <c r="V19" i="182"/>
  <c r="V22" i="182"/>
  <c r="V12" i="182"/>
  <c r="V18" i="182"/>
  <c r="V24" i="182"/>
  <c r="V27" i="182"/>
  <c r="M12" i="182"/>
  <c r="M18" i="182"/>
  <c r="M21" i="182"/>
  <c r="V8" i="182"/>
  <c r="V11" i="182"/>
  <c r="V20" i="182"/>
  <c r="V23" i="182"/>
  <c r="T10" i="182"/>
  <c r="T13" i="182"/>
  <c r="T16" i="182"/>
  <c r="T19" i="182"/>
  <c r="T22" i="182"/>
  <c r="V10" i="182"/>
  <c r="V16" i="182"/>
  <c r="V25" i="182"/>
  <c r="V21" i="182"/>
  <c r="M15" i="182"/>
  <c r="M24" i="182"/>
  <c r="M8" i="182"/>
  <c r="U10" i="182"/>
  <c r="M11" i="182"/>
  <c r="U13" i="182"/>
  <c r="M14" i="182"/>
  <c r="U16" i="182"/>
  <c r="M17" i="182"/>
  <c r="U19" i="182"/>
  <c r="M20" i="182"/>
  <c r="U22" i="182"/>
  <c r="M23" i="182"/>
  <c r="V13" i="181"/>
  <c r="V22" i="181"/>
  <c r="V25" i="181"/>
  <c r="V18" i="181"/>
  <c r="V27" i="181"/>
  <c r="M12" i="181"/>
  <c r="M15" i="181"/>
  <c r="M21" i="181"/>
  <c r="M24" i="181"/>
  <c r="V11" i="181"/>
  <c r="V17" i="181"/>
  <c r="V23" i="181"/>
  <c r="O9" i="181"/>
  <c r="S10" i="181"/>
  <c r="O12" i="181"/>
  <c r="S13" i="181"/>
  <c r="O15" i="181"/>
  <c r="S16" i="181"/>
  <c r="O18" i="181"/>
  <c r="S19" i="181"/>
  <c r="O21" i="181"/>
  <c r="S22" i="181"/>
  <c r="O24" i="181"/>
  <c r="V16" i="181"/>
  <c r="V12" i="181"/>
  <c r="M9" i="181"/>
  <c r="M18" i="181"/>
  <c r="T10" i="181"/>
  <c r="T13" i="181"/>
  <c r="T16" i="181"/>
  <c r="T19" i="181"/>
  <c r="T22" i="181"/>
  <c r="V10" i="181"/>
  <c r="V19" i="181"/>
  <c r="V9" i="181"/>
  <c r="V15" i="181"/>
  <c r="V21" i="181"/>
  <c r="V24" i="181"/>
  <c r="M27" i="181"/>
  <c r="R3" i="181"/>
  <c r="V8" i="181"/>
  <c r="V14" i="181"/>
  <c r="V20" i="181"/>
  <c r="M8" i="181"/>
  <c r="U10" i="181"/>
  <c r="M11" i="181"/>
  <c r="U13" i="181"/>
  <c r="M14" i="181"/>
  <c r="U16" i="181"/>
  <c r="M17" i="181"/>
  <c r="U19" i="181"/>
  <c r="M20" i="181"/>
  <c r="U22" i="181"/>
  <c r="M23" i="181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S10" i="180"/>
  <c r="O15" i="180"/>
  <c r="S16" i="180"/>
  <c r="O21" i="180"/>
  <c r="S22" i="180"/>
  <c r="O27" i="180"/>
  <c r="T10" i="180"/>
  <c r="T28" i="180" s="1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U10" i="180"/>
  <c r="M11" i="180"/>
  <c r="U13" i="180"/>
  <c r="M14" i="180"/>
  <c r="U16" i="180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M28" i="179" s="1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28" i="179" s="1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S10" i="178"/>
  <c r="S28" i="178" s="1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U28" i="180" l="1"/>
  <c r="S28" i="180"/>
  <c r="M28" i="180"/>
  <c r="O28" i="180"/>
  <c r="M28" i="182"/>
  <c r="O28" i="182"/>
  <c r="U28" i="182"/>
  <c r="T28" i="182"/>
  <c r="S28" i="182"/>
  <c r="U28" i="181"/>
  <c r="O28" i="181"/>
  <c r="T28" i="181"/>
  <c r="M28" i="181"/>
  <c r="S28" i="181"/>
  <c r="S28" i="179"/>
  <c r="O28" i="179"/>
  <c r="T28" i="178"/>
  <c r="O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R23" i="182"/>
  <c r="R14" i="182"/>
  <c r="R8" i="182"/>
  <c r="R27" i="182"/>
  <c r="R24" i="182"/>
  <c r="R15" i="182"/>
  <c r="R9" i="182"/>
  <c r="R22" i="182"/>
  <c r="R19" i="182"/>
  <c r="R10" i="182"/>
  <c r="R21" i="182"/>
  <c r="R18" i="182"/>
  <c r="R12" i="182"/>
  <c r="R25" i="182"/>
  <c r="R16" i="182"/>
  <c r="R13" i="182"/>
  <c r="R26" i="182"/>
  <c r="R20" i="182"/>
  <c r="R17" i="182"/>
  <c r="R11" i="182"/>
  <c r="V28" i="182"/>
  <c r="V28" i="181"/>
  <c r="R25" i="181"/>
  <c r="R19" i="181"/>
  <c r="R13" i="181"/>
  <c r="R26" i="181"/>
  <c r="R23" i="181"/>
  <c r="R27" i="181"/>
  <c r="R15" i="181"/>
  <c r="R20" i="181"/>
  <c r="R14" i="181"/>
  <c r="R8" i="181"/>
  <c r="R21" i="181"/>
  <c r="R9" i="181"/>
  <c r="R22" i="181"/>
  <c r="R16" i="181"/>
  <c r="R10" i="181"/>
  <c r="R17" i="181"/>
  <c r="R11" i="181"/>
  <c r="R24" i="181"/>
  <c r="R18" i="181"/>
  <c r="R12" i="181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2"/>
  <c r="R28" i="18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  <c r="Y18" i="183"/>
  <c r="Y28" i="183" s="1"/>
  <c r="Y28" i="58"/>
</calcChain>
</file>

<file path=xl/sharedStrings.xml><?xml version="1.0" encoding="utf-8"?>
<sst xmlns="http://schemas.openxmlformats.org/spreadsheetml/2006/main" count="626" uniqueCount="57">
  <si>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</si>
  <si>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</si>
  <si>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</si>
  <si>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</si>
  <si>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</si>
  <si>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</si>
  <si>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</si>
  <si>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</si>
  <si>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</si>
  <si>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</si>
  <si>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</si>
  <si>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</si>
  <si>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</si>
  <si>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</si>
  <si>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</si>
  <si>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</si>
  <si>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</si>
  <si>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</si>
  <si>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</si>
  <si>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</si>
  <si>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</si>
  <si>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</si>
  <si>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</si>
  <si>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</si>
  <si>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</si>
  <si>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</si>
  <si>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</si>
  <si>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</si>
  <si>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</si>
  <si>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</si>
  <si>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</si>
  <si>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</si>
  <si>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DAGO BRICE</t>
  </si>
  <si>
    <t>DIOMANDE ESTHER</t>
  </si>
  <si>
    <t>BADA LANDRY</t>
  </si>
  <si>
    <t>KOUAME JOSE</t>
  </si>
  <si>
    <t>FANY BARAKISSA</t>
  </si>
  <si>
    <t>KONAN IVETTE</t>
  </si>
  <si>
    <t>KRA PACOME</t>
  </si>
  <si>
    <t>OULAY EMMENUELLA</t>
  </si>
  <si>
    <t>KONATE MARIAM</t>
  </si>
  <si>
    <t>KOUAME JORES</t>
  </si>
  <si>
    <t>KOUAKOU ADJOUA ROSE</t>
  </si>
  <si>
    <t>OULAY WILFRIED</t>
  </si>
  <si>
    <t>KRA K. EVAVARISTE</t>
  </si>
  <si>
    <t>KOUAME JAURES</t>
  </si>
  <si>
    <t>KONATE MOUSSA</t>
  </si>
  <si>
    <t>NGORAN AXCEL</t>
  </si>
  <si>
    <t>TRAORE ARSENE</t>
  </si>
  <si>
    <t>NGUESSAN INNOCENT</t>
  </si>
  <si>
    <t>KOUAME ARISTIDE</t>
  </si>
  <si>
    <t>GRACE</t>
  </si>
  <si>
    <t>KOUAME STEPHANIE</t>
  </si>
  <si>
    <t>j sup</t>
  </si>
  <si>
    <t>BERTRAND</t>
  </si>
  <si>
    <t>Il ressort dans l'ensemble à Bouaké que le produit a été moins référencé avant le commando. Les achats se faisaent souvent en chapelet et sachets. Certains détaillants réticents, attendent la publicité grand public pour se décider.</t>
  </si>
  <si>
    <t>Certains clients reclamaient plus de gratuits et reduiction de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</si>
</sst>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0.0"/>
    <numFmt numFmtId="166" formatCode="_-* #,##0.0_-;\-* #,##0.0_-;_-* &quot;-&quot;_-;_-@_-"/>
  </numFmts>
  <fonts count="19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0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164" fontId="9" fillId="4" borderId="10" xfId="1" applyFont="1" applyFill="1" applyBorder="1" applyAlignment="1">
      <alignment horizontal="center" vertical="center"/>
    </xf>
    <xf numFmtId="164" fontId="9" fillId="4" borderId="11" xfId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164" fontId="9" fillId="4" borderId="6" xfId="1" applyFont="1" applyFill="1" applyBorder="1" applyAlignment="1">
      <alignment horizontal="center" vertical="center"/>
    </xf>
    <xf numFmtId="164" fontId="9" fillId="4" borderId="7" xfId="1" applyFont="1" applyFill="1" applyBorder="1" applyAlignment="1">
      <alignment horizontal="center" vertical="center"/>
    </xf>
    <xf numFmtId="164" fontId="12" fillId="4" borderId="9" xfId="1" applyFont="1" applyFill="1" applyBorder="1" applyAlignment="1">
      <alignment horizontal="center" vertical="center" wrapText="1"/>
    </xf>
    <xf numFmtId="164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164" fontId="11" fillId="4" borderId="22" xfId="1" applyFont="1" applyFill="1" applyBorder="1" applyAlignment="1">
      <alignment horizontal="center" vertical="center"/>
    </xf>
    <xf numFmtId="164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164" fontId="9" fillId="4" borderId="26" xfId="1" applyFont="1" applyFill="1" applyBorder="1" applyAlignment="1">
      <alignment horizontal="center" vertical="center"/>
    </xf>
    <xf numFmtId="164" fontId="9" fillId="4" borderId="27" xfId="1" applyFont="1" applyFill="1" applyBorder="1" applyAlignment="1">
      <alignment horizontal="center" vertical="center"/>
    </xf>
    <xf numFmtId="164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center" wrapText="1"/>
    </xf>
    <xf numFmtId="166" fontId="9" fillId="4" borderId="10" xfId="1" applyNumberFormat="1" applyFont="1" applyFill="1" applyBorder="1" applyAlignment="1">
      <alignment horizontal="center" vertical="center"/>
    </xf>
    <xf numFmtId="166" fontId="9" fillId="4" borderId="11" xfId="1" applyNumberFormat="1" applyFont="1" applyFill="1" applyBorder="1" applyAlignment="1">
      <alignment horizontal="center" vertical="center"/>
    </xf>
    <xf numFmtId="166" fontId="9" fillId="4" borderId="12" xfId="1" applyNumberFormat="1" applyFont="1" applyFill="1" applyBorder="1" applyAlignment="1">
      <alignment horizontal="center" vertical="center"/>
    </xf>
    <xf numFmtId="166" fontId="9" fillId="4" borderId="5" xfId="1" applyNumberFormat="1" applyFont="1" applyFill="1" applyBorder="1" applyAlignment="1">
      <alignment horizontal="center" vertical="center"/>
    </xf>
    <xf numFmtId="166" fontId="9" fillId="4" borderId="6" xfId="1" applyNumberFormat="1" applyFont="1" applyFill="1" applyBorder="1" applyAlignment="1">
      <alignment horizontal="center" vertical="center"/>
    </xf>
    <xf numFmtId="166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164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64" fontId="13" fillId="4" borderId="5" xfId="1" applyFont="1" applyFill="1" applyBorder="1" applyAlignment="1">
      <alignment horizontal="center" vertical="center"/>
    </xf>
    <xf numFmtId="164" fontId="13" fillId="4" borderId="6" xfId="1" applyFont="1" applyFill="1" applyBorder="1" applyAlignment="1">
      <alignment horizontal="center" vertical="center"/>
    </xf>
    <xf numFmtId="164" fontId="13" fillId="4" borderId="7" xfId="1" applyFont="1" applyFill="1" applyBorder="1" applyAlignment="1">
      <alignment horizontal="center" vertical="center"/>
    </xf>
    <xf numFmtId="166" fontId="13" fillId="4" borderId="5" xfId="1" applyNumberFormat="1" applyFont="1" applyFill="1" applyBorder="1" applyAlignment="1">
      <alignment horizontal="center" vertical="center"/>
    </xf>
    <xf numFmtId="166" fontId="13" fillId="4" borderId="6" xfId="1" applyNumberFormat="1" applyFont="1" applyFill="1" applyBorder="1" applyAlignment="1">
      <alignment horizontal="center" vertical="center"/>
    </xf>
    <xf numFmtId="166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164" fontId="4" fillId="4" borderId="20" xfId="1" applyFont="1" applyFill="1" applyBorder="1" applyAlignment="1">
      <alignment horizontal="center" vertical="center" wrapText="1"/>
    </xf>
    <xf numFmtId="164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164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164" fontId="9" fillId="4" borderId="23" xfId="1" applyFont="1" applyFill="1" applyBorder="1" applyAlignment="1">
      <alignment horizontal="center" vertical="center"/>
    </xf>
    <xf numFmtId="164" fontId="9" fillId="4" borderId="35" xfId="1" applyFont="1" applyFill="1" applyBorder="1" applyAlignment="1">
      <alignment horizontal="center" vertical="center"/>
    </xf>
    <xf numFmtId="164" fontId="9" fillId="4" borderId="36" xfId="1" applyFont="1" applyFill="1" applyBorder="1" applyAlignment="1">
      <alignment horizontal="center" vertical="center"/>
    </xf>
    <xf numFmtId="164" fontId="9" fillId="4" borderId="33" xfId="1" applyFont="1" applyFill="1" applyBorder="1" applyAlignment="1">
      <alignment horizontal="center" vertical="center"/>
    </xf>
    <xf numFmtId="164" fontId="9" fillId="4" borderId="29" xfId="1" applyFont="1" applyFill="1" applyBorder="1" applyAlignment="1">
      <alignment horizontal="center" vertical="center"/>
    </xf>
    <xf numFmtId="164" fontId="9" fillId="3" borderId="13" xfId="1" applyFont="1" applyFill="1" applyBorder="1" applyAlignment="1">
      <alignment horizontal="center" vertical="center"/>
    </xf>
    <xf numFmtId="164" fontId="9" fillId="3" borderId="14" xfId="1" applyFont="1" applyFill="1" applyBorder="1" applyAlignment="1">
      <alignment horizontal="center" vertical="center"/>
    </xf>
    <xf numFmtId="164" fontId="9" fillId="3" borderId="15" xfId="1" applyFont="1" applyFill="1" applyBorder="1" applyAlignment="1">
      <alignment horizontal="center" vertical="center"/>
    </xf>
    <xf numFmtId="164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18" fillId="4" borderId="5" xfId="1" applyFont="1" applyFill="1" applyBorder="1" applyAlignment="1">
      <alignment horizontal="center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4" fillId="15" borderId="0" xfId="0" applyFont="1" applyFill="1" applyAlignment="1">
      <alignment horizontal="center" wrapText="1"/>
    </xf>
    <xf numFmtId="0" fontId="13" fillId="0" borderId="0" xfId="0" applyNumberFormat="1" applyFont="1" applyAlignment="1">
      <alignment horizontal="center" wrapText="1"/>
    </xf>
    <xf numFmtId="164" fontId="13" fillId="0" borderId="0" xfId="0" applyNumberFormat="1" applyFont="1" applyAlignment="1">
      <alignment horizontal="center" wrapText="1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4" borderId="10" xfId="1" applyNumberFormat="1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164" fontId="11" fillId="4" borderId="30" xfId="1" applyFont="1" applyFill="1" applyBorder="1" applyAlignment="1">
      <alignment horizontal="left" vertical="center" wrapText="1"/>
    </xf>
    <xf numFmtId="164" fontId="11" fillId="4" borderId="25" xfId="1" applyFont="1" applyFill="1" applyBorder="1" applyAlignment="1">
      <alignment horizontal="left" vertical="center" wrapText="1"/>
    </xf>
    <xf numFmtId="164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5" fillId="0" borderId="0" xfId="0" applyFont="1"/>
    <xf numFmtId="164" fontId="12" fillId="4" borderId="9" xfId="1" applyFont="1" applyFill="1" applyBorder="1" applyAlignment="1">
      <alignment horizontal="center" vertical="center" wrapText="1"/>
    </xf>
    <xf numFmtId="164" fontId="12" fillId="4" borderId="30" xfId="1" applyFont="1" applyFill="1" applyBorder="1" applyAlignment="1">
      <alignment horizontal="center" vertical="center" wrapText="1"/>
    </xf>
    <xf numFmtId="164" fontId="12" fillId="4" borderId="25" xfId="1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8"/>
  <sheetViews>
    <sheetView zoomScale="70" zoomScaleNormal="70" workbookViewId="0">
      <pane xSplit="2" ySplit="7" topLeftCell="AF8" activePane="bottomRight" state="frozen"/>
      <selection activeCell="C3" sqref="C3"/>
      <selection pane="topRight" activeCell="C3" sqref="C3"/>
      <selection pane="bottomLeft" activeCell="C3" sqref="C3"/>
      <selection pane="bottomRight" activeCell="A30" sqref="A30:XFD32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  <c r="AP2" s="28">
        <f>20/5</f>
        <v>4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R3" s="28">
        <f>80/5</f>
        <v>16</v>
      </c>
      <c r="AU3" s="119">
        <f>24/2</f>
        <v>12</v>
      </c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5" t="s">
        <v>22</v>
      </c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7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51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2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f>15+20</f>
        <v>35</v>
      </c>
      <c r="X8" s="7"/>
      <c r="Y8" s="7"/>
      <c r="Z8" s="7"/>
      <c r="AA8" s="8"/>
      <c r="AB8" s="40"/>
      <c r="AC8" s="41"/>
      <c r="AD8" s="41"/>
      <c r="AE8" s="41">
        <v>1</v>
      </c>
      <c r="AF8" s="42"/>
      <c r="AG8" s="129">
        <f>3+1+4+5</f>
        <v>13</v>
      </c>
      <c r="AH8" s="124"/>
      <c r="AI8" s="124"/>
      <c r="AJ8" s="41"/>
      <c r="AK8" s="42"/>
      <c r="AL8" s="40">
        <v>3</v>
      </c>
      <c r="AM8" s="41"/>
      <c r="AN8" s="41">
        <v>1</v>
      </c>
      <c r="AO8" s="41">
        <v>5</v>
      </c>
      <c r="AP8" s="42">
        <v>5</v>
      </c>
      <c r="AQ8" s="108">
        <v>1</v>
      </c>
      <c r="AR8" s="109"/>
      <c r="AS8" s="109">
        <f>6/20</f>
        <v>0.3</v>
      </c>
      <c r="AT8" s="109">
        <v>1</v>
      </c>
      <c r="AU8" s="110">
        <v>2</v>
      </c>
      <c r="AV8" s="6">
        <v>3</v>
      </c>
      <c r="AW8" s="7"/>
      <c r="AX8" s="7">
        <v>2</v>
      </c>
      <c r="AY8" s="7"/>
      <c r="AZ8" s="8"/>
      <c r="BA8" s="6">
        <f>10+10</f>
        <v>20</v>
      </c>
      <c r="BB8" s="7"/>
      <c r="BC8" s="8">
        <f>10+20</f>
        <v>30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f>20+20</f>
        <v>40</v>
      </c>
      <c r="X9" s="10"/>
      <c r="Y9" s="10"/>
      <c r="Z9" s="10"/>
      <c r="AA9" s="11"/>
      <c r="AB9" s="43">
        <v>1</v>
      </c>
      <c r="AC9" s="44"/>
      <c r="AD9" s="44"/>
      <c r="AE9" s="44"/>
      <c r="AF9" s="45"/>
      <c r="AG9" s="58">
        <f>1+1+2+10</f>
        <v>14</v>
      </c>
      <c r="AH9" s="125"/>
      <c r="AI9" s="125"/>
      <c r="AJ9" s="44"/>
      <c r="AK9" s="45"/>
      <c r="AL9" s="43">
        <v>2</v>
      </c>
      <c r="AM9" s="44"/>
      <c r="AN9" s="44">
        <v>1</v>
      </c>
      <c r="AO9" s="44">
        <v>2</v>
      </c>
      <c r="AP9" s="45">
        <v>10</v>
      </c>
      <c r="AQ9" s="107">
        <f>4/12</f>
        <v>0.33333333333333331</v>
      </c>
      <c r="AR9" s="111"/>
      <c r="AS9" s="111">
        <f>3/20</f>
        <v>0.15</v>
      </c>
      <c r="AT9" s="111">
        <v>0.5</v>
      </c>
      <c r="AU9" s="112">
        <v>4.5</v>
      </c>
      <c r="AV9" s="6">
        <v>3</v>
      </c>
      <c r="AW9" s="10"/>
      <c r="AX9" s="7">
        <v>2</v>
      </c>
      <c r="AY9" s="10"/>
      <c r="AZ9" s="11"/>
      <c r="BA9" s="9">
        <f>4+5</f>
        <v>9</v>
      </c>
      <c r="BB9" s="10"/>
      <c r="BC9" s="11">
        <f>5+40+4</f>
        <v>49</v>
      </c>
      <c r="BD9" s="70"/>
      <c r="BE9" s="12"/>
    </row>
    <row r="10" spans="1:57" ht="31.9" customHeight="1" x14ac:dyDescent="0.2">
      <c r="A10" s="20">
        <v>3</v>
      </c>
      <c r="B10" s="103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f>26+21</f>
        <v>47</v>
      </c>
      <c r="X10" s="10"/>
      <c r="Y10" s="10"/>
      <c r="Z10" s="10"/>
      <c r="AA10" s="11"/>
      <c r="AB10" s="43"/>
      <c r="AC10" s="44"/>
      <c r="AD10" s="44">
        <v>1</v>
      </c>
      <c r="AE10" s="44"/>
      <c r="AF10" s="45"/>
      <c r="AG10" s="58">
        <f>4+1+1+5</f>
        <v>11</v>
      </c>
      <c r="AH10" s="125"/>
      <c r="AI10" s="125"/>
      <c r="AJ10" s="44"/>
      <c r="AK10" s="45"/>
      <c r="AL10" s="43">
        <v>4</v>
      </c>
      <c r="AM10" s="44"/>
      <c r="AN10" s="44">
        <v>2</v>
      </c>
      <c r="AO10" s="44">
        <v>1</v>
      </c>
      <c r="AP10" s="45">
        <v>5</v>
      </c>
      <c r="AQ10" s="107">
        <v>1.5</v>
      </c>
      <c r="AR10" s="111"/>
      <c r="AS10" s="111">
        <f>3/20</f>
        <v>0.15</v>
      </c>
      <c r="AT10" s="111">
        <v>0.4</v>
      </c>
      <c r="AU10" s="112">
        <v>2</v>
      </c>
      <c r="AV10" s="6">
        <v>3</v>
      </c>
      <c r="AW10" s="10"/>
      <c r="AX10" s="7">
        <v>2</v>
      </c>
      <c r="AY10" s="10"/>
      <c r="AZ10" s="11"/>
      <c r="BA10" s="9">
        <f>16+5</f>
        <v>21</v>
      </c>
      <c r="BB10" s="10"/>
      <c r="BC10" s="11">
        <f>4+20</f>
        <v>24</v>
      </c>
      <c r="BD10" s="139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f>28+25</f>
        <v>53</v>
      </c>
      <c r="X11" s="10"/>
      <c r="Y11" s="10"/>
      <c r="Z11" s="10"/>
      <c r="AA11" s="11"/>
      <c r="AB11" s="43"/>
      <c r="AC11" s="44"/>
      <c r="AD11" s="44"/>
      <c r="AE11" s="44"/>
      <c r="AF11" s="45">
        <v>1</v>
      </c>
      <c r="AG11" s="58">
        <f>4+1+1+7</f>
        <v>13</v>
      </c>
      <c r="AH11" s="125"/>
      <c r="AI11" s="125"/>
      <c r="AJ11" s="44"/>
      <c r="AK11" s="45"/>
      <c r="AL11" s="43">
        <v>4</v>
      </c>
      <c r="AM11" s="44"/>
      <c r="AN11" s="44">
        <v>1</v>
      </c>
      <c r="AO11" s="44">
        <v>1</v>
      </c>
      <c r="AP11" s="45">
        <v>7</v>
      </c>
      <c r="AQ11" s="107">
        <v>2</v>
      </c>
      <c r="AR11" s="111"/>
      <c r="AS11" s="111">
        <f>3/20</f>
        <v>0.15</v>
      </c>
      <c r="AT11" s="111">
        <v>0.5</v>
      </c>
      <c r="AU11" s="112">
        <v>2.5</v>
      </c>
      <c r="AV11" s="6">
        <v>3</v>
      </c>
      <c r="AW11" s="10"/>
      <c r="AX11" s="7">
        <v>2</v>
      </c>
      <c r="AY11" s="10"/>
      <c r="AZ11" s="11"/>
      <c r="BA11" s="9">
        <f>20+5</f>
        <v>25</v>
      </c>
      <c r="BB11" s="10"/>
      <c r="BC11" s="11">
        <f>5+20+4</f>
        <v>29</v>
      </c>
      <c r="BD11" s="140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f>28+25</f>
        <v>53</v>
      </c>
      <c r="X12" s="10"/>
      <c r="Y12" s="10"/>
      <c r="Z12" s="10"/>
      <c r="AA12" s="11"/>
      <c r="AB12" s="43">
        <v>1</v>
      </c>
      <c r="AC12" s="44"/>
      <c r="AD12" s="44">
        <v>1</v>
      </c>
      <c r="AE12" s="44"/>
      <c r="AF12" s="45"/>
      <c r="AG12" s="58">
        <f>1+1+4+10</f>
        <v>16</v>
      </c>
      <c r="AH12" s="125"/>
      <c r="AI12" s="125"/>
      <c r="AJ12" s="44"/>
      <c r="AK12" s="45"/>
      <c r="AL12" s="43">
        <v>2</v>
      </c>
      <c r="AM12" s="44"/>
      <c r="AN12" s="44">
        <v>2</v>
      </c>
      <c r="AO12" s="44">
        <v>4</v>
      </c>
      <c r="AP12" s="45">
        <v>10</v>
      </c>
      <c r="AQ12" s="107">
        <f>5/12</f>
        <v>0.41666666666666669</v>
      </c>
      <c r="AR12" s="111"/>
      <c r="AS12" s="111">
        <f>9/20</f>
        <v>0.45</v>
      </c>
      <c r="AT12" s="111">
        <v>1</v>
      </c>
      <c r="AU12" s="112">
        <v>3</v>
      </c>
      <c r="AV12" s="6">
        <v>3</v>
      </c>
      <c r="AW12" s="10"/>
      <c r="AX12" s="7">
        <v>2</v>
      </c>
      <c r="AY12" s="10"/>
      <c r="AZ12" s="11"/>
      <c r="BA12" s="9">
        <f>5+15</f>
        <v>20</v>
      </c>
      <c r="BB12" s="10"/>
      <c r="BC12" s="11">
        <f>10+30</f>
        <v>40</v>
      </c>
      <c r="BD12" s="141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f>18+23</f>
        <v>41</v>
      </c>
      <c r="X13" s="10"/>
      <c r="Y13" s="10"/>
      <c r="Z13" s="10"/>
      <c r="AA13" s="11"/>
      <c r="AB13" s="43">
        <v>1</v>
      </c>
      <c r="AC13" s="44"/>
      <c r="AD13" s="44"/>
      <c r="AE13" s="44">
        <v>1</v>
      </c>
      <c r="AF13" s="45"/>
      <c r="AG13" s="43">
        <f>1+2+8</f>
        <v>11</v>
      </c>
      <c r="AH13" s="44"/>
      <c r="AI13" s="44"/>
      <c r="AJ13" s="44"/>
      <c r="AK13" s="45"/>
      <c r="AL13" s="43">
        <v>2</v>
      </c>
      <c r="AM13" s="44"/>
      <c r="AN13" s="44"/>
      <c r="AO13" s="44">
        <v>3</v>
      </c>
      <c r="AP13" s="45">
        <v>8</v>
      </c>
      <c r="AQ13" s="107">
        <f>0.5</f>
        <v>0.5</v>
      </c>
      <c r="AR13" s="111"/>
      <c r="AS13" s="111"/>
      <c r="AT13" s="111">
        <v>1</v>
      </c>
      <c r="AU13" s="112">
        <v>2.5</v>
      </c>
      <c r="AV13" s="6">
        <v>3</v>
      </c>
      <c r="AW13" s="10"/>
      <c r="AX13" s="7">
        <v>2</v>
      </c>
      <c r="AY13" s="10"/>
      <c r="AZ13" s="11"/>
      <c r="BA13" s="9">
        <v>6</v>
      </c>
      <c r="BB13" s="10"/>
      <c r="BC13" s="11">
        <f>10+20+4</f>
        <v>34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f>25+25</f>
        <v>50</v>
      </c>
      <c r="X14" s="10"/>
      <c r="Y14" s="10"/>
      <c r="Z14" s="10"/>
      <c r="AA14" s="11"/>
      <c r="AB14" s="43"/>
      <c r="AC14" s="44"/>
      <c r="AD14" s="44"/>
      <c r="AE14" s="44"/>
      <c r="AF14" s="45"/>
      <c r="AG14" s="43">
        <f>1+1+1+6</f>
        <v>9</v>
      </c>
      <c r="AH14" s="44"/>
      <c r="AI14" s="44"/>
      <c r="AJ14" s="44"/>
      <c r="AK14" s="45"/>
      <c r="AL14" s="43">
        <v>1</v>
      </c>
      <c r="AM14" s="44"/>
      <c r="AN14" s="44">
        <v>1</v>
      </c>
      <c r="AO14" s="44">
        <v>1</v>
      </c>
      <c r="AP14" s="45">
        <v>6</v>
      </c>
      <c r="AQ14" s="107">
        <f>4/12</f>
        <v>0.33333333333333331</v>
      </c>
      <c r="AR14" s="111"/>
      <c r="AS14" s="111">
        <f>3/20</f>
        <v>0.15</v>
      </c>
      <c r="AT14" s="111">
        <v>0.6</v>
      </c>
      <c r="AU14" s="112">
        <v>1.5</v>
      </c>
      <c r="AV14" s="6">
        <v>3</v>
      </c>
      <c r="AW14" s="10"/>
      <c r="AX14" s="7">
        <v>2</v>
      </c>
      <c r="AY14" s="10"/>
      <c r="AZ14" s="11"/>
      <c r="BA14" s="9">
        <f>4+5</f>
        <v>9</v>
      </c>
      <c r="BB14" s="10"/>
      <c r="BC14" s="11">
        <f>6+10+4</f>
        <v>20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f>25+22</f>
        <v>47</v>
      </c>
      <c r="X15" s="10"/>
      <c r="Y15" s="10"/>
      <c r="Z15" s="10"/>
      <c r="AA15" s="11"/>
      <c r="AB15" s="43"/>
      <c r="AC15" s="44"/>
      <c r="AD15" s="44"/>
      <c r="AE15" s="44"/>
      <c r="AF15" s="45">
        <v>1</v>
      </c>
      <c r="AG15" s="43">
        <f>1+1+2+7</f>
        <v>11</v>
      </c>
      <c r="AH15" s="44"/>
      <c r="AI15" s="44"/>
      <c r="AJ15" s="44"/>
      <c r="AK15" s="45"/>
      <c r="AL15" s="43">
        <v>1</v>
      </c>
      <c r="AM15" s="44"/>
      <c r="AN15" s="44">
        <v>1</v>
      </c>
      <c r="AO15" s="44">
        <v>2</v>
      </c>
      <c r="AP15" s="45">
        <v>8</v>
      </c>
      <c r="AQ15" s="107">
        <f>6/12</f>
        <v>0.5</v>
      </c>
      <c r="AR15" s="111"/>
      <c r="AS15" s="111">
        <f>3/20</f>
        <v>0.15</v>
      </c>
      <c r="AT15" s="111">
        <v>0.5</v>
      </c>
      <c r="AU15" s="112">
        <v>2</v>
      </c>
      <c r="AV15" s="6">
        <v>3</v>
      </c>
      <c r="AW15" s="10"/>
      <c r="AX15" s="7">
        <v>2</v>
      </c>
      <c r="AY15" s="10"/>
      <c r="AZ15" s="11"/>
      <c r="BA15" s="9">
        <f>6+5</f>
        <v>11</v>
      </c>
      <c r="BB15" s="10"/>
      <c r="BC15" s="11">
        <f>5+20</f>
        <v>25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f>24+25</f>
        <v>49</v>
      </c>
      <c r="X16" s="10"/>
      <c r="Y16" s="10"/>
      <c r="Z16" s="10"/>
      <c r="AA16" s="11"/>
      <c r="AB16" s="43"/>
      <c r="AC16" s="44"/>
      <c r="AD16" s="44">
        <v>1</v>
      </c>
      <c r="AE16" s="44"/>
      <c r="AF16" s="45"/>
      <c r="AG16" s="43">
        <f>1+1+1+9</f>
        <v>12</v>
      </c>
      <c r="AH16" s="44"/>
      <c r="AI16" s="44"/>
      <c r="AJ16" s="44"/>
      <c r="AK16" s="45"/>
      <c r="AL16" s="43">
        <v>1</v>
      </c>
      <c r="AM16" s="44"/>
      <c r="AN16" s="44">
        <v>2</v>
      </c>
      <c r="AO16" s="44">
        <v>1</v>
      </c>
      <c r="AP16" s="45">
        <v>9</v>
      </c>
      <c r="AQ16" s="107">
        <f>2/12</f>
        <v>0.16666666666666666</v>
      </c>
      <c r="AR16" s="111"/>
      <c r="AS16" s="111">
        <f>6/20</f>
        <v>0.3</v>
      </c>
      <c r="AT16" s="111">
        <v>0.6</v>
      </c>
      <c r="AU16" s="112">
        <v>3</v>
      </c>
      <c r="AV16" s="6">
        <v>3</v>
      </c>
      <c r="AW16" s="10"/>
      <c r="AX16" s="7">
        <v>2</v>
      </c>
      <c r="AY16" s="10"/>
      <c r="AZ16" s="11"/>
      <c r="BA16" s="9">
        <f>2+10</f>
        <v>12</v>
      </c>
      <c r="BB16" s="10"/>
      <c r="BC16" s="11">
        <f>6+30</f>
        <v>36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f>15+27</f>
        <v>42</v>
      </c>
      <c r="X17" s="10"/>
      <c r="Y17" s="10"/>
      <c r="Z17" s="10"/>
      <c r="AA17" s="11"/>
      <c r="AB17" s="43"/>
      <c r="AC17" s="44"/>
      <c r="AD17" s="44"/>
      <c r="AE17" s="44"/>
      <c r="AF17" s="45"/>
      <c r="AG17" s="43">
        <f>1+1+3+4</f>
        <v>9</v>
      </c>
      <c r="AH17" s="44"/>
      <c r="AI17" s="44"/>
      <c r="AJ17" s="44"/>
      <c r="AK17" s="45"/>
      <c r="AL17" s="43">
        <v>1</v>
      </c>
      <c r="AM17" s="44"/>
      <c r="AN17" s="44">
        <v>1</v>
      </c>
      <c r="AO17" s="44">
        <v>3</v>
      </c>
      <c r="AP17" s="45">
        <v>4</v>
      </c>
      <c r="AQ17" s="107">
        <f>2/12</f>
        <v>0.16666666666666666</v>
      </c>
      <c r="AR17" s="111"/>
      <c r="AS17" s="111">
        <f>3/20</f>
        <v>0.15</v>
      </c>
      <c r="AT17" s="111">
        <v>1</v>
      </c>
      <c r="AU17" s="112">
        <v>1</v>
      </c>
      <c r="AV17" s="6">
        <v>3</v>
      </c>
      <c r="AW17" s="10"/>
      <c r="AX17" s="7">
        <v>2</v>
      </c>
      <c r="AY17" s="10"/>
      <c r="AZ17" s="11"/>
      <c r="BA17" s="9">
        <f>2+5</f>
        <v>7</v>
      </c>
      <c r="BB17" s="10"/>
      <c r="BC17" s="11">
        <f>10+10</f>
        <v>20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f>24+24</f>
        <v>48</v>
      </c>
      <c r="X18" s="10"/>
      <c r="Y18" s="10"/>
      <c r="Z18" s="10"/>
      <c r="AA18" s="11"/>
      <c r="AB18" s="43"/>
      <c r="AC18" s="44"/>
      <c r="AD18" s="44"/>
      <c r="AE18" s="44"/>
      <c r="AF18" s="45"/>
      <c r="AG18" s="43">
        <f>1+1+1+15</f>
        <v>18</v>
      </c>
      <c r="AH18" s="44"/>
      <c r="AI18" s="44"/>
      <c r="AJ18" s="44"/>
      <c r="AK18" s="45"/>
      <c r="AL18" s="43">
        <v>1</v>
      </c>
      <c r="AM18" s="44"/>
      <c r="AN18" s="44">
        <v>1</v>
      </c>
      <c r="AO18" s="44">
        <v>1</v>
      </c>
      <c r="AP18" s="45">
        <v>15</v>
      </c>
      <c r="AQ18" s="107">
        <f>8/12</f>
        <v>0.66666666666666663</v>
      </c>
      <c r="AR18" s="111"/>
      <c r="AS18" s="111">
        <f>3/20</f>
        <v>0.15</v>
      </c>
      <c r="AT18" s="111">
        <v>0.5</v>
      </c>
      <c r="AU18" s="112">
        <v>5</v>
      </c>
      <c r="AV18" s="6">
        <v>3</v>
      </c>
      <c r="AW18" s="10"/>
      <c r="AX18" s="7">
        <v>2</v>
      </c>
      <c r="AY18" s="10"/>
      <c r="AZ18" s="11"/>
      <c r="BA18" s="9">
        <f>8+5</f>
        <v>13</v>
      </c>
      <c r="BB18" s="10"/>
      <c r="BC18" s="11">
        <f>5+50</f>
        <v>55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f>27+23</f>
        <v>50</v>
      </c>
      <c r="X19" s="10"/>
      <c r="Y19" s="10"/>
      <c r="Z19" s="10"/>
      <c r="AA19" s="11"/>
      <c r="AB19" s="43"/>
      <c r="AC19" s="44"/>
      <c r="AD19" s="44"/>
      <c r="AE19" s="44"/>
      <c r="AF19" s="45"/>
      <c r="AG19" s="43">
        <f>6+4+1</f>
        <v>11</v>
      </c>
      <c r="AH19" s="44"/>
      <c r="AI19" s="44"/>
      <c r="AJ19" s="44"/>
      <c r="AK19" s="45"/>
      <c r="AL19" s="43">
        <v>6</v>
      </c>
      <c r="AM19" s="44"/>
      <c r="AN19" s="44"/>
      <c r="AO19" s="44">
        <v>4</v>
      </c>
      <c r="AP19" s="45">
        <v>1</v>
      </c>
      <c r="AQ19" s="107">
        <v>2</v>
      </c>
      <c r="AR19" s="111"/>
      <c r="AS19" s="111"/>
      <c r="AT19" s="111">
        <v>1</v>
      </c>
      <c r="AU19" s="112">
        <f t="shared" ref="AU19:AU20" si="2">5/20</f>
        <v>0.25</v>
      </c>
      <c r="AV19" s="6">
        <v>3</v>
      </c>
      <c r="AW19" s="10"/>
      <c r="AX19" s="7">
        <v>2</v>
      </c>
      <c r="AY19" s="10"/>
      <c r="AZ19" s="11"/>
      <c r="BA19" s="9">
        <v>20</v>
      </c>
      <c r="BB19" s="10"/>
      <c r="BC19" s="11">
        <f>10+2</f>
        <v>12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f>20+24</f>
        <v>44</v>
      </c>
      <c r="X20" s="10"/>
      <c r="Y20" s="10"/>
      <c r="Z20" s="10"/>
      <c r="AA20" s="11"/>
      <c r="AB20" s="43">
        <v>1</v>
      </c>
      <c r="AC20" s="44"/>
      <c r="AD20" s="44"/>
      <c r="AE20" s="44">
        <v>1</v>
      </c>
      <c r="AF20" s="45">
        <v>1</v>
      </c>
      <c r="AG20" s="128">
        <f>4+1+4+1</f>
        <v>10</v>
      </c>
      <c r="AH20" s="44"/>
      <c r="AI20" s="44"/>
      <c r="AJ20" s="44"/>
      <c r="AK20" s="45"/>
      <c r="AL20" s="43">
        <v>4</v>
      </c>
      <c r="AM20" s="44"/>
      <c r="AN20" s="44">
        <v>1</v>
      </c>
      <c r="AO20" s="44">
        <v>5</v>
      </c>
      <c r="AP20" s="45">
        <v>2</v>
      </c>
      <c r="AQ20" s="107">
        <v>1.5</v>
      </c>
      <c r="AR20" s="111"/>
      <c r="AS20" s="111">
        <f>3/20</f>
        <v>0.15</v>
      </c>
      <c r="AT20" s="111">
        <v>1</v>
      </c>
      <c r="AU20" s="112">
        <f t="shared" si="2"/>
        <v>0.25</v>
      </c>
      <c r="AV20" s="6">
        <v>3</v>
      </c>
      <c r="AW20" s="10"/>
      <c r="AX20" s="7">
        <v>2</v>
      </c>
      <c r="AY20" s="10"/>
      <c r="AZ20" s="11"/>
      <c r="BA20" s="9">
        <f>16+5</f>
        <v>21</v>
      </c>
      <c r="BB20" s="10"/>
      <c r="BC20" s="11">
        <f>10+2</f>
        <v>12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f>25+23</f>
        <v>48</v>
      </c>
      <c r="X21" s="10"/>
      <c r="Y21" s="10"/>
      <c r="Z21" s="10"/>
      <c r="AA21" s="11"/>
      <c r="AB21" s="43"/>
      <c r="AC21" s="44"/>
      <c r="AD21" s="44">
        <v>1</v>
      </c>
      <c r="AE21" s="44"/>
      <c r="AF21" s="45"/>
      <c r="AG21" s="43">
        <f>1+1+1+7</f>
        <v>10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1</v>
      </c>
      <c r="AP21" s="45">
        <v>7</v>
      </c>
      <c r="AQ21" s="107">
        <v>0.5</v>
      </c>
      <c r="AR21" s="111"/>
      <c r="AS21" s="111">
        <f>1/20</f>
        <v>0.05</v>
      </c>
      <c r="AT21" s="111">
        <v>0.4</v>
      </c>
      <c r="AU21" s="112">
        <v>2</v>
      </c>
      <c r="AV21" s="6">
        <v>3</v>
      </c>
      <c r="AW21" s="10"/>
      <c r="AX21" s="7">
        <v>2</v>
      </c>
      <c r="AY21" s="10"/>
      <c r="AZ21" s="11"/>
      <c r="BA21" s="9">
        <v>6</v>
      </c>
      <c r="BB21" s="10"/>
      <c r="BC21" s="11">
        <f>4+20</f>
        <v>24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3">+H$3</f>
        <v>3</v>
      </c>
      <c r="I22" s="10">
        <f t="shared" si="3"/>
        <v>1</v>
      </c>
      <c r="J22" s="10">
        <f t="shared" si="3"/>
        <v>1</v>
      </c>
      <c r="K22" s="10">
        <f t="shared" si="3"/>
        <v>1</v>
      </c>
      <c r="L22" s="11">
        <f t="shared" si="3"/>
        <v>1</v>
      </c>
      <c r="M22" s="9">
        <f t="shared" si="3"/>
        <v>3</v>
      </c>
      <c r="N22" s="10">
        <f t="shared" si="3"/>
        <v>1</v>
      </c>
      <c r="O22" s="10">
        <f t="shared" si="3"/>
        <v>3</v>
      </c>
      <c r="P22" s="10">
        <f t="shared" si="3"/>
        <v>0</v>
      </c>
      <c r="Q22" s="11">
        <f t="shared" si="3"/>
        <v>0</v>
      </c>
      <c r="R22" s="36">
        <f t="shared" si="3"/>
        <v>0.5</v>
      </c>
      <c r="S22" s="37">
        <f t="shared" si="3"/>
        <v>0.16666666666666666</v>
      </c>
      <c r="T22" s="37">
        <f t="shared" si="3"/>
        <v>0.1</v>
      </c>
      <c r="U22" s="37">
        <f t="shared" si="3"/>
        <v>0.6</v>
      </c>
      <c r="V22" s="38">
        <f t="shared" si="3"/>
        <v>0.15</v>
      </c>
      <c r="W22" s="9">
        <f>29+26</f>
        <v>55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/>
      <c r="AG22" s="43">
        <f>1+1+2+6</f>
        <v>10</v>
      </c>
      <c r="AH22" s="44"/>
      <c r="AI22" s="44"/>
      <c r="AJ22" s="44"/>
      <c r="AK22" s="45"/>
      <c r="AL22" s="43">
        <v>1</v>
      </c>
      <c r="AM22" s="44"/>
      <c r="AN22" s="44">
        <v>1</v>
      </c>
      <c r="AO22" s="44">
        <v>3</v>
      </c>
      <c r="AP22" s="45">
        <v>6</v>
      </c>
      <c r="AQ22" s="107">
        <f>3/12</f>
        <v>0.25</v>
      </c>
      <c r="AR22" s="111"/>
      <c r="AS22" s="111">
        <f>3/20</f>
        <v>0.15</v>
      </c>
      <c r="AT22" s="111">
        <v>0.5</v>
      </c>
      <c r="AU22" s="112">
        <v>2</v>
      </c>
      <c r="AV22" s="6">
        <v>3</v>
      </c>
      <c r="AW22" s="10"/>
      <c r="AX22" s="7">
        <v>2</v>
      </c>
      <c r="AY22" s="10"/>
      <c r="AZ22" s="11"/>
      <c r="BA22" s="9">
        <f>3+5</f>
        <v>8</v>
      </c>
      <c r="BB22" s="10"/>
      <c r="BC22" s="11">
        <f>5+20</f>
        <v>25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3"/>
        <v>0.16666666666666666</v>
      </c>
      <c r="T23" s="37">
        <f t="shared" si="3"/>
        <v>0.1</v>
      </c>
      <c r="U23" s="37">
        <f t="shared" si="3"/>
        <v>0.6</v>
      </c>
      <c r="V23" s="38">
        <f t="shared" si="3"/>
        <v>0.15</v>
      </c>
      <c r="W23" s="9">
        <f>30+30</f>
        <v>60</v>
      </c>
      <c r="X23" s="10"/>
      <c r="Y23" s="10"/>
      <c r="Z23" s="10"/>
      <c r="AA23" s="11"/>
      <c r="AB23" s="43">
        <v>1</v>
      </c>
      <c r="AC23" s="44"/>
      <c r="AD23" s="44">
        <v>1</v>
      </c>
      <c r="AE23" s="44"/>
      <c r="AF23" s="45"/>
      <c r="AG23" s="43">
        <f>1+1+3+8</f>
        <v>13</v>
      </c>
      <c r="AH23" s="44"/>
      <c r="AI23" s="44"/>
      <c r="AJ23" s="44"/>
      <c r="AK23" s="45"/>
      <c r="AL23" s="43">
        <v>1</v>
      </c>
      <c r="AM23" s="44"/>
      <c r="AN23" s="44">
        <v>2</v>
      </c>
      <c r="AO23" s="44">
        <v>3</v>
      </c>
      <c r="AP23" s="45">
        <v>8</v>
      </c>
      <c r="AQ23" s="107">
        <f>2/12</f>
        <v>0.16666666666666666</v>
      </c>
      <c r="AR23" s="111"/>
      <c r="AS23" s="111">
        <f>3/20</f>
        <v>0.15</v>
      </c>
      <c r="AT23" s="111">
        <v>1</v>
      </c>
      <c r="AU23" s="112">
        <v>2.5</v>
      </c>
      <c r="AV23" s="6">
        <v>3</v>
      </c>
      <c r="AW23" s="10"/>
      <c r="AX23" s="7">
        <v>2</v>
      </c>
      <c r="AY23" s="10"/>
      <c r="AZ23" s="11"/>
      <c r="BA23" s="9">
        <f>2+5</f>
        <v>7</v>
      </c>
      <c r="BB23" s="10"/>
      <c r="BC23" s="11">
        <f>10+20+4</f>
        <v>34</v>
      </c>
      <c r="BD23" s="18"/>
      <c r="BE23" s="12"/>
    </row>
    <row r="24" spans="1:57" ht="31.9" customHeight="1" x14ac:dyDescent="0.2">
      <c r="A24" s="20">
        <v>17</v>
      </c>
      <c r="B24" s="103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3"/>
        <v>0.16666666666666666</v>
      </c>
      <c r="T24" s="37">
        <f t="shared" si="3"/>
        <v>0.1</v>
      </c>
      <c r="U24" s="37">
        <f t="shared" si="3"/>
        <v>0.6</v>
      </c>
      <c r="V24" s="38">
        <f t="shared" si="3"/>
        <v>0.15</v>
      </c>
      <c r="W24" s="9">
        <f>30+24</f>
        <v>54</v>
      </c>
      <c r="X24" s="10"/>
      <c r="Y24" s="10"/>
      <c r="Z24" s="10"/>
      <c r="AA24" s="11"/>
      <c r="AB24" s="43"/>
      <c r="AC24" s="44"/>
      <c r="AD24" s="44"/>
      <c r="AE24" s="44"/>
      <c r="AF24" s="45"/>
      <c r="AG24" s="43">
        <f>5+1+4+18</f>
        <v>28</v>
      </c>
      <c r="AH24" s="44"/>
      <c r="AI24" s="44"/>
      <c r="AJ24" s="44"/>
      <c r="AK24" s="45"/>
      <c r="AL24" s="43">
        <v>5</v>
      </c>
      <c r="AM24" s="44"/>
      <c r="AN24" s="44">
        <v>1</v>
      </c>
      <c r="AO24" s="44">
        <v>4</v>
      </c>
      <c r="AP24" s="45">
        <v>18</v>
      </c>
      <c r="AQ24" s="107">
        <v>2</v>
      </c>
      <c r="AR24" s="111"/>
      <c r="AS24" s="111">
        <f>3/20</f>
        <v>0.15</v>
      </c>
      <c r="AT24" s="111">
        <v>1</v>
      </c>
      <c r="AU24" s="112">
        <v>6</v>
      </c>
      <c r="AV24" s="6">
        <v>3</v>
      </c>
      <c r="AW24" s="10"/>
      <c r="AX24" s="7">
        <v>2</v>
      </c>
      <c r="AY24" s="10"/>
      <c r="AZ24" s="11"/>
      <c r="BA24" s="9">
        <f>20+5</f>
        <v>25</v>
      </c>
      <c r="BB24" s="10"/>
      <c r="BC24" s="11">
        <f>10+60</f>
        <v>70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3"/>
        <v>0.16666666666666666</v>
      </c>
      <c r="T25" s="37">
        <f t="shared" si="3"/>
        <v>0.1</v>
      </c>
      <c r="U25" s="37">
        <f t="shared" si="3"/>
        <v>0.6</v>
      </c>
      <c r="V25" s="38">
        <f t="shared" si="3"/>
        <v>0.15</v>
      </c>
      <c r="W25" s="9">
        <f>26+24</f>
        <v>50</v>
      </c>
      <c r="X25" s="10"/>
      <c r="Y25" s="10"/>
      <c r="Z25" s="10"/>
      <c r="AA25" s="11"/>
      <c r="AB25" s="43"/>
      <c r="AC25" s="44"/>
      <c r="AD25" s="44"/>
      <c r="AE25" s="44">
        <v>1</v>
      </c>
      <c r="AF25" s="45"/>
      <c r="AG25" s="43">
        <f>1+1+2+10</f>
        <v>14</v>
      </c>
      <c r="AH25" s="44"/>
      <c r="AI25" s="44"/>
      <c r="AJ25" s="44"/>
      <c r="AK25" s="45"/>
      <c r="AL25" s="43">
        <v>1</v>
      </c>
      <c r="AM25" s="44"/>
      <c r="AN25" s="44">
        <v>1</v>
      </c>
      <c r="AO25" s="44">
        <v>3</v>
      </c>
      <c r="AP25" s="45">
        <v>10</v>
      </c>
      <c r="AQ25" s="107">
        <v>0.5</v>
      </c>
      <c r="AR25" s="111"/>
      <c r="AS25" s="111">
        <f>3/20</f>
        <v>0.15</v>
      </c>
      <c r="AT25" s="111">
        <v>0.5</v>
      </c>
      <c r="AU25" s="112">
        <v>3</v>
      </c>
      <c r="AV25" s="6">
        <v>3</v>
      </c>
      <c r="AW25" s="10"/>
      <c r="AX25" s="7">
        <v>2</v>
      </c>
      <c r="AY25" s="10"/>
      <c r="AZ25" s="11"/>
      <c r="BA25" s="9">
        <f>6+5</f>
        <v>11</v>
      </c>
      <c r="BB25" s="10"/>
      <c r="BC25" s="11">
        <f>5+30</f>
        <v>35</v>
      </c>
      <c r="BD25" s="18"/>
      <c r="BE25" s="12"/>
    </row>
    <row r="26" spans="1:57" ht="31.9" customHeight="1" x14ac:dyDescent="0.2">
      <c r="A26" s="50">
        <v>19</v>
      </c>
      <c r="B26" s="104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3"/>
        <v>0.16666666666666666</v>
      </c>
      <c r="T26" s="56">
        <f t="shared" si="3"/>
        <v>0.1</v>
      </c>
      <c r="U26" s="56">
        <f t="shared" si="3"/>
        <v>0.6</v>
      </c>
      <c r="V26" s="57">
        <f t="shared" si="3"/>
        <v>0.15</v>
      </c>
      <c r="W26" s="52">
        <f>29+26</f>
        <v>55</v>
      </c>
      <c r="X26" s="53"/>
      <c r="Y26" s="53"/>
      <c r="Z26" s="53"/>
      <c r="AA26" s="54"/>
      <c r="AB26" s="58">
        <v>1</v>
      </c>
      <c r="AC26" s="59"/>
      <c r="AD26" s="59"/>
      <c r="AE26" s="59"/>
      <c r="AF26" s="48"/>
      <c r="AG26" s="58">
        <f>1+1+7+11</f>
        <v>20</v>
      </c>
      <c r="AH26" s="59"/>
      <c r="AI26" s="59"/>
      <c r="AJ26" s="59"/>
      <c r="AK26" s="48"/>
      <c r="AL26" s="58">
        <v>2</v>
      </c>
      <c r="AM26" s="59"/>
      <c r="AN26" s="59">
        <v>1</v>
      </c>
      <c r="AO26" s="59">
        <v>7</v>
      </c>
      <c r="AP26" s="48">
        <v>11</v>
      </c>
      <c r="AQ26" s="113">
        <f>6/12</f>
        <v>0.5</v>
      </c>
      <c r="AR26" s="114"/>
      <c r="AS26" s="114">
        <f>3/20</f>
        <v>0.15</v>
      </c>
      <c r="AT26" s="114">
        <v>2</v>
      </c>
      <c r="AU26" s="115">
        <v>3</v>
      </c>
      <c r="AV26" s="6">
        <v>3</v>
      </c>
      <c r="AW26" s="53"/>
      <c r="AX26" s="7">
        <v>2</v>
      </c>
      <c r="AY26" s="53"/>
      <c r="AZ26" s="54"/>
      <c r="BA26" s="52">
        <f>6+5</f>
        <v>11</v>
      </c>
      <c r="BB26" s="53"/>
      <c r="BC26" s="54">
        <f>20+30</f>
        <v>50</v>
      </c>
      <c r="BD26" s="60"/>
      <c r="BE26" s="61"/>
    </row>
    <row r="27" spans="1:57" ht="31.9" customHeight="1" thickBot="1" x14ac:dyDescent="0.25">
      <c r="A27" s="50">
        <v>20</v>
      </c>
      <c r="B27" s="104" t="s">
        <v>54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3"/>
        <v>0.16666666666666666</v>
      </c>
      <c r="T27" s="56">
        <f t="shared" si="3"/>
        <v>0.1</v>
      </c>
      <c r="U27" s="56">
        <f t="shared" si="3"/>
        <v>0.6</v>
      </c>
      <c r="V27" s="57">
        <f t="shared" si="3"/>
        <v>0.15</v>
      </c>
      <c r="W27" s="52">
        <f>31+22</f>
        <v>53</v>
      </c>
      <c r="X27" s="53"/>
      <c r="Y27" s="53"/>
      <c r="Z27" s="53"/>
      <c r="AA27" s="54"/>
      <c r="AB27" s="67">
        <v>1</v>
      </c>
      <c r="AC27" s="68"/>
      <c r="AD27" s="68"/>
      <c r="AE27" s="68"/>
      <c r="AF27" s="69"/>
      <c r="AG27" s="58">
        <f>5+1+3+13</f>
        <v>22</v>
      </c>
      <c r="AH27" s="59"/>
      <c r="AI27" s="59"/>
      <c r="AJ27" s="59"/>
      <c r="AK27" s="48"/>
      <c r="AL27" s="67">
        <v>5</v>
      </c>
      <c r="AM27" s="68"/>
      <c r="AN27" s="68">
        <v>1</v>
      </c>
      <c r="AO27" s="68">
        <v>3</v>
      </c>
      <c r="AP27" s="69">
        <v>13</v>
      </c>
      <c r="AQ27" s="113">
        <v>1</v>
      </c>
      <c r="AR27" s="114"/>
      <c r="AS27" s="114">
        <f>6/20</f>
        <v>0.3</v>
      </c>
      <c r="AT27" s="114">
        <v>1</v>
      </c>
      <c r="AU27" s="115">
        <v>4</v>
      </c>
      <c r="AV27" s="6">
        <v>3</v>
      </c>
      <c r="AW27" s="53"/>
      <c r="AX27" s="7">
        <v>2</v>
      </c>
      <c r="AY27" s="53"/>
      <c r="AZ27" s="54"/>
      <c r="BA27" s="52">
        <f>10+10</f>
        <v>20</v>
      </c>
      <c r="BB27" s="53"/>
      <c r="BC27" s="54">
        <f>10+40</f>
        <v>50</v>
      </c>
      <c r="BD27" s="60"/>
      <c r="BE27" s="61"/>
    </row>
    <row r="28" spans="1:57" s="176" customFormat="1" ht="34.15" customHeight="1" thickBot="1" x14ac:dyDescent="0.3">
      <c r="A28" s="14"/>
      <c r="B28" s="105" t="s">
        <v>0</v>
      </c>
      <c r="C28" s="29">
        <f t="shared" ref="C28:AH28" si="4">SUM(C8:C27)</f>
        <v>200</v>
      </c>
      <c r="D28" s="30">
        <f t="shared" si="4"/>
        <v>60</v>
      </c>
      <c r="E28" s="30">
        <f t="shared" si="4"/>
        <v>40</v>
      </c>
      <c r="F28" s="30">
        <f t="shared" si="4"/>
        <v>40</v>
      </c>
      <c r="G28" s="31">
        <f t="shared" si="4"/>
        <v>60</v>
      </c>
      <c r="H28" s="29">
        <f t="shared" si="4"/>
        <v>60</v>
      </c>
      <c r="I28" s="30">
        <f t="shared" si="4"/>
        <v>20</v>
      </c>
      <c r="J28" s="30">
        <f t="shared" si="4"/>
        <v>20</v>
      </c>
      <c r="K28" s="30">
        <f t="shared" si="4"/>
        <v>20</v>
      </c>
      <c r="L28" s="31">
        <f t="shared" si="4"/>
        <v>20</v>
      </c>
      <c r="M28" s="29">
        <f t="shared" si="4"/>
        <v>60</v>
      </c>
      <c r="N28" s="30">
        <f t="shared" si="4"/>
        <v>20</v>
      </c>
      <c r="O28" s="30">
        <f t="shared" si="4"/>
        <v>60</v>
      </c>
      <c r="P28" s="30">
        <f t="shared" si="4"/>
        <v>0</v>
      </c>
      <c r="Q28" s="31">
        <f t="shared" si="4"/>
        <v>0</v>
      </c>
      <c r="R28" s="29">
        <f t="shared" si="4"/>
        <v>10</v>
      </c>
      <c r="S28" s="30">
        <f t="shared" si="4"/>
        <v>3.3333333333333321</v>
      </c>
      <c r="T28" s="30">
        <f t="shared" si="4"/>
        <v>2.0000000000000004</v>
      </c>
      <c r="U28" s="30">
        <f t="shared" si="4"/>
        <v>11.999999999999996</v>
      </c>
      <c r="V28" s="31">
        <f t="shared" si="4"/>
        <v>2.9999999999999991</v>
      </c>
      <c r="W28" s="29">
        <f t="shared" si="4"/>
        <v>974</v>
      </c>
      <c r="X28" s="30">
        <f t="shared" si="4"/>
        <v>0</v>
      </c>
      <c r="Y28" s="30">
        <f t="shared" si="4"/>
        <v>0</v>
      </c>
      <c r="Z28" s="30">
        <f t="shared" si="4"/>
        <v>0</v>
      </c>
      <c r="AA28" s="31">
        <f t="shared" si="4"/>
        <v>0</v>
      </c>
      <c r="AB28" s="64">
        <f t="shared" si="4"/>
        <v>7</v>
      </c>
      <c r="AC28" s="65">
        <f t="shared" si="4"/>
        <v>0</v>
      </c>
      <c r="AD28" s="65">
        <f t="shared" si="4"/>
        <v>5</v>
      </c>
      <c r="AE28" s="65">
        <f t="shared" si="4"/>
        <v>5</v>
      </c>
      <c r="AF28" s="66">
        <f t="shared" si="4"/>
        <v>3</v>
      </c>
      <c r="AG28" s="29">
        <f t="shared" si="4"/>
        <v>275</v>
      </c>
      <c r="AH28" s="30">
        <f t="shared" si="4"/>
        <v>0</v>
      </c>
      <c r="AI28" s="30">
        <f t="shared" ref="AI28:BE28" si="5">SUM(AI8:AI27)</f>
        <v>0</v>
      </c>
      <c r="AJ28" s="30">
        <f t="shared" si="5"/>
        <v>0</v>
      </c>
      <c r="AK28" s="31">
        <f t="shared" si="5"/>
        <v>0</v>
      </c>
      <c r="AL28" s="64">
        <f t="shared" si="5"/>
        <v>48</v>
      </c>
      <c r="AM28" s="65">
        <f t="shared" si="5"/>
        <v>0</v>
      </c>
      <c r="AN28" s="65">
        <f t="shared" si="5"/>
        <v>22</v>
      </c>
      <c r="AO28" s="65">
        <f t="shared" si="5"/>
        <v>57</v>
      </c>
      <c r="AP28" s="66">
        <f t="shared" si="5"/>
        <v>163</v>
      </c>
      <c r="AQ28" s="126">
        <f t="shared" si="5"/>
        <v>16</v>
      </c>
      <c r="AR28" s="116">
        <f t="shared" si="5"/>
        <v>0</v>
      </c>
      <c r="AS28" s="116">
        <f t="shared" si="5"/>
        <v>3.3499999999999988</v>
      </c>
      <c r="AT28" s="116">
        <f t="shared" si="5"/>
        <v>16</v>
      </c>
      <c r="AU28" s="127">
        <f t="shared" si="5"/>
        <v>52</v>
      </c>
      <c r="AV28" s="29">
        <f t="shared" si="5"/>
        <v>60</v>
      </c>
      <c r="AW28" s="30">
        <f t="shared" si="5"/>
        <v>0</v>
      </c>
      <c r="AX28" s="30">
        <f t="shared" si="5"/>
        <v>40</v>
      </c>
      <c r="AY28" s="30">
        <f t="shared" si="5"/>
        <v>0</v>
      </c>
      <c r="AZ28" s="31">
        <f t="shared" si="5"/>
        <v>0</v>
      </c>
      <c r="BA28" s="46">
        <f t="shared" si="5"/>
        <v>282</v>
      </c>
      <c r="BB28" s="47">
        <f t="shared" si="5"/>
        <v>0</v>
      </c>
      <c r="BC28" s="49">
        <f t="shared" si="5"/>
        <v>674</v>
      </c>
      <c r="BD28" s="19">
        <f t="shared" si="5"/>
        <v>0</v>
      </c>
      <c r="BE28" s="2">
        <f t="shared" si="5"/>
        <v>0</v>
      </c>
    </row>
    <row r="30" spans="1:57" x14ac:dyDescent="0.25">
      <c r="BC30" s="120"/>
    </row>
    <row r="33" spans="43:48" x14ac:dyDescent="0.25">
      <c r="AQ33" s="117">
        <v>9</v>
      </c>
      <c r="AR33" s="117"/>
      <c r="AS33" s="117">
        <v>1.35</v>
      </c>
      <c r="AT33" s="117">
        <v>8</v>
      </c>
      <c r="AU33" s="117">
        <v>34</v>
      </c>
      <c r="AV33" s="28" t="s">
        <v>53</v>
      </c>
    </row>
    <row r="34" spans="43:48" x14ac:dyDescent="0.25">
      <c r="AQ34" s="118">
        <f>SUM(AQ32:AQ33)</f>
        <v>9</v>
      </c>
      <c r="AR34" s="118"/>
      <c r="AS34" s="118">
        <f>SUM(AS32:AS33)</f>
        <v>1.35</v>
      </c>
      <c r="AT34" s="118">
        <f>SUM(AT32:AT33)</f>
        <v>8</v>
      </c>
      <c r="AU34" s="118">
        <f>SUM(AU32:AU33)</f>
        <v>34</v>
      </c>
    </row>
    <row r="36" spans="43:48" x14ac:dyDescent="0.25">
      <c r="AR36" s="28">
        <f>0.035*20</f>
        <v>0.70000000000000007</v>
      </c>
    </row>
    <row r="38" spans="43:48" x14ac:dyDescent="0.25">
      <c r="AS38" s="28">
        <f>AS34*20</f>
        <v>27</v>
      </c>
    </row>
  </sheetData>
  <mergeCells count="19"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  <mergeCell ref="BD10:BD12"/>
    <mergeCell ref="BA6:BC6"/>
    <mergeCell ref="BD5:BD7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2"/>
  <sheetViews>
    <sheetView zoomScale="70" zoomScaleNormal="70" workbookViewId="0">
      <pane xSplit="2" ySplit="7" topLeftCell="AE8" activePane="bottomRight" state="frozen"/>
      <selection activeCell="C3" sqref="C3"/>
      <selection pane="topRight" activeCell="C3" sqref="C3"/>
      <selection pane="bottomLeft" activeCell="C3" sqref="C3"/>
      <selection pane="bottomRight" activeCell="A30" sqref="A30:XFD30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102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4" width="8.85546875" style="28" customWidth="1"/>
    <col min="55" max="55" width="8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101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W3" s="28">
        <f>18/20</f>
        <v>0.9</v>
      </c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51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2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28</v>
      </c>
      <c r="X8" s="7"/>
      <c r="Y8" s="7"/>
      <c r="Z8" s="7"/>
      <c r="AA8" s="8"/>
      <c r="AB8" s="40"/>
      <c r="AC8" s="41"/>
      <c r="AD8" s="41"/>
      <c r="AE8" s="41">
        <v>2</v>
      </c>
      <c r="AF8" s="42"/>
      <c r="AG8" s="6">
        <f>1+1+1+4</f>
        <v>7</v>
      </c>
      <c r="AH8" s="7"/>
      <c r="AI8" s="7"/>
      <c r="AJ8" s="7"/>
      <c r="AK8" s="8"/>
      <c r="AL8" s="40">
        <v>1</v>
      </c>
      <c r="AM8" s="41"/>
      <c r="AN8" s="41">
        <v>1</v>
      </c>
      <c r="AO8" s="41">
        <v>3</v>
      </c>
      <c r="AP8" s="42">
        <v>4</v>
      </c>
      <c r="AQ8" s="40">
        <f>50/120</f>
        <v>0.41666666666666669</v>
      </c>
      <c r="AR8" s="41"/>
      <c r="AS8" s="41">
        <f>3/20</f>
        <v>0.15</v>
      </c>
      <c r="AT8" s="41">
        <v>0.6</v>
      </c>
      <c r="AU8" s="42">
        <v>1.5</v>
      </c>
      <c r="AV8" s="6">
        <v>3</v>
      </c>
      <c r="AW8" s="7"/>
      <c r="AX8" s="7">
        <v>2</v>
      </c>
      <c r="AY8" s="7"/>
      <c r="AZ8" s="8"/>
      <c r="BA8" s="6">
        <f>5+5</f>
        <v>10</v>
      </c>
      <c r="BB8" s="7"/>
      <c r="BC8" s="8">
        <f>6+10+4</f>
        <v>20</v>
      </c>
      <c r="BD8" s="17"/>
      <c r="BE8" s="13"/>
    </row>
    <row r="9" spans="1:57" ht="31.9" customHeight="1" x14ac:dyDescent="0.2">
      <c r="A9" s="20">
        <v>2</v>
      </c>
      <c r="B9" s="103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20</v>
      </c>
      <c r="X9" s="10"/>
      <c r="Y9" s="10"/>
      <c r="Z9" s="10"/>
      <c r="AA9" s="11"/>
      <c r="AB9" s="43">
        <v>1</v>
      </c>
      <c r="AC9" s="44"/>
      <c r="AD9" s="44"/>
      <c r="AE9" s="44"/>
      <c r="AF9" s="45"/>
      <c r="AG9" s="9">
        <f>1+1+6</f>
        <v>8</v>
      </c>
      <c r="AH9" s="10"/>
      <c r="AI9" s="10"/>
      <c r="AJ9" s="10"/>
      <c r="AK9" s="11"/>
      <c r="AL9" s="43">
        <v>1</v>
      </c>
      <c r="AM9" s="44"/>
      <c r="AN9" s="44">
        <v>1</v>
      </c>
      <c r="AO9" s="44"/>
      <c r="AP9" s="45">
        <v>6</v>
      </c>
      <c r="AQ9" s="43">
        <f>40/120</f>
        <v>0.33333333333333331</v>
      </c>
      <c r="AR9" s="44"/>
      <c r="AS9" s="44">
        <f>1/20</f>
        <v>0.05</v>
      </c>
      <c r="AT9" s="44"/>
      <c r="AU9" s="45">
        <v>1.5</v>
      </c>
      <c r="AV9" s="6">
        <v>3</v>
      </c>
      <c r="AW9" s="10"/>
      <c r="AX9" s="7">
        <v>2</v>
      </c>
      <c r="AY9" s="10"/>
      <c r="AZ9" s="11"/>
      <c r="BA9" s="9">
        <f>4</f>
        <v>4</v>
      </c>
      <c r="BB9" s="10"/>
      <c r="BC9" s="11">
        <f>10+4</f>
        <v>14</v>
      </c>
      <c r="BD9" s="70"/>
      <c r="BE9" s="12"/>
    </row>
    <row r="10" spans="1:57" ht="31.9" customHeight="1" x14ac:dyDescent="0.2">
      <c r="A10" s="20">
        <v>3</v>
      </c>
      <c r="B10" s="103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24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f>5+1+4+2</f>
        <v>12</v>
      </c>
      <c r="AH10" s="10"/>
      <c r="AI10" s="10"/>
      <c r="AJ10" s="10"/>
      <c r="AK10" s="11"/>
      <c r="AL10" s="43">
        <v>5</v>
      </c>
      <c r="AM10" s="44"/>
      <c r="AN10" s="44">
        <v>1</v>
      </c>
      <c r="AO10" s="44">
        <v>4</v>
      </c>
      <c r="AP10" s="45">
        <v>2</v>
      </c>
      <c r="AQ10" s="43">
        <v>1.5</v>
      </c>
      <c r="AR10" s="44"/>
      <c r="AS10" s="44">
        <f>6/20</f>
        <v>0.3</v>
      </c>
      <c r="AT10" s="44">
        <v>1</v>
      </c>
      <c r="AU10" s="45">
        <v>1</v>
      </c>
      <c r="AV10" s="6">
        <v>3</v>
      </c>
      <c r="AW10" s="10"/>
      <c r="AX10" s="7">
        <v>2</v>
      </c>
      <c r="AY10" s="10"/>
      <c r="AZ10" s="11"/>
      <c r="BA10" s="9">
        <f>10+6+10</f>
        <v>26</v>
      </c>
      <c r="BB10" s="10"/>
      <c r="BC10" s="11">
        <f>10+10</f>
        <v>20</v>
      </c>
      <c r="BD10" s="139"/>
      <c r="BE10" s="12"/>
    </row>
    <row r="11" spans="1:57" ht="31.9" customHeight="1" x14ac:dyDescent="0.2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>
        <v>1</v>
      </c>
      <c r="AC11" s="44"/>
      <c r="AD11" s="44">
        <v>1</v>
      </c>
      <c r="AE11" s="44"/>
      <c r="AF11" s="45"/>
      <c r="AG11" s="9">
        <f>1+1+1+7</f>
        <v>10</v>
      </c>
      <c r="AH11" s="10"/>
      <c r="AI11" s="10"/>
      <c r="AJ11" s="10"/>
      <c r="AK11" s="11"/>
      <c r="AL11" s="43">
        <v>2</v>
      </c>
      <c r="AM11" s="44"/>
      <c r="AN11" s="44">
        <v>2</v>
      </c>
      <c r="AO11" s="44">
        <v>1</v>
      </c>
      <c r="AP11" s="45">
        <v>7</v>
      </c>
      <c r="AQ11" s="43">
        <f>50/120</f>
        <v>0.41666666666666669</v>
      </c>
      <c r="AR11" s="44"/>
      <c r="AS11" s="44">
        <f>3/20</f>
        <v>0.15</v>
      </c>
      <c r="AT11" s="44">
        <v>0.4</v>
      </c>
      <c r="AU11" s="45">
        <v>2</v>
      </c>
      <c r="AV11" s="6">
        <v>3</v>
      </c>
      <c r="AW11" s="10"/>
      <c r="AX11" s="7">
        <v>2</v>
      </c>
      <c r="AY11" s="10"/>
      <c r="AZ11" s="11"/>
      <c r="BA11" s="9">
        <f>5+5</f>
        <v>10</v>
      </c>
      <c r="BB11" s="10"/>
      <c r="BC11" s="11">
        <f>4+20</f>
        <v>24</v>
      </c>
      <c r="BD11" s="140"/>
      <c r="BE11" s="12"/>
    </row>
    <row r="12" spans="1:57" ht="31.9" customHeight="1" x14ac:dyDescent="0.2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28</v>
      </c>
      <c r="X12" s="10"/>
      <c r="Y12" s="10"/>
      <c r="Z12" s="10"/>
      <c r="AA12" s="11"/>
      <c r="AB12" s="43">
        <v>1</v>
      </c>
      <c r="AC12" s="44"/>
      <c r="AD12" s="44"/>
      <c r="AE12" s="44"/>
      <c r="AF12" s="45">
        <v>1</v>
      </c>
      <c r="AG12" s="9">
        <f>3+1+8</f>
        <v>12</v>
      </c>
      <c r="AH12" s="10"/>
      <c r="AI12" s="10"/>
      <c r="AJ12" s="10"/>
      <c r="AK12" s="11"/>
      <c r="AL12" s="43">
        <v>4</v>
      </c>
      <c r="AM12" s="44"/>
      <c r="AN12" s="44"/>
      <c r="AO12" s="44">
        <v>1</v>
      </c>
      <c r="AP12" s="45">
        <v>9</v>
      </c>
      <c r="AQ12" s="43">
        <v>1</v>
      </c>
      <c r="AR12" s="44"/>
      <c r="AS12" s="44"/>
      <c r="AT12" s="44">
        <v>0.4</v>
      </c>
      <c r="AU12" s="45">
        <v>2</v>
      </c>
      <c r="AV12" s="6">
        <v>3</v>
      </c>
      <c r="AW12" s="10"/>
      <c r="AX12" s="7">
        <v>2</v>
      </c>
      <c r="AY12" s="10"/>
      <c r="AZ12" s="11"/>
      <c r="BA12" s="9">
        <v>10</v>
      </c>
      <c r="BB12" s="10"/>
      <c r="BC12" s="11">
        <f>4+20</f>
        <v>24</v>
      </c>
      <c r="BD12" s="141"/>
      <c r="BE12" s="12"/>
    </row>
    <row r="13" spans="1:57" ht="31.9" customHeight="1" x14ac:dyDescent="0.2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/>
      <c r="AC13" s="44"/>
      <c r="AD13" s="44"/>
      <c r="AE13" s="44"/>
      <c r="AF13" s="45"/>
      <c r="AG13" s="9">
        <f>1+2+2</f>
        <v>5</v>
      </c>
      <c r="AH13" s="10"/>
      <c r="AI13" s="10"/>
      <c r="AJ13" s="10"/>
      <c r="AK13" s="11"/>
      <c r="AL13" s="43">
        <v>1</v>
      </c>
      <c r="AM13" s="44"/>
      <c r="AN13" s="44"/>
      <c r="AO13" s="44">
        <v>2</v>
      </c>
      <c r="AP13" s="45">
        <v>2</v>
      </c>
      <c r="AQ13" s="43">
        <f>40/120</f>
        <v>0.33333333333333331</v>
      </c>
      <c r="AR13" s="44"/>
      <c r="AS13" s="44"/>
      <c r="AT13" s="44">
        <v>0.5</v>
      </c>
      <c r="AU13" s="45">
        <v>0.5</v>
      </c>
      <c r="AV13" s="6">
        <v>3</v>
      </c>
      <c r="AW13" s="10"/>
      <c r="AX13" s="7">
        <v>2</v>
      </c>
      <c r="AY13" s="10"/>
      <c r="AZ13" s="11"/>
      <c r="BA13" s="9">
        <v>4</v>
      </c>
      <c r="BB13" s="10"/>
      <c r="BC13" s="11">
        <f>5+4</f>
        <v>9</v>
      </c>
      <c r="BD13" s="18"/>
      <c r="BE13" s="12"/>
    </row>
    <row r="14" spans="1:57" ht="31.9" customHeight="1" x14ac:dyDescent="0.2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25</v>
      </c>
      <c r="X14" s="10"/>
      <c r="Y14" s="10"/>
      <c r="Z14" s="10"/>
      <c r="AA14" s="11"/>
      <c r="AB14" s="43"/>
      <c r="AC14" s="44"/>
      <c r="AD14" s="44">
        <v>1</v>
      </c>
      <c r="AE14" s="44"/>
      <c r="AF14" s="45">
        <v>1</v>
      </c>
      <c r="AG14" s="9">
        <f>1+1</f>
        <v>2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>
        <v>1</v>
      </c>
      <c r="AP14" s="45">
        <v>1</v>
      </c>
      <c r="AQ14" s="43">
        <f>60/120</f>
        <v>0.5</v>
      </c>
      <c r="AR14" s="44"/>
      <c r="AS14" s="44"/>
      <c r="AT14" s="44">
        <v>0.4</v>
      </c>
      <c r="AU14" s="45"/>
      <c r="AV14" s="6">
        <v>3</v>
      </c>
      <c r="AW14" s="10"/>
      <c r="AX14" s="7">
        <v>2</v>
      </c>
      <c r="AY14" s="10"/>
      <c r="AZ14" s="11"/>
      <c r="BA14" s="9">
        <v>6</v>
      </c>
      <c r="BB14" s="10"/>
      <c r="BC14" s="11">
        <v>4</v>
      </c>
      <c r="BD14" s="18"/>
      <c r="BE14" s="12"/>
    </row>
    <row r="15" spans="1:57" ht="31.9" customHeight="1" x14ac:dyDescent="0.2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28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f>1+1+1+3</f>
        <v>6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2</v>
      </c>
      <c r="AP15" s="45">
        <v>3</v>
      </c>
      <c r="AQ15" s="43">
        <f>20/120</f>
        <v>0.16666666666666666</v>
      </c>
      <c r="AR15" s="44"/>
      <c r="AS15" s="44">
        <f>3/20</f>
        <v>0.15</v>
      </c>
      <c r="AT15" s="44">
        <v>0.5</v>
      </c>
      <c r="AU15" s="45">
        <v>1</v>
      </c>
      <c r="AV15" s="6">
        <v>3</v>
      </c>
      <c r="AW15" s="10"/>
      <c r="AX15" s="7">
        <v>2</v>
      </c>
      <c r="AY15" s="10"/>
      <c r="AZ15" s="11"/>
      <c r="BA15" s="9">
        <f>2+5</f>
        <v>7</v>
      </c>
      <c r="BB15" s="10"/>
      <c r="BC15" s="11">
        <f>5+10</f>
        <v>15</v>
      </c>
      <c r="BD15" s="18"/>
      <c r="BE15" s="12"/>
    </row>
    <row r="16" spans="1:57" ht="31.9" customHeight="1" x14ac:dyDescent="0.2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30</v>
      </c>
      <c r="X16" s="10"/>
      <c r="Y16" s="10"/>
      <c r="Z16" s="10"/>
      <c r="AA16" s="11"/>
      <c r="AB16" s="43">
        <v>1</v>
      </c>
      <c r="AC16" s="44"/>
      <c r="AD16" s="44"/>
      <c r="AE16" s="44"/>
      <c r="AF16" s="45"/>
      <c r="AG16" s="9">
        <f>3+1+1</f>
        <v>5</v>
      </c>
      <c r="AH16" s="10"/>
      <c r="AI16" s="10"/>
      <c r="AJ16" s="10"/>
      <c r="AK16" s="11"/>
      <c r="AL16" s="43">
        <v>4</v>
      </c>
      <c r="AM16" s="44"/>
      <c r="AN16" s="44">
        <v>1</v>
      </c>
      <c r="AO16" s="44"/>
      <c r="AP16" s="45">
        <v>1</v>
      </c>
      <c r="AQ16" s="43">
        <v>1</v>
      </c>
      <c r="AR16" s="44"/>
      <c r="AS16" s="44">
        <f>3/20</f>
        <v>0.15</v>
      </c>
      <c r="AT16" s="44"/>
      <c r="AU16" s="45">
        <v>0.5</v>
      </c>
      <c r="AV16" s="6">
        <v>3</v>
      </c>
      <c r="AW16" s="10"/>
      <c r="AX16" s="7">
        <v>2</v>
      </c>
      <c r="AY16" s="10"/>
      <c r="AZ16" s="11"/>
      <c r="BA16" s="9">
        <f>10+5</f>
        <v>15</v>
      </c>
      <c r="BB16" s="10"/>
      <c r="BC16" s="11">
        <v>4</v>
      </c>
      <c r="BD16" s="18"/>
      <c r="BE16" s="12"/>
    </row>
    <row r="17" spans="1:57" ht="31.9" customHeight="1" x14ac:dyDescent="0.2">
      <c r="A17" s="20">
        <v>10</v>
      </c>
      <c r="B17" s="103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27</v>
      </c>
      <c r="X17" s="10"/>
      <c r="Y17" s="10"/>
      <c r="Z17" s="10"/>
      <c r="AA17" s="11"/>
      <c r="AB17" s="43">
        <v>1</v>
      </c>
      <c r="AC17" s="44"/>
      <c r="AD17" s="44">
        <v>1</v>
      </c>
      <c r="AE17" s="44"/>
      <c r="AF17" s="45">
        <v>2</v>
      </c>
      <c r="AG17" s="9">
        <f>1+1+1</f>
        <v>3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>
        <v>1</v>
      </c>
      <c r="AP17" s="45">
        <v>3</v>
      </c>
      <c r="AQ17" s="43">
        <f>80/120</f>
        <v>0.66666666666666663</v>
      </c>
      <c r="AR17" s="44"/>
      <c r="AS17" s="44"/>
      <c r="AT17" s="44">
        <v>0.6</v>
      </c>
      <c r="AU17" s="45">
        <v>0.5</v>
      </c>
      <c r="AV17" s="6">
        <v>3</v>
      </c>
      <c r="AW17" s="10"/>
      <c r="AX17" s="7">
        <v>2</v>
      </c>
      <c r="AY17" s="10"/>
      <c r="AZ17" s="11"/>
      <c r="BA17" s="9">
        <v>8</v>
      </c>
      <c r="BB17" s="10"/>
      <c r="BC17" s="11">
        <f>6+4</f>
        <v>10</v>
      </c>
      <c r="BD17" s="18"/>
      <c r="BE17" s="12"/>
    </row>
    <row r="18" spans="1:57" ht="31.9" customHeight="1" x14ac:dyDescent="0.2">
      <c r="A18" s="20">
        <v>11</v>
      </c>
      <c r="B18" s="103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30</v>
      </c>
      <c r="X18" s="10"/>
      <c r="Y18" s="10"/>
      <c r="Z18" s="10"/>
      <c r="AA18" s="11"/>
      <c r="AB18" s="43"/>
      <c r="AC18" s="44"/>
      <c r="AD18" s="44"/>
      <c r="AE18" s="44"/>
      <c r="AF18" s="45"/>
      <c r="AG18" s="9">
        <f>1+1+2+3</f>
        <v>7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>
        <v>2</v>
      </c>
      <c r="AP18" s="45">
        <v>3</v>
      </c>
      <c r="AQ18" s="43">
        <f>40/120</f>
        <v>0.33333333333333331</v>
      </c>
      <c r="AR18" s="44"/>
      <c r="AS18" s="44">
        <f>3/20</f>
        <v>0.15</v>
      </c>
      <c r="AT18" s="44">
        <v>0.8</v>
      </c>
      <c r="AU18" s="45">
        <f>19/20</f>
        <v>0.95</v>
      </c>
      <c r="AV18" s="6">
        <v>3</v>
      </c>
      <c r="AW18" s="10"/>
      <c r="AX18" s="7">
        <v>2</v>
      </c>
      <c r="AY18" s="10"/>
      <c r="AZ18" s="11"/>
      <c r="BA18" s="9">
        <f>4+5</f>
        <v>9</v>
      </c>
      <c r="BB18" s="10"/>
      <c r="BC18" s="11">
        <f>8+6</f>
        <v>14</v>
      </c>
      <c r="BD18" s="18"/>
      <c r="BE18" s="12"/>
    </row>
    <row r="19" spans="1:57" ht="31.9" customHeight="1" x14ac:dyDescent="0.2">
      <c r="A19" s="20">
        <v>12</v>
      </c>
      <c r="B19" s="103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1+1+2+6</f>
        <v>10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2</v>
      </c>
      <c r="AP19" s="45">
        <v>6</v>
      </c>
      <c r="AQ19" s="43">
        <v>0.5</v>
      </c>
      <c r="AR19" s="44"/>
      <c r="AS19" s="44">
        <f>3/20</f>
        <v>0.15</v>
      </c>
      <c r="AT19" s="44">
        <v>1</v>
      </c>
      <c r="AU19" s="45">
        <v>2.5</v>
      </c>
      <c r="AV19" s="6">
        <v>3</v>
      </c>
      <c r="AW19" s="10"/>
      <c r="AX19" s="7">
        <v>2</v>
      </c>
      <c r="AY19" s="10"/>
      <c r="AZ19" s="11"/>
      <c r="BA19" s="9">
        <f>6+5</f>
        <v>11</v>
      </c>
      <c r="BB19" s="10"/>
      <c r="BC19" s="11">
        <f>10+20+4</f>
        <v>34</v>
      </c>
      <c r="BD19" s="18"/>
      <c r="BE19" s="12"/>
    </row>
    <row r="20" spans="1:57" ht="31.9" customHeight="1" x14ac:dyDescent="0.2">
      <c r="A20" s="20">
        <v>13</v>
      </c>
      <c r="B20" s="103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30</v>
      </c>
      <c r="X20" s="10"/>
      <c r="Y20" s="10"/>
      <c r="Z20" s="10"/>
      <c r="AA20" s="11"/>
      <c r="AB20" s="43"/>
      <c r="AC20" s="44">
        <v>1</v>
      </c>
      <c r="AD20" s="44"/>
      <c r="AE20" s="44">
        <v>1</v>
      </c>
      <c r="AF20" s="45"/>
      <c r="AG20" s="9">
        <f>1+1+2+3</f>
        <v>7</v>
      </c>
      <c r="AH20" s="10"/>
      <c r="AI20" s="10"/>
      <c r="AJ20" s="10"/>
      <c r="AK20" s="11"/>
      <c r="AL20" s="58">
        <v>1</v>
      </c>
      <c r="AM20" s="59">
        <v>1</v>
      </c>
      <c r="AN20" s="59">
        <v>1</v>
      </c>
      <c r="AO20" s="59">
        <v>3</v>
      </c>
      <c r="AP20" s="48">
        <v>3</v>
      </c>
      <c r="AQ20" s="43">
        <f>40/120</f>
        <v>0.33333333333333331</v>
      </c>
      <c r="AR20" s="44"/>
      <c r="AS20" s="44">
        <f>6/20</f>
        <v>0.3</v>
      </c>
      <c r="AT20" s="44">
        <v>0.6</v>
      </c>
      <c r="AU20" s="45">
        <f>15/20</f>
        <v>0.75</v>
      </c>
      <c r="AV20" s="6">
        <v>3</v>
      </c>
      <c r="AW20" s="10"/>
      <c r="AX20" s="7">
        <v>2</v>
      </c>
      <c r="AY20" s="10"/>
      <c r="AZ20" s="11"/>
      <c r="BA20" s="9">
        <f>4+10</f>
        <v>14</v>
      </c>
      <c r="BB20" s="10"/>
      <c r="BC20" s="11">
        <f>6+6</f>
        <v>12</v>
      </c>
      <c r="BD20" s="18"/>
      <c r="BE20" s="12"/>
    </row>
    <row r="21" spans="1:57" ht="31.9" customHeight="1" x14ac:dyDescent="0.2">
      <c r="A21" s="20">
        <v>14</v>
      </c>
      <c r="B21" s="103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25</v>
      </c>
      <c r="X21" s="10"/>
      <c r="Y21" s="10"/>
      <c r="Z21" s="10"/>
      <c r="AA21" s="11"/>
      <c r="AB21" s="43"/>
      <c r="AC21" s="44"/>
      <c r="AD21" s="44"/>
      <c r="AE21" s="44"/>
      <c r="AF21" s="45">
        <v>2</v>
      </c>
      <c r="AG21" s="9">
        <f>1+2+1</f>
        <v>4</v>
      </c>
      <c r="AH21" s="10"/>
      <c r="AI21" s="10"/>
      <c r="AJ21" s="10"/>
      <c r="AK21" s="11"/>
      <c r="AL21" s="43">
        <v>1</v>
      </c>
      <c r="AM21" s="44"/>
      <c r="AN21" s="44"/>
      <c r="AO21" s="44">
        <v>2</v>
      </c>
      <c r="AP21" s="45">
        <v>3</v>
      </c>
      <c r="AQ21" s="43">
        <f>30/120</f>
        <v>0.25</v>
      </c>
      <c r="AR21" s="44"/>
      <c r="AS21" s="44"/>
      <c r="AT21" s="44">
        <v>0.8</v>
      </c>
      <c r="AU21" s="45">
        <f>5/20</f>
        <v>0.25</v>
      </c>
      <c r="AV21" s="6">
        <v>3</v>
      </c>
      <c r="AW21" s="10"/>
      <c r="AX21" s="7">
        <v>2</v>
      </c>
      <c r="AY21" s="10"/>
      <c r="AZ21" s="11"/>
      <c r="BA21" s="9">
        <v>3</v>
      </c>
      <c r="BB21" s="10"/>
      <c r="BC21" s="11">
        <f>8+2</f>
        <v>10</v>
      </c>
      <c r="BD21" s="18"/>
      <c r="BE21" s="12"/>
    </row>
    <row r="22" spans="1:57" ht="31.9" customHeight="1" x14ac:dyDescent="0.2">
      <c r="A22" s="20">
        <v>15</v>
      </c>
      <c r="B22" s="103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30</v>
      </c>
      <c r="X22" s="10"/>
      <c r="Y22" s="10"/>
      <c r="Z22" s="10"/>
      <c r="AA22" s="11"/>
      <c r="AB22" s="43"/>
      <c r="AC22" s="44"/>
      <c r="AD22" s="44"/>
      <c r="AE22" s="44">
        <v>2</v>
      </c>
      <c r="AF22" s="45"/>
      <c r="AG22" s="9">
        <f>1+1+1+5</f>
        <v>8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3</v>
      </c>
      <c r="AP22" s="45">
        <v>5</v>
      </c>
      <c r="AQ22" s="43">
        <f>50/120</f>
        <v>0.41666666666666669</v>
      </c>
      <c r="AR22" s="44"/>
      <c r="AS22" s="44">
        <f>3/20</f>
        <v>0.15</v>
      </c>
      <c r="AT22" s="44">
        <v>0.5</v>
      </c>
      <c r="AU22" s="45">
        <v>2</v>
      </c>
      <c r="AV22" s="6">
        <v>3</v>
      </c>
      <c r="AW22" s="10"/>
      <c r="AX22" s="7">
        <v>2</v>
      </c>
      <c r="AY22" s="10"/>
      <c r="AZ22" s="11"/>
      <c r="BA22" s="9">
        <f>5+5</f>
        <v>10</v>
      </c>
      <c r="BB22" s="10"/>
      <c r="BC22" s="11">
        <f>5+20</f>
        <v>25</v>
      </c>
      <c r="BD22" s="18"/>
      <c r="BE22" s="12"/>
    </row>
    <row r="23" spans="1:57" ht="31.9" customHeight="1" x14ac:dyDescent="0.2">
      <c r="A23" s="20">
        <v>16</v>
      </c>
      <c r="B23" s="103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26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>
        <v>1</v>
      </c>
      <c r="AG23" s="9">
        <f>1+1+2</f>
        <v>4</v>
      </c>
      <c r="AH23" s="10"/>
      <c r="AI23" s="10"/>
      <c r="AJ23" s="10"/>
      <c r="AK23" s="11"/>
      <c r="AL23" s="43">
        <v>1</v>
      </c>
      <c r="AM23" s="44"/>
      <c r="AN23" s="44"/>
      <c r="AO23" s="44">
        <v>2</v>
      </c>
      <c r="AP23" s="45">
        <v>3</v>
      </c>
      <c r="AQ23" s="43">
        <f>60/120</f>
        <v>0.5</v>
      </c>
      <c r="AR23" s="44"/>
      <c r="AS23" s="44"/>
      <c r="AT23" s="44">
        <v>0.4</v>
      </c>
      <c r="AU23" s="45">
        <v>1</v>
      </c>
      <c r="AV23" s="6">
        <v>3</v>
      </c>
      <c r="AW23" s="10"/>
      <c r="AX23" s="7">
        <v>2</v>
      </c>
      <c r="AY23" s="10"/>
      <c r="AZ23" s="11"/>
      <c r="BA23" s="9">
        <v>6</v>
      </c>
      <c r="BB23" s="10"/>
      <c r="BC23" s="11">
        <f>4+10</f>
        <v>14</v>
      </c>
      <c r="BD23" s="18"/>
      <c r="BE23" s="12"/>
    </row>
    <row r="24" spans="1:57" ht="31.9" customHeight="1" x14ac:dyDescent="0.2">
      <c r="A24" s="20">
        <v>17</v>
      </c>
      <c r="B24" s="103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30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f>1+1+2+4</f>
        <v>8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>
        <v>2</v>
      </c>
      <c r="AP24" s="45">
        <v>4</v>
      </c>
      <c r="AQ24" s="43">
        <f>40/120</f>
        <v>0.33333333333333331</v>
      </c>
      <c r="AR24" s="44"/>
      <c r="AS24" s="44">
        <f>3/20</f>
        <v>0.15</v>
      </c>
      <c r="AT24" s="44">
        <v>0.8</v>
      </c>
      <c r="AU24" s="45">
        <v>1</v>
      </c>
      <c r="AV24" s="6">
        <v>3</v>
      </c>
      <c r="AW24" s="10"/>
      <c r="AX24" s="7">
        <v>2</v>
      </c>
      <c r="AY24" s="10"/>
      <c r="AZ24" s="11"/>
      <c r="BA24" s="9">
        <f>4+5</f>
        <v>9</v>
      </c>
      <c r="BB24" s="10"/>
      <c r="BC24" s="11">
        <f>8+10</f>
        <v>18</v>
      </c>
      <c r="BD24" s="18"/>
      <c r="BE24" s="12"/>
    </row>
    <row r="25" spans="1:57" ht="31.9" customHeight="1" x14ac:dyDescent="0.2">
      <c r="A25" s="20">
        <v>18</v>
      </c>
      <c r="B25" s="103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>
        <v>1</v>
      </c>
      <c r="AF25" s="45">
        <v>1</v>
      </c>
      <c r="AG25" s="9">
        <f>1+2+7</f>
        <v>10</v>
      </c>
      <c r="AH25" s="10"/>
      <c r="AI25" s="10"/>
      <c r="AJ25" s="10"/>
      <c r="AK25" s="11"/>
      <c r="AL25" s="43">
        <v>1</v>
      </c>
      <c r="AM25" s="44"/>
      <c r="AN25" s="44"/>
      <c r="AO25" s="44">
        <v>3</v>
      </c>
      <c r="AP25" s="45">
        <v>8</v>
      </c>
      <c r="AQ25" s="43">
        <f>40/120</f>
        <v>0.33333333333333331</v>
      </c>
      <c r="AR25" s="44"/>
      <c r="AS25" s="44"/>
      <c r="AT25" s="44">
        <v>0.7</v>
      </c>
      <c r="AU25" s="45">
        <v>2</v>
      </c>
      <c r="AV25" s="6">
        <v>3</v>
      </c>
      <c r="AW25" s="10"/>
      <c r="AX25" s="7">
        <v>2</v>
      </c>
      <c r="AY25" s="10"/>
      <c r="AZ25" s="11"/>
      <c r="BA25" s="9">
        <v>4</v>
      </c>
      <c r="BB25" s="10"/>
      <c r="BC25" s="11">
        <f>7+20</f>
        <v>27</v>
      </c>
      <c r="BD25" s="18"/>
      <c r="BE25" s="12"/>
    </row>
    <row r="26" spans="1:57" ht="31.9" customHeight="1" x14ac:dyDescent="0.2">
      <c r="A26" s="50">
        <v>19</v>
      </c>
      <c r="B26" s="104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27</v>
      </c>
      <c r="X26" s="53"/>
      <c r="Y26" s="53"/>
      <c r="Z26" s="53"/>
      <c r="AA26" s="54"/>
      <c r="AB26" s="58">
        <v>2</v>
      </c>
      <c r="AC26" s="59"/>
      <c r="AD26" s="59"/>
      <c r="AE26" s="59"/>
      <c r="AF26" s="48"/>
      <c r="AG26" s="52">
        <f>1+1+1+4</f>
        <v>7</v>
      </c>
      <c r="AH26" s="53"/>
      <c r="AI26" s="53"/>
      <c r="AJ26" s="53"/>
      <c r="AK26" s="54"/>
      <c r="AL26" s="58">
        <v>2</v>
      </c>
      <c r="AM26" s="59"/>
      <c r="AN26" s="59">
        <v>1</v>
      </c>
      <c r="AO26" s="59">
        <v>1</v>
      </c>
      <c r="AP26" s="48">
        <v>4</v>
      </c>
      <c r="AQ26" s="58">
        <f>20/120</f>
        <v>0.16666666666666666</v>
      </c>
      <c r="AR26" s="59"/>
      <c r="AS26" s="59">
        <f>3/20</f>
        <v>0.15</v>
      </c>
      <c r="AT26" s="59">
        <v>0.4</v>
      </c>
      <c r="AU26" s="48">
        <v>1</v>
      </c>
      <c r="AV26" s="6">
        <v>3</v>
      </c>
      <c r="AW26" s="53"/>
      <c r="AX26" s="7">
        <v>2</v>
      </c>
      <c r="AY26" s="53"/>
      <c r="AZ26" s="54"/>
      <c r="BA26" s="52">
        <f>2+5</f>
        <v>7</v>
      </c>
      <c r="BB26" s="53"/>
      <c r="BC26" s="54">
        <f>4+10</f>
        <v>14</v>
      </c>
      <c r="BD26" s="60"/>
      <c r="BE26" s="61"/>
    </row>
    <row r="27" spans="1:57" ht="31.9" customHeight="1" thickBot="1" x14ac:dyDescent="0.25">
      <c r="A27" s="50">
        <v>20</v>
      </c>
      <c r="B27" s="104" t="s">
        <v>54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26</v>
      </c>
      <c r="X27" s="53"/>
      <c r="Y27" s="53"/>
      <c r="Z27" s="53"/>
      <c r="AA27" s="54"/>
      <c r="AB27" s="67">
        <v>1</v>
      </c>
      <c r="AC27" s="68"/>
      <c r="AD27" s="68"/>
      <c r="AE27" s="68"/>
      <c r="AF27" s="69">
        <v>1</v>
      </c>
      <c r="AG27" s="52">
        <f>3+3+6</f>
        <v>12</v>
      </c>
      <c r="AH27" s="53"/>
      <c r="AI27" s="53"/>
      <c r="AJ27" s="53"/>
      <c r="AK27" s="54"/>
      <c r="AL27" s="67">
        <v>3</v>
      </c>
      <c r="AM27" s="68"/>
      <c r="AN27" s="68"/>
      <c r="AO27" s="68">
        <v>3</v>
      </c>
      <c r="AP27" s="69">
        <v>7</v>
      </c>
      <c r="AQ27" s="67">
        <v>0.5</v>
      </c>
      <c r="AR27" s="68"/>
      <c r="AS27" s="68"/>
      <c r="AT27" s="68">
        <v>0.6</v>
      </c>
      <c r="AU27" s="69">
        <v>2</v>
      </c>
      <c r="AV27" s="6">
        <v>3</v>
      </c>
      <c r="AW27" s="53"/>
      <c r="AX27" s="7">
        <v>2</v>
      </c>
      <c r="AY27" s="53"/>
      <c r="AZ27" s="54"/>
      <c r="BA27" s="52">
        <v>10</v>
      </c>
      <c r="BB27" s="53"/>
      <c r="BC27" s="54">
        <f>10+20</f>
        <v>30</v>
      </c>
      <c r="BD27" s="60"/>
      <c r="BE27" s="61"/>
    </row>
    <row r="28" spans="1:57" s="3" customFormat="1" ht="34.15" customHeight="1" thickBot="1" x14ac:dyDescent="0.3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537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8</v>
      </c>
      <c r="AC28" s="65">
        <f t="shared" si="3"/>
        <v>1</v>
      </c>
      <c r="AD28" s="65">
        <f t="shared" si="3"/>
        <v>3</v>
      </c>
      <c r="AE28" s="65">
        <f t="shared" si="3"/>
        <v>8</v>
      </c>
      <c r="AF28" s="66">
        <f t="shared" si="3"/>
        <v>9</v>
      </c>
      <c r="AG28" s="29">
        <f t="shared" si="3"/>
        <v>147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35</v>
      </c>
      <c r="AM28" s="65">
        <f t="shared" si="4"/>
        <v>1</v>
      </c>
      <c r="AN28" s="65">
        <f t="shared" si="4"/>
        <v>15</v>
      </c>
      <c r="AO28" s="65">
        <f t="shared" si="4"/>
        <v>38</v>
      </c>
      <c r="AP28" s="66">
        <f t="shared" si="4"/>
        <v>84</v>
      </c>
      <c r="AQ28" s="121">
        <f t="shared" si="4"/>
        <v>10</v>
      </c>
      <c r="AR28" s="122">
        <f t="shared" si="4"/>
        <v>0</v>
      </c>
      <c r="AS28" s="122">
        <f t="shared" si="4"/>
        <v>1.9999999999999998</v>
      </c>
      <c r="AT28" s="122">
        <f t="shared" si="4"/>
        <v>10.999999999999998</v>
      </c>
      <c r="AU28" s="123">
        <f t="shared" si="4"/>
        <v>23.95</v>
      </c>
      <c r="AV28" s="29">
        <f t="shared" si="4"/>
        <v>60</v>
      </c>
      <c r="AW28" s="30">
        <f t="shared" si="4"/>
        <v>0</v>
      </c>
      <c r="AX28" s="30">
        <f t="shared" si="4"/>
        <v>40</v>
      </c>
      <c r="AY28" s="30">
        <f t="shared" si="4"/>
        <v>0</v>
      </c>
      <c r="AZ28" s="31">
        <f t="shared" si="4"/>
        <v>0</v>
      </c>
      <c r="BA28" s="46">
        <f t="shared" si="4"/>
        <v>183</v>
      </c>
      <c r="BB28" s="47">
        <f t="shared" si="4"/>
        <v>0</v>
      </c>
      <c r="BC28" s="49">
        <f t="shared" si="4"/>
        <v>342</v>
      </c>
      <c r="BD28" s="19">
        <f t="shared" si="4"/>
        <v>0</v>
      </c>
      <c r="BE28" s="2">
        <f t="shared" si="4"/>
        <v>0</v>
      </c>
    </row>
    <row r="32" spans="1:57" x14ac:dyDescent="0.25">
      <c r="AV32" s="28">
        <f>0.3</f>
        <v>0.3</v>
      </c>
      <c r="AW32" s="28">
        <f>0.2*20</f>
        <v>4</v>
      </c>
      <c r="AX32" s="28">
        <f>AV32*20</f>
        <v>6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tabSelected="1" zoomScale="60" zoomScaleNormal="60" workbookViewId="0">
      <pane xSplit="2" ySplit="7" topLeftCell="AF20" activePane="bottomRight" state="frozen"/>
      <selection activeCell="C3" sqref="C3"/>
      <selection pane="topRight" activeCell="C3" sqref="C3"/>
      <selection pane="bottomLeft" activeCell="C3" sqref="C3"/>
      <selection pane="bottomRight" activeCell="AJ27" sqref="AJ27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6" width="8.85546875" style="28" customWidth="1"/>
    <col min="47" max="47" width="9.5703125" style="28" bestFit="1" customWidth="1"/>
    <col min="48" max="54" width="8.85546875" style="28" customWidth="1"/>
    <col min="55" max="55" width="11.570312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49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/>
      <c r="AF8" s="42">
        <v>1</v>
      </c>
      <c r="AG8" s="6">
        <f>1+4+6</f>
        <v>11</v>
      </c>
      <c r="AH8" s="7"/>
      <c r="AI8" s="7"/>
      <c r="AJ8" s="7"/>
      <c r="AK8" s="8"/>
      <c r="AL8" s="40"/>
      <c r="AM8" s="41"/>
      <c r="AN8" s="41">
        <v>1</v>
      </c>
      <c r="AO8" s="41">
        <v>4</v>
      </c>
      <c r="AP8" s="42">
        <v>7</v>
      </c>
      <c r="AQ8" s="40"/>
      <c r="AR8" s="41"/>
      <c r="AS8" s="41">
        <f>3/20</f>
        <v>0.15</v>
      </c>
      <c r="AT8" s="41">
        <v>1</v>
      </c>
      <c r="AU8" s="42">
        <v>2</v>
      </c>
      <c r="AV8" s="6">
        <v>5</v>
      </c>
      <c r="AW8" s="7">
        <v>5</v>
      </c>
      <c r="AX8" s="7">
        <v>5</v>
      </c>
      <c r="AY8" s="7"/>
      <c r="AZ8" s="8"/>
      <c r="BA8" s="6">
        <v>5</v>
      </c>
      <c r="BB8" s="7"/>
      <c r="BC8" s="8">
        <f>10+20</f>
        <v>30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28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1+1+5</f>
        <v>7</v>
      </c>
      <c r="AH9" s="10"/>
      <c r="AI9" s="10"/>
      <c r="AJ9" s="10"/>
      <c r="AK9" s="11"/>
      <c r="AL9" s="43">
        <v>1</v>
      </c>
      <c r="AM9" s="44"/>
      <c r="AN9" s="44">
        <v>1</v>
      </c>
      <c r="AO9" s="44"/>
      <c r="AP9" s="45">
        <v>5</v>
      </c>
      <c r="AQ9" s="43">
        <f>2/12</f>
        <v>0.16666666666666666</v>
      </c>
      <c r="AR9" s="44"/>
      <c r="AS9" s="44">
        <f>4/20</f>
        <v>0.2</v>
      </c>
      <c r="AT9" s="44"/>
      <c r="AU9" s="45">
        <v>1.5</v>
      </c>
      <c r="AV9" s="6">
        <v>5</v>
      </c>
      <c r="AW9" s="7">
        <v>5</v>
      </c>
      <c r="AX9" s="7">
        <v>5</v>
      </c>
      <c r="AY9" s="10"/>
      <c r="AZ9" s="11"/>
      <c r="BA9" s="9">
        <f>2+5</f>
        <v>7</v>
      </c>
      <c r="BB9" s="10"/>
      <c r="BC9" s="11">
        <f>10+4</f>
        <v>14</v>
      </c>
      <c r="BD9" s="70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25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f>1+1+2+1</f>
        <v>5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>
        <v>2</v>
      </c>
      <c r="AP10" s="45">
        <v>2</v>
      </c>
      <c r="AQ10" s="43">
        <f>3/12</f>
        <v>0.25</v>
      </c>
      <c r="AR10" s="44"/>
      <c r="AS10" s="44">
        <f>3/20</f>
        <v>0.15</v>
      </c>
      <c r="AT10" s="44">
        <v>0.7</v>
      </c>
      <c r="AU10" s="45">
        <v>0.5</v>
      </c>
      <c r="AV10" s="6">
        <v>5</v>
      </c>
      <c r="AW10" s="7">
        <v>5</v>
      </c>
      <c r="AX10" s="7">
        <v>5</v>
      </c>
      <c r="AY10" s="10"/>
      <c r="AZ10" s="11"/>
      <c r="BA10" s="9">
        <f>3+5</f>
        <v>8</v>
      </c>
      <c r="BB10" s="10"/>
      <c r="BC10" s="11">
        <f>7+4</f>
        <v>11</v>
      </c>
      <c r="BD10" s="139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25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/>
      <c r="AG11" s="9">
        <f>1+1+1+5</f>
        <v>8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>
        <v>2</v>
      </c>
      <c r="AP11" s="45">
        <v>5</v>
      </c>
      <c r="AQ11" s="43">
        <f>4/12</f>
        <v>0.33333333333333331</v>
      </c>
      <c r="AR11" s="44"/>
      <c r="AS11" s="44">
        <f>3/20</f>
        <v>0.15</v>
      </c>
      <c r="AT11" s="44">
        <v>0.5</v>
      </c>
      <c r="AU11" s="45">
        <v>1</v>
      </c>
      <c r="AV11" s="6">
        <v>5</v>
      </c>
      <c r="AW11" s="7">
        <v>5</v>
      </c>
      <c r="AX11" s="7">
        <v>5</v>
      </c>
      <c r="AY11" s="10"/>
      <c r="AZ11" s="11"/>
      <c r="BA11" s="9">
        <f>4+5</f>
        <v>9</v>
      </c>
      <c r="BB11" s="10"/>
      <c r="BC11" s="11">
        <f>5+10</f>
        <v>15</v>
      </c>
      <c r="BD11" s="140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30</v>
      </c>
      <c r="X12" s="10"/>
      <c r="Y12" s="10"/>
      <c r="Z12" s="10"/>
      <c r="AA12" s="11"/>
      <c r="AB12" s="43"/>
      <c r="AC12" s="44"/>
      <c r="AD12" s="44">
        <v>1</v>
      </c>
      <c r="AE12" s="44">
        <v>1</v>
      </c>
      <c r="AF12" s="45"/>
      <c r="AG12" s="9">
        <f>1+1+6</f>
        <v>8</v>
      </c>
      <c r="AH12" s="10"/>
      <c r="AI12" s="10"/>
      <c r="AJ12" s="10"/>
      <c r="AK12" s="11"/>
      <c r="AL12" s="43">
        <v>1</v>
      </c>
      <c r="AM12" s="44"/>
      <c r="AN12" s="44">
        <v>2</v>
      </c>
      <c r="AO12" s="44"/>
      <c r="AP12" s="45">
        <v>7</v>
      </c>
      <c r="AQ12" s="43">
        <f>5/12</f>
        <v>0.41666666666666669</v>
      </c>
      <c r="AR12" s="44"/>
      <c r="AS12" s="44">
        <f>3/20</f>
        <v>0.15</v>
      </c>
      <c r="AT12" s="44"/>
      <c r="AU12" s="45">
        <v>2</v>
      </c>
      <c r="AV12" s="9">
        <v>5</v>
      </c>
      <c r="AW12" s="10">
        <v>5</v>
      </c>
      <c r="AX12" s="10">
        <v>5</v>
      </c>
      <c r="AY12" s="10"/>
      <c r="AZ12" s="11"/>
      <c r="BA12" s="9">
        <f>5+5</f>
        <v>10</v>
      </c>
      <c r="BB12" s="10"/>
      <c r="BC12" s="11">
        <f>20</f>
        <v>20</v>
      </c>
      <c r="BD12" s="141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>
        <v>1</v>
      </c>
      <c r="AC13" s="44"/>
      <c r="AD13" s="44"/>
      <c r="AE13" s="44">
        <v>1</v>
      </c>
      <c r="AF13" s="45"/>
      <c r="AG13" s="9">
        <f>1+1+2</f>
        <v>4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2</v>
      </c>
      <c r="AP13" s="45">
        <v>2</v>
      </c>
      <c r="AQ13" s="43"/>
      <c r="AR13" s="44"/>
      <c r="AS13" s="44">
        <f>3/20</f>
        <v>0.15</v>
      </c>
      <c r="AT13" s="44">
        <v>0.4</v>
      </c>
      <c r="AU13" s="45">
        <v>0.5</v>
      </c>
      <c r="AV13" s="9">
        <v>5</v>
      </c>
      <c r="AW13" s="10">
        <v>5</v>
      </c>
      <c r="AX13" s="10">
        <v>5</v>
      </c>
      <c r="AY13" s="10"/>
      <c r="AZ13" s="11"/>
      <c r="BA13" s="9">
        <v>5</v>
      </c>
      <c r="BB13" s="10"/>
      <c r="BC13" s="11">
        <f>4+4</f>
        <v>8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1+2</f>
        <v>3</v>
      </c>
      <c r="AH14" s="10"/>
      <c r="AI14" s="10"/>
      <c r="AJ14" s="10"/>
      <c r="AK14" s="11"/>
      <c r="AL14" s="43">
        <v>1</v>
      </c>
      <c r="AM14" s="44"/>
      <c r="AN14" s="44"/>
      <c r="AO14" s="44"/>
      <c r="AP14" s="45">
        <v>2</v>
      </c>
      <c r="AQ14" s="43">
        <f>5/12</f>
        <v>0.41666666666666669</v>
      </c>
      <c r="AR14" s="44"/>
      <c r="AS14" s="44"/>
      <c r="AT14" s="44"/>
      <c r="AU14" s="45">
        <v>0.5</v>
      </c>
      <c r="AV14" s="9">
        <v>5</v>
      </c>
      <c r="AW14" s="10">
        <v>5</v>
      </c>
      <c r="AX14" s="10">
        <v>5</v>
      </c>
      <c r="AY14" s="10"/>
      <c r="AZ14" s="11"/>
      <c r="BA14" s="9">
        <v>5</v>
      </c>
      <c r="BB14" s="10"/>
      <c r="BC14" s="11">
        <v>4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>
        <v>1</v>
      </c>
      <c r="AC15" s="44"/>
      <c r="AD15" s="44"/>
      <c r="AE15" s="44"/>
      <c r="AF15" s="45"/>
      <c r="AG15" s="9">
        <f>1+1+2+4</f>
        <v>8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2</v>
      </c>
      <c r="AP15" s="45">
        <v>4</v>
      </c>
      <c r="AQ15" s="43">
        <f>4/12</f>
        <v>0.33333333333333331</v>
      </c>
      <c r="AR15" s="44"/>
      <c r="AS15" s="44">
        <f>3/20</f>
        <v>0.15</v>
      </c>
      <c r="AT15" s="44">
        <v>0.6</v>
      </c>
      <c r="AU15" s="45">
        <v>1</v>
      </c>
      <c r="AV15" s="9">
        <v>5</v>
      </c>
      <c r="AW15" s="10">
        <v>5</v>
      </c>
      <c r="AX15" s="10">
        <v>5</v>
      </c>
      <c r="AY15" s="10"/>
      <c r="AZ15" s="11"/>
      <c r="BA15" s="9">
        <f>4+5</f>
        <v>9</v>
      </c>
      <c r="BB15" s="10"/>
      <c r="BC15" s="11">
        <f>6+10</f>
        <v>16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28</v>
      </c>
      <c r="X16" s="10"/>
      <c r="Y16" s="10"/>
      <c r="Z16" s="10"/>
      <c r="AA16" s="11"/>
      <c r="AB16" s="43"/>
      <c r="AC16" s="44"/>
      <c r="AD16" s="44"/>
      <c r="AE16" s="44"/>
      <c r="AF16" s="45">
        <v>1</v>
      </c>
      <c r="AG16" s="9">
        <f>1+1+3</f>
        <v>5</v>
      </c>
      <c r="AH16" s="10"/>
      <c r="AI16" s="10"/>
      <c r="AJ16" s="10"/>
      <c r="AK16" s="11"/>
      <c r="AL16" s="43">
        <v>1</v>
      </c>
      <c r="AM16" s="44"/>
      <c r="AN16" s="44"/>
      <c r="AO16" s="44">
        <v>1</v>
      </c>
      <c r="AP16" s="45">
        <v>4</v>
      </c>
      <c r="AQ16" s="43">
        <f>3/12</f>
        <v>0.25</v>
      </c>
      <c r="AR16" s="44"/>
      <c r="AS16" s="44"/>
      <c r="AT16" s="44">
        <v>0.2</v>
      </c>
      <c r="AU16" s="45">
        <v>1</v>
      </c>
      <c r="AV16" s="9">
        <v>5</v>
      </c>
      <c r="AW16" s="10">
        <v>5</v>
      </c>
      <c r="AX16" s="10">
        <v>5</v>
      </c>
      <c r="AY16" s="10"/>
      <c r="AZ16" s="11"/>
      <c r="BA16" s="9">
        <v>3</v>
      </c>
      <c r="BB16" s="10"/>
      <c r="BC16" s="11">
        <f>2+10</f>
        <v>12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27</v>
      </c>
      <c r="X17" s="10"/>
      <c r="Y17" s="10"/>
      <c r="Z17" s="10"/>
      <c r="AA17" s="11"/>
      <c r="AB17" s="43"/>
      <c r="AC17" s="44"/>
      <c r="AD17" s="44"/>
      <c r="AE17" s="44"/>
      <c r="AF17" s="45">
        <v>1</v>
      </c>
      <c r="AG17" s="9">
        <f>1+1+1+3</f>
        <v>6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1</v>
      </c>
      <c r="AP17" s="45">
        <v>4</v>
      </c>
      <c r="AQ17" s="43">
        <f>2/12</f>
        <v>0.16666666666666666</v>
      </c>
      <c r="AR17" s="44"/>
      <c r="AS17" s="44">
        <f>3/20</f>
        <v>0.15</v>
      </c>
      <c r="AT17" s="44">
        <v>0.2</v>
      </c>
      <c r="AU17" s="45">
        <v>1</v>
      </c>
      <c r="AV17" s="9">
        <v>5</v>
      </c>
      <c r="AW17" s="10">
        <v>5</v>
      </c>
      <c r="AX17" s="10">
        <v>5</v>
      </c>
      <c r="AY17" s="10"/>
      <c r="AZ17" s="11"/>
      <c r="BA17" s="9">
        <f>2+5</f>
        <v>7</v>
      </c>
      <c r="BB17" s="10"/>
      <c r="BC17" s="11">
        <f>2+10</f>
        <v>12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23</v>
      </c>
      <c r="X18" s="10"/>
      <c r="Y18" s="10"/>
      <c r="Z18" s="10"/>
      <c r="AA18" s="11"/>
      <c r="AB18" s="43"/>
      <c r="AC18" s="44"/>
      <c r="AD18" s="44">
        <v>1</v>
      </c>
      <c r="AE18" s="44"/>
      <c r="AF18" s="45"/>
      <c r="AG18" s="9">
        <f>1+4</f>
        <v>5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/>
      <c r="AP18" s="45">
        <v>4</v>
      </c>
      <c r="AQ18" s="43">
        <f>3/12</f>
        <v>0.25</v>
      </c>
      <c r="AR18" s="44"/>
      <c r="AS18" s="44"/>
      <c r="AT18" s="44"/>
      <c r="AU18" s="45">
        <v>1</v>
      </c>
      <c r="AV18" s="9">
        <v>5</v>
      </c>
      <c r="AW18" s="10">
        <v>5</v>
      </c>
      <c r="AX18" s="10">
        <v>5</v>
      </c>
      <c r="AY18" s="10"/>
      <c r="AZ18" s="11"/>
      <c r="BA18" s="9">
        <v>3</v>
      </c>
      <c r="BB18" s="10"/>
      <c r="BC18" s="11">
        <v>10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1+4</f>
        <v>5</v>
      </c>
      <c r="AH19" s="10"/>
      <c r="AI19" s="10"/>
      <c r="AJ19" s="10"/>
      <c r="AK19" s="11"/>
      <c r="AL19" s="43"/>
      <c r="AM19" s="44"/>
      <c r="AN19" s="44"/>
      <c r="AO19" s="44">
        <v>1</v>
      </c>
      <c r="AP19" s="45">
        <v>4</v>
      </c>
      <c r="AQ19" s="43"/>
      <c r="AR19" s="44"/>
      <c r="AS19" s="44"/>
      <c r="AT19" s="44">
        <v>0.4</v>
      </c>
      <c r="AU19" s="45">
        <v>1</v>
      </c>
      <c r="AV19" s="9">
        <v>5</v>
      </c>
      <c r="AW19" s="10">
        <v>5</v>
      </c>
      <c r="AX19" s="10">
        <v>5</v>
      </c>
      <c r="AY19" s="10"/>
      <c r="AZ19" s="11"/>
      <c r="BA19" s="9"/>
      <c r="BB19" s="10"/>
      <c r="BC19" s="11">
        <f>4+10</f>
        <v>14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27</v>
      </c>
      <c r="X20" s="10"/>
      <c r="Y20" s="10"/>
      <c r="Z20" s="10"/>
      <c r="AA20" s="11"/>
      <c r="AB20" s="43"/>
      <c r="AC20" s="44"/>
      <c r="AD20" s="44"/>
      <c r="AE20" s="44">
        <v>2</v>
      </c>
      <c r="AF20" s="45"/>
      <c r="AG20" s="9">
        <f>1+1+4</f>
        <v>6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2</v>
      </c>
      <c r="AP20" s="45">
        <v>4</v>
      </c>
      <c r="AQ20" s="43">
        <f>6/12</f>
        <v>0.5</v>
      </c>
      <c r="AR20" s="44"/>
      <c r="AS20" s="44">
        <f>3/20</f>
        <v>0.15</v>
      </c>
      <c r="AT20" s="44"/>
      <c r="AU20" s="45">
        <v>1</v>
      </c>
      <c r="AV20" s="9">
        <v>5</v>
      </c>
      <c r="AW20" s="10">
        <v>5</v>
      </c>
      <c r="AX20" s="10">
        <v>5</v>
      </c>
      <c r="AY20" s="10"/>
      <c r="AZ20" s="11"/>
      <c r="BA20" s="9">
        <f>6+5</f>
        <v>11</v>
      </c>
      <c r="BB20" s="10"/>
      <c r="BC20" s="11">
        <v>10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28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f>1+1+4</f>
        <v>6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/>
      <c r="AP21" s="45">
        <v>4</v>
      </c>
      <c r="AQ21" s="43">
        <f>4/12</f>
        <v>0.33333333333333331</v>
      </c>
      <c r="AR21" s="44"/>
      <c r="AS21" s="44">
        <f>3/20</f>
        <v>0.15</v>
      </c>
      <c r="AT21" s="44"/>
      <c r="AU21" s="45">
        <v>1.5</v>
      </c>
      <c r="AV21" s="9">
        <v>5</v>
      </c>
      <c r="AW21" s="10">
        <v>5</v>
      </c>
      <c r="AX21" s="10">
        <v>5</v>
      </c>
      <c r="AY21" s="10"/>
      <c r="AZ21" s="11"/>
      <c r="BA21" s="9">
        <f>4+5</f>
        <v>9</v>
      </c>
      <c r="BB21" s="10"/>
      <c r="BC21" s="11">
        <f>10+4</f>
        <v>14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11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/>
      <c r="AG22" s="9">
        <f>1+4</f>
        <v>5</v>
      </c>
      <c r="AH22" s="10"/>
      <c r="AI22" s="10"/>
      <c r="AJ22" s="10"/>
      <c r="AK22" s="11"/>
      <c r="AL22" s="43">
        <v>1</v>
      </c>
      <c r="AM22" s="44"/>
      <c r="AN22" s="44"/>
      <c r="AO22" s="44">
        <v>1</v>
      </c>
      <c r="AP22" s="45">
        <v>4</v>
      </c>
      <c r="AQ22" s="43">
        <f>5/12</f>
        <v>0.41666666666666669</v>
      </c>
      <c r="AR22" s="44"/>
      <c r="AS22" s="44"/>
      <c r="AT22" s="44"/>
      <c r="AU22" s="45">
        <v>1</v>
      </c>
      <c r="AV22" s="9">
        <v>5</v>
      </c>
      <c r="AW22" s="10">
        <v>5</v>
      </c>
      <c r="AX22" s="10">
        <v>5</v>
      </c>
      <c r="AY22" s="10"/>
      <c r="AZ22" s="11"/>
      <c r="BA22" s="9">
        <v>5</v>
      </c>
      <c r="BB22" s="10"/>
      <c r="BC22" s="11">
        <v>10</v>
      </c>
      <c r="BD22" s="18"/>
      <c r="BE22" s="12"/>
    </row>
    <row r="23" spans="1:57" ht="31.9" customHeight="1" x14ac:dyDescent="0.2">
      <c r="A23" s="20">
        <v>16</v>
      </c>
      <c r="B23" s="16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f>1+4</f>
        <v>5</v>
      </c>
      <c r="AH23" s="10"/>
      <c r="AI23" s="10"/>
      <c r="AJ23" s="10"/>
      <c r="AK23" s="11"/>
      <c r="AL23" s="43"/>
      <c r="AM23" s="44"/>
      <c r="AN23" s="44">
        <v>1</v>
      </c>
      <c r="AO23" s="44"/>
      <c r="AP23" s="45">
        <v>4</v>
      </c>
      <c r="AQ23" s="43"/>
      <c r="AR23" s="44"/>
      <c r="AS23" s="44">
        <f>3/20</f>
        <v>0.15</v>
      </c>
      <c r="AT23" s="44"/>
      <c r="AU23" s="45">
        <v>1</v>
      </c>
      <c r="AV23" s="9">
        <v>5</v>
      </c>
      <c r="AW23" s="10">
        <v>5</v>
      </c>
      <c r="AX23" s="10">
        <v>5</v>
      </c>
      <c r="AY23" s="10"/>
      <c r="AZ23" s="11"/>
      <c r="BA23" s="9">
        <v>5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22</v>
      </c>
      <c r="X24" s="10"/>
      <c r="Y24" s="10"/>
      <c r="Z24" s="10"/>
      <c r="AA24" s="11"/>
      <c r="AB24" s="43"/>
      <c r="AC24" s="44"/>
      <c r="AD24" s="44">
        <v>1</v>
      </c>
      <c r="AE24" s="44"/>
      <c r="AF24" s="45">
        <v>1</v>
      </c>
      <c r="AG24" s="9">
        <f>1+2+8</f>
        <v>11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>
        <v>2</v>
      </c>
      <c r="AP24" s="45">
        <v>9</v>
      </c>
      <c r="AQ24" s="43">
        <f>5/12</f>
        <v>0.41666666666666669</v>
      </c>
      <c r="AR24" s="44"/>
      <c r="AS24" s="44"/>
      <c r="AT24" s="44">
        <v>0.5</v>
      </c>
      <c r="AU24" s="45">
        <v>3</v>
      </c>
      <c r="AV24" s="9">
        <v>5</v>
      </c>
      <c r="AW24" s="10">
        <v>5</v>
      </c>
      <c r="AX24" s="10">
        <v>5</v>
      </c>
      <c r="AY24" s="10"/>
      <c r="AZ24" s="11"/>
      <c r="BA24" s="9">
        <v>5</v>
      </c>
      <c r="BB24" s="10"/>
      <c r="BC24" s="11">
        <f>5+30</f>
        <v>35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/>
      <c r="AF25" s="45"/>
      <c r="AG25" s="9">
        <f>1+3</f>
        <v>4</v>
      </c>
      <c r="AH25" s="10"/>
      <c r="AI25" s="10"/>
      <c r="AJ25" s="10"/>
      <c r="AK25" s="11"/>
      <c r="AL25" s="43">
        <v>1</v>
      </c>
      <c r="AM25" s="44"/>
      <c r="AN25" s="44"/>
      <c r="AO25" s="44"/>
      <c r="AP25" s="45">
        <v>3</v>
      </c>
      <c r="AQ25" s="43">
        <f>4/12</f>
        <v>0.33333333333333331</v>
      </c>
      <c r="AR25" s="44"/>
      <c r="AS25" s="44"/>
      <c r="AT25" s="44"/>
      <c r="AU25" s="45">
        <v>1</v>
      </c>
      <c r="AV25" s="9">
        <v>5</v>
      </c>
      <c r="AW25" s="10">
        <v>5</v>
      </c>
      <c r="AX25" s="10">
        <v>5</v>
      </c>
      <c r="AY25" s="10"/>
      <c r="AZ25" s="11"/>
      <c r="BA25" s="9">
        <v>4</v>
      </c>
      <c r="BB25" s="10"/>
      <c r="BC25" s="11">
        <v>10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24</v>
      </c>
      <c r="X26" s="53"/>
      <c r="Y26" s="53"/>
      <c r="Z26" s="53"/>
      <c r="AA26" s="54"/>
      <c r="AB26" s="58"/>
      <c r="AC26" s="59"/>
      <c r="AD26" s="59"/>
      <c r="AE26" s="59">
        <v>1</v>
      </c>
      <c r="AF26" s="48"/>
      <c r="AG26" s="52">
        <f>1+1+3</f>
        <v>5</v>
      </c>
      <c r="AH26" s="53"/>
      <c r="AI26" s="53"/>
      <c r="AJ26" s="53"/>
      <c r="AK26" s="54"/>
      <c r="AL26" s="58"/>
      <c r="AM26" s="59"/>
      <c r="AN26" s="59">
        <v>1</v>
      </c>
      <c r="AO26" s="59">
        <v>2</v>
      </c>
      <c r="AP26" s="48">
        <v>3</v>
      </c>
      <c r="AQ26" s="58"/>
      <c r="AR26" s="59"/>
      <c r="AS26" s="59">
        <f>3/20</f>
        <v>0.15</v>
      </c>
      <c r="AT26" s="59">
        <v>0.5</v>
      </c>
      <c r="AU26" s="48">
        <v>1.5</v>
      </c>
      <c r="AV26" s="9">
        <v>5</v>
      </c>
      <c r="AW26" s="10">
        <v>5</v>
      </c>
      <c r="AX26" s="10">
        <v>5</v>
      </c>
      <c r="AY26" s="53"/>
      <c r="AZ26" s="54"/>
      <c r="BA26" s="52">
        <v>5</v>
      </c>
      <c r="BB26" s="53"/>
      <c r="BC26" s="54">
        <f>5+10+4</f>
        <v>19</v>
      </c>
      <c r="BD26" s="60"/>
      <c r="BE26" s="61"/>
    </row>
    <row r="27" spans="1:57" ht="31.9" customHeight="1" thickBot="1" x14ac:dyDescent="0.25">
      <c r="A27" s="50">
        <v>20</v>
      </c>
      <c r="B27" s="51" t="s">
        <v>54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20</v>
      </c>
      <c r="X27" s="53"/>
      <c r="Y27" s="53"/>
      <c r="Z27" s="53"/>
      <c r="AA27" s="54"/>
      <c r="AB27" s="67">
        <v>1</v>
      </c>
      <c r="AC27" s="68"/>
      <c r="AD27" s="68">
        <v>1</v>
      </c>
      <c r="AE27" s="68"/>
      <c r="AF27" s="69"/>
      <c r="AG27" s="52">
        <f>2+1+3+6</f>
        <v>12</v>
      </c>
      <c r="AH27" s="53"/>
      <c r="AI27" s="53"/>
      <c r="AJ27" s="53"/>
      <c r="AK27" s="54"/>
      <c r="AL27" s="67">
        <v>3</v>
      </c>
      <c r="AM27" s="68"/>
      <c r="AN27" s="68">
        <v>1</v>
      </c>
      <c r="AO27" s="68">
        <v>3</v>
      </c>
      <c r="AP27" s="69">
        <v>6</v>
      </c>
      <c r="AQ27" s="58">
        <f>5/12</f>
        <v>0.41666666666666669</v>
      </c>
      <c r="AR27" s="59"/>
      <c r="AS27" s="59">
        <f>3/20</f>
        <v>0.15</v>
      </c>
      <c r="AT27" s="59">
        <v>1</v>
      </c>
      <c r="AU27" s="48">
        <v>2</v>
      </c>
      <c r="AV27" s="9">
        <v>5</v>
      </c>
      <c r="AW27" s="10">
        <v>5</v>
      </c>
      <c r="AX27" s="10">
        <v>5</v>
      </c>
      <c r="AY27" s="53"/>
      <c r="AZ27" s="54"/>
      <c r="BA27" s="52">
        <f>5+5</f>
        <v>10</v>
      </c>
      <c r="BB27" s="53"/>
      <c r="BC27" s="54">
        <f>10+20</f>
        <v>30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486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4</v>
      </c>
      <c r="AC28" s="65">
        <f t="shared" si="3"/>
        <v>0</v>
      </c>
      <c r="AD28" s="65">
        <f t="shared" si="3"/>
        <v>4</v>
      </c>
      <c r="AE28" s="65">
        <f t="shared" si="3"/>
        <v>7</v>
      </c>
      <c r="AF28" s="66">
        <f t="shared" si="3"/>
        <v>4</v>
      </c>
      <c r="AG28" s="29">
        <f t="shared" si="3"/>
        <v>129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18</v>
      </c>
      <c r="AM28" s="65">
        <f t="shared" si="4"/>
        <v>0</v>
      </c>
      <c r="AN28" s="65">
        <f t="shared" si="4"/>
        <v>16</v>
      </c>
      <c r="AO28" s="65">
        <f t="shared" si="4"/>
        <v>25</v>
      </c>
      <c r="AP28" s="66">
        <f t="shared" si="4"/>
        <v>87</v>
      </c>
      <c r="AQ28" s="126">
        <f t="shared" si="4"/>
        <v>5</v>
      </c>
      <c r="AR28" s="116">
        <f t="shared" si="4"/>
        <v>0</v>
      </c>
      <c r="AS28" s="116">
        <f t="shared" si="4"/>
        <v>1.9999999999999996</v>
      </c>
      <c r="AT28" s="116">
        <f t="shared" si="4"/>
        <v>6.0000000000000009</v>
      </c>
      <c r="AU28" s="127">
        <f t="shared" si="4"/>
        <v>25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125</v>
      </c>
      <c r="BB28" s="47">
        <f t="shared" si="4"/>
        <v>0</v>
      </c>
      <c r="BC28" s="49">
        <f t="shared" si="4"/>
        <v>304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90" zoomScaleNormal="90" workbookViewId="0">
      <pane xSplit="2" ySplit="7" topLeftCell="AM29" activePane="bottomRight" state="frozen"/>
      <selection activeCell="C3" sqref="C3"/>
      <selection pane="topRight" activeCell="C3" sqref="C3"/>
      <selection pane="bottomLeft" activeCell="C3" sqref="C3"/>
      <selection pane="bottomRight" activeCell="A30" sqref="A30:XFD33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7.5703125" style="28" bestFit="1" customWidth="1"/>
    <col min="45" max="45" width="13" style="28" bestFit="1" customWidth="1"/>
    <col min="46" max="46" width="8.85546875" style="28" customWidth="1"/>
    <col min="47" max="47" width="11.1406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49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>
        <v>1</v>
      </c>
      <c r="AC8" s="41"/>
      <c r="AD8" s="41"/>
      <c r="AE8" s="41"/>
      <c r="AF8" s="42">
        <v>1</v>
      </c>
      <c r="AG8" s="6">
        <f>1+1+2+4</f>
        <v>8</v>
      </c>
      <c r="AH8" s="7"/>
      <c r="AI8" s="7"/>
      <c r="AJ8" s="7"/>
      <c r="AK8" s="8"/>
      <c r="AL8" s="40">
        <v>2</v>
      </c>
      <c r="AM8" s="41"/>
      <c r="AN8" s="41">
        <v>1</v>
      </c>
      <c r="AO8" s="41">
        <v>2</v>
      </c>
      <c r="AP8" s="42">
        <v>5</v>
      </c>
      <c r="AQ8" s="108">
        <f>4/12</f>
        <v>0.33333333333333331</v>
      </c>
      <c r="AR8" s="109"/>
      <c r="AS8" s="109">
        <f>3/20</f>
        <v>0.15</v>
      </c>
      <c r="AT8" s="109">
        <v>0.5</v>
      </c>
      <c r="AU8" s="110">
        <v>1</v>
      </c>
      <c r="AV8" s="6">
        <v>5</v>
      </c>
      <c r="AW8" s="7">
        <v>5</v>
      </c>
      <c r="AX8" s="7">
        <v>5</v>
      </c>
      <c r="AY8" s="7"/>
      <c r="AZ8" s="8"/>
      <c r="BA8" s="6">
        <f>4+5</f>
        <v>9</v>
      </c>
      <c r="BB8" s="7"/>
      <c r="BC8" s="8">
        <f>5+10</f>
        <v>15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23</v>
      </c>
      <c r="X9" s="10"/>
      <c r="Y9" s="10"/>
      <c r="Z9" s="10"/>
      <c r="AA9" s="11"/>
      <c r="AB9" s="43"/>
      <c r="AC9" s="44"/>
      <c r="AD9" s="44"/>
      <c r="AE9" s="44"/>
      <c r="AF9" s="45">
        <v>1</v>
      </c>
      <c r="AG9" s="9">
        <f>1+3+6</f>
        <v>10</v>
      </c>
      <c r="AH9" s="10"/>
      <c r="AI9" s="10"/>
      <c r="AJ9" s="10"/>
      <c r="AK9" s="11"/>
      <c r="AL9" s="43">
        <v>1</v>
      </c>
      <c r="AM9" s="44"/>
      <c r="AN9" s="44"/>
      <c r="AO9" s="44">
        <v>3</v>
      </c>
      <c r="AP9" s="45">
        <v>6</v>
      </c>
      <c r="AQ9" s="107">
        <f>5/12</f>
        <v>0.41666666666666669</v>
      </c>
      <c r="AR9" s="111"/>
      <c r="AS9" s="111"/>
      <c r="AT9" s="111">
        <v>0.5</v>
      </c>
      <c r="AU9" s="112">
        <v>2</v>
      </c>
      <c r="AV9" s="6">
        <v>5</v>
      </c>
      <c r="AW9" s="7">
        <v>5</v>
      </c>
      <c r="AX9" s="7">
        <v>5</v>
      </c>
      <c r="AY9" s="10"/>
      <c r="AZ9" s="11"/>
      <c r="BA9" s="9">
        <v>5</v>
      </c>
      <c r="BB9" s="10"/>
      <c r="BC9" s="11">
        <f>5+20</f>
        <v>25</v>
      </c>
      <c r="BD9" s="70"/>
      <c r="BE9" s="12"/>
    </row>
    <row r="10" spans="1:57" ht="31.9" customHeight="1" x14ac:dyDescent="0.2">
      <c r="A10" s="20">
        <v>3</v>
      </c>
      <c r="B10" s="16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28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f>1+1+5</f>
        <v>7</v>
      </c>
      <c r="AH10" s="10"/>
      <c r="AI10" s="10"/>
      <c r="AJ10" s="10"/>
      <c r="AK10" s="11"/>
      <c r="AL10" s="43">
        <v>1</v>
      </c>
      <c r="AM10" s="44"/>
      <c r="AN10" s="44"/>
      <c r="AO10" s="44">
        <v>1</v>
      </c>
      <c r="AP10" s="45">
        <v>5</v>
      </c>
      <c r="AQ10" s="107">
        <f>4/12</f>
        <v>0.33333333333333331</v>
      </c>
      <c r="AR10" s="111"/>
      <c r="AS10" s="111"/>
      <c r="AT10" s="111">
        <v>0.6</v>
      </c>
      <c r="AU10" s="112">
        <v>1.5</v>
      </c>
      <c r="AV10" s="6">
        <v>5</v>
      </c>
      <c r="AW10" s="7">
        <v>5</v>
      </c>
      <c r="AX10" s="7">
        <v>5</v>
      </c>
      <c r="AY10" s="10"/>
      <c r="AZ10" s="11"/>
      <c r="BA10" s="9">
        <v>4</v>
      </c>
      <c r="BB10" s="10"/>
      <c r="BC10" s="11">
        <f>6+14</f>
        <v>20</v>
      </c>
      <c r="BD10" s="139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26</v>
      </c>
      <c r="X11" s="10"/>
      <c r="Y11" s="10"/>
      <c r="Z11" s="10"/>
      <c r="AA11" s="11"/>
      <c r="AB11" s="43">
        <v>1</v>
      </c>
      <c r="AC11" s="44"/>
      <c r="AD11" s="44"/>
      <c r="AE11" s="44"/>
      <c r="AF11" s="45"/>
      <c r="AG11" s="9">
        <f>2+1+6</f>
        <v>9</v>
      </c>
      <c r="AH11" s="10"/>
      <c r="AI11" s="10"/>
      <c r="AJ11" s="10"/>
      <c r="AK11" s="11"/>
      <c r="AL11" s="43">
        <v>3</v>
      </c>
      <c r="AM11" s="44"/>
      <c r="AN11" s="44">
        <v>1</v>
      </c>
      <c r="AO11" s="44"/>
      <c r="AP11" s="45">
        <v>6</v>
      </c>
      <c r="AQ11" s="107">
        <f>8/12</f>
        <v>0.66666666666666663</v>
      </c>
      <c r="AR11" s="111"/>
      <c r="AS11" s="111">
        <f>3/20</f>
        <v>0.15</v>
      </c>
      <c r="AT11" s="111"/>
      <c r="AU11" s="112">
        <v>2</v>
      </c>
      <c r="AV11" s="6">
        <v>5</v>
      </c>
      <c r="AW11" s="7">
        <v>5</v>
      </c>
      <c r="AX11" s="7">
        <v>5</v>
      </c>
      <c r="AY11" s="10"/>
      <c r="AZ11" s="11"/>
      <c r="BA11" s="9">
        <f>8+5</f>
        <v>13</v>
      </c>
      <c r="BB11" s="10"/>
      <c r="BC11" s="11">
        <v>20</v>
      </c>
      <c r="BD11" s="140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28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f>1+3+7</f>
        <v>11</v>
      </c>
      <c r="AH12" s="10"/>
      <c r="AI12" s="10"/>
      <c r="AJ12" s="10"/>
      <c r="AK12" s="11"/>
      <c r="AL12" s="43">
        <v>1</v>
      </c>
      <c r="AM12" s="44"/>
      <c r="AN12" s="44"/>
      <c r="AO12" s="44">
        <v>3</v>
      </c>
      <c r="AP12" s="45">
        <v>7</v>
      </c>
      <c r="AQ12" s="107">
        <f>6/12</f>
        <v>0.5</v>
      </c>
      <c r="AR12" s="111"/>
      <c r="AS12" s="111"/>
      <c r="AT12" s="111">
        <v>1</v>
      </c>
      <c r="AU12" s="112">
        <v>2</v>
      </c>
      <c r="AV12" s="6">
        <v>5</v>
      </c>
      <c r="AW12" s="7">
        <v>5</v>
      </c>
      <c r="AX12" s="7">
        <v>5</v>
      </c>
      <c r="AY12" s="10"/>
      <c r="AZ12" s="11"/>
      <c r="BA12" s="9">
        <v>6</v>
      </c>
      <c r="BB12" s="10"/>
      <c r="BC12" s="11">
        <f>10+20</f>
        <v>30</v>
      </c>
      <c r="BD12" s="141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27</v>
      </c>
      <c r="X13" s="10"/>
      <c r="Y13" s="10"/>
      <c r="Z13" s="10"/>
      <c r="AA13" s="11"/>
      <c r="AB13" s="43"/>
      <c r="AC13" s="44"/>
      <c r="AD13" s="44">
        <v>1</v>
      </c>
      <c r="AE13" s="44"/>
      <c r="AF13" s="45"/>
      <c r="AG13" s="9">
        <f>3+1+1+1</f>
        <v>6</v>
      </c>
      <c r="AH13" s="10"/>
      <c r="AI13" s="10"/>
      <c r="AJ13" s="10"/>
      <c r="AK13" s="11"/>
      <c r="AL13" s="43">
        <v>3</v>
      </c>
      <c r="AM13" s="44"/>
      <c r="AN13" s="44">
        <v>2</v>
      </c>
      <c r="AO13" s="44">
        <v>1</v>
      </c>
      <c r="AP13" s="45">
        <v>1</v>
      </c>
      <c r="AQ13" s="107">
        <f>12/12</f>
        <v>1</v>
      </c>
      <c r="AR13" s="111"/>
      <c r="AS13" s="111">
        <f>4/20</f>
        <v>0.2</v>
      </c>
      <c r="AT13" s="111">
        <v>0.6</v>
      </c>
      <c r="AU13" s="112">
        <v>0.5</v>
      </c>
      <c r="AV13" s="6">
        <v>5</v>
      </c>
      <c r="AW13" s="7">
        <v>5</v>
      </c>
      <c r="AX13" s="7">
        <v>5</v>
      </c>
      <c r="AY13" s="10"/>
      <c r="AZ13" s="11"/>
      <c r="BA13" s="9">
        <f>10+5</f>
        <v>15</v>
      </c>
      <c r="BB13" s="10"/>
      <c r="BC13" s="11">
        <f>6+4</f>
        <v>10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1+1+7</f>
        <v>9</v>
      </c>
      <c r="AH14" s="10"/>
      <c r="AI14" s="10"/>
      <c r="AJ14" s="10"/>
      <c r="AK14" s="11"/>
      <c r="AL14" s="43">
        <v>1</v>
      </c>
      <c r="AM14" s="44"/>
      <c r="AN14" s="44"/>
      <c r="AO14" s="44">
        <v>1</v>
      </c>
      <c r="AP14" s="45">
        <v>7</v>
      </c>
      <c r="AQ14" s="107">
        <f>2/12</f>
        <v>0.16666666666666666</v>
      </c>
      <c r="AR14" s="111"/>
      <c r="AS14" s="111"/>
      <c r="AT14" s="111">
        <v>0.4</v>
      </c>
      <c r="AU14" s="112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2</v>
      </c>
      <c r="BB14" s="10"/>
      <c r="BC14" s="11">
        <f>4+20</f>
        <v>24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f>1+1+2+6</f>
        <v>10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3</v>
      </c>
      <c r="AP15" s="45">
        <v>6</v>
      </c>
      <c r="AQ15" s="107">
        <f>4/12</f>
        <v>0.33333333333333331</v>
      </c>
      <c r="AR15" s="111"/>
      <c r="AS15" s="111">
        <f>3/20</f>
        <v>0.15</v>
      </c>
      <c r="AT15" s="111">
        <v>0.5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>
        <f>4+5</f>
        <v>9</v>
      </c>
      <c r="BB15" s="10"/>
      <c r="BC15" s="11">
        <f>5+20</f>
        <v>25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31</v>
      </c>
      <c r="X16" s="10"/>
      <c r="Y16" s="10"/>
      <c r="Z16" s="10"/>
      <c r="AA16" s="11"/>
      <c r="AB16" s="43"/>
      <c r="AC16" s="44"/>
      <c r="AD16" s="44"/>
      <c r="AE16" s="44"/>
      <c r="AF16" s="45"/>
      <c r="AG16" s="9">
        <f>1+1+9</f>
        <v>11</v>
      </c>
      <c r="AH16" s="10"/>
      <c r="AI16" s="10"/>
      <c r="AJ16" s="10"/>
      <c r="AK16" s="11"/>
      <c r="AL16" s="43">
        <v>1</v>
      </c>
      <c r="AM16" s="44"/>
      <c r="AN16" s="44"/>
      <c r="AO16" s="44">
        <v>1</v>
      </c>
      <c r="AP16" s="45">
        <v>9</v>
      </c>
      <c r="AQ16" s="107">
        <f>5/12</f>
        <v>0.41666666666666669</v>
      </c>
      <c r="AR16" s="111"/>
      <c r="AS16" s="111"/>
      <c r="AT16" s="111">
        <v>0.6</v>
      </c>
      <c r="AU16" s="112">
        <v>3</v>
      </c>
      <c r="AV16" s="6">
        <v>5</v>
      </c>
      <c r="AW16" s="7">
        <v>5</v>
      </c>
      <c r="AX16" s="7">
        <v>5</v>
      </c>
      <c r="AY16" s="10"/>
      <c r="AZ16" s="11"/>
      <c r="BA16" s="9">
        <v>5</v>
      </c>
      <c r="BB16" s="10"/>
      <c r="BC16" s="11">
        <f>6+30</f>
        <v>36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26</v>
      </c>
      <c r="X17" s="10"/>
      <c r="Y17" s="10"/>
      <c r="Z17" s="10"/>
      <c r="AA17" s="11"/>
      <c r="AB17" s="43"/>
      <c r="AC17" s="44"/>
      <c r="AD17" s="44"/>
      <c r="AE17" s="44"/>
      <c r="AF17" s="45">
        <v>1</v>
      </c>
      <c r="AG17" s="9">
        <f>1+1+2+10</f>
        <v>14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2</v>
      </c>
      <c r="AP17" s="45">
        <v>11</v>
      </c>
      <c r="AQ17" s="107">
        <f>5/12</f>
        <v>0.41666666666666669</v>
      </c>
      <c r="AR17" s="111"/>
      <c r="AS17" s="111">
        <f>3/20</f>
        <v>0.15</v>
      </c>
      <c r="AT17" s="111">
        <v>0.4</v>
      </c>
      <c r="AU17" s="112">
        <v>4</v>
      </c>
      <c r="AV17" s="6">
        <v>5</v>
      </c>
      <c r="AW17" s="7">
        <v>5</v>
      </c>
      <c r="AX17" s="7">
        <v>5</v>
      </c>
      <c r="AY17" s="10"/>
      <c r="AZ17" s="11"/>
      <c r="BA17" s="9">
        <f>5+5</f>
        <v>10</v>
      </c>
      <c r="BB17" s="10"/>
      <c r="BC17" s="11">
        <f>4+40</f>
        <v>44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26</v>
      </c>
      <c r="X18" s="10"/>
      <c r="Y18" s="10"/>
      <c r="Z18" s="10"/>
      <c r="AA18" s="11"/>
      <c r="AB18" s="43"/>
      <c r="AC18" s="44"/>
      <c r="AD18" s="44"/>
      <c r="AE18" s="44"/>
      <c r="AF18" s="45"/>
      <c r="AG18" s="9">
        <f>4+1+2+4</f>
        <v>11</v>
      </c>
      <c r="AH18" s="10"/>
      <c r="AI18" s="10"/>
      <c r="AJ18" s="10"/>
      <c r="AK18" s="11"/>
      <c r="AL18" s="43">
        <v>4</v>
      </c>
      <c r="AM18" s="44"/>
      <c r="AN18" s="44">
        <v>1</v>
      </c>
      <c r="AO18" s="44">
        <v>2</v>
      </c>
      <c r="AP18" s="45">
        <v>4</v>
      </c>
      <c r="AQ18" s="107">
        <f>12/12</f>
        <v>1</v>
      </c>
      <c r="AR18" s="111"/>
      <c r="AS18" s="111">
        <f>3/20</f>
        <v>0.15</v>
      </c>
      <c r="AT18" s="111">
        <v>0.5</v>
      </c>
      <c r="AU18" s="112">
        <v>2</v>
      </c>
      <c r="AV18" s="6">
        <v>5</v>
      </c>
      <c r="AW18" s="7">
        <v>5</v>
      </c>
      <c r="AX18" s="7">
        <v>5</v>
      </c>
      <c r="AY18" s="10"/>
      <c r="AZ18" s="11"/>
      <c r="BA18" s="9">
        <f>10+5</f>
        <v>15</v>
      </c>
      <c r="BB18" s="10"/>
      <c r="BC18" s="11">
        <f>5+20</f>
        <v>25</v>
      </c>
      <c r="BD18" s="18"/>
      <c r="BE18" s="12"/>
    </row>
    <row r="19" spans="1:57" ht="31.9" customHeight="1" x14ac:dyDescent="0.2">
      <c r="A19" s="20">
        <v>12</v>
      </c>
      <c r="B19" s="16" t="s">
        <v>41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27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1+3</f>
        <v>4</v>
      </c>
      <c r="AH19" s="10"/>
      <c r="AI19" s="10"/>
      <c r="AJ19" s="10"/>
      <c r="AK19" s="11"/>
      <c r="AL19" s="43">
        <v>1</v>
      </c>
      <c r="AM19" s="44"/>
      <c r="AN19" s="44"/>
      <c r="AO19" s="44"/>
      <c r="AP19" s="45">
        <v>3</v>
      </c>
      <c r="AQ19" s="107">
        <f>5/12</f>
        <v>0.41666666666666669</v>
      </c>
      <c r="AR19" s="111"/>
      <c r="AS19" s="111"/>
      <c r="AT19" s="111"/>
      <c r="AU19" s="112">
        <v>1</v>
      </c>
      <c r="AV19" s="6">
        <v>5</v>
      </c>
      <c r="AW19" s="7">
        <v>5</v>
      </c>
      <c r="AX19" s="7">
        <v>5</v>
      </c>
      <c r="AY19" s="10"/>
      <c r="AZ19" s="11"/>
      <c r="BA19" s="9">
        <v>5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25</v>
      </c>
      <c r="X20" s="10"/>
      <c r="Y20" s="10"/>
      <c r="Z20" s="10"/>
      <c r="AA20" s="11"/>
      <c r="AB20" s="43"/>
      <c r="AC20" s="44"/>
      <c r="AD20" s="44"/>
      <c r="AE20" s="44">
        <v>2</v>
      </c>
      <c r="AF20" s="45"/>
      <c r="AG20" s="9">
        <f>2+1+1+6</f>
        <v>10</v>
      </c>
      <c r="AH20" s="10"/>
      <c r="AI20" s="10"/>
      <c r="AJ20" s="10"/>
      <c r="AK20" s="11"/>
      <c r="AL20" s="43">
        <v>2</v>
      </c>
      <c r="AM20" s="44"/>
      <c r="AN20" s="44">
        <v>1</v>
      </c>
      <c r="AO20" s="44">
        <v>3</v>
      </c>
      <c r="AP20" s="45">
        <v>6</v>
      </c>
      <c r="AQ20" s="107">
        <f>8/12</f>
        <v>0.66666666666666663</v>
      </c>
      <c r="AR20" s="111"/>
      <c r="AS20" s="111">
        <f>6/20</f>
        <v>0.3</v>
      </c>
      <c r="AT20" s="111">
        <v>0.4</v>
      </c>
      <c r="AU20" s="112">
        <v>2</v>
      </c>
      <c r="AV20" s="6">
        <v>5</v>
      </c>
      <c r="AW20" s="7">
        <v>5</v>
      </c>
      <c r="AX20" s="7">
        <v>5</v>
      </c>
      <c r="AY20" s="10"/>
      <c r="AZ20" s="11"/>
      <c r="BA20" s="9">
        <f>8+10</f>
        <v>18</v>
      </c>
      <c r="BB20" s="10"/>
      <c r="BC20" s="11">
        <f>4+20</f>
        <v>24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28</v>
      </c>
      <c r="X21" s="10"/>
      <c r="Y21" s="10"/>
      <c r="Z21" s="10"/>
      <c r="AA21" s="11"/>
      <c r="AB21" s="43">
        <v>1</v>
      </c>
      <c r="AC21" s="44"/>
      <c r="AD21" s="44"/>
      <c r="AE21" s="44"/>
      <c r="AF21" s="45"/>
      <c r="AG21" s="9">
        <f>1+1+1+5</f>
        <v>8</v>
      </c>
      <c r="AH21" s="10"/>
      <c r="AI21" s="10"/>
      <c r="AJ21" s="10"/>
      <c r="AK21" s="11"/>
      <c r="AL21" s="43">
        <v>2</v>
      </c>
      <c r="AM21" s="44"/>
      <c r="AN21" s="44">
        <v>1</v>
      </c>
      <c r="AO21" s="44">
        <v>1</v>
      </c>
      <c r="AP21" s="45">
        <v>5</v>
      </c>
      <c r="AQ21" s="107">
        <f>12/12</f>
        <v>1</v>
      </c>
      <c r="AR21" s="111"/>
      <c r="AS21" s="111">
        <f>3/20</f>
        <v>0.15</v>
      </c>
      <c r="AT21" s="111">
        <v>0.5</v>
      </c>
      <c r="AU21" s="112">
        <v>1.5</v>
      </c>
      <c r="AV21" s="6">
        <v>5</v>
      </c>
      <c r="AW21" s="7">
        <v>5</v>
      </c>
      <c r="AX21" s="7">
        <v>5</v>
      </c>
      <c r="AY21" s="10"/>
      <c r="AZ21" s="11"/>
      <c r="BA21" s="9">
        <f>10+5</f>
        <v>15</v>
      </c>
      <c r="BB21" s="10"/>
      <c r="BC21" s="11">
        <f>5+14</f>
        <v>19</v>
      </c>
      <c r="BD21" s="18"/>
      <c r="BE21" s="12"/>
    </row>
    <row r="22" spans="1:57" ht="31.9" customHeight="1" x14ac:dyDescent="0.2">
      <c r="A22" s="20">
        <v>15</v>
      </c>
      <c r="B22" s="16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30</v>
      </c>
      <c r="X22" s="10"/>
      <c r="Y22" s="10"/>
      <c r="Z22" s="10"/>
      <c r="AA22" s="11"/>
      <c r="AB22" s="43"/>
      <c r="AC22" s="44"/>
      <c r="AD22" s="44"/>
      <c r="AE22" s="44"/>
      <c r="AF22" s="45">
        <v>1</v>
      </c>
      <c r="AG22" s="9">
        <f>1+1+1+1</f>
        <v>4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1</v>
      </c>
      <c r="AP22" s="45">
        <v>2</v>
      </c>
      <c r="AQ22" s="107">
        <f>6/12</f>
        <v>0.5</v>
      </c>
      <c r="AR22" s="111"/>
      <c r="AS22" s="111">
        <f>3/20</f>
        <v>0.15</v>
      </c>
      <c r="AT22" s="111">
        <v>0.5</v>
      </c>
      <c r="AU22" s="112">
        <v>0.5</v>
      </c>
      <c r="AV22" s="6">
        <v>5</v>
      </c>
      <c r="AW22" s="7">
        <v>5</v>
      </c>
      <c r="AX22" s="7">
        <v>5</v>
      </c>
      <c r="AY22" s="10"/>
      <c r="AZ22" s="11"/>
      <c r="BA22" s="9">
        <f>6+5</f>
        <v>11</v>
      </c>
      <c r="BB22" s="10"/>
      <c r="BC22" s="11">
        <f>5+4</f>
        <v>9</v>
      </c>
      <c r="BD22" s="18"/>
      <c r="BE22" s="12"/>
    </row>
    <row r="23" spans="1:57" ht="31.9" customHeight="1" x14ac:dyDescent="0.2">
      <c r="A23" s="20">
        <v>16</v>
      </c>
      <c r="B23" s="16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25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f>1+1+4</f>
        <v>6</v>
      </c>
      <c r="AH23" s="10"/>
      <c r="AI23" s="10"/>
      <c r="AJ23" s="10"/>
      <c r="AK23" s="11"/>
      <c r="AL23" s="43">
        <v>2</v>
      </c>
      <c r="AM23" s="44"/>
      <c r="AN23" s="44"/>
      <c r="AO23" s="44">
        <v>1</v>
      </c>
      <c r="AP23" s="45">
        <v>4</v>
      </c>
      <c r="AQ23" s="107">
        <f>6/12</f>
        <v>0.5</v>
      </c>
      <c r="AR23" s="111"/>
      <c r="AS23" s="111"/>
      <c r="AT23" s="111">
        <v>0.2</v>
      </c>
      <c r="AU23" s="112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6</v>
      </c>
      <c r="BB23" s="10"/>
      <c r="BC23" s="11">
        <f>2+10</f>
        <v>12</v>
      </c>
      <c r="BD23" s="18"/>
      <c r="BE23" s="12"/>
    </row>
    <row r="24" spans="1:57" ht="31.9" customHeight="1" x14ac:dyDescent="0.2">
      <c r="A24" s="20">
        <v>17</v>
      </c>
      <c r="B24" s="16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28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f>1+1+1+3</f>
        <v>6</v>
      </c>
      <c r="AH24" s="10"/>
      <c r="AI24" s="10"/>
      <c r="AJ24" s="10"/>
      <c r="AK24" s="11"/>
      <c r="AL24" s="43">
        <v>1</v>
      </c>
      <c r="AM24" s="44"/>
      <c r="AN24" s="44">
        <v>1</v>
      </c>
      <c r="AO24" s="44">
        <v>1</v>
      </c>
      <c r="AP24" s="45">
        <v>3</v>
      </c>
      <c r="AQ24" s="107">
        <f>6/12</f>
        <v>0.5</v>
      </c>
      <c r="AR24" s="111"/>
      <c r="AS24" s="111">
        <f>3/20</f>
        <v>0.15</v>
      </c>
      <c r="AT24" s="111">
        <v>0.3</v>
      </c>
      <c r="AU24" s="112">
        <v>1</v>
      </c>
      <c r="AV24" s="6">
        <v>5</v>
      </c>
      <c r="AW24" s="7">
        <v>5</v>
      </c>
      <c r="AX24" s="7">
        <v>5</v>
      </c>
      <c r="AY24" s="10"/>
      <c r="AZ24" s="11"/>
      <c r="BA24" s="9">
        <f>6+5</f>
        <v>11</v>
      </c>
      <c r="BB24" s="10"/>
      <c r="BC24" s="11">
        <f>3+10</f>
        <v>13</v>
      </c>
      <c r="BD24" s="18"/>
      <c r="BE24" s="12"/>
    </row>
    <row r="25" spans="1:57" ht="31.9" customHeight="1" x14ac:dyDescent="0.2">
      <c r="A25" s="20">
        <v>18</v>
      </c>
      <c r="B25" s="16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26</v>
      </c>
      <c r="X25" s="10"/>
      <c r="Y25" s="10"/>
      <c r="Z25" s="10"/>
      <c r="AA25" s="11"/>
      <c r="AB25" s="43"/>
      <c r="AC25" s="44"/>
      <c r="AD25" s="44"/>
      <c r="AE25" s="44">
        <v>1</v>
      </c>
      <c r="AF25" s="45"/>
      <c r="AG25" s="9">
        <f>1+7</f>
        <v>8</v>
      </c>
      <c r="AH25" s="10"/>
      <c r="AI25" s="10"/>
      <c r="AJ25" s="10"/>
      <c r="AK25" s="11"/>
      <c r="AL25" s="43">
        <v>1</v>
      </c>
      <c r="AM25" s="44"/>
      <c r="AN25" s="44"/>
      <c r="AO25" s="44">
        <v>1</v>
      </c>
      <c r="AP25" s="45">
        <v>7</v>
      </c>
      <c r="AQ25" s="107">
        <f>12/12</f>
        <v>1</v>
      </c>
      <c r="AR25" s="111"/>
      <c r="AS25" s="111"/>
      <c r="AT25" s="111"/>
      <c r="AU25" s="112">
        <v>2</v>
      </c>
      <c r="AV25" s="6">
        <v>5</v>
      </c>
      <c r="AW25" s="7">
        <v>5</v>
      </c>
      <c r="AX25" s="7">
        <v>5</v>
      </c>
      <c r="AY25" s="10"/>
      <c r="AZ25" s="11"/>
      <c r="BA25" s="9">
        <v>10</v>
      </c>
      <c r="BB25" s="10"/>
      <c r="BC25" s="11">
        <v>20</v>
      </c>
      <c r="BD25" s="18"/>
      <c r="BE25" s="12"/>
    </row>
    <row r="26" spans="1:57" ht="31.9" customHeight="1" x14ac:dyDescent="0.2">
      <c r="A26" s="50">
        <v>19</v>
      </c>
      <c r="B26" s="51" t="s">
        <v>50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20</v>
      </c>
      <c r="X26" s="53"/>
      <c r="Y26" s="53"/>
      <c r="Z26" s="53"/>
      <c r="AA26" s="54"/>
      <c r="AB26" s="58"/>
      <c r="AC26" s="59">
        <v>1</v>
      </c>
      <c r="AD26" s="59"/>
      <c r="AE26" s="59"/>
      <c r="AF26" s="48"/>
      <c r="AG26" s="52">
        <f>1+1+3</f>
        <v>5</v>
      </c>
      <c r="AH26" s="53"/>
      <c r="AI26" s="53"/>
      <c r="AJ26" s="53"/>
      <c r="AK26" s="54"/>
      <c r="AL26" s="58">
        <v>1</v>
      </c>
      <c r="AM26" s="59">
        <v>1</v>
      </c>
      <c r="AN26" s="59">
        <v>1</v>
      </c>
      <c r="AO26" s="59"/>
      <c r="AP26" s="48">
        <v>3</v>
      </c>
      <c r="AQ26" s="113">
        <f>3/12</f>
        <v>0.25</v>
      </c>
      <c r="AR26" s="114"/>
      <c r="AS26" s="114">
        <f>3/20</f>
        <v>0.15</v>
      </c>
      <c r="AT26" s="114"/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>
        <f>3+5</f>
        <v>8</v>
      </c>
      <c r="BB26" s="53"/>
      <c r="BC26" s="54">
        <v>10</v>
      </c>
      <c r="BD26" s="60"/>
      <c r="BE26" s="61"/>
    </row>
    <row r="27" spans="1:57" ht="31.9" customHeight="1" thickBot="1" x14ac:dyDescent="0.25">
      <c r="A27" s="50">
        <v>20</v>
      </c>
      <c r="B27" s="51" t="s">
        <v>54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28</v>
      </c>
      <c r="X27" s="53"/>
      <c r="Y27" s="53"/>
      <c r="Z27" s="53"/>
      <c r="AA27" s="54"/>
      <c r="AB27" s="67">
        <v>1</v>
      </c>
      <c r="AC27" s="68"/>
      <c r="AD27" s="68">
        <v>1</v>
      </c>
      <c r="AE27" s="68"/>
      <c r="AF27" s="69"/>
      <c r="AG27" s="9">
        <f>1+1+1+10</f>
        <v>13</v>
      </c>
      <c r="AH27" s="53"/>
      <c r="AI27" s="53"/>
      <c r="AJ27" s="53"/>
      <c r="AK27" s="54"/>
      <c r="AL27" s="67">
        <v>2</v>
      </c>
      <c r="AM27" s="68"/>
      <c r="AN27" s="68">
        <v>1</v>
      </c>
      <c r="AO27" s="68">
        <v>1</v>
      </c>
      <c r="AP27" s="69">
        <v>10</v>
      </c>
      <c r="AQ27" s="113">
        <f>7/12</f>
        <v>0.58333333333333337</v>
      </c>
      <c r="AR27" s="114"/>
      <c r="AS27" s="114">
        <f>3/20</f>
        <v>0.15</v>
      </c>
      <c r="AT27" s="114">
        <v>0.5</v>
      </c>
      <c r="AU27" s="115">
        <v>4</v>
      </c>
      <c r="AV27" s="6">
        <v>5</v>
      </c>
      <c r="AW27" s="7">
        <v>5</v>
      </c>
      <c r="AX27" s="7">
        <v>5</v>
      </c>
      <c r="AY27" s="53"/>
      <c r="AZ27" s="54"/>
      <c r="BA27" s="52">
        <f>7+5</f>
        <v>12</v>
      </c>
      <c r="BB27" s="53"/>
      <c r="BC27" s="54">
        <f>5+40</f>
        <v>45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525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1</v>
      </c>
      <c r="AD28" s="65">
        <f t="shared" si="3"/>
        <v>2</v>
      </c>
      <c r="AE28" s="65">
        <f t="shared" si="3"/>
        <v>4</v>
      </c>
      <c r="AF28" s="66">
        <f t="shared" si="3"/>
        <v>4</v>
      </c>
      <c r="AG28" s="29">
        <f t="shared" si="3"/>
        <v>170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32</v>
      </c>
      <c r="AM28" s="65">
        <f t="shared" si="4"/>
        <v>1</v>
      </c>
      <c r="AN28" s="65">
        <f t="shared" si="4"/>
        <v>13</v>
      </c>
      <c r="AO28" s="65">
        <f t="shared" si="4"/>
        <v>28</v>
      </c>
      <c r="AP28" s="66">
        <f t="shared" si="4"/>
        <v>110</v>
      </c>
      <c r="AQ28" s="126">
        <f t="shared" si="4"/>
        <v>11.000000000000002</v>
      </c>
      <c r="AR28" s="116">
        <f t="shared" si="4"/>
        <v>0</v>
      </c>
      <c r="AS28" s="116">
        <f t="shared" si="4"/>
        <v>1.9999999999999996</v>
      </c>
      <c r="AT28" s="116">
        <f t="shared" si="4"/>
        <v>8</v>
      </c>
      <c r="AU28" s="127">
        <f t="shared" si="4"/>
        <v>36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189</v>
      </c>
      <c r="BB28" s="47">
        <f t="shared" si="4"/>
        <v>0</v>
      </c>
      <c r="BC28" s="49">
        <f t="shared" si="4"/>
        <v>446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70" zoomScaleNormal="70" workbookViewId="0">
      <pane xSplit="2" ySplit="7" topLeftCell="AJ23" activePane="bottomRight" state="frozen"/>
      <selection activeCell="C3" sqref="C3"/>
      <selection pane="topRight" activeCell="C3" sqref="C3"/>
      <selection pane="bottomLeft" activeCell="C3" sqref="C3"/>
      <selection pane="bottomRight" activeCell="A23" sqref="A23:XFD23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4" width="8.85546875" style="28" customWidth="1"/>
    <col min="45" max="45" width="10.7109375" style="28" customWidth="1"/>
    <col min="46" max="46" width="8.85546875" style="28" customWidth="1"/>
    <col min="47" max="47" width="11.42578125" style="28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49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>
        <v>1</v>
      </c>
      <c r="AF8" s="42"/>
      <c r="AG8" s="6">
        <f>1+1+1+5</f>
        <v>8</v>
      </c>
      <c r="AH8" s="7"/>
      <c r="AI8" s="7"/>
      <c r="AJ8" s="7"/>
      <c r="AK8" s="8"/>
      <c r="AL8" s="40">
        <v>1</v>
      </c>
      <c r="AM8" s="41"/>
      <c r="AN8" s="41">
        <v>1</v>
      </c>
      <c r="AO8" s="41">
        <v>2</v>
      </c>
      <c r="AP8" s="42">
        <v>5</v>
      </c>
      <c r="AQ8" s="108">
        <f>4/12</f>
        <v>0.33333333333333331</v>
      </c>
      <c r="AR8" s="109"/>
      <c r="AS8" s="109">
        <f>3/20</f>
        <v>0.15</v>
      </c>
      <c r="AT8" s="109">
        <v>0.4</v>
      </c>
      <c r="AU8" s="110">
        <v>2</v>
      </c>
      <c r="AV8" s="6">
        <v>5</v>
      </c>
      <c r="AW8" s="7">
        <v>5</v>
      </c>
      <c r="AX8" s="7">
        <v>5</v>
      </c>
      <c r="AY8" s="7"/>
      <c r="AZ8" s="8"/>
      <c r="BA8" s="6">
        <f>4+5</f>
        <v>9</v>
      </c>
      <c r="BB8" s="7"/>
      <c r="BC8" s="8">
        <f>4+20</f>
        <v>24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25</v>
      </c>
      <c r="X9" s="10"/>
      <c r="Y9" s="10"/>
      <c r="Z9" s="10"/>
      <c r="AA9" s="11"/>
      <c r="AB9" s="43"/>
      <c r="AC9" s="44"/>
      <c r="AD9" s="44"/>
      <c r="AE9" s="44"/>
      <c r="AF9" s="45"/>
      <c r="AG9" s="9">
        <f>1+8</f>
        <v>9</v>
      </c>
      <c r="AH9" s="10"/>
      <c r="AI9" s="10"/>
      <c r="AJ9" s="10"/>
      <c r="AK9" s="11"/>
      <c r="AL9" s="43">
        <v>1</v>
      </c>
      <c r="AM9" s="44"/>
      <c r="AN9" s="44"/>
      <c r="AO9" s="44"/>
      <c r="AP9" s="45">
        <v>8</v>
      </c>
      <c r="AQ9" s="107">
        <f>6/12</f>
        <v>0.5</v>
      </c>
      <c r="AR9" s="111"/>
      <c r="AS9" s="111"/>
      <c r="AT9" s="111"/>
      <c r="AU9" s="112">
        <v>3</v>
      </c>
      <c r="AV9" s="6">
        <v>5</v>
      </c>
      <c r="AW9" s="7">
        <v>5</v>
      </c>
      <c r="AX9" s="7">
        <v>5</v>
      </c>
      <c r="AY9" s="10"/>
      <c r="AZ9" s="11"/>
      <c r="BA9" s="9">
        <v>6</v>
      </c>
      <c r="BB9" s="10"/>
      <c r="BC9" s="11">
        <v>30</v>
      </c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24</v>
      </c>
      <c r="X10" s="10"/>
      <c r="Y10" s="10"/>
      <c r="Z10" s="10"/>
      <c r="AA10" s="11"/>
      <c r="AB10" s="43">
        <v>1</v>
      </c>
      <c r="AC10" s="44"/>
      <c r="AD10" s="44"/>
      <c r="AE10" s="44">
        <v>1</v>
      </c>
      <c r="AF10" s="45"/>
      <c r="AG10" s="9">
        <f>1+1+6</f>
        <v>8</v>
      </c>
      <c r="AH10" s="10"/>
      <c r="AI10" s="10"/>
      <c r="AJ10" s="10"/>
      <c r="AK10" s="11"/>
      <c r="AL10" s="43">
        <v>2</v>
      </c>
      <c r="AM10" s="44"/>
      <c r="AN10" s="44"/>
      <c r="AO10" s="44">
        <v>1</v>
      </c>
      <c r="AP10" s="45">
        <v>6</v>
      </c>
      <c r="AQ10" s="107">
        <f>3/12</f>
        <v>0.25</v>
      </c>
      <c r="AR10" s="111"/>
      <c r="AS10" s="111"/>
      <c r="AT10" s="111">
        <v>0.4</v>
      </c>
      <c r="AU10" s="112">
        <v>2</v>
      </c>
      <c r="AV10" s="6">
        <v>5</v>
      </c>
      <c r="AW10" s="7">
        <v>5</v>
      </c>
      <c r="AX10" s="7">
        <v>5</v>
      </c>
      <c r="AY10" s="10"/>
      <c r="AZ10" s="11"/>
      <c r="BA10" s="9">
        <v>3</v>
      </c>
      <c r="BB10" s="10"/>
      <c r="BC10" s="11">
        <f>4+20</f>
        <v>24</v>
      </c>
      <c r="BD10" s="139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24</v>
      </c>
      <c r="X11" s="10"/>
      <c r="Y11" s="10"/>
      <c r="Z11" s="10"/>
      <c r="AA11" s="11"/>
      <c r="AB11" s="43">
        <v>1</v>
      </c>
      <c r="AC11" s="44"/>
      <c r="AD11" s="44"/>
      <c r="AE11" s="44"/>
      <c r="AF11" s="45"/>
      <c r="AG11" s="9">
        <f>1+1+7</f>
        <v>9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/>
      <c r="AP11" s="45">
        <v>7</v>
      </c>
      <c r="AQ11" s="107">
        <f>5/12</f>
        <v>0.41666666666666669</v>
      </c>
      <c r="AR11" s="111"/>
      <c r="AS11" s="111">
        <f>3/20</f>
        <v>0.15</v>
      </c>
      <c r="AT11" s="111"/>
      <c r="AU11" s="112">
        <v>2.5</v>
      </c>
      <c r="AV11" s="6">
        <v>5</v>
      </c>
      <c r="AW11" s="7">
        <v>5</v>
      </c>
      <c r="AX11" s="7">
        <v>5</v>
      </c>
      <c r="AY11" s="10"/>
      <c r="AZ11" s="11"/>
      <c r="BA11" s="9">
        <f>5+5</f>
        <v>10</v>
      </c>
      <c r="BB11" s="10"/>
      <c r="BC11" s="11">
        <f>20+4</f>
        <v>24</v>
      </c>
      <c r="BD11" s="140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30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/>
      <c r="AG12" s="9">
        <f>1+2</f>
        <v>3</v>
      </c>
      <c r="AH12" s="10"/>
      <c r="AI12" s="10"/>
      <c r="AJ12" s="10"/>
      <c r="AK12" s="11"/>
      <c r="AL12" s="43"/>
      <c r="AM12" s="44"/>
      <c r="AN12" s="44"/>
      <c r="AO12" s="44">
        <v>1</v>
      </c>
      <c r="AP12" s="45">
        <v>2</v>
      </c>
      <c r="AQ12" s="107"/>
      <c r="AR12" s="111"/>
      <c r="AS12" s="111"/>
      <c r="AT12" s="111">
        <v>0.4</v>
      </c>
      <c r="AU12" s="112">
        <v>0.5</v>
      </c>
      <c r="AV12" s="6">
        <v>5</v>
      </c>
      <c r="AW12" s="7">
        <v>5</v>
      </c>
      <c r="AX12" s="7">
        <v>5</v>
      </c>
      <c r="AY12" s="10"/>
      <c r="AZ12" s="11"/>
      <c r="BA12" s="9"/>
      <c r="BB12" s="10"/>
      <c r="BC12" s="11">
        <f>4+4</f>
        <v>8</v>
      </c>
      <c r="BD12" s="141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/>
      <c r="AC13" s="44"/>
      <c r="AD13" s="44"/>
      <c r="AE13" s="44"/>
      <c r="AF13" s="45"/>
      <c r="AG13" s="9">
        <f>1+1+1+6</f>
        <v>9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1</v>
      </c>
      <c r="AP13" s="45">
        <v>6</v>
      </c>
      <c r="AQ13" s="107">
        <f>2/12</f>
        <v>0.16666666666666666</v>
      </c>
      <c r="AR13" s="111"/>
      <c r="AS13" s="111">
        <f>3/20</f>
        <v>0.15</v>
      </c>
      <c r="AT13" s="111">
        <v>0.4</v>
      </c>
      <c r="AU13" s="112">
        <v>2</v>
      </c>
      <c r="AV13" s="6">
        <v>5</v>
      </c>
      <c r="AW13" s="7">
        <v>5</v>
      </c>
      <c r="AX13" s="7">
        <v>5</v>
      </c>
      <c r="AY13" s="10"/>
      <c r="AZ13" s="11"/>
      <c r="BA13" s="9">
        <f>2+5</f>
        <v>7</v>
      </c>
      <c r="BB13" s="10"/>
      <c r="BC13" s="11">
        <f>4+20</f>
        <v>24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23</v>
      </c>
      <c r="X14" s="10"/>
      <c r="Y14" s="10"/>
      <c r="Z14" s="10"/>
      <c r="AA14" s="11"/>
      <c r="AB14" s="43"/>
      <c r="AC14" s="44"/>
      <c r="AD14" s="44"/>
      <c r="AE14" s="44">
        <v>1</v>
      </c>
      <c r="AF14" s="45"/>
      <c r="AG14" s="9">
        <f>1+1+1+10</f>
        <v>13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>
        <v>2</v>
      </c>
      <c r="AP14" s="45">
        <v>10</v>
      </c>
      <c r="AQ14" s="107">
        <f>8/12</f>
        <v>0.66666666666666663</v>
      </c>
      <c r="AR14" s="111"/>
      <c r="AS14" s="111">
        <f>3/20</f>
        <v>0.15</v>
      </c>
      <c r="AT14" s="111">
        <v>0.2</v>
      </c>
      <c r="AU14" s="112">
        <v>3</v>
      </c>
      <c r="AV14" s="6">
        <v>5</v>
      </c>
      <c r="AW14" s="7">
        <v>5</v>
      </c>
      <c r="AX14" s="7">
        <v>5</v>
      </c>
      <c r="AY14" s="10"/>
      <c r="AZ14" s="11"/>
      <c r="BA14" s="9">
        <f>8+5</f>
        <v>13</v>
      </c>
      <c r="BB14" s="10"/>
      <c r="BC14" s="11">
        <f>2+30</f>
        <v>32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24</v>
      </c>
      <c r="X15" s="10"/>
      <c r="Y15" s="10"/>
      <c r="Z15" s="10"/>
      <c r="AA15" s="11"/>
      <c r="AB15" s="43"/>
      <c r="AC15" s="44"/>
      <c r="AD15" s="44"/>
      <c r="AE15" s="44"/>
      <c r="AF15" s="45"/>
      <c r="AG15" s="9">
        <f>1+1</f>
        <v>2</v>
      </c>
      <c r="AH15" s="10"/>
      <c r="AI15" s="10"/>
      <c r="AJ15" s="10"/>
      <c r="AK15" s="11"/>
      <c r="AL15" s="43">
        <v>1</v>
      </c>
      <c r="AM15" s="44"/>
      <c r="AN15" s="44"/>
      <c r="AO15" s="44"/>
      <c r="AP15" s="45">
        <v>1</v>
      </c>
      <c r="AQ15" s="107">
        <f>6/12</f>
        <v>0.5</v>
      </c>
      <c r="AR15" s="111"/>
      <c r="AS15" s="111"/>
      <c r="AT15" s="111"/>
      <c r="AU15" s="112">
        <v>0.5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4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29</v>
      </c>
      <c r="X16" s="10"/>
      <c r="Y16" s="10"/>
      <c r="Z16" s="10"/>
      <c r="AA16" s="11"/>
      <c r="AB16" s="43"/>
      <c r="AC16" s="44"/>
      <c r="AD16" s="44">
        <v>1</v>
      </c>
      <c r="AE16" s="44"/>
      <c r="AF16" s="45"/>
      <c r="AG16" s="9">
        <f>1+1+7</f>
        <v>9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>
        <v>1</v>
      </c>
      <c r="AP16" s="45">
        <v>7</v>
      </c>
      <c r="AQ16" s="107">
        <f>5/12</f>
        <v>0.41666666666666669</v>
      </c>
      <c r="AR16" s="111"/>
      <c r="AS16" s="111"/>
      <c r="AT16" s="111">
        <v>0.4</v>
      </c>
      <c r="AU16" s="112">
        <v>1</v>
      </c>
      <c r="AV16" s="6">
        <v>5</v>
      </c>
      <c r="AW16" s="7">
        <v>5</v>
      </c>
      <c r="AX16" s="7">
        <v>5</v>
      </c>
      <c r="AY16" s="10"/>
      <c r="AZ16" s="11"/>
      <c r="BA16" s="9">
        <v>5</v>
      </c>
      <c r="BB16" s="10"/>
      <c r="BC16" s="11">
        <f>4+10</f>
        <v>14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27</v>
      </c>
      <c r="X17" s="10"/>
      <c r="Y17" s="10"/>
      <c r="Z17" s="10"/>
      <c r="AA17" s="11"/>
      <c r="AB17" s="43"/>
      <c r="AC17" s="44"/>
      <c r="AD17" s="44"/>
      <c r="AE17" s="44"/>
      <c r="AF17" s="45"/>
      <c r="AG17" s="9">
        <f>1+4</f>
        <v>5</v>
      </c>
      <c r="AH17" s="10"/>
      <c r="AI17" s="10"/>
      <c r="AJ17" s="10"/>
      <c r="AK17" s="11"/>
      <c r="AL17" s="43"/>
      <c r="AM17" s="44"/>
      <c r="AN17" s="44">
        <v>1</v>
      </c>
      <c r="AO17" s="44"/>
      <c r="AP17" s="45">
        <v>4</v>
      </c>
      <c r="AQ17" s="107"/>
      <c r="AR17" s="111"/>
      <c r="AS17" s="111">
        <f>6/20</f>
        <v>0.3</v>
      </c>
      <c r="AT17" s="111"/>
      <c r="AU17" s="112">
        <v>1</v>
      </c>
      <c r="AV17" s="6">
        <v>5</v>
      </c>
      <c r="AW17" s="7">
        <v>5</v>
      </c>
      <c r="AX17" s="7">
        <v>5</v>
      </c>
      <c r="AY17" s="10"/>
      <c r="AZ17" s="11"/>
      <c r="BA17" s="9">
        <v>10</v>
      </c>
      <c r="BB17" s="10"/>
      <c r="BC17" s="11">
        <v>10</v>
      </c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25</v>
      </c>
      <c r="X18" s="10"/>
      <c r="Y18" s="10"/>
      <c r="Z18" s="10"/>
      <c r="AA18" s="11"/>
      <c r="AB18" s="43"/>
      <c r="AC18" s="44"/>
      <c r="AD18" s="44"/>
      <c r="AE18" s="44"/>
      <c r="AF18" s="45"/>
      <c r="AG18" s="9">
        <f>1+1+1+6</f>
        <v>9</v>
      </c>
      <c r="AH18" s="10"/>
      <c r="AI18" s="10"/>
      <c r="AJ18" s="10"/>
      <c r="AK18" s="11"/>
      <c r="AL18" s="43">
        <v>1</v>
      </c>
      <c r="AM18" s="44"/>
      <c r="AN18" s="44">
        <v>1</v>
      </c>
      <c r="AO18" s="44">
        <v>1</v>
      </c>
      <c r="AP18" s="45">
        <v>6</v>
      </c>
      <c r="AQ18" s="107">
        <f>5/12</f>
        <v>0.41666666666666669</v>
      </c>
      <c r="AR18" s="111"/>
      <c r="AS18" s="111">
        <f>3/20</f>
        <v>0.15</v>
      </c>
      <c r="AT18" s="111">
        <v>0.4</v>
      </c>
      <c r="AU18" s="112">
        <v>2</v>
      </c>
      <c r="AV18" s="6">
        <v>5</v>
      </c>
      <c r="AW18" s="7">
        <v>5</v>
      </c>
      <c r="AX18" s="7">
        <v>5</v>
      </c>
      <c r="AY18" s="10"/>
      <c r="AZ18" s="11"/>
      <c r="BA18" s="9">
        <f>5+5</f>
        <v>10</v>
      </c>
      <c r="BB18" s="10"/>
      <c r="BC18" s="11">
        <f>4+20</f>
        <v>24</v>
      </c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27</v>
      </c>
      <c r="X19" s="10"/>
      <c r="Y19" s="10"/>
      <c r="Z19" s="10"/>
      <c r="AA19" s="11"/>
      <c r="AB19" s="43"/>
      <c r="AC19" s="44"/>
      <c r="AD19" s="44">
        <v>1</v>
      </c>
      <c r="AE19" s="44">
        <v>2</v>
      </c>
      <c r="AF19" s="45">
        <v>1</v>
      </c>
      <c r="AG19" s="9">
        <f>1+1+2</f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2</v>
      </c>
      <c r="AP19" s="45">
        <v>3</v>
      </c>
      <c r="AQ19" s="107">
        <f>4/12</f>
        <v>0.33333333333333331</v>
      </c>
      <c r="AR19" s="111"/>
      <c r="AS19" s="111">
        <f>3/20</f>
        <v>0.15</v>
      </c>
      <c r="AT19" s="111"/>
      <c r="AU19" s="112">
        <v>1</v>
      </c>
      <c r="AV19" s="6">
        <v>5</v>
      </c>
      <c r="AW19" s="7">
        <v>5</v>
      </c>
      <c r="AX19" s="7">
        <v>5</v>
      </c>
      <c r="AY19" s="10"/>
      <c r="AZ19" s="11"/>
      <c r="BA19" s="9">
        <f>4+5</f>
        <v>9</v>
      </c>
      <c r="BB19" s="10"/>
      <c r="BC19" s="11">
        <v>10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23</v>
      </c>
      <c r="X20" s="10"/>
      <c r="Y20" s="10"/>
      <c r="Z20" s="10"/>
      <c r="AA20" s="11"/>
      <c r="AB20" s="43"/>
      <c r="AC20" s="44"/>
      <c r="AD20" s="44"/>
      <c r="AE20" s="44"/>
      <c r="AF20" s="45">
        <v>1</v>
      </c>
      <c r="AG20" s="9">
        <f>2+6</f>
        <v>8</v>
      </c>
      <c r="AH20" s="10"/>
      <c r="AI20" s="10"/>
      <c r="AJ20" s="10"/>
      <c r="AK20" s="11"/>
      <c r="AL20" s="43">
        <v>2</v>
      </c>
      <c r="AM20" s="44"/>
      <c r="AN20" s="44"/>
      <c r="AO20" s="44"/>
      <c r="AP20" s="45">
        <v>7</v>
      </c>
      <c r="AQ20" s="107">
        <f>8/12</f>
        <v>0.66666666666666663</v>
      </c>
      <c r="AR20" s="111"/>
      <c r="AS20" s="111"/>
      <c r="AT20" s="111"/>
      <c r="AU20" s="112">
        <v>1.5</v>
      </c>
      <c r="AV20" s="6">
        <v>5</v>
      </c>
      <c r="AW20" s="7">
        <v>5</v>
      </c>
      <c r="AX20" s="7">
        <v>5</v>
      </c>
      <c r="AY20" s="10"/>
      <c r="AZ20" s="11"/>
      <c r="BA20" s="9">
        <v>8</v>
      </c>
      <c r="BB20" s="10"/>
      <c r="BC20" s="11">
        <f>10+4</f>
        <v>14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f>1+1+2+9</f>
        <v>13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>
        <v>2</v>
      </c>
      <c r="AP21" s="45">
        <v>9</v>
      </c>
      <c r="AQ21" s="107">
        <f>4/12</f>
        <v>0.33333333333333331</v>
      </c>
      <c r="AR21" s="111"/>
      <c r="AS21" s="111">
        <f>4/20</f>
        <v>0.2</v>
      </c>
      <c r="AT21" s="111">
        <v>0.5</v>
      </c>
      <c r="AU21" s="112">
        <v>3</v>
      </c>
      <c r="AV21" s="6">
        <v>5</v>
      </c>
      <c r="AW21" s="7">
        <v>5</v>
      </c>
      <c r="AX21" s="7">
        <v>5</v>
      </c>
      <c r="AY21" s="10"/>
      <c r="AZ21" s="11"/>
      <c r="BA21" s="9">
        <f>4+5</f>
        <v>9</v>
      </c>
      <c r="BB21" s="10"/>
      <c r="BC21" s="11">
        <f>5+30</f>
        <v>35</v>
      </c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/>
      <c r="X22" s="10"/>
      <c r="Y22" s="10"/>
      <c r="Z22" s="10"/>
      <c r="AA22" s="11"/>
      <c r="AB22" s="43"/>
      <c r="AC22" s="44"/>
      <c r="AD22" s="44"/>
      <c r="AE22" s="44">
        <v>1</v>
      </c>
      <c r="AF22" s="45"/>
      <c r="AG22" s="9">
        <f>1+6</f>
        <v>7</v>
      </c>
      <c r="AH22" s="10"/>
      <c r="AI22" s="10"/>
      <c r="AJ22" s="10"/>
      <c r="AK22" s="11"/>
      <c r="AL22" s="43"/>
      <c r="AM22" s="44"/>
      <c r="AN22" s="44">
        <v>2</v>
      </c>
      <c r="AO22" s="44"/>
      <c r="AP22" s="45">
        <v>6</v>
      </c>
      <c r="AQ22" s="107"/>
      <c r="AR22" s="111"/>
      <c r="AS22" s="111">
        <f>3/20</f>
        <v>0.15</v>
      </c>
      <c r="AT22" s="111"/>
      <c r="AU22" s="112">
        <v>2</v>
      </c>
      <c r="AV22" s="6">
        <v>5</v>
      </c>
      <c r="AW22" s="7">
        <v>5</v>
      </c>
      <c r="AX22" s="7">
        <v>5</v>
      </c>
      <c r="AY22" s="10"/>
      <c r="AZ22" s="11"/>
      <c r="BA22" s="9">
        <v>5</v>
      </c>
      <c r="BB22" s="10"/>
      <c r="BC22" s="11">
        <v>20</v>
      </c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27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f>1+1+7</f>
        <v>9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/>
      <c r="AP23" s="45">
        <v>7</v>
      </c>
      <c r="AQ23" s="107">
        <f>6/12</f>
        <v>0.5</v>
      </c>
      <c r="AR23" s="111"/>
      <c r="AS23" s="111">
        <f>3/20</f>
        <v>0.15</v>
      </c>
      <c r="AT23" s="111"/>
      <c r="AU23" s="112">
        <v>2</v>
      </c>
      <c r="AV23" s="6">
        <v>5</v>
      </c>
      <c r="AW23" s="7">
        <v>5</v>
      </c>
      <c r="AX23" s="7">
        <v>5</v>
      </c>
      <c r="AY23" s="10"/>
      <c r="AZ23" s="11"/>
      <c r="BA23" s="9">
        <f>6+5</f>
        <v>11</v>
      </c>
      <c r="BB23" s="10"/>
      <c r="BC23" s="11">
        <v>20</v>
      </c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28</v>
      </c>
      <c r="X24" s="10"/>
      <c r="Y24" s="10"/>
      <c r="Z24" s="10"/>
      <c r="AA24" s="11"/>
      <c r="AB24" s="43"/>
      <c r="AC24" s="44"/>
      <c r="AD24" s="44"/>
      <c r="AE24" s="44"/>
      <c r="AF24" s="45"/>
      <c r="AG24" s="9">
        <f>1+1+11</f>
        <v>13</v>
      </c>
      <c r="AH24" s="10"/>
      <c r="AI24" s="10"/>
      <c r="AJ24" s="10"/>
      <c r="AK24" s="11"/>
      <c r="AL24" s="43">
        <v>1</v>
      </c>
      <c r="AM24" s="44"/>
      <c r="AN24" s="44"/>
      <c r="AO24" s="44">
        <v>1</v>
      </c>
      <c r="AP24" s="45">
        <v>11</v>
      </c>
      <c r="AQ24" s="107">
        <f>6/12</f>
        <v>0.5</v>
      </c>
      <c r="AR24" s="111"/>
      <c r="AS24" s="111"/>
      <c r="AT24" s="111">
        <v>0.4</v>
      </c>
      <c r="AU24" s="112">
        <v>3</v>
      </c>
      <c r="AV24" s="6">
        <v>5</v>
      </c>
      <c r="AW24" s="7">
        <v>5</v>
      </c>
      <c r="AX24" s="7">
        <v>5</v>
      </c>
      <c r="AY24" s="10"/>
      <c r="AZ24" s="11"/>
      <c r="BA24" s="9">
        <v>6</v>
      </c>
      <c r="BB24" s="10"/>
      <c r="BC24" s="11">
        <f>4+30</f>
        <v>34</v>
      </c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23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/>
      <c r="AG25" s="9">
        <f>1+1+4</f>
        <v>6</v>
      </c>
      <c r="AH25" s="10"/>
      <c r="AI25" s="10"/>
      <c r="AJ25" s="10"/>
      <c r="AK25" s="11"/>
      <c r="AL25" s="43"/>
      <c r="AM25" s="44"/>
      <c r="AN25" s="44">
        <v>1</v>
      </c>
      <c r="AO25" s="44">
        <v>1</v>
      </c>
      <c r="AP25" s="45">
        <v>4</v>
      </c>
      <c r="AQ25" s="107"/>
      <c r="AR25" s="111"/>
      <c r="AS25" s="111">
        <f>3/20</f>
        <v>0.15</v>
      </c>
      <c r="AT25" s="111">
        <v>0.5</v>
      </c>
      <c r="AU25" s="112">
        <v>2</v>
      </c>
      <c r="AV25" s="6">
        <v>5</v>
      </c>
      <c r="AW25" s="7">
        <v>5</v>
      </c>
      <c r="AX25" s="7">
        <v>5</v>
      </c>
      <c r="AY25" s="10"/>
      <c r="AZ25" s="11"/>
      <c r="BA25" s="9">
        <v>5</v>
      </c>
      <c r="BB25" s="10"/>
      <c r="BC25" s="11">
        <f>5+20</f>
        <v>25</v>
      </c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25</v>
      </c>
      <c r="X26" s="53"/>
      <c r="Y26" s="53"/>
      <c r="Z26" s="53"/>
      <c r="AA26" s="54"/>
      <c r="AB26" s="58">
        <v>1</v>
      </c>
      <c r="AC26" s="59"/>
      <c r="AD26" s="59"/>
      <c r="AE26" s="59"/>
      <c r="AF26" s="48">
        <v>1</v>
      </c>
      <c r="AG26" s="52">
        <f>1+2</f>
        <v>3</v>
      </c>
      <c r="AH26" s="53"/>
      <c r="AI26" s="53"/>
      <c r="AJ26" s="53"/>
      <c r="AK26" s="54"/>
      <c r="AL26" s="58">
        <v>2</v>
      </c>
      <c r="AM26" s="59"/>
      <c r="AN26" s="59"/>
      <c r="AO26" s="59"/>
      <c r="AP26" s="48">
        <v>3</v>
      </c>
      <c r="AQ26" s="113">
        <f>6/12</f>
        <v>0.5</v>
      </c>
      <c r="AR26" s="114"/>
      <c r="AS26" s="114"/>
      <c r="AT26" s="114"/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>
        <v>6</v>
      </c>
      <c r="BB26" s="53"/>
      <c r="BC26" s="54">
        <v>10</v>
      </c>
      <c r="BD26" s="60"/>
      <c r="BE26" s="61"/>
    </row>
    <row r="27" spans="1:57" ht="31.9" customHeight="1" thickBot="1" x14ac:dyDescent="0.25">
      <c r="A27" s="50">
        <v>20</v>
      </c>
      <c r="B27" s="51" t="s">
        <v>54</v>
      </c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27</v>
      </c>
      <c r="X27" s="53"/>
      <c r="Y27" s="53"/>
      <c r="Z27" s="53"/>
      <c r="AA27" s="54"/>
      <c r="AB27" s="67"/>
      <c r="AC27" s="68"/>
      <c r="AD27" s="68">
        <v>1</v>
      </c>
      <c r="AE27" s="68"/>
      <c r="AF27" s="69"/>
      <c r="AG27" s="52">
        <f>1+1+6</f>
        <v>8</v>
      </c>
      <c r="AH27" s="53"/>
      <c r="AI27" s="53"/>
      <c r="AJ27" s="53"/>
      <c r="AK27" s="54"/>
      <c r="AL27" s="67">
        <v>1</v>
      </c>
      <c r="AM27" s="68"/>
      <c r="AN27" s="68">
        <v>2</v>
      </c>
      <c r="AO27" s="68"/>
      <c r="AP27" s="69">
        <v>6</v>
      </c>
      <c r="AQ27" s="113">
        <f>6/12</f>
        <v>0.5</v>
      </c>
      <c r="AR27" s="114"/>
      <c r="AS27" s="114">
        <f>3/20</f>
        <v>0.15</v>
      </c>
      <c r="AT27" s="114"/>
      <c r="AU27" s="115">
        <v>2</v>
      </c>
      <c r="AV27" s="6">
        <v>5</v>
      </c>
      <c r="AW27" s="7">
        <v>5</v>
      </c>
      <c r="AX27" s="7">
        <v>5</v>
      </c>
      <c r="AY27" s="53"/>
      <c r="AZ27" s="54"/>
      <c r="BA27" s="52">
        <f>6+5</f>
        <v>11</v>
      </c>
      <c r="BB27" s="53"/>
      <c r="BC27" s="54">
        <v>20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488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0</v>
      </c>
      <c r="AD28" s="65">
        <f t="shared" si="3"/>
        <v>3</v>
      </c>
      <c r="AE28" s="65">
        <f t="shared" si="3"/>
        <v>7</v>
      </c>
      <c r="AF28" s="66">
        <f t="shared" si="3"/>
        <v>3</v>
      </c>
      <c r="AG28" s="29">
        <f t="shared" si="3"/>
        <v>155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20</v>
      </c>
      <c r="AM28" s="65">
        <f t="shared" si="4"/>
        <v>0</v>
      </c>
      <c r="AN28" s="65">
        <f t="shared" si="4"/>
        <v>15</v>
      </c>
      <c r="AO28" s="65">
        <f t="shared" si="4"/>
        <v>15</v>
      </c>
      <c r="AP28" s="66">
        <f t="shared" si="4"/>
        <v>118</v>
      </c>
      <c r="AQ28" s="126">
        <f t="shared" si="4"/>
        <v>7</v>
      </c>
      <c r="AR28" s="116">
        <f t="shared" si="4"/>
        <v>0</v>
      </c>
      <c r="AS28" s="116">
        <f t="shared" si="4"/>
        <v>1.9999999999999993</v>
      </c>
      <c r="AT28" s="116">
        <f t="shared" si="4"/>
        <v>4</v>
      </c>
      <c r="AU28" s="127">
        <f t="shared" si="4"/>
        <v>37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149</v>
      </c>
      <c r="BB28" s="47">
        <f t="shared" si="4"/>
        <v>0</v>
      </c>
      <c r="BC28" s="49">
        <f t="shared" si="4"/>
        <v>406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70" zoomScaleNormal="70" workbookViewId="0">
      <pane xSplit="2" ySplit="7" topLeftCell="AI23" activePane="bottomRight" state="frozen"/>
      <selection activeCell="C3" sqref="C3"/>
      <selection pane="topRight" activeCell="C3" sqref="C3"/>
      <selection pane="bottomLeft" activeCell="C3" sqref="C3"/>
      <selection pane="bottomRight" activeCell="A23" sqref="A23:XFD23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28515625" style="28" bestFit="1" customWidth="1"/>
    <col min="44" max="44" width="8.85546875" style="28" customWidth="1"/>
    <col min="45" max="45" width="9.28515625" style="28" bestFit="1" customWidth="1"/>
    <col min="46" max="46" width="8.85546875" style="28" customWidth="1"/>
    <col min="47" max="47" width="9.28515625" style="28" bestFit="1" customWidth="1"/>
    <col min="48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49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6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27</v>
      </c>
      <c r="X8" s="7"/>
      <c r="Y8" s="7"/>
      <c r="Z8" s="7"/>
      <c r="AA8" s="8"/>
      <c r="AB8" s="40">
        <v>1</v>
      </c>
      <c r="AC8" s="41"/>
      <c r="AD8" s="41"/>
      <c r="AE8" s="41"/>
      <c r="AF8" s="42"/>
      <c r="AG8" s="6">
        <f>1+1+5</f>
        <v>7</v>
      </c>
      <c r="AH8" s="7"/>
      <c r="AI8" s="7"/>
      <c r="AJ8" s="7"/>
      <c r="AK8" s="8"/>
      <c r="AL8" s="40">
        <v>2</v>
      </c>
      <c r="AM8" s="41"/>
      <c r="AN8" s="41"/>
      <c r="AO8" s="41">
        <v>1</v>
      </c>
      <c r="AP8" s="42">
        <v>5</v>
      </c>
      <c r="AQ8" s="108">
        <f>5/12</f>
        <v>0.41666666666666669</v>
      </c>
      <c r="AR8" s="109"/>
      <c r="AS8" s="109"/>
      <c r="AT8" s="109">
        <v>0.4</v>
      </c>
      <c r="AU8" s="110">
        <v>1</v>
      </c>
      <c r="AV8" s="6">
        <v>5</v>
      </c>
      <c r="AW8" s="7">
        <v>5</v>
      </c>
      <c r="AX8" s="7">
        <v>5</v>
      </c>
      <c r="AY8" s="7"/>
      <c r="AZ8" s="8"/>
      <c r="BA8" s="6">
        <v>5</v>
      </c>
      <c r="BB8" s="7"/>
      <c r="BC8" s="8">
        <f>4+10</f>
        <v>14</v>
      </c>
      <c r="BD8" s="17"/>
      <c r="BE8" s="13"/>
    </row>
    <row r="9" spans="1:57" ht="31.9" customHeight="1" x14ac:dyDescent="0.2">
      <c r="A9" s="20">
        <v>2</v>
      </c>
      <c r="B9" s="16" t="s">
        <v>32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28</v>
      </c>
      <c r="X9" s="10"/>
      <c r="Y9" s="10"/>
      <c r="Z9" s="10"/>
      <c r="AA9" s="11"/>
      <c r="AB9" s="43"/>
      <c r="AC9" s="44"/>
      <c r="AD9" s="44"/>
      <c r="AE9" s="44">
        <v>1</v>
      </c>
      <c r="AF9" s="45"/>
      <c r="AG9" s="9">
        <f>1+4</f>
        <v>5</v>
      </c>
      <c r="AH9" s="10"/>
      <c r="AI9" s="10"/>
      <c r="AJ9" s="10"/>
      <c r="AK9" s="11"/>
      <c r="AL9" s="43">
        <v>1</v>
      </c>
      <c r="AM9" s="44"/>
      <c r="AN9" s="44"/>
      <c r="AO9" s="44">
        <v>1</v>
      </c>
      <c r="AP9" s="45">
        <v>4</v>
      </c>
      <c r="AQ9" s="107">
        <f>5/12</f>
        <v>0.41666666666666669</v>
      </c>
      <c r="AR9" s="111"/>
      <c r="AS9" s="111"/>
      <c r="AT9" s="111"/>
      <c r="AU9" s="112">
        <v>1</v>
      </c>
      <c r="AV9" s="6">
        <v>5</v>
      </c>
      <c r="AW9" s="7">
        <v>5</v>
      </c>
      <c r="AX9" s="7">
        <v>5</v>
      </c>
      <c r="AY9" s="10"/>
      <c r="AZ9" s="11"/>
      <c r="BA9" s="9">
        <v>5</v>
      </c>
      <c r="BB9" s="10"/>
      <c r="BC9" s="11">
        <v>10</v>
      </c>
      <c r="BD9" s="70"/>
      <c r="BE9" s="12"/>
    </row>
    <row r="10" spans="1:57" ht="31.9" customHeight="1" x14ac:dyDescent="0.2">
      <c r="A10" s="20">
        <v>3</v>
      </c>
      <c r="B10" s="16" t="s">
        <v>44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29</v>
      </c>
      <c r="X10" s="10"/>
      <c r="Y10" s="10"/>
      <c r="Z10" s="10"/>
      <c r="AA10" s="11"/>
      <c r="AB10" s="43"/>
      <c r="AC10" s="44"/>
      <c r="AD10" s="44"/>
      <c r="AE10" s="44"/>
      <c r="AF10" s="45"/>
      <c r="AG10" s="9">
        <f>1+5</f>
        <v>6</v>
      </c>
      <c r="AH10" s="10"/>
      <c r="AI10" s="10"/>
      <c r="AJ10" s="10"/>
      <c r="AK10" s="11"/>
      <c r="AL10" s="43"/>
      <c r="AM10" s="44"/>
      <c r="AN10" s="44">
        <v>1</v>
      </c>
      <c r="AO10" s="44"/>
      <c r="AP10" s="45">
        <v>5</v>
      </c>
      <c r="AQ10" s="107"/>
      <c r="AR10" s="111"/>
      <c r="AS10" s="111">
        <f>3/20</f>
        <v>0.15</v>
      </c>
      <c r="AT10" s="111"/>
      <c r="AU10" s="112">
        <v>1.5</v>
      </c>
      <c r="AV10" s="6">
        <v>5</v>
      </c>
      <c r="AW10" s="7">
        <v>5</v>
      </c>
      <c r="AX10" s="7">
        <v>5</v>
      </c>
      <c r="AY10" s="10"/>
      <c r="AZ10" s="11"/>
      <c r="BA10" s="9">
        <v>5</v>
      </c>
      <c r="BB10" s="10"/>
      <c r="BC10" s="11">
        <f>10+4</f>
        <v>14</v>
      </c>
      <c r="BD10" s="139"/>
      <c r="BE10" s="12"/>
    </row>
    <row r="11" spans="1:57" ht="31.9" customHeight="1" x14ac:dyDescent="0.2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26</v>
      </c>
      <c r="X11" s="10"/>
      <c r="Y11" s="10"/>
      <c r="Z11" s="10"/>
      <c r="AA11" s="11"/>
      <c r="AB11" s="43"/>
      <c r="AC11" s="44"/>
      <c r="AD11" s="44"/>
      <c r="AE11" s="44"/>
      <c r="AF11" s="45"/>
      <c r="AG11" s="9">
        <f>1+1+5</f>
        <v>7</v>
      </c>
      <c r="AH11" s="10"/>
      <c r="AI11" s="10"/>
      <c r="AJ11" s="10"/>
      <c r="AK11" s="11"/>
      <c r="AL11" s="43">
        <v>1</v>
      </c>
      <c r="AM11" s="44"/>
      <c r="AN11" s="44">
        <v>1</v>
      </c>
      <c r="AO11" s="44"/>
      <c r="AP11" s="45">
        <v>5</v>
      </c>
      <c r="AQ11" s="107">
        <f>4/12</f>
        <v>0.33333333333333331</v>
      </c>
      <c r="AR11" s="111"/>
      <c r="AS11" s="111">
        <v>0.15</v>
      </c>
      <c r="AT11" s="111"/>
      <c r="AU11" s="112">
        <v>2</v>
      </c>
      <c r="AV11" s="6">
        <v>5</v>
      </c>
      <c r="AW11" s="7">
        <v>5</v>
      </c>
      <c r="AX11" s="7">
        <v>5</v>
      </c>
      <c r="AY11" s="10"/>
      <c r="AZ11" s="11"/>
      <c r="BA11" s="9">
        <f>4+5</f>
        <v>9</v>
      </c>
      <c r="BB11" s="10"/>
      <c r="BC11" s="11">
        <v>20</v>
      </c>
      <c r="BD11" s="140"/>
      <c r="BE11" s="12"/>
    </row>
    <row r="12" spans="1:57" ht="31.9" customHeight="1" x14ac:dyDescent="0.2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29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/>
      <c r="AG12" s="9">
        <f>1+2</f>
        <v>3</v>
      </c>
      <c r="AH12" s="10"/>
      <c r="AI12" s="10"/>
      <c r="AJ12" s="10"/>
      <c r="AK12" s="11"/>
      <c r="AL12" s="43"/>
      <c r="AM12" s="44"/>
      <c r="AN12" s="44">
        <v>1</v>
      </c>
      <c r="AO12" s="44">
        <v>1</v>
      </c>
      <c r="AP12" s="45">
        <v>2</v>
      </c>
      <c r="AQ12" s="107"/>
      <c r="AR12" s="111"/>
      <c r="AS12" s="111">
        <v>0.15</v>
      </c>
      <c r="AT12" s="111"/>
      <c r="AU12" s="112">
        <v>1</v>
      </c>
      <c r="AV12" s="6">
        <v>5</v>
      </c>
      <c r="AW12" s="7">
        <v>5</v>
      </c>
      <c r="AX12" s="7">
        <v>5</v>
      </c>
      <c r="AY12" s="10"/>
      <c r="AZ12" s="11"/>
      <c r="BA12" s="9">
        <v>5</v>
      </c>
      <c r="BB12" s="10"/>
      <c r="BC12" s="11">
        <v>10</v>
      </c>
      <c r="BD12" s="141"/>
      <c r="BE12" s="12"/>
    </row>
    <row r="13" spans="1:57" ht="31.9" customHeight="1" x14ac:dyDescent="0.2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27</v>
      </c>
      <c r="X13" s="10"/>
      <c r="Y13" s="10"/>
      <c r="Z13" s="10"/>
      <c r="AA13" s="11"/>
      <c r="AB13" s="43"/>
      <c r="AC13" s="44"/>
      <c r="AD13" s="44"/>
      <c r="AE13" s="44"/>
      <c r="AF13" s="45"/>
      <c r="AG13" s="9">
        <f>1+1+1</f>
        <v>3</v>
      </c>
      <c r="AH13" s="10"/>
      <c r="AI13" s="10"/>
      <c r="AJ13" s="10"/>
      <c r="AK13" s="11"/>
      <c r="AL13" s="43">
        <v>1</v>
      </c>
      <c r="AM13" s="44"/>
      <c r="AN13" s="44"/>
      <c r="AO13" s="44">
        <v>1</v>
      </c>
      <c r="AP13" s="45">
        <v>1</v>
      </c>
      <c r="AQ13" s="107">
        <f>5/12</f>
        <v>0.41666666666666669</v>
      </c>
      <c r="AR13" s="111"/>
      <c r="AS13" s="111"/>
      <c r="AT13" s="111">
        <v>0.6</v>
      </c>
      <c r="AU13" s="112">
        <v>0.5</v>
      </c>
      <c r="AV13" s="6">
        <v>5</v>
      </c>
      <c r="AW13" s="7">
        <v>5</v>
      </c>
      <c r="AX13" s="7">
        <v>5</v>
      </c>
      <c r="AY13" s="10"/>
      <c r="AZ13" s="11"/>
      <c r="BA13" s="9">
        <v>5</v>
      </c>
      <c r="BB13" s="10"/>
      <c r="BC13" s="11">
        <f>6+4</f>
        <v>10</v>
      </c>
      <c r="BD13" s="18"/>
      <c r="BE13" s="12"/>
    </row>
    <row r="14" spans="1:57" ht="31.9" customHeight="1" x14ac:dyDescent="0.2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106">
        <v>28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f>1+3</f>
        <v>4</v>
      </c>
      <c r="AH14" s="10"/>
      <c r="AI14" s="10"/>
      <c r="AJ14" s="10"/>
      <c r="AK14" s="11"/>
      <c r="AL14" s="43"/>
      <c r="AM14" s="44"/>
      <c r="AN14" s="44">
        <v>1</v>
      </c>
      <c r="AO14" s="44"/>
      <c r="AP14" s="45">
        <v>3</v>
      </c>
      <c r="AQ14" s="107"/>
      <c r="AR14" s="111"/>
      <c r="AS14" s="111">
        <v>0.15</v>
      </c>
      <c r="AT14" s="111"/>
      <c r="AU14" s="112">
        <v>0.5</v>
      </c>
      <c r="AV14" s="6">
        <v>5</v>
      </c>
      <c r="AW14" s="7">
        <v>5</v>
      </c>
      <c r="AX14" s="7">
        <v>5</v>
      </c>
      <c r="AY14" s="10"/>
      <c r="AZ14" s="11"/>
      <c r="BA14" s="9">
        <v>5</v>
      </c>
      <c r="BB14" s="10"/>
      <c r="BC14" s="11">
        <v>4</v>
      </c>
      <c r="BD14" s="18"/>
      <c r="BE14" s="12"/>
    </row>
    <row r="15" spans="1:57" ht="31.9" customHeight="1" x14ac:dyDescent="0.2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/>
      <c r="AE15" s="44">
        <v>1</v>
      </c>
      <c r="AF15" s="45"/>
      <c r="AG15" s="9">
        <f>1+1+1+6</f>
        <v>9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2</v>
      </c>
      <c r="AP15" s="45">
        <v>6</v>
      </c>
      <c r="AQ15" s="107">
        <f>5/12</f>
        <v>0.41666666666666669</v>
      </c>
      <c r="AR15" s="111"/>
      <c r="AS15" s="111">
        <v>0.15</v>
      </c>
      <c r="AT15" s="111">
        <v>0.3</v>
      </c>
      <c r="AU15" s="112">
        <v>2</v>
      </c>
      <c r="AV15" s="6">
        <v>5</v>
      </c>
      <c r="AW15" s="7">
        <v>5</v>
      </c>
      <c r="AX15" s="7">
        <v>5</v>
      </c>
      <c r="AY15" s="10"/>
      <c r="AZ15" s="11"/>
      <c r="BA15" s="9">
        <f>5+5</f>
        <v>10</v>
      </c>
      <c r="BB15" s="10"/>
      <c r="BC15" s="11">
        <f>3+20</f>
        <v>23</v>
      </c>
      <c r="BD15" s="18"/>
      <c r="BE15" s="12"/>
    </row>
    <row r="16" spans="1:57" ht="31.9" customHeight="1" x14ac:dyDescent="0.2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/>
      <c r="AC16" s="44"/>
      <c r="AD16" s="44"/>
      <c r="AE16" s="44"/>
      <c r="AF16" s="45"/>
      <c r="AG16" s="9">
        <f>1+1+2+5</f>
        <v>9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>
        <v>2</v>
      </c>
      <c r="AP16" s="45">
        <v>5</v>
      </c>
      <c r="AQ16" s="107">
        <f>4/12</f>
        <v>0.33333333333333331</v>
      </c>
      <c r="AR16" s="111"/>
      <c r="AS16" s="111">
        <v>0.15</v>
      </c>
      <c r="AT16" s="111">
        <v>0.5</v>
      </c>
      <c r="AU16" s="112">
        <v>1.5</v>
      </c>
      <c r="AV16" s="6">
        <v>5</v>
      </c>
      <c r="AW16" s="7">
        <v>5</v>
      </c>
      <c r="AX16" s="7">
        <v>5</v>
      </c>
      <c r="AY16" s="10"/>
      <c r="AZ16" s="11"/>
      <c r="BA16" s="9">
        <f>4+5</f>
        <v>9</v>
      </c>
      <c r="BB16" s="10"/>
      <c r="BC16" s="11">
        <f>5+10+4</f>
        <v>19</v>
      </c>
      <c r="BD16" s="18"/>
      <c r="BE16" s="12"/>
    </row>
    <row r="17" spans="1:57" ht="31.9" customHeight="1" x14ac:dyDescent="0.2">
      <c r="A17" s="20">
        <v>10</v>
      </c>
      <c r="B17" s="16" t="s">
        <v>39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27</v>
      </c>
      <c r="X17" s="10"/>
      <c r="Y17" s="10"/>
      <c r="Z17" s="10"/>
      <c r="AA17" s="11"/>
      <c r="AB17" s="43"/>
      <c r="AC17" s="44"/>
      <c r="AD17" s="44"/>
      <c r="AE17" s="44"/>
      <c r="AF17" s="45">
        <v>1</v>
      </c>
      <c r="AG17" s="9">
        <v>1</v>
      </c>
      <c r="AH17" s="10"/>
      <c r="AI17" s="10"/>
      <c r="AJ17" s="10"/>
      <c r="AK17" s="11"/>
      <c r="AL17" s="43">
        <v>1</v>
      </c>
      <c r="AM17" s="44"/>
      <c r="AN17" s="44"/>
      <c r="AO17" s="44"/>
      <c r="AP17" s="45">
        <v>1</v>
      </c>
      <c r="AQ17" s="107">
        <f>5/12</f>
        <v>0.41666666666666669</v>
      </c>
      <c r="AR17" s="111"/>
      <c r="AS17" s="111"/>
      <c r="AT17" s="111"/>
      <c r="AU17" s="112"/>
      <c r="AV17" s="6">
        <v>5</v>
      </c>
      <c r="AW17" s="7">
        <v>5</v>
      </c>
      <c r="AX17" s="7">
        <v>5</v>
      </c>
      <c r="AY17" s="10"/>
      <c r="AZ17" s="11"/>
      <c r="BA17" s="9">
        <v>5</v>
      </c>
      <c r="BB17" s="10"/>
      <c r="BC17" s="11"/>
      <c r="BD17" s="18"/>
      <c r="BE17" s="12"/>
    </row>
    <row r="18" spans="1:57" ht="31.9" customHeight="1" x14ac:dyDescent="0.2">
      <c r="A18" s="20">
        <v>11</v>
      </c>
      <c r="B18" s="16" t="s">
        <v>40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23</v>
      </c>
      <c r="X18" s="10"/>
      <c r="Y18" s="10"/>
      <c r="Z18" s="10"/>
      <c r="AA18" s="11"/>
      <c r="AB18" s="43">
        <v>2</v>
      </c>
      <c r="AC18" s="44"/>
      <c r="AD18" s="44">
        <v>1</v>
      </c>
      <c r="AE18" s="44"/>
      <c r="AF18" s="45"/>
      <c r="AG18" s="9">
        <f>1+1+1+7</f>
        <v>10</v>
      </c>
      <c r="AH18" s="10"/>
      <c r="AI18" s="10"/>
      <c r="AJ18" s="10"/>
      <c r="AK18" s="11"/>
      <c r="AL18" s="43">
        <v>3</v>
      </c>
      <c r="AM18" s="44"/>
      <c r="AN18" s="44">
        <v>2</v>
      </c>
      <c r="AO18" s="44">
        <v>1</v>
      </c>
      <c r="AP18" s="45">
        <v>7</v>
      </c>
      <c r="AQ18" s="107">
        <f>4/12</f>
        <v>0.33333333333333331</v>
      </c>
      <c r="AR18" s="111"/>
      <c r="AS18" s="111">
        <v>0.15</v>
      </c>
      <c r="AT18" s="111">
        <v>0.4</v>
      </c>
      <c r="AU18" s="112">
        <v>2</v>
      </c>
      <c r="AV18" s="6">
        <v>5</v>
      </c>
      <c r="AW18" s="7">
        <v>5</v>
      </c>
      <c r="AX18" s="7">
        <v>5</v>
      </c>
      <c r="AY18" s="10"/>
      <c r="AZ18" s="11"/>
      <c r="BA18" s="9">
        <f>4+5</f>
        <v>9</v>
      </c>
      <c r="BB18" s="10"/>
      <c r="BC18" s="11">
        <f>4+20</f>
        <v>24</v>
      </c>
      <c r="BD18" s="18"/>
      <c r="BE18" s="12"/>
    </row>
    <row r="19" spans="1:57" ht="31.9" customHeight="1" x14ac:dyDescent="0.2">
      <c r="A19" s="20">
        <v>12</v>
      </c>
      <c r="B19" s="16" t="s">
        <v>45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/>
      <c r="AF19" s="45"/>
      <c r="AG19" s="9">
        <f>1+10</f>
        <v>11</v>
      </c>
      <c r="AH19" s="10"/>
      <c r="AI19" s="10"/>
      <c r="AJ19" s="10"/>
      <c r="AK19" s="11"/>
      <c r="AL19" s="43"/>
      <c r="AM19" s="44"/>
      <c r="AN19" s="44">
        <v>1</v>
      </c>
      <c r="AO19" s="44"/>
      <c r="AP19" s="45">
        <v>10</v>
      </c>
      <c r="AQ19" s="107"/>
      <c r="AR19" s="111"/>
      <c r="AS19" s="111">
        <f>4/20</f>
        <v>0.2</v>
      </c>
      <c r="AT19" s="111"/>
      <c r="AU19" s="112">
        <v>3</v>
      </c>
      <c r="AV19" s="6">
        <v>5</v>
      </c>
      <c r="AW19" s="7">
        <v>5</v>
      </c>
      <c r="AX19" s="7">
        <v>5</v>
      </c>
      <c r="AY19" s="10"/>
      <c r="AZ19" s="11"/>
      <c r="BA19" s="9">
        <v>5</v>
      </c>
      <c r="BB19" s="10"/>
      <c r="BC19" s="11">
        <v>30</v>
      </c>
      <c r="BD19" s="18"/>
      <c r="BE19" s="12"/>
    </row>
    <row r="20" spans="1:57" ht="31.9" customHeight="1" x14ac:dyDescent="0.2">
      <c r="A20" s="20">
        <v>13</v>
      </c>
      <c r="B20" s="16" t="s">
        <v>42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24</v>
      </c>
      <c r="X20" s="10"/>
      <c r="Y20" s="10"/>
      <c r="Z20" s="10"/>
      <c r="AA20" s="11"/>
      <c r="AB20" s="43"/>
      <c r="AC20" s="44"/>
      <c r="AD20" s="44"/>
      <c r="AE20" s="44">
        <v>2</v>
      </c>
      <c r="AF20" s="45"/>
      <c r="AG20" s="9">
        <f>1+4</f>
        <v>5</v>
      </c>
      <c r="AH20" s="10"/>
      <c r="AI20" s="10"/>
      <c r="AJ20" s="10"/>
      <c r="AK20" s="11"/>
      <c r="AL20" s="43">
        <v>1</v>
      </c>
      <c r="AM20" s="44"/>
      <c r="AN20" s="44"/>
      <c r="AO20" s="44">
        <v>2</v>
      </c>
      <c r="AP20" s="45">
        <v>4</v>
      </c>
      <c r="AQ20" s="107">
        <f>5/12</f>
        <v>0.41666666666666669</v>
      </c>
      <c r="AR20" s="111"/>
      <c r="AS20" s="111"/>
      <c r="AT20" s="111"/>
      <c r="AU20" s="112">
        <v>1.5</v>
      </c>
      <c r="AV20" s="6">
        <v>5</v>
      </c>
      <c r="AW20" s="7">
        <v>5</v>
      </c>
      <c r="AX20" s="7">
        <v>5</v>
      </c>
      <c r="AY20" s="10"/>
      <c r="AZ20" s="11"/>
      <c r="BA20" s="9">
        <v>5</v>
      </c>
      <c r="BB20" s="10"/>
      <c r="BC20" s="11">
        <v>14</v>
      </c>
      <c r="BD20" s="18"/>
      <c r="BE20" s="12"/>
    </row>
    <row r="21" spans="1:57" ht="31.9" customHeight="1" x14ac:dyDescent="0.2">
      <c r="A21" s="20">
        <v>14</v>
      </c>
      <c r="B21" s="16" t="s">
        <v>43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28</v>
      </c>
      <c r="X21" s="10"/>
      <c r="Y21" s="10"/>
      <c r="Z21" s="10"/>
      <c r="AA21" s="11"/>
      <c r="AB21" s="43"/>
      <c r="AC21" s="44"/>
      <c r="AD21" s="44"/>
      <c r="AE21" s="44"/>
      <c r="AF21" s="45"/>
      <c r="AG21" s="9">
        <f>1+1+1+3</f>
        <v>6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>
        <v>1</v>
      </c>
      <c r="AP21" s="45">
        <v>3</v>
      </c>
      <c r="AQ21" s="107">
        <f>6/12</f>
        <v>0.5</v>
      </c>
      <c r="AR21" s="111"/>
      <c r="AS21" s="111">
        <v>0.15</v>
      </c>
      <c r="AT21" s="111">
        <v>0.5</v>
      </c>
      <c r="AU21" s="112">
        <v>1</v>
      </c>
      <c r="AV21" s="6">
        <v>5</v>
      </c>
      <c r="AW21" s="7">
        <v>5</v>
      </c>
      <c r="AX21" s="7">
        <v>5</v>
      </c>
      <c r="AY21" s="10"/>
      <c r="AZ21" s="11"/>
      <c r="BA21" s="9">
        <f>6+5</f>
        <v>11</v>
      </c>
      <c r="BB21" s="10"/>
      <c r="BC21" s="11">
        <f>5+10</f>
        <v>15</v>
      </c>
      <c r="BD21" s="18"/>
      <c r="BE21" s="12"/>
    </row>
    <row r="22" spans="1:57" ht="31.9" customHeight="1" x14ac:dyDescent="0.2">
      <c r="A22" s="20">
        <v>15</v>
      </c>
      <c r="B22" s="16" t="s">
        <v>48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27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f>1+1</f>
        <v>2</v>
      </c>
      <c r="AH22" s="10"/>
      <c r="AI22" s="10"/>
      <c r="AJ22" s="10"/>
      <c r="AK22" s="11"/>
      <c r="AL22" s="43">
        <v>1</v>
      </c>
      <c r="AM22" s="44"/>
      <c r="AN22" s="44"/>
      <c r="AO22" s="44"/>
      <c r="AP22" s="45">
        <v>1</v>
      </c>
      <c r="AQ22" s="107">
        <f>5/12</f>
        <v>0.41666666666666669</v>
      </c>
      <c r="AR22" s="111"/>
      <c r="AS22" s="111"/>
      <c r="AT22" s="111"/>
      <c r="AU22" s="112">
        <v>0.5</v>
      </c>
      <c r="AV22" s="6">
        <v>5</v>
      </c>
      <c r="AW22" s="7">
        <v>5</v>
      </c>
      <c r="AX22" s="7">
        <v>5</v>
      </c>
      <c r="AY22" s="10"/>
      <c r="AZ22" s="11"/>
      <c r="BA22" s="9">
        <v>5</v>
      </c>
      <c r="BB22" s="10"/>
      <c r="BC22" s="11">
        <v>4</v>
      </c>
      <c r="BD22" s="18"/>
      <c r="BE22" s="12"/>
    </row>
    <row r="23" spans="1:57" ht="31.9" customHeight="1" x14ac:dyDescent="0.2">
      <c r="A23" s="20">
        <v>16</v>
      </c>
      <c r="B23" s="16" t="s">
        <v>49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27</v>
      </c>
      <c r="X23" s="10"/>
      <c r="Y23" s="10"/>
      <c r="Z23" s="10"/>
      <c r="AA23" s="11"/>
      <c r="AB23" s="43">
        <v>1</v>
      </c>
      <c r="AC23" s="44"/>
      <c r="AD23" s="44"/>
      <c r="AE23" s="44"/>
      <c r="AF23" s="45"/>
      <c r="AG23" s="9">
        <f>1+3</f>
        <v>4</v>
      </c>
      <c r="AH23" s="10"/>
      <c r="AI23" s="10"/>
      <c r="AJ23" s="10"/>
      <c r="AK23" s="11"/>
      <c r="AL23" s="43">
        <v>2</v>
      </c>
      <c r="AM23" s="44"/>
      <c r="AN23" s="44"/>
      <c r="AO23" s="44"/>
      <c r="AP23" s="45">
        <v>3</v>
      </c>
      <c r="AQ23" s="107">
        <f>6/12</f>
        <v>0.5</v>
      </c>
      <c r="AR23" s="111"/>
      <c r="AS23" s="111"/>
      <c r="AT23" s="111"/>
      <c r="AU23" s="112">
        <v>1</v>
      </c>
      <c r="AV23" s="6">
        <v>5</v>
      </c>
      <c r="AW23" s="7">
        <v>5</v>
      </c>
      <c r="AX23" s="7">
        <v>5</v>
      </c>
      <c r="AY23" s="10"/>
      <c r="AZ23" s="11"/>
      <c r="BA23" s="9">
        <v>6</v>
      </c>
      <c r="BB23" s="10"/>
      <c r="BC23" s="11">
        <v>10</v>
      </c>
      <c r="BD23" s="18"/>
      <c r="BE23" s="12"/>
    </row>
    <row r="24" spans="1:57" ht="31.9" customHeight="1" x14ac:dyDescent="0.2">
      <c r="A24" s="20">
        <v>17</v>
      </c>
      <c r="B24" s="16" t="s">
        <v>50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>
        <v>1</v>
      </c>
      <c r="AE24" s="44"/>
      <c r="AF24" s="45">
        <v>1</v>
      </c>
      <c r="AG24" s="9">
        <f>1+1+4</f>
        <v>6</v>
      </c>
      <c r="AH24" s="10"/>
      <c r="AI24" s="10"/>
      <c r="AJ24" s="10"/>
      <c r="AK24" s="11"/>
      <c r="AL24" s="43"/>
      <c r="AM24" s="44"/>
      <c r="AN24" s="44">
        <v>2</v>
      </c>
      <c r="AO24" s="44">
        <v>1</v>
      </c>
      <c r="AP24" s="45">
        <v>5</v>
      </c>
      <c r="AQ24" s="107"/>
      <c r="AR24" s="111"/>
      <c r="AS24" s="111">
        <v>0.15</v>
      </c>
      <c r="AT24" s="111">
        <v>0.5</v>
      </c>
      <c r="AU24" s="112">
        <v>1</v>
      </c>
      <c r="AV24" s="6">
        <v>5</v>
      </c>
      <c r="AW24" s="7">
        <v>5</v>
      </c>
      <c r="AX24" s="7">
        <v>5</v>
      </c>
      <c r="AY24" s="10"/>
      <c r="AZ24" s="11"/>
      <c r="BA24" s="9">
        <v>5</v>
      </c>
      <c r="BB24" s="10"/>
      <c r="BC24" s="11">
        <f>5+10</f>
        <v>15</v>
      </c>
      <c r="BD24" s="18"/>
      <c r="BE24" s="12"/>
    </row>
    <row r="25" spans="1:57" ht="31.9" customHeight="1" x14ac:dyDescent="0.2">
      <c r="A25" s="20">
        <v>18</v>
      </c>
      <c r="B25" s="16" t="s">
        <v>51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/>
      <c r="AF25" s="45"/>
      <c r="AG25" s="9">
        <f>1+1+1+8</f>
        <v>11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>
        <v>1</v>
      </c>
      <c r="AP25" s="45">
        <v>8</v>
      </c>
      <c r="AQ25" s="107">
        <f>4/12</f>
        <v>0.33333333333333331</v>
      </c>
      <c r="AR25" s="111"/>
      <c r="AS25" s="111">
        <v>0.15</v>
      </c>
      <c r="AT25" s="111">
        <v>0.4</v>
      </c>
      <c r="AU25" s="112">
        <v>2</v>
      </c>
      <c r="AV25" s="6">
        <v>5</v>
      </c>
      <c r="AW25" s="7">
        <v>5</v>
      </c>
      <c r="AX25" s="7">
        <v>5</v>
      </c>
      <c r="AY25" s="10"/>
      <c r="AZ25" s="11"/>
      <c r="BA25" s="9">
        <f>4+5</f>
        <v>9</v>
      </c>
      <c r="BB25" s="10"/>
      <c r="BC25" s="11">
        <f>4+20</f>
        <v>24</v>
      </c>
      <c r="BD25" s="18"/>
      <c r="BE25" s="12"/>
    </row>
    <row r="26" spans="1:57" ht="31.9" customHeight="1" x14ac:dyDescent="0.2">
      <c r="A26" s="50">
        <v>19</v>
      </c>
      <c r="B26" s="51" t="s">
        <v>52</v>
      </c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>
        <v>26</v>
      </c>
      <c r="X26" s="53"/>
      <c r="Y26" s="53"/>
      <c r="Z26" s="53"/>
      <c r="AA26" s="54"/>
      <c r="AB26" s="58"/>
      <c r="AC26" s="59"/>
      <c r="AD26" s="59"/>
      <c r="AE26" s="59"/>
      <c r="AF26" s="48">
        <v>1</v>
      </c>
      <c r="AG26" s="52">
        <f>1+2</f>
        <v>3</v>
      </c>
      <c r="AH26" s="53"/>
      <c r="AI26" s="53"/>
      <c r="AJ26" s="53"/>
      <c r="AK26" s="54"/>
      <c r="AL26" s="58">
        <v>1</v>
      </c>
      <c r="AM26" s="59"/>
      <c r="AN26" s="59"/>
      <c r="AO26" s="59"/>
      <c r="AP26" s="48">
        <v>3</v>
      </c>
      <c r="AQ26" s="113">
        <f>5/12</f>
        <v>0.41666666666666669</v>
      </c>
      <c r="AR26" s="114"/>
      <c r="AS26" s="114"/>
      <c r="AT26" s="114"/>
      <c r="AU26" s="115">
        <v>1</v>
      </c>
      <c r="AV26" s="6">
        <v>5</v>
      </c>
      <c r="AW26" s="7">
        <v>5</v>
      </c>
      <c r="AX26" s="7">
        <v>5</v>
      </c>
      <c r="AY26" s="53"/>
      <c r="AZ26" s="54"/>
      <c r="BA26" s="52">
        <v>5</v>
      </c>
      <c r="BB26" s="53"/>
      <c r="BC26" s="54">
        <v>10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>
        <v>25</v>
      </c>
      <c r="X27" s="53"/>
      <c r="Y27" s="53"/>
      <c r="Z27" s="53"/>
      <c r="AA27" s="54"/>
      <c r="AB27" s="67">
        <v>1</v>
      </c>
      <c r="AC27" s="68"/>
      <c r="AD27" s="68"/>
      <c r="AE27" s="68">
        <v>1</v>
      </c>
      <c r="AF27" s="69"/>
      <c r="AG27" s="52">
        <f>1+1+1+3</f>
        <v>6</v>
      </c>
      <c r="AH27" s="53"/>
      <c r="AI27" s="53"/>
      <c r="AJ27" s="53"/>
      <c r="AK27" s="54"/>
      <c r="AL27" s="67">
        <v>2</v>
      </c>
      <c r="AM27" s="68"/>
      <c r="AN27" s="68">
        <v>1</v>
      </c>
      <c r="AO27" s="68">
        <v>1</v>
      </c>
      <c r="AP27" s="69">
        <v>3</v>
      </c>
      <c r="AQ27" s="113">
        <f>4/12</f>
        <v>0.33333333333333331</v>
      </c>
      <c r="AR27" s="114"/>
      <c r="AS27" s="114">
        <f>6/20</f>
        <v>0.3</v>
      </c>
      <c r="AT27" s="114">
        <v>0.4</v>
      </c>
      <c r="AU27" s="115">
        <v>1</v>
      </c>
      <c r="AV27" s="6">
        <v>5</v>
      </c>
      <c r="AW27" s="7">
        <v>5</v>
      </c>
      <c r="AX27" s="7">
        <v>5</v>
      </c>
      <c r="AY27" s="53"/>
      <c r="AZ27" s="54"/>
      <c r="BA27" s="52">
        <f>4+10</f>
        <v>14</v>
      </c>
      <c r="BB27" s="53"/>
      <c r="BC27" s="54">
        <f>4+10</f>
        <v>14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526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0</v>
      </c>
      <c r="AD28" s="65">
        <f t="shared" si="3"/>
        <v>2</v>
      </c>
      <c r="AE28" s="65">
        <f t="shared" si="3"/>
        <v>6</v>
      </c>
      <c r="AF28" s="66">
        <f t="shared" si="3"/>
        <v>3</v>
      </c>
      <c r="AG28" s="29">
        <f t="shared" si="3"/>
        <v>118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20</v>
      </c>
      <c r="AM28" s="65">
        <f t="shared" si="4"/>
        <v>0</v>
      </c>
      <c r="AN28" s="65">
        <f t="shared" si="4"/>
        <v>14</v>
      </c>
      <c r="AO28" s="65">
        <f t="shared" si="4"/>
        <v>15</v>
      </c>
      <c r="AP28" s="66">
        <f t="shared" si="4"/>
        <v>84</v>
      </c>
      <c r="AQ28" s="126">
        <f t="shared" si="4"/>
        <v>6</v>
      </c>
      <c r="AR28" s="116">
        <f t="shared" si="4"/>
        <v>0</v>
      </c>
      <c r="AS28" s="116">
        <f t="shared" si="4"/>
        <v>1.9999999999999998</v>
      </c>
      <c r="AT28" s="116">
        <f t="shared" si="4"/>
        <v>4</v>
      </c>
      <c r="AU28" s="127">
        <f t="shared" si="4"/>
        <v>25</v>
      </c>
      <c r="AV28" s="29">
        <f t="shared" si="4"/>
        <v>100</v>
      </c>
      <c r="AW28" s="30">
        <f t="shared" si="4"/>
        <v>100</v>
      </c>
      <c r="AX28" s="30">
        <f t="shared" si="4"/>
        <v>100</v>
      </c>
      <c r="AY28" s="30">
        <f t="shared" si="4"/>
        <v>0</v>
      </c>
      <c r="AZ28" s="31">
        <f t="shared" si="4"/>
        <v>0</v>
      </c>
      <c r="BA28" s="46">
        <f t="shared" si="4"/>
        <v>137</v>
      </c>
      <c r="BB28" s="47">
        <f t="shared" si="4"/>
        <v>0</v>
      </c>
      <c r="BC28" s="49">
        <f t="shared" si="4"/>
        <v>284</v>
      </c>
      <c r="BD28" s="19">
        <f t="shared" si="4"/>
        <v>0</v>
      </c>
      <c r="BE28" s="2">
        <f t="shared" si="4"/>
        <v>0</v>
      </c>
    </row>
  </sheetData>
  <mergeCells count="19"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zoomScale="80" zoomScaleNormal="80" workbookViewId="0">
      <pane xSplit="2" ySplit="7" topLeftCell="AT9" activePane="bottomRight" state="frozen"/>
      <selection activeCell="C3" sqref="C3"/>
      <selection pane="topRight" activeCell="C3" sqref="C3"/>
      <selection pane="bottomLeft" activeCell="C3" sqref="C3"/>
      <selection pane="bottomRight" activeCell="BE10" sqref="BE10:BE12"/>
    </sheetView>
  </sheetViews>
  <sheetFormatPr baseColWidth="10"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3.7109375" style="28" bestFit="1" customWidth="1"/>
    <col min="34" max="34" width="8.85546875" style="28" customWidth="1"/>
    <col min="35" max="35" width="10.140625" style="28" bestFit="1" customWidth="1"/>
    <col min="36" max="54" width="8.85546875" style="28" customWidth="1"/>
    <col min="55" max="55" width="15.425781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B2" s="89" t="s">
        <v>29</v>
      </c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8"/>
      <c r="B4" s="148"/>
    </row>
    <row r="5" spans="1:57" ht="57.75" customHeight="1" thickBot="1" x14ac:dyDescent="0.25">
      <c r="C5" s="168" t="s">
        <v>1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73" t="s">
        <v>22</v>
      </c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5"/>
      <c r="BD5" s="145" t="s">
        <v>6</v>
      </c>
      <c r="BE5" s="145" t="s">
        <v>7</v>
      </c>
    </row>
    <row r="6" spans="1:57" ht="69.75" customHeight="1" thickBot="1" x14ac:dyDescent="0.25">
      <c r="A6" s="149" t="s">
        <v>24</v>
      </c>
      <c r="B6" s="149" t="s">
        <v>8</v>
      </c>
      <c r="C6" s="170" t="s">
        <v>9</v>
      </c>
      <c r="D6" s="171"/>
      <c r="E6" s="171"/>
      <c r="F6" s="171"/>
      <c r="G6" s="172"/>
      <c r="H6" s="170" t="s">
        <v>15</v>
      </c>
      <c r="I6" s="171"/>
      <c r="J6" s="171"/>
      <c r="K6" s="171"/>
      <c r="L6" s="172"/>
      <c r="M6" s="153" t="s">
        <v>16</v>
      </c>
      <c r="N6" s="154"/>
      <c r="O6" s="154"/>
      <c r="P6" s="154"/>
      <c r="Q6" s="155"/>
      <c r="R6" s="153" t="s">
        <v>25</v>
      </c>
      <c r="S6" s="154"/>
      <c r="T6" s="154"/>
      <c r="U6" s="154"/>
      <c r="V6" s="155"/>
      <c r="W6" s="156" t="s">
        <v>9</v>
      </c>
      <c r="X6" s="157"/>
      <c r="Y6" s="157"/>
      <c r="Z6" s="157"/>
      <c r="AA6" s="158"/>
      <c r="AB6" s="133" t="s">
        <v>27</v>
      </c>
      <c r="AC6" s="134"/>
      <c r="AD6" s="134"/>
      <c r="AE6" s="134"/>
      <c r="AF6" s="135"/>
      <c r="AG6" s="159" t="s">
        <v>15</v>
      </c>
      <c r="AH6" s="160"/>
      <c r="AI6" s="160"/>
      <c r="AJ6" s="160"/>
      <c r="AK6" s="161"/>
      <c r="AL6" s="130" t="s">
        <v>28</v>
      </c>
      <c r="AM6" s="131"/>
      <c r="AN6" s="131"/>
      <c r="AO6" s="131"/>
      <c r="AP6" s="132"/>
      <c r="AQ6" s="137" t="s">
        <v>25</v>
      </c>
      <c r="AR6" s="137"/>
      <c r="AS6" s="137"/>
      <c r="AT6" s="137"/>
      <c r="AU6" s="138"/>
      <c r="AV6" s="162" t="s">
        <v>16</v>
      </c>
      <c r="AW6" s="163"/>
      <c r="AX6" s="163"/>
      <c r="AY6" s="163"/>
      <c r="AZ6" s="164"/>
      <c r="BA6" s="142" t="s">
        <v>26</v>
      </c>
      <c r="BB6" s="143"/>
      <c r="BC6" s="144"/>
      <c r="BD6" s="146"/>
      <c r="BE6" s="146"/>
    </row>
    <row r="7" spans="1:57" ht="222.75" customHeight="1" thickBot="1" x14ac:dyDescent="0.25">
      <c r="A7" s="150"/>
      <c r="B7" s="150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7"/>
      <c r="BE7" s="147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f>'Lundi '!W8+Mardi!W8+Mercredi!W8+Jeudi!W8+Vendredi!W8+Samedi!W8</f>
        <v>165</v>
      </c>
      <c r="X8" s="7">
        <f>'Lundi '!X8+Mardi!X8+Mercredi!X8+Jeudi!X8+Vendredi!X8+Samedi!X8</f>
        <v>0</v>
      </c>
      <c r="Y8" s="7">
        <f>'Lundi '!Y8+Mardi!Y8+Mercredi!Y8+Jeudi!Y8+Vendredi!Y8+Samedi!Y8</f>
        <v>0</v>
      </c>
      <c r="Z8" s="7">
        <f>'Lundi '!Z8+Mardi!Z8+Mercredi!Z8+Jeudi!Z8+Vendredi!Z8+Samedi!Z8</f>
        <v>0</v>
      </c>
      <c r="AA8" s="8">
        <f>'Lundi '!AA8+Mardi!AA8+Mercredi!AA8+Jeudi!AA8+Vendredi!AA8+Samedi!AA8</f>
        <v>0</v>
      </c>
      <c r="AB8" s="10">
        <f>'Lundi '!AB8+Mardi!AB8+Mercredi!AB8+Jeudi!AB8+Vendredi!AB8+Samedi!AB8</f>
        <v>2</v>
      </c>
      <c r="AC8" s="10">
        <f>'Lundi '!AC8+Mardi!AC8+Mercredi!AC8+Jeudi!AC8+Vendredi!AC8+Samedi!AC8</f>
        <v>0</v>
      </c>
      <c r="AD8" s="10">
        <f>'Lundi '!AD8+Mardi!AD8+Mercredi!AD8+Jeudi!AD8+Vendredi!AD8+Samedi!AD8</f>
        <v>0</v>
      </c>
      <c r="AE8" s="10">
        <f>'Lundi '!AE8+Mardi!AE8+Mercredi!AE8+Jeudi!AE8+Vendredi!AE8+Samedi!AE8</f>
        <v>4</v>
      </c>
      <c r="AF8" s="10">
        <f>'Lundi '!AF8+Mardi!AF8+Mercredi!AF8+Jeudi!AF8+Vendredi!AF8+Samedi!AF8</f>
        <v>2</v>
      </c>
      <c r="AG8" s="6">
        <f>'Lundi '!AG8+Mardi!AG8+Mercredi!AG8+Jeudi!AG8+Vendredi!AG8+Samedi!AG8</f>
        <v>54</v>
      </c>
      <c r="AH8" s="7">
        <f>'Lundi '!AH8+Mardi!AH8+Mercredi!AH8+Jeudi!AH8+Vendredi!AH8+Samedi!AH8</f>
        <v>0</v>
      </c>
      <c r="AI8" s="7">
        <f>'Lundi '!AI8+Mardi!AI8+Mercredi!AI8+Jeudi!AI8+Vendredi!AI8+Samedi!AI8</f>
        <v>0</v>
      </c>
      <c r="AJ8" s="7">
        <f>'Lundi '!AJ8+Mardi!AJ8+Mercredi!AJ8+Jeudi!AJ8+Vendredi!AJ8+Samedi!AJ8</f>
        <v>0</v>
      </c>
      <c r="AK8" s="8">
        <f>'Lundi '!AK8+Mardi!AK8+Mercredi!AK8+Jeudi!AK8+Vendredi!AK8+Samedi!AK8</f>
        <v>0</v>
      </c>
      <c r="AL8" s="9">
        <f>'Lundi '!AL8+Mardi!AL8+Mercredi!AL8+Jeudi!AL8+Vendredi!AL8+Samedi!AL8</f>
        <v>9</v>
      </c>
      <c r="AM8" s="10">
        <f>'Lundi '!AM8+Mardi!AM8+Mercredi!AM8+Jeudi!AM8+Vendredi!AM8+Samedi!AM8</f>
        <v>0</v>
      </c>
      <c r="AN8" s="10">
        <f>'Lundi '!AN8+Mardi!AN8+Mercredi!AN8+Jeudi!AN8+Vendredi!AN8+Samedi!AN8</f>
        <v>5</v>
      </c>
      <c r="AO8" s="10">
        <f>'Lundi '!AO8+Mardi!AO8+Mercredi!AO8+Jeudi!AO8+Vendredi!AO8+Samedi!AO8</f>
        <v>17</v>
      </c>
      <c r="AP8" s="11">
        <f>'Lundi '!AP8+Mardi!AP8+Mercredi!AP8+Jeudi!AP8+Vendredi!AP8+Samedi!AP8</f>
        <v>31</v>
      </c>
      <c r="AQ8" s="91">
        <f>'Lundi '!AQ8+Mardi!AQ8+Mercredi!AQ8+Jeudi!AQ8+Vendredi!AQ8+Samedi!AQ8</f>
        <v>2.5</v>
      </c>
      <c r="AR8" s="10">
        <f>'Lundi '!AR8+Mardi!AR8+Mercredi!AR8+Jeudi!AR8+Vendredi!AR8+Samedi!AR8</f>
        <v>0</v>
      </c>
      <c r="AS8" s="10">
        <f>'Lundi '!AS8+Mardi!AS8+Mercredi!AS8+Jeudi!AS8+Vendredi!AS8+Samedi!AS8</f>
        <v>0.9</v>
      </c>
      <c r="AT8" s="10">
        <f>'Lundi '!AT8+Mardi!AT8+Mercredi!AT8+Jeudi!AT8+Vendredi!AT8+Samedi!AT8</f>
        <v>3.9</v>
      </c>
      <c r="AU8" s="10">
        <f>'Lundi '!AU8+Mardi!AU8+Mercredi!AU8+Jeudi!AU8+Vendredi!AU8+Samedi!AU8</f>
        <v>9.5</v>
      </c>
      <c r="AV8" s="6">
        <f>'Lundi '!AV8+Mardi!AV8+Mercredi!AV8+Jeudi!AV8+Vendredi!AV8+Samedi!AV8</f>
        <v>26</v>
      </c>
      <c r="AW8" s="7">
        <f>'Lundi '!AW8+Mardi!AW8+Mercredi!AW8+Jeudi!AW8+Vendredi!AW8+Samedi!AW8</f>
        <v>20</v>
      </c>
      <c r="AX8" s="7">
        <f>'Lundi '!AX8+Mardi!AX8+Mercredi!AX8+Jeudi!AX8+Vendredi!AX8+Samedi!AX8</f>
        <v>24</v>
      </c>
      <c r="AY8" s="7">
        <f>'Lundi '!AY8+Mardi!AY8+Mercredi!AY8+Jeudi!AY8+Vendredi!AY8+Samedi!AY8</f>
        <v>0</v>
      </c>
      <c r="AZ8" s="8">
        <f>'Lundi '!AZ8+Mardi!AZ8+Mercredi!AZ8+Jeudi!AZ8+Vendredi!AZ8+Samedi!AZ8</f>
        <v>0</v>
      </c>
      <c r="BA8" s="6">
        <f>'Lundi '!BA8+Mardi!BA8+Mercredi!BA8+Jeudi!BA8+Vendredi!BA8+Samedi!BA8</f>
        <v>58</v>
      </c>
      <c r="BB8" s="7">
        <f>'Lundi '!BB8+Mardi!BB8+Mercredi!BB8+Jeudi!BB8+Vendredi!BB8+Samedi!BB8</f>
        <v>0</v>
      </c>
      <c r="BC8" s="8">
        <f>'Lundi '!BC8+Mardi!BC8+Mercredi!BC8+Jeudi!BC8+Vendredi!BC8+Samedi!BC8</f>
        <v>133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>
        <f>'Lundi '!W9+Mardi!W9+Mercredi!W9+Jeudi!W9+Vendredi!W9+Samedi!W9</f>
        <v>164</v>
      </c>
      <c r="X9" s="7">
        <f>'Lundi '!X9+Mardi!X9+Mercredi!X9+Jeudi!X9+Vendredi!X9+Samedi!X9</f>
        <v>0</v>
      </c>
      <c r="Y9" s="7">
        <f>'Lundi '!Y9+Mardi!Y9+Mercredi!Y9+Jeudi!Y9+Vendredi!Y9+Samedi!Y9</f>
        <v>0</v>
      </c>
      <c r="Z9" s="7">
        <f>'Lundi '!Z9+Mardi!Z9+Mercredi!Z9+Jeudi!Z9+Vendredi!Z9+Samedi!Z9</f>
        <v>0</v>
      </c>
      <c r="AA9" s="8">
        <f>'Lundi '!AA9+Mardi!AA9+Mercredi!AA9+Jeudi!AA9+Vendredi!AA9+Samedi!AA9</f>
        <v>0</v>
      </c>
      <c r="AB9" s="10">
        <f>'Lundi '!AB9+Mardi!AB9+Mercredi!AB9+Jeudi!AB9+Vendredi!AB9+Samedi!AB9</f>
        <v>2</v>
      </c>
      <c r="AC9" s="10">
        <f>'Lundi '!AC9+Mardi!AC9+Mercredi!AC9+Jeudi!AC9+Vendredi!AC9+Samedi!AC9</f>
        <v>0</v>
      </c>
      <c r="AD9" s="10">
        <f>'Lundi '!AD9+Mardi!AD9+Mercredi!AD9+Jeudi!AD9+Vendredi!AD9+Samedi!AD9</f>
        <v>0</v>
      </c>
      <c r="AE9" s="10">
        <f>'Lundi '!AE9+Mardi!AE9+Mercredi!AE9+Jeudi!AE9+Vendredi!AE9+Samedi!AE9</f>
        <v>1</v>
      </c>
      <c r="AF9" s="10">
        <f>'Lundi '!AF9+Mardi!AF9+Mercredi!AF9+Jeudi!AF9+Vendredi!AF9+Samedi!AF9</f>
        <v>1</v>
      </c>
      <c r="AG9" s="6">
        <f>'Lundi '!AG9+Mardi!AG9+Mercredi!AG9+Jeudi!AG9+Vendredi!AG9+Samedi!AG9</f>
        <v>53</v>
      </c>
      <c r="AH9" s="7">
        <f>'Lundi '!AH9+Mardi!AH9+Mercredi!AH9+Jeudi!AH9+Vendredi!AH9+Samedi!AH9</f>
        <v>0</v>
      </c>
      <c r="AI9" s="7">
        <f>'Lundi '!AI9+Mardi!AI9+Mercredi!AI9+Jeudi!AI9+Vendredi!AI9+Samedi!AI9</f>
        <v>0</v>
      </c>
      <c r="AJ9" s="7">
        <f>'Lundi '!AJ9+Mardi!AJ9+Mercredi!AJ9+Jeudi!AJ9+Vendredi!AJ9+Samedi!AJ9</f>
        <v>0</v>
      </c>
      <c r="AK9" s="8">
        <f>'Lundi '!AK9+Mardi!AK9+Mercredi!AK9+Jeudi!AK9+Vendredi!AK9+Samedi!AK9</f>
        <v>0</v>
      </c>
      <c r="AL9" s="9">
        <f>'Lundi '!AL9+Mardi!AL9+Mercredi!AL9+Jeudi!AL9+Vendredi!AL9+Samedi!AL9</f>
        <v>7</v>
      </c>
      <c r="AM9" s="10">
        <f>'Lundi '!AM9+Mardi!AM9+Mercredi!AM9+Jeudi!AM9+Vendredi!AM9+Samedi!AM9</f>
        <v>0</v>
      </c>
      <c r="AN9" s="10">
        <f>'Lundi '!AN9+Mardi!AN9+Mercredi!AN9+Jeudi!AN9+Vendredi!AN9+Samedi!AN9</f>
        <v>3</v>
      </c>
      <c r="AO9" s="10">
        <f>'Lundi '!AO9+Mardi!AO9+Mercredi!AO9+Jeudi!AO9+Vendredi!AO9+Samedi!AO9</f>
        <v>6</v>
      </c>
      <c r="AP9" s="11">
        <f>'Lundi '!AP9+Mardi!AP9+Mercredi!AP9+Jeudi!AP9+Vendredi!AP9+Samedi!AP9</f>
        <v>39</v>
      </c>
      <c r="AQ9" s="91">
        <f>'Lundi '!AQ9+Mardi!AQ9+Mercredi!AQ9+Jeudi!AQ9+Vendredi!AQ9+Samedi!AQ9</f>
        <v>2.1666666666666665</v>
      </c>
      <c r="AR9" s="10">
        <f>'Lundi '!AR9+Mardi!AR9+Mercredi!AR9+Jeudi!AR9+Vendredi!AR9+Samedi!AR9</f>
        <v>0</v>
      </c>
      <c r="AS9" s="10">
        <f>'Lundi '!AS9+Mardi!AS9+Mercredi!AS9+Jeudi!AS9+Vendredi!AS9+Samedi!AS9</f>
        <v>0.4</v>
      </c>
      <c r="AT9" s="10">
        <f>'Lundi '!AT9+Mardi!AT9+Mercredi!AT9+Jeudi!AT9+Vendredi!AT9+Samedi!AT9</f>
        <v>1</v>
      </c>
      <c r="AU9" s="10">
        <f>'Lundi '!AU9+Mardi!AU9+Mercredi!AU9+Jeudi!AU9+Vendredi!AU9+Samedi!AU9</f>
        <v>13.5</v>
      </c>
      <c r="AV9" s="6">
        <f>'Lundi '!AV9+Mardi!AV9+Mercredi!AV9+Jeudi!AV9+Vendredi!AV9+Samedi!AV9</f>
        <v>26</v>
      </c>
      <c r="AW9" s="7">
        <f>'Lundi '!AW9+Mardi!AW9+Mercredi!AW9+Jeudi!AW9+Vendredi!AW9+Samedi!AW9</f>
        <v>20</v>
      </c>
      <c r="AX9" s="7">
        <f>'Lundi '!AX9+Mardi!AX9+Mercredi!AX9+Jeudi!AX9+Vendredi!AX9+Samedi!AX9</f>
        <v>24</v>
      </c>
      <c r="AY9" s="7">
        <f>'Lundi '!AY9+Mardi!AY9+Mercredi!AY9+Jeudi!AY9+Vendredi!AY9+Samedi!AY9</f>
        <v>0</v>
      </c>
      <c r="AZ9" s="8">
        <f>'Lundi '!AZ9+Mardi!AZ9+Mercredi!AZ9+Jeudi!AZ9+Vendredi!AZ9+Samedi!AZ9</f>
        <v>0</v>
      </c>
      <c r="BA9" s="6">
        <f>'Lundi '!BA9+Mardi!BA9+Mercredi!BA9+Jeudi!BA9+Vendredi!BA9+Samedi!BA9</f>
        <v>36</v>
      </c>
      <c r="BB9" s="7">
        <f>'Lundi '!BB9+Mardi!BB9+Mercredi!BB9+Jeudi!BB9+Vendredi!BB9+Samedi!BB9</f>
        <v>0</v>
      </c>
      <c r="BC9" s="8">
        <f>'Lundi '!BC9+Mardi!BC9+Mercredi!BC9+Jeudi!BC9+Vendredi!BC9+Samedi!BC9</f>
        <v>142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>
        <f>'Lundi '!W10+Mardi!W10+Mercredi!W10+Jeudi!W10+Vendredi!W10+Samedi!W10</f>
        <v>177</v>
      </c>
      <c r="X10" s="7">
        <f>'Lundi '!X10+Mardi!X10+Mercredi!X10+Jeudi!X10+Vendredi!X10+Samedi!X10</f>
        <v>0</v>
      </c>
      <c r="Y10" s="7">
        <f>'Lundi '!Y10+Mardi!Y10+Mercredi!Y10+Jeudi!Y10+Vendredi!Y10+Samedi!Y10</f>
        <v>0</v>
      </c>
      <c r="Z10" s="7">
        <f>'Lundi '!Z10+Mardi!Z10+Mercredi!Z10+Jeudi!Z10+Vendredi!Z10+Samedi!Z10</f>
        <v>0</v>
      </c>
      <c r="AA10" s="8">
        <f>'Lundi '!AA10+Mardi!AA10+Mercredi!AA10+Jeudi!AA10+Vendredi!AA10+Samedi!AA10</f>
        <v>0</v>
      </c>
      <c r="AB10" s="10">
        <f>'Lundi '!AB10+Mardi!AB10+Mercredi!AB10+Jeudi!AB10+Vendredi!AB10+Samedi!AB10</f>
        <v>2</v>
      </c>
      <c r="AC10" s="10">
        <f>'Lundi '!AC10+Mardi!AC10+Mercredi!AC10+Jeudi!AC10+Vendredi!AC10+Samedi!AC10</f>
        <v>0</v>
      </c>
      <c r="AD10" s="10">
        <f>'Lundi '!AD10+Mardi!AD10+Mercredi!AD10+Jeudi!AD10+Vendredi!AD10+Samedi!AD10</f>
        <v>1</v>
      </c>
      <c r="AE10" s="10">
        <f>'Lundi '!AE10+Mardi!AE10+Mercredi!AE10+Jeudi!AE10+Vendredi!AE10+Samedi!AE10</f>
        <v>1</v>
      </c>
      <c r="AF10" s="10">
        <f>'Lundi '!AF10+Mardi!AF10+Mercredi!AF10+Jeudi!AF10+Vendredi!AF10+Samedi!AF10</f>
        <v>0</v>
      </c>
      <c r="AG10" s="6">
        <f>'Lundi '!AG10+Mardi!AG10+Mercredi!AG10+Jeudi!AG10+Vendredi!AG10+Samedi!AG10</f>
        <v>49</v>
      </c>
      <c r="AH10" s="7">
        <f>'Lundi '!AH10+Mardi!AH10+Mercredi!AH10+Jeudi!AH10+Vendredi!AH10+Samedi!AH10</f>
        <v>0</v>
      </c>
      <c r="AI10" s="7">
        <f>'Lundi '!AI10+Mardi!AI10+Mercredi!AI10+Jeudi!AI10+Vendredi!AI10+Samedi!AI10</f>
        <v>0</v>
      </c>
      <c r="AJ10" s="7">
        <f>'Lundi '!AJ10+Mardi!AJ10+Mercredi!AJ10+Jeudi!AJ10+Vendredi!AJ10+Samedi!AJ10</f>
        <v>0</v>
      </c>
      <c r="AK10" s="8">
        <f>'Lundi '!AK10+Mardi!AK10+Mercredi!AK10+Jeudi!AK10+Vendredi!AK10+Samedi!AK10</f>
        <v>0</v>
      </c>
      <c r="AL10" s="9">
        <f>'Lundi '!AL10+Mardi!AL10+Mercredi!AL10+Jeudi!AL10+Vendredi!AL10+Samedi!AL10</f>
        <v>13</v>
      </c>
      <c r="AM10" s="10">
        <f>'Lundi '!AM10+Mardi!AM10+Mercredi!AM10+Jeudi!AM10+Vendredi!AM10+Samedi!AM10</f>
        <v>0</v>
      </c>
      <c r="AN10" s="10">
        <f>'Lundi '!AN10+Mardi!AN10+Mercredi!AN10+Jeudi!AN10+Vendredi!AN10+Samedi!AN10</f>
        <v>5</v>
      </c>
      <c r="AO10" s="10">
        <f>'Lundi '!AO10+Mardi!AO10+Mercredi!AO10+Jeudi!AO10+Vendredi!AO10+Samedi!AO10</f>
        <v>9</v>
      </c>
      <c r="AP10" s="11">
        <f>'Lundi '!AP10+Mardi!AP10+Mercredi!AP10+Jeudi!AP10+Vendredi!AP10+Samedi!AP10</f>
        <v>25</v>
      </c>
      <c r="AQ10" s="91">
        <f>'Lundi '!AQ10+Mardi!AQ10+Mercredi!AQ10+Jeudi!AQ10+Vendredi!AQ10+Samedi!AQ10</f>
        <v>3.8333333333333335</v>
      </c>
      <c r="AR10" s="10">
        <f>'Lundi '!AR10+Mardi!AR10+Mercredi!AR10+Jeudi!AR10+Vendredi!AR10+Samedi!AR10</f>
        <v>0</v>
      </c>
      <c r="AS10" s="10">
        <f>'Lundi '!AS10+Mardi!AS10+Mercredi!AS10+Jeudi!AS10+Vendredi!AS10+Samedi!AS10</f>
        <v>0.75</v>
      </c>
      <c r="AT10" s="10">
        <f>'Lundi '!AT10+Mardi!AT10+Mercredi!AT10+Jeudi!AT10+Vendredi!AT10+Samedi!AT10</f>
        <v>3.0999999999999996</v>
      </c>
      <c r="AU10" s="10">
        <f>'Lundi '!AU10+Mardi!AU10+Mercredi!AU10+Jeudi!AU10+Vendredi!AU10+Samedi!AU10</f>
        <v>8.5</v>
      </c>
      <c r="AV10" s="6">
        <f>'Lundi '!AV10+Mardi!AV10+Mercredi!AV10+Jeudi!AV10+Vendredi!AV10+Samedi!AV10</f>
        <v>26</v>
      </c>
      <c r="AW10" s="7">
        <f>'Lundi '!AW10+Mardi!AW10+Mercredi!AW10+Jeudi!AW10+Vendredi!AW10+Samedi!AW10</f>
        <v>20</v>
      </c>
      <c r="AX10" s="7">
        <f>'Lundi '!AX10+Mardi!AX10+Mercredi!AX10+Jeudi!AX10+Vendredi!AX10+Samedi!AX10</f>
        <v>24</v>
      </c>
      <c r="AY10" s="7">
        <f>'Lundi '!AY10+Mardi!AY10+Mercredi!AY10+Jeudi!AY10+Vendredi!AY10+Samedi!AY10</f>
        <v>0</v>
      </c>
      <c r="AZ10" s="8">
        <f>'Lundi '!AZ10+Mardi!AZ10+Mercredi!AZ10+Jeudi!AZ10+Vendredi!AZ10+Samedi!AZ10</f>
        <v>0</v>
      </c>
      <c r="BA10" s="6">
        <f>'Lundi '!BA10+Mardi!BA10+Mercredi!BA10+Jeudi!BA10+Vendredi!BA10+Samedi!BA10</f>
        <v>67</v>
      </c>
      <c r="BB10" s="7">
        <f>'Lundi '!BB10+Mardi!BB10+Mercredi!BB10+Jeudi!BB10+Vendredi!BB10+Samedi!BB10</f>
        <v>0</v>
      </c>
      <c r="BC10" s="8">
        <f>'Lundi '!BC10+Mardi!BC10+Mercredi!BC10+Jeudi!BC10+Vendredi!BC10+Samedi!BC10</f>
        <v>113</v>
      </c>
      <c r="BD10" s="139" t="s">
        <v>55</v>
      </c>
      <c r="BE10" s="178" t="s">
        <v>56</v>
      </c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>
        <f>'Lundi '!W11+Mardi!W11+Mercredi!W11+Jeudi!W11+Vendredi!W11+Samedi!W11</f>
        <v>181</v>
      </c>
      <c r="X11" s="7">
        <f>'Lundi '!X11+Mardi!X11+Mercredi!X11+Jeudi!X11+Vendredi!X11+Samedi!X11</f>
        <v>0</v>
      </c>
      <c r="Y11" s="7">
        <f>'Lundi '!Y11+Mardi!Y11+Mercredi!Y11+Jeudi!Y11+Vendredi!Y11+Samedi!Y11</f>
        <v>0</v>
      </c>
      <c r="Z11" s="7">
        <f>'Lundi '!Z11+Mardi!Z11+Mercredi!Z11+Jeudi!Z11+Vendredi!Z11+Samedi!Z11</f>
        <v>0</v>
      </c>
      <c r="AA11" s="8">
        <f>'Lundi '!AA11+Mardi!AA11+Mercredi!AA11+Jeudi!AA11+Vendredi!AA11+Samedi!AA11</f>
        <v>0</v>
      </c>
      <c r="AB11" s="10">
        <f>'Lundi '!AB11+Mardi!AB11+Mercredi!AB11+Jeudi!AB11+Vendredi!AB11+Samedi!AB11</f>
        <v>3</v>
      </c>
      <c r="AC11" s="10">
        <f>'Lundi '!AC11+Mardi!AC11+Mercredi!AC11+Jeudi!AC11+Vendredi!AC11+Samedi!AC11</f>
        <v>0</v>
      </c>
      <c r="AD11" s="10">
        <f>'Lundi '!AD11+Mardi!AD11+Mercredi!AD11+Jeudi!AD11+Vendredi!AD11+Samedi!AD11</f>
        <v>1</v>
      </c>
      <c r="AE11" s="10">
        <f>'Lundi '!AE11+Mardi!AE11+Mercredi!AE11+Jeudi!AE11+Vendredi!AE11+Samedi!AE11</f>
        <v>1</v>
      </c>
      <c r="AF11" s="10">
        <f>'Lundi '!AF11+Mardi!AF11+Mercredi!AF11+Jeudi!AF11+Vendredi!AF11+Samedi!AF11</f>
        <v>1</v>
      </c>
      <c r="AG11" s="6">
        <f>'Lundi '!AG11+Mardi!AG11+Mercredi!AG11+Jeudi!AG11+Vendredi!AG11+Samedi!AG11</f>
        <v>56</v>
      </c>
      <c r="AH11" s="7">
        <f>'Lundi '!AH11+Mardi!AH11+Mercredi!AH11+Jeudi!AH11+Vendredi!AH11+Samedi!AH11</f>
        <v>0</v>
      </c>
      <c r="AI11" s="7">
        <f>'Lundi '!AI11+Mardi!AI11+Mercredi!AI11+Jeudi!AI11+Vendredi!AI11+Samedi!AI11</f>
        <v>0</v>
      </c>
      <c r="AJ11" s="7">
        <f>'Lundi '!AJ11+Mardi!AJ11+Mercredi!AJ11+Jeudi!AJ11+Vendredi!AJ11+Samedi!AJ11</f>
        <v>0</v>
      </c>
      <c r="AK11" s="8">
        <f>'Lundi '!AK11+Mardi!AK11+Mercredi!AK11+Jeudi!AK11+Vendredi!AK11+Samedi!AK11</f>
        <v>0</v>
      </c>
      <c r="AL11" s="9">
        <f>'Lundi '!AL11+Mardi!AL11+Mercredi!AL11+Jeudi!AL11+Vendredi!AL11+Samedi!AL11</f>
        <v>12</v>
      </c>
      <c r="AM11" s="10">
        <f>'Lundi '!AM11+Mardi!AM11+Mercredi!AM11+Jeudi!AM11+Vendredi!AM11+Samedi!AM11</f>
        <v>0</v>
      </c>
      <c r="AN11" s="10">
        <f>'Lundi '!AN11+Mardi!AN11+Mercredi!AN11+Jeudi!AN11+Vendredi!AN11+Samedi!AN11</f>
        <v>7</v>
      </c>
      <c r="AO11" s="10">
        <f>'Lundi '!AO11+Mardi!AO11+Mercredi!AO11+Jeudi!AO11+Vendredi!AO11+Samedi!AO11</f>
        <v>4</v>
      </c>
      <c r="AP11" s="11">
        <f>'Lundi '!AP11+Mardi!AP11+Mercredi!AP11+Jeudi!AP11+Vendredi!AP11+Samedi!AP11</f>
        <v>37</v>
      </c>
      <c r="AQ11" s="91">
        <f>'Lundi '!AQ11+Mardi!AQ11+Mercredi!AQ11+Jeudi!AQ11+Vendredi!AQ11+Samedi!AQ11</f>
        <v>4.1666666666666661</v>
      </c>
      <c r="AR11" s="10">
        <f>'Lundi '!AR11+Mardi!AR11+Mercredi!AR11+Jeudi!AR11+Vendredi!AR11+Samedi!AR11</f>
        <v>0</v>
      </c>
      <c r="AS11" s="10">
        <f>'Lundi '!AS11+Mardi!AS11+Mercredi!AS11+Jeudi!AS11+Vendredi!AS11+Samedi!AS11</f>
        <v>0.9</v>
      </c>
      <c r="AT11" s="10">
        <f>'Lundi '!AT11+Mardi!AT11+Mercredi!AT11+Jeudi!AT11+Vendredi!AT11+Samedi!AT11</f>
        <v>1.4</v>
      </c>
      <c r="AU11" s="10">
        <f>'Lundi '!AU11+Mardi!AU11+Mercredi!AU11+Jeudi!AU11+Vendredi!AU11+Samedi!AU11</f>
        <v>12</v>
      </c>
      <c r="AV11" s="6">
        <f>'Lundi '!AV11+Mardi!AV11+Mercredi!AV11+Jeudi!AV11+Vendredi!AV11+Samedi!AV11</f>
        <v>26</v>
      </c>
      <c r="AW11" s="7">
        <f>'Lundi '!AW11+Mardi!AW11+Mercredi!AW11+Jeudi!AW11+Vendredi!AW11+Samedi!AW11</f>
        <v>20</v>
      </c>
      <c r="AX11" s="7">
        <f>'Lundi '!AX11+Mardi!AX11+Mercredi!AX11+Jeudi!AX11+Vendredi!AX11+Samedi!AX11</f>
        <v>24</v>
      </c>
      <c r="AY11" s="7">
        <f>'Lundi '!AY11+Mardi!AY11+Mercredi!AY11+Jeudi!AY11+Vendredi!AY11+Samedi!AY11</f>
        <v>0</v>
      </c>
      <c r="AZ11" s="8">
        <f>'Lundi '!AZ11+Mardi!AZ11+Mercredi!AZ11+Jeudi!AZ11+Vendredi!AZ11+Samedi!AZ11</f>
        <v>0</v>
      </c>
      <c r="BA11" s="6">
        <f>'Lundi '!BA11+Mardi!BA11+Mercredi!BA11+Jeudi!BA11+Vendredi!BA11+Samedi!BA11</f>
        <v>76</v>
      </c>
      <c r="BB11" s="7">
        <f>'Lundi '!BB11+Mardi!BB11+Mercredi!BB11+Jeudi!BB11+Vendredi!BB11+Samedi!BB11</f>
        <v>0</v>
      </c>
      <c r="BC11" s="8">
        <f>'Lundi '!BC11+Mardi!BC11+Mercredi!BC11+Jeudi!BC11+Vendredi!BC11+Samedi!BC11</f>
        <v>132</v>
      </c>
      <c r="BD11" s="140"/>
      <c r="BE11" s="179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>
        <f>'Lundi '!W12+Mardi!W12+Mercredi!W12+Jeudi!W12+Vendredi!W12+Samedi!W12</f>
        <v>198</v>
      </c>
      <c r="X12" s="7">
        <f>'Lundi '!X12+Mardi!X12+Mercredi!X12+Jeudi!X12+Vendredi!X12+Samedi!X12</f>
        <v>0</v>
      </c>
      <c r="Y12" s="7">
        <f>'Lundi '!Y12+Mardi!Y12+Mercredi!Y12+Jeudi!Y12+Vendredi!Y12+Samedi!Y12</f>
        <v>0</v>
      </c>
      <c r="Z12" s="7">
        <f>'Lundi '!Z12+Mardi!Z12+Mercredi!Z12+Jeudi!Z12+Vendredi!Z12+Samedi!Z12</f>
        <v>0</v>
      </c>
      <c r="AA12" s="8">
        <f>'Lundi '!AA12+Mardi!AA12+Mercredi!AA12+Jeudi!AA12+Vendredi!AA12+Samedi!AA12</f>
        <v>0</v>
      </c>
      <c r="AB12" s="10">
        <f>'Lundi '!AB12+Mardi!AB12+Mercredi!AB12+Jeudi!AB12+Vendredi!AB12+Samedi!AB12</f>
        <v>2</v>
      </c>
      <c r="AC12" s="10">
        <f>'Lundi '!AC12+Mardi!AC12+Mercredi!AC12+Jeudi!AC12+Vendredi!AC12+Samedi!AC12</f>
        <v>0</v>
      </c>
      <c r="AD12" s="10">
        <f>'Lundi '!AD12+Mardi!AD12+Mercredi!AD12+Jeudi!AD12+Vendredi!AD12+Samedi!AD12</f>
        <v>2</v>
      </c>
      <c r="AE12" s="10">
        <f>'Lundi '!AE12+Mardi!AE12+Mercredi!AE12+Jeudi!AE12+Vendredi!AE12+Samedi!AE12</f>
        <v>3</v>
      </c>
      <c r="AF12" s="10">
        <f>'Lundi '!AF12+Mardi!AF12+Mercredi!AF12+Jeudi!AF12+Vendredi!AF12+Samedi!AF12</f>
        <v>1</v>
      </c>
      <c r="AG12" s="6">
        <f>'Lundi '!AG12+Mardi!AG12+Mercredi!AG12+Jeudi!AG12+Vendredi!AG12+Samedi!AG12</f>
        <v>53</v>
      </c>
      <c r="AH12" s="7">
        <f>'Lundi '!AH12+Mardi!AH12+Mercredi!AH12+Jeudi!AH12+Vendredi!AH12+Samedi!AH12</f>
        <v>0</v>
      </c>
      <c r="AI12" s="7">
        <f>'Lundi '!AI12+Mardi!AI12+Mercredi!AI12+Jeudi!AI12+Vendredi!AI12+Samedi!AI12</f>
        <v>0</v>
      </c>
      <c r="AJ12" s="7">
        <f>'Lundi '!AJ12+Mardi!AJ12+Mercredi!AJ12+Jeudi!AJ12+Vendredi!AJ12+Samedi!AJ12</f>
        <v>0</v>
      </c>
      <c r="AK12" s="8">
        <f>'Lundi '!AK12+Mardi!AK12+Mercredi!AK12+Jeudi!AK12+Vendredi!AK12+Samedi!AK12</f>
        <v>0</v>
      </c>
      <c r="AL12" s="9">
        <f>'Lundi '!AL12+Mardi!AL12+Mercredi!AL12+Jeudi!AL12+Vendredi!AL12+Samedi!AL12</f>
        <v>8</v>
      </c>
      <c r="AM12" s="10">
        <f>'Lundi '!AM12+Mardi!AM12+Mercredi!AM12+Jeudi!AM12+Vendredi!AM12+Samedi!AM12</f>
        <v>0</v>
      </c>
      <c r="AN12" s="10">
        <f>'Lundi '!AN12+Mardi!AN12+Mercredi!AN12+Jeudi!AN12+Vendredi!AN12+Samedi!AN12</f>
        <v>5</v>
      </c>
      <c r="AO12" s="10">
        <f>'Lundi '!AO12+Mardi!AO12+Mercredi!AO12+Jeudi!AO12+Vendredi!AO12+Samedi!AO12</f>
        <v>10</v>
      </c>
      <c r="AP12" s="11">
        <f>'Lundi '!AP12+Mardi!AP12+Mercredi!AP12+Jeudi!AP12+Vendredi!AP12+Samedi!AP12</f>
        <v>37</v>
      </c>
      <c r="AQ12" s="91">
        <f>'Lundi '!AQ12+Mardi!AQ12+Mercredi!AQ12+Jeudi!AQ12+Vendredi!AQ12+Samedi!AQ12</f>
        <v>2.3333333333333335</v>
      </c>
      <c r="AR12" s="10">
        <f>'Lundi '!AR12+Mardi!AR12+Mercredi!AR12+Jeudi!AR12+Vendredi!AR12+Samedi!AR12</f>
        <v>0</v>
      </c>
      <c r="AS12" s="10">
        <f>'Lundi '!AS12+Mardi!AS12+Mercredi!AS12+Jeudi!AS12+Vendredi!AS12+Samedi!AS12</f>
        <v>0.75</v>
      </c>
      <c r="AT12" s="10">
        <f>'Lundi '!AT12+Mardi!AT12+Mercredi!AT12+Jeudi!AT12+Vendredi!AT12+Samedi!AT12</f>
        <v>2.8</v>
      </c>
      <c r="AU12" s="10">
        <f>'Lundi '!AU12+Mardi!AU12+Mercredi!AU12+Jeudi!AU12+Vendredi!AU12+Samedi!AU12</f>
        <v>10.5</v>
      </c>
      <c r="AV12" s="6">
        <f>'Lundi '!AV12+Mardi!AV12+Mercredi!AV12+Jeudi!AV12+Vendredi!AV12+Samedi!AV12</f>
        <v>26</v>
      </c>
      <c r="AW12" s="7">
        <f>'Lundi '!AW12+Mardi!AW12+Mercredi!AW12+Jeudi!AW12+Vendredi!AW12+Samedi!AW12</f>
        <v>20</v>
      </c>
      <c r="AX12" s="7">
        <f>'Lundi '!AX12+Mardi!AX12+Mercredi!AX12+Jeudi!AX12+Vendredi!AX12+Samedi!AX12</f>
        <v>24</v>
      </c>
      <c r="AY12" s="7">
        <f>'Lundi '!AY12+Mardi!AY12+Mercredi!AY12+Jeudi!AY12+Vendredi!AY12+Samedi!AY12</f>
        <v>0</v>
      </c>
      <c r="AZ12" s="8">
        <f>'Lundi '!AZ12+Mardi!AZ12+Mercredi!AZ12+Jeudi!AZ12+Vendredi!AZ12+Samedi!AZ12</f>
        <v>0</v>
      </c>
      <c r="BA12" s="6">
        <f>'Lundi '!BA12+Mardi!BA12+Mercredi!BA12+Jeudi!BA12+Vendredi!BA12+Samedi!BA12</f>
        <v>51</v>
      </c>
      <c r="BB12" s="7">
        <f>'Lundi '!BB12+Mardi!BB12+Mercredi!BB12+Jeudi!BB12+Vendredi!BB12+Samedi!BB12</f>
        <v>0</v>
      </c>
      <c r="BC12" s="8">
        <f>'Lundi '!BC12+Mardi!BC12+Mercredi!BC12+Jeudi!BC12+Vendredi!BC12+Samedi!BC12</f>
        <v>132</v>
      </c>
      <c r="BD12" s="141"/>
      <c r="BE12" s="177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>
        <f>'Lundi '!W13+Mardi!W13+Mercredi!W13+Jeudi!W13+Vendredi!W13+Samedi!W13</f>
        <v>170</v>
      </c>
      <c r="X13" s="7">
        <f>'Lundi '!X13+Mardi!X13+Mercredi!X13+Jeudi!X13+Vendredi!X13+Samedi!X13</f>
        <v>0</v>
      </c>
      <c r="Y13" s="7">
        <f>'Lundi '!Y13+Mardi!Y13+Mercredi!Y13+Jeudi!Y13+Vendredi!Y13+Samedi!Y13</f>
        <v>0</v>
      </c>
      <c r="Z13" s="7">
        <f>'Lundi '!Z13+Mardi!Z13+Mercredi!Z13+Jeudi!Z13+Vendredi!Z13+Samedi!Z13</f>
        <v>0</v>
      </c>
      <c r="AA13" s="8">
        <f>'Lundi '!AA13+Mardi!AA13+Mercredi!AA13+Jeudi!AA13+Vendredi!AA13+Samedi!AA13</f>
        <v>0</v>
      </c>
      <c r="AB13" s="10">
        <f>'Lundi '!AB13+Mardi!AB13+Mercredi!AB13+Jeudi!AB13+Vendredi!AB13+Samedi!AB13</f>
        <v>2</v>
      </c>
      <c r="AC13" s="10">
        <f>'Lundi '!AC13+Mardi!AC13+Mercredi!AC13+Jeudi!AC13+Vendredi!AC13+Samedi!AC13</f>
        <v>0</v>
      </c>
      <c r="AD13" s="10">
        <f>'Lundi '!AD13+Mardi!AD13+Mercredi!AD13+Jeudi!AD13+Vendredi!AD13+Samedi!AD13</f>
        <v>1</v>
      </c>
      <c r="AE13" s="10">
        <f>'Lundi '!AE13+Mardi!AE13+Mercredi!AE13+Jeudi!AE13+Vendredi!AE13+Samedi!AE13</f>
        <v>2</v>
      </c>
      <c r="AF13" s="10">
        <f>'Lundi '!AF13+Mardi!AF13+Mercredi!AF13+Jeudi!AF13+Vendredi!AF13+Samedi!AF13</f>
        <v>0</v>
      </c>
      <c r="AG13" s="6">
        <f>'Lundi '!AG13+Mardi!AG13+Mercredi!AG13+Jeudi!AG13+Vendredi!AG13+Samedi!AG13</f>
        <v>38</v>
      </c>
      <c r="AH13" s="7">
        <f>'Lundi '!AH13+Mardi!AH13+Mercredi!AH13+Jeudi!AH13+Vendredi!AH13+Samedi!AH13</f>
        <v>0</v>
      </c>
      <c r="AI13" s="7">
        <f>'Lundi '!AI13+Mardi!AI13+Mercredi!AI13+Jeudi!AI13+Vendredi!AI13+Samedi!AI13</f>
        <v>0</v>
      </c>
      <c r="AJ13" s="7">
        <f>'Lundi '!AJ13+Mardi!AJ13+Mercredi!AJ13+Jeudi!AJ13+Vendredi!AJ13+Samedi!AJ13</f>
        <v>0</v>
      </c>
      <c r="AK13" s="8">
        <f>'Lundi '!AK13+Mardi!AK13+Mercredi!AK13+Jeudi!AK13+Vendredi!AK13+Samedi!AK13</f>
        <v>0</v>
      </c>
      <c r="AL13" s="9">
        <f>'Lundi '!AL13+Mardi!AL13+Mercredi!AL13+Jeudi!AL13+Vendredi!AL13+Samedi!AL13</f>
        <v>9</v>
      </c>
      <c r="AM13" s="10">
        <f>'Lundi '!AM13+Mardi!AM13+Mercredi!AM13+Jeudi!AM13+Vendredi!AM13+Samedi!AM13</f>
        <v>0</v>
      </c>
      <c r="AN13" s="10">
        <f>'Lundi '!AN13+Mardi!AN13+Mercredi!AN13+Jeudi!AN13+Vendredi!AN13+Samedi!AN13</f>
        <v>4</v>
      </c>
      <c r="AO13" s="10">
        <f>'Lundi '!AO13+Mardi!AO13+Mercredi!AO13+Jeudi!AO13+Vendredi!AO13+Samedi!AO13</f>
        <v>10</v>
      </c>
      <c r="AP13" s="11">
        <f>'Lundi '!AP13+Mardi!AP13+Mercredi!AP13+Jeudi!AP13+Vendredi!AP13+Samedi!AP13</f>
        <v>20</v>
      </c>
      <c r="AQ13" s="91">
        <f>'Lundi '!AQ13+Mardi!AQ13+Mercredi!AQ13+Jeudi!AQ13+Vendredi!AQ13+Samedi!AQ13</f>
        <v>2.4166666666666665</v>
      </c>
      <c r="AR13" s="10">
        <f>'Lundi '!AR13+Mardi!AR13+Mercredi!AR13+Jeudi!AR13+Vendredi!AR13+Samedi!AR13</f>
        <v>0</v>
      </c>
      <c r="AS13" s="10">
        <f>'Lundi '!AS13+Mardi!AS13+Mercredi!AS13+Jeudi!AS13+Vendredi!AS13+Samedi!AS13</f>
        <v>0.5</v>
      </c>
      <c r="AT13" s="10">
        <f>'Lundi '!AT13+Mardi!AT13+Mercredi!AT13+Jeudi!AT13+Vendredi!AT13+Samedi!AT13</f>
        <v>3.5</v>
      </c>
      <c r="AU13" s="10">
        <f>'Lundi '!AU13+Mardi!AU13+Mercredi!AU13+Jeudi!AU13+Vendredi!AU13+Samedi!AU13</f>
        <v>6.5</v>
      </c>
      <c r="AV13" s="6">
        <f>'Lundi '!AV13+Mardi!AV13+Mercredi!AV13+Jeudi!AV13+Vendredi!AV13+Samedi!AV13</f>
        <v>26</v>
      </c>
      <c r="AW13" s="7">
        <f>'Lundi '!AW13+Mardi!AW13+Mercredi!AW13+Jeudi!AW13+Vendredi!AW13+Samedi!AW13</f>
        <v>20</v>
      </c>
      <c r="AX13" s="7">
        <f>'Lundi '!AX13+Mardi!AX13+Mercredi!AX13+Jeudi!AX13+Vendredi!AX13+Samedi!AX13</f>
        <v>24</v>
      </c>
      <c r="AY13" s="7">
        <f>'Lundi '!AY13+Mardi!AY13+Mercredi!AY13+Jeudi!AY13+Vendredi!AY13+Samedi!AY13</f>
        <v>0</v>
      </c>
      <c r="AZ13" s="8">
        <f>'Lundi '!AZ13+Mardi!AZ13+Mercredi!AZ13+Jeudi!AZ13+Vendredi!AZ13+Samedi!AZ13</f>
        <v>0</v>
      </c>
      <c r="BA13" s="6">
        <f>'Lundi '!BA13+Mardi!BA13+Mercredi!BA13+Jeudi!BA13+Vendredi!BA13+Samedi!BA13</f>
        <v>42</v>
      </c>
      <c r="BB13" s="7">
        <f>'Lundi '!BB13+Mardi!BB13+Mercredi!BB13+Jeudi!BB13+Vendredi!BB13+Samedi!BB13</f>
        <v>0</v>
      </c>
      <c r="BC13" s="8">
        <f>'Lundi '!BC13+Mardi!BC13+Mercredi!BC13+Jeudi!BC13+Vendredi!BC13+Samedi!BC13</f>
        <v>95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>
        <f>'Lundi '!W14+Mardi!W14+Mercredi!W14+Jeudi!W14+Vendredi!W14+Samedi!W14</f>
        <v>172</v>
      </c>
      <c r="X14" s="7">
        <f>'Lundi '!X14+Mardi!X14+Mercredi!X14+Jeudi!X14+Vendredi!X14+Samedi!X14</f>
        <v>0</v>
      </c>
      <c r="Y14" s="7">
        <f>'Lundi '!Y14+Mardi!Y14+Mercredi!Y14+Jeudi!Y14+Vendredi!Y14+Samedi!Y14</f>
        <v>0</v>
      </c>
      <c r="Z14" s="7">
        <f>'Lundi '!Z14+Mardi!Z14+Mercredi!Z14+Jeudi!Z14+Vendredi!Z14+Samedi!Z14</f>
        <v>0</v>
      </c>
      <c r="AA14" s="8">
        <f>'Lundi '!AA14+Mardi!AA14+Mercredi!AA14+Jeudi!AA14+Vendredi!AA14+Samedi!AA14</f>
        <v>0</v>
      </c>
      <c r="AB14" s="10">
        <f>'Lundi '!AB14+Mardi!AB14+Mercredi!AB14+Jeudi!AB14+Vendredi!AB14+Samedi!AB14</f>
        <v>0</v>
      </c>
      <c r="AC14" s="10">
        <f>'Lundi '!AC14+Mardi!AC14+Mercredi!AC14+Jeudi!AC14+Vendredi!AC14+Samedi!AC14</f>
        <v>0</v>
      </c>
      <c r="AD14" s="10">
        <f>'Lundi '!AD14+Mardi!AD14+Mercredi!AD14+Jeudi!AD14+Vendredi!AD14+Samedi!AD14</f>
        <v>1</v>
      </c>
      <c r="AE14" s="10">
        <f>'Lundi '!AE14+Mardi!AE14+Mercredi!AE14+Jeudi!AE14+Vendredi!AE14+Samedi!AE14</f>
        <v>1</v>
      </c>
      <c r="AF14" s="10">
        <f>'Lundi '!AF14+Mardi!AF14+Mercredi!AF14+Jeudi!AF14+Vendredi!AF14+Samedi!AF14</f>
        <v>1</v>
      </c>
      <c r="AG14" s="6">
        <f>'Lundi '!AG14+Mardi!AG14+Mercredi!AG14+Jeudi!AG14+Vendredi!AG14+Samedi!AG14</f>
        <v>40</v>
      </c>
      <c r="AH14" s="7">
        <f>'Lundi '!AH14+Mardi!AH14+Mercredi!AH14+Jeudi!AH14+Vendredi!AH14+Samedi!AH14</f>
        <v>0</v>
      </c>
      <c r="AI14" s="7">
        <f>'Lundi '!AI14+Mardi!AI14+Mercredi!AI14+Jeudi!AI14+Vendredi!AI14+Samedi!AI14</f>
        <v>0</v>
      </c>
      <c r="AJ14" s="7">
        <f>'Lundi '!AJ14+Mardi!AJ14+Mercredi!AJ14+Jeudi!AJ14+Vendredi!AJ14+Samedi!AJ14</f>
        <v>0</v>
      </c>
      <c r="AK14" s="8">
        <f>'Lundi '!AK14+Mardi!AK14+Mercredi!AK14+Jeudi!AK14+Vendredi!AK14+Samedi!AK14</f>
        <v>0</v>
      </c>
      <c r="AL14" s="9">
        <f>'Lundi '!AL14+Mardi!AL14+Mercredi!AL14+Jeudi!AL14+Vendredi!AL14+Samedi!AL14</f>
        <v>5</v>
      </c>
      <c r="AM14" s="10">
        <f>'Lundi '!AM14+Mardi!AM14+Mercredi!AM14+Jeudi!AM14+Vendredi!AM14+Samedi!AM14</f>
        <v>0</v>
      </c>
      <c r="AN14" s="10">
        <f>'Lundi '!AN14+Mardi!AN14+Mercredi!AN14+Jeudi!AN14+Vendredi!AN14+Samedi!AN14</f>
        <v>4</v>
      </c>
      <c r="AO14" s="10">
        <f>'Lundi '!AO14+Mardi!AO14+Mercredi!AO14+Jeudi!AO14+Vendredi!AO14+Samedi!AO14</f>
        <v>5</v>
      </c>
      <c r="AP14" s="11">
        <f>'Lundi '!AP14+Mardi!AP14+Mercredi!AP14+Jeudi!AP14+Vendredi!AP14+Samedi!AP14</f>
        <v>29</v>
      </c>
      <c r="AQ14" s="91">
        <f>'Lundi '!AQ14+Mardi!AQ14+Mercredi!AQ14+Jeudi!AQ14+Vendredi!AQ14+Samedi!AQ14</f>
        <v>2.0833333333333335</v>
      </c>
      <c r="AR14" s="10">
        <f>'Lundi '!AR14+Mardi!AR14+Mercredi!AR14+Jeudi!AR14+Vendredi!AR14+Samedi!AR14</f>
        <v>0</v>
      </c>
      <c r="AS14" s="10">
        <f>'Lundi '!AS14+Mardi!AS14+Mercredi!AS14+Jeudi!AS14+Vendredi!AS14+Samedi!AS14</f>
        <v>0.44999999999999996</v>
      </c>
      <c r="AT14" s="10">
        <f>'Lundi '!AT14+Mardi!AT14+Mercredi!AT14+Jeudi!AT14+Vendredi!AT14+Samedi!AT14</f>
        <v>1.5999999999999999</v>
      </c>
      <c r="AU14" s="10">
        <f>'Lundi '!AU14+Mardi!AU14+Mercredi!AU14+Jeudi!AU14+Vendredi!AU14+Samedi!AU14</f>
        <v>7.5</v>
      </c>
      <c r="AV14" s="6">
        <f>'Lundi '!AV14+Mardi!AV14+Mercredi!AV14+Jeudi!AV14+Vendredi!AV14+Samedi!AV14</f>
        <v>26</v>
      </c>
      <c r="AW14" s="7">
        <f>'Lundi '!AW14+Mardi!AW14+Mercredi!AW14+Jeudi!AW14+Vendredi!AW14+Samedi!AW14</f>
        <v>20</v>
      </c>
      <c r="AX14" s="7">
        <f>'Lundi '!AX14+Mardi!AX14+Mercredi!AX14+Jeudi!AX14+Vendredi!AX14+Samedi!AX14</f>
        <v>24</v>
      </c>
      <c r="AY14" s="7">
        <f>'Lundi '!AY14+Mardi!AY14+Mercredi!AY14+Jeudi!AY14+Vendredi!AY14+Samedi!AY14</f>
        <v>0</v>
      </c>
      <c r="AZ14" s="8">
        <f>'Lundi '!AZ14+Mardi!AZ14+Mercredi!AZ14+Jeudi!AZ14+Vendredi!AZ14+Samedi!AZ14</f>
        <v>0</v>
      </c>
      <c r="BA14" s="6">
        <f>'Lundi '!BA14+Mardi!BA14+Mercredi!BA14+Jeudi!BA14+Vendredi!BA14+Samedi!BA14</f>
        <v>40</v>
      </c>
      <c r="BB14" s="7">
        <f>'Lundi '!BB14+Mardi!BB14+Mercredi!BB14+Jeudi!BB14+Vendredi!BB14+Samedi!BB14</f>
        <v>0</v>
      </c>
      <c r="BC14" s="8">
        <f>'Lundi '!BC14+Mardi!BC14+Mercredi!BC14+Jeudi!BC14+Vendredi!BC14+Samedi!BC14</f>
        <v>88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>
        <f>'Lundi '!W15+Mardi!W15+Mercredi!W15+Jeudi!W15+Vendredi!W15+Samedi!W15</f>
        <v>174</v>
      </c>
      <c r="X15" s="7">
        <f>'Lundi '!X15+Mardi!X15+Mercredi!X15+Jeudi!X15+Vendredi!X15+Samedi!X15</f>
        <v>0</v>
      </c>
      <c r="Y15" s="7">
        <f>'Lundi '!Y15+Mardi!Y15+Mercredi!Y15+Jeudi!Y15+Vendredi!Y15+Samedi!Y15</f>
        <v>0</v>
      </c>
      <c r="Z15" s="7">
        <f>'Lundi '!Z15+Mardi!Z15+Mercredi!Z15+Jeudi!Z15+Vendredi!Z15+Samedi!Z15</f>
        <v>0</v>
      </c>
      <c r="AA15" s="8">
        <f>'Lundi '!AA15+Mardi!AA15+Mercredi!AA15+Jeudi!AA15+Vendredi!AA15+Samedi!AA15</f>
        <v>0</v>
      </c>
      <c r="AB15" s="10">
        <f>'Lundi '!AB15+Mardi!AB15+Mercredi!AB15+Jeudi!AB15+Vendredi!AB15+Samedi!AB15</f>
        <v>1</v>
      </c>
      <c r="AC15" s="10">
        <f>'Lundi '!AC15+Mardi!AC15+Mercredi!AC15+Jeudi!AC15+Vendredi!AC15+Samedi!AC15</f>
        <v>0</v>
      </c>
      <c r="AD15" s="10">
        <f>'Lundi '!AD15+Mardi!AD15+Mercredi!AD15+Jeudi!AD15+Vendredi!AD15+Samedi!AD15</f>
        <v>0</v>
      </c>
      <c r="AE15" s="10">
        <f>'Lundi '!AE15+Mardi!AE15+Mercredi!AE15+Jeudi!AE15+Vendredi!AE15+Samedi!AE15</f>
        <v>3</v>
      </c>
      <c r="AF15" s="10">
        <f>'Lundi '!AF15+Mardi!AF15+Mercredi!AF15+Jeudi!AF15+Vendredi!AF15+Samedi!AF15</f>
        <v>1</v>
      </c>
      <c r="AG15" s="6">
        <f>'Lundi '!AG15+Mardi!AG15+Mercredi!AG15+Jeudi!AG15+Vendredi!AG15+Samedi!AG15</f>
        <v>46</v>
      </c>
      <c r="AH15" s="7">
        <f>'Lundi '!AH15+Mardi!AH15+Mercredi!AH15+Jeudi!AH15+Vendredi!AH15+Samedi!AH15</f>
        <v>0</v>
      </c>
      <c r="AI15" s="7">
        <f>'Lundi '!AI15+Mardi!AI15+Mercredi!AI15+Jeudi!AI15+Vendredi!AI15+Samedi!AI15</f>
        <v>0</v>
      </c>
      <c r="AJ15" s="7">
        <f>'Lundi '!AJ15+Mardi!AJ15+Mercredi!AJ15+Jeudi!AJ15+Vendredi!AJ15+Samedi!AJ15</f>
        <v>0</v>
      </c>
      <c r="AK15" s="8">
        <f>'Lundi '!AK15+Mardi!AK15+Mercredi!AK15+Jeudi!AK15+Vendredi!AK15+Samedi!AK15</f>
        <v>0</v>
      </c>
      <c r="AL15" s="9">
        <f>'Lundi '!AL15+Mardi!AL15+Mercredi!AL15+Jeudi!AL15+Vendredi!AL15+Samedi!AL15</f>
        <v>6</v>
      </c>
      <c r="AM15" s="10">
        <f>'Lundi '!AM15+Mardi!AM15+Mercredi!AM15+Jeudi!AM15+Vendredi!AM15+Samedi!AM15</f>
        <v>0</v>
      </c>
      <c r="AN15" s="10">
        <f>'Lundi '!AN15+Mardi!AN15+Mercredi!AN15+Jeudi!AN15+Vendredi!AN15+Samedi!AN15</f>
        <v>5</v>
      </c>
      <c r="AO15" s="10">
        <f>'Lundi '!AO15+Mardi!AO15+Mercredi!AO15+Jeudi!AO15+Vendredi!AO15+Samedi!AO15</f>
        <v>11</v>
      </c>
      <c r="AP15" s="11">
        <f>'Lundi '!AP15+Mardi!AP15+Mercredi!AP15+Jeudi!AP15+Vendredi!AP15+Samedi!AP15</f>
        <v>28</v>
      </c>
      <c r="AQ15" s="91">
        <f>'Lundi '!AQ15+Mardi!AQ15+Mercredi!AQ15+Jeudi!AQ15+Vendredi!AQ15+Samedi!AQ15</f>
        <v>2.25</v>
      </c>
      <c r="AR15" s="10">
        <f>'Lundi '!AR15+Mardi!AR15+Mercredi!AR15+Jeudi!AR15+Vendredi!AR15+Samedi!AR15</f>
        <v>0</v>
      </c>
      <c r="AS15" s="10">
        <f>'Lundi '!AS15+Mardi!AS15+Mercredi!AS15+Jeudi!AS15+Vendredi!AS15+Samedi!AS15</f>
        <v>0.75</v>
      </c>
      <c r="AT15" s="10">
        <f>'Lundi '!AT15+Mardi!AT15+Mercredi!AT15+Jeudi!AT15+Vendredi!AT15+Samedi!AT15</f>
        <v>2.4</v>
      </c>
      <c r="AU15" s="10">
        <f>'Lundi '!AU15+Mardi!AU15+Mercredi!AU15+Jeudi!AU15+Vendredi!AU15+Samedi!AU15</f>
        <v>8.5</v>
      </c>
      <c r="AV15" s="6">
        <f>'Lundi '!AV15+Mardi!AV15+Mercredi!AV15+Jeudi!AV15+Vendredi!AV15+Samedi!AV15</f>
        <v>26</v>
      </c>
      <c r="AW15" s="7">
        <f>'Lundi '!AW15+Mardi!AW15+Mercredi!AW15+Jeudi!AW15+Vendredi!AW15+Samedi!AW15</f>
        <v>20</v>
      </c>
      <c r="AX15" s="7">
        <f>'Lundi '!AX15+Mardi!AX15+Mercredi!AX15+Jeudi!AX15+Vendredi!AX15+Samedi!AX15</f>
        <v>24</v>
      </c>
      <c r="AY15" s="7">
        <f>'Lundi '!AY15+Mardi!AY15+Mercredi!AY15+Jeudi!AY15+Vendredi!AY15+Samedi!AY15</f>
        <v>0</v>
      </c>
      <c r="AZ15" s="8">
        <f>'Lundi '!AZ15+Mardi!AZ15+Mercredi!AZ15+Jeudi!AZ15+Vendredi!AZ15+Samedi!AZ15</f>
        <v>0</v>
      </c>
      <c r="BA15" s="6">
        <f>'Lundi '!BA15+Mardi!BA15+Mercredi!BA15+Jeudi!BA15+Vendredi!BA15+Samedi!BA15</f>
        <v>52</v>
      </c>
      <c r="BB15" s="7">
        <f>'Lundi '!BB15+Mardi!BB15+Mercredi!BB15+Jeudi!BB15+Vendredi!BB15+Samedi!BB15</f>
        <v>0</v>
      </c>
      <c r="BC15" s="8">
        <f>'Lundi '!BC15+Mardi!BC15+Mercredi!BC15+Jeudi!BC15+Vendredi!BC15+Samedi!BC15</f>
        <v>108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>
        <f>'Lundi '!W16+Mardi!W16+Mercredi!W16+Jeudi!W16+Vendredi!W16+Samedi!W16</f>
        <v>191</v>
      </c>
      <c r="X16" s="7">
        <f>'Lundi '!X16+Mardi!X16+Mercredi!X16+Jeudi!X16+Vendredi!X16+Samedi!X16</f>
        <v>0</v>
      </c>
      <c r="Y16" s="7">
        <f>'Lundi '!Y16+Mardi!Y16+Mercredi!Y16+Jeudi!Y16+Vendredi!Y16+Samedi!Y16</f>
        <v>0</v>
      </c>
      <c r="Z16" s="7">
        <f>'Lundi '!Z16+Mardi!Z16+Mercredi!Z16+Jeudi!Z16+Vendredi!Z16+Samedi!Z16</f>
        <v>0</v>
      </c>
      <c r="AA16" s="8">
        <f>'Lundi '!AA16+Mardi!AA16+Mercredi!AA16+Jeudi!AA16+Vendredi!AA16+Samedi!AA16</f>
        <v>0</v>
      </c>
      <c r="AB16" s="10">
        <f>'Lundi '!AB16+Mardi!AB16+Mercredi!AB16+Jeudi!AB16+Vendredi!AB16+Samedi!AB16</f>
        <v>1</v>
      </c>
      <c r="AC16" s="10">
        <f>'Lundi '!AC16+Mardi!AC16+Mercredi!AC16+Jeudi!AC16+Vendredi!AC16+Samedi!AC16</f>
        <v>0</v>
      </c>
      <c r="AD16" s="10">
        <f>'Lundi '!AD16+Mardi!AD16+Mercredi!AD16+Jeudi!AD16+Vendredi!AD16+Samedi!AD16</f>
        <v>2</v>
      </c>
      <c r="AE16" s="10">
        <f>'Lundi '!AE16+Mardi!AE16+Mercredi!AE16+Jeudi!AE16+Vendredi!AE16+Samedi!AE16</f>
        <v>0</v>
      </c>
      <c r="AF16" s="10">
        <f>'Lundi '!AF16+Mardi!AF16+Mercredi!AF16+Jeudi!AF16+Vendredi!AF16+Samedi!AF16</f>
        <v>1</v>
      </c>
      <c r="AG16" s="6">
        <f>'Lundi '!AG16+Mardi!AG16+Mercredi!AG16+Jeudi!AG16+Vendredi!AG16+Samedi!AG16</f>
        <v>51</v>
      </c>
      <c r="AH16" s="7">
        <f>'Lundi '!AH16+Mardi!AH16+Mercredi!AH16+Jeudi!AH16+Vendredi!AH16+Samedi!AH16</f>
        <v>0</v>
      </c>
      <c r="AI16" s="7">
        <f>'Lundi '!AI16+Mardi!AI16+Mercredi!AI16+Jeudi!AI16+Vendredi!AI16+Samedi!AI16</f>
        <v>0</v>
      </c>
      <c r="AJ16" s="7">
        <f>'Lundi '!AJ16+Mardi!AJ16+Mercredi!AJ16+Jeudi!AJ16+Vendredi!AJ16+Samedi!AJ16</f>
        <v>0</v>
      </c>
      <c r="AK16" s="8">
        <f>'Lundi '!AK16+Mardi!AK16+Mercredi!AK16+Jeudi!AK16+Vendredi!AK16+Samedi!AK16</f>
        <v>0</v>
      </c>
      <c r="AL16" s="9">
        <f>'Lundi '!AL16+Mardi!AL16+Mercredi!AL16+Jeudi!AL16+Vendredi!AL16+Samedi!AL16</f>
        <v>9</v>
      </c>
      <c r="AM16" s="10">
        <f>'Lundi '!AM16+Mardi!AM16+Mercredi!AM16+Jeudi!AM16+Vendredi!AM16+Samedi!AM16</f>
        <v>0</v>
      </c>
      <c r="AN16" s="10">
        <f>'Lundi '!AN16+Mardi!AN16+Mercredi!AN16+Jeudi!AN16+Vendredi!AN16+Samedi!AN16</f>
        <v>5</v>
      </c>
      <c r="AO16" s="10">
        <f>'Lundi '!AO16+Mardi!AO16+Mercredi!AO16+Jeudi!AO16+Vendredi!AO16+Samedi!AO16</f>
        <v>6</v>
      </c>
      <c r="AP16" s="11">
        <f>'Lundi '!AP16+Mardi!AP16+Mercredi!AP16+Jeudi!AP16+Vendredi!AP16+Samedi!AP16</f>
        <v>35</v>
      </c>
      <c r="AQ16" s="91">
        <f>'Lundi '!AQ16+Mardi!AQ16+Mercredi!AQ16+Jeudi!AQ16+Vendredi!AQ16+Samedi!AQ16</f>
        <v>2.5833333333333335</v>
      </c>
      <c r="AR16" s="10">
        <f>'Lundi '!AR16+Mardi!AR16+Mercredi!AR16+Jeudi!AR16+Vendredi!AR16+Samedi!AR16</f>
        <v>0</v>
      </c>
      <c r="AS16" s="10">
        <f>'Lundi '!AS16+Mardi!AS16+Mercredi!AS16+Jeudi!AS16+Vendredi!AS16+Samedi!AS16</f>
        <v>0.6</v>
      </c>
      <c r="AT16" s="10">
        <f>'Lundi '!AT16+Mardi!AT16+Mercredi!AT16+Jeudi!AT16+Vendredi!AT16+Samedi!AT16</f>
        <v>2.2999999999999998</v>
      </c>
      <c r="AU16" s="10">
        <f>'Lundi '!AU16+Mardi!AU16+Mercredi!AU16+Jeudi!AU16+Vendredi!AU16+Samedi!AU16</f>
        <v>10</v>
      </c>
      <c r="AV16" s="6">
        <f>'Lundi '!AV16+Mardi!AV16+Mercredi!AV16+Jeudi!AV16+Vendredi!AV16+Samedi!AV16</f>
        <v>26</v>
      </c>
      <c r="AW16" s="7">
        <f>'Lundi '!AW16+Mardi!AW16+Mercredi!AW16+Jeudi!AW16+Vendredi!AW16+Samedi!AW16</f>
        <v>20</v>
      </c>
      <c r="AX16" s="7">
        <f>'Lundi '!AX16+Mardi!AX16+Mercredi!AX16+Jeudi!AX16+Vendredi!AX16+Samedi!AX16</f>
        <v>24</v>
      </c>
      <c r="AY16" s="7">
        <f>'Lundi '!AY16+Mardi!AY16+Mercredi!AY16+Jeudi!AY16+Vendredi!AY16+Samedi!AY16</f>
        <v>0</v>
      </c>
      <c r="AZ16" s="8">
        <f>'Lundi '!AZ16+Mardi!AZ16+Mercredi!AZ16+Jeudi!AZ16+Vendredi!AZ16+Samedi!AZ16</f>
        <v>0</v>
      </c>
      <c r="BA16" s="6">
        <f>'Lundi '!BA16+Mardi!BA16+Mercredi!BA16+Jeudi!BA16+Vendredi!BA16+Samedi!BA16</f>
        <v>49</v>
      </c>
      <c r="BB16" s="7">
        <f>'Lundi '!BB16+Mardi!BB16+Mercredi!BB16+Jeudi!BB16+Vendredi!BB16+Samedi!BB16</f>
        <v>0</v>
      </c>
      <c r="BC16" s="8">
        <f>'Lundi '!BC16+Mardi!BC16+Mercredi!BC16+Jeudi!BC16+Vendredi!BC16+Samedi!BC16</f>
        <v>121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>
        <f>'Lundi '!W17+Mardi!W17+Mercredi!W17+Jeudi!W17+Vendredi!W17+Samedi!W17</f>
        <v>176</v>
      </c>
      <c r="X17" s="7">
        <f>'Lundi '!X17+Mardi!X17+Mercredi!X17+Jeudi!X17+Vendredi!X17+Samedi!X17</f>
        <v>0</v>
      </c>
      <c r="Y17" s="7">
        <f>'Lundi '!Y17+Mardi!Y17+Mercredi!Y17+Jeudi!Y17+Vendredi!Y17+Samedi!Y17</f>
        <v>0</v>
      </c>
      <c r="Z17" s="7">
        <f>'Lundi '!Z17+Mardi!Z17+Mercredi!Z17+Jeudi!Z17+Vendredi!Z17+Samedi!Z17</f>
        <v>0</v>
      </c>
      <c r="AA17" s="8">
        <f>'Lundi '!AA17+Mardi!AA17+Mercredi!AA17+Jeudi!AA17+Vendredi!AA17+Samedi!AA17</f>
        <v>0</v>
      </c>
      <c r="AB17" s="10">
        <f>'Lundi '!AB17+Mardi!AB17+Mercredi!AB17+Jeudi!AB17+Vendredi!AB17+Samedi!AB17</f>
        <v>1</v>
      </c>
      <c r="AC17" s="10">
        <f>'Lundi '!AC17+Mardi!AC17+Mercredi!AC17+Jeudi!AC17+Vendredi!AC17+Samedi!AC17</f>
        <v>0</v>
      </c>
      <c r="AD17" s="10">
        <f>'Lundi '!AD17+Mardi!AD17+Mercredi!AD17+Jeudi!AD17+Vendredi!AD17+Samedi!AD17</f>
        <v>1</v>
      </c>
      <c r="AE17" s="10">
        <f>'Lundi '!AE17+Mardi!AE17+Mercredi!AE17+Jeudi!AE17+Vendredi!AE17+Samedi!AE17</f>
        <v>0</v>
      </c>
      <c r="AF17" s="10">
        <f>'Lundi '!AF17+Mardi!AF17+Mercredi!AF17+Jeudi!AF17+Vendredi!AF17+Samedi!AF17</f>
        <v>5</v>
      </c>
      <c r="AG17" s="6">
        <f>'Lundi '!AG17+Mardi!AG17+Mercredi!AG17+Jeudi!AG17+Vendredi!AG17+Samedi!AG17</f>
        <v>38</v>
      </c>
      <c r="AH17" s="7">
        <f>'Lundi '!AH17+Mardi!AH17+Mercredi!AH17+Jeudi!AH17+Vendredi!AH17+Samedi!AH17</f>
        <v>0</v>
      </c>
      <c r="AI17" s="7">
        <f>'Lundi '!AI17+Mardi!AI17+Mercredi!AI17+Jeudi!AI17+Vendredi!AI17+Samedi!AI17</f>
        <v>0</v>
      </c>
      <c r="AJ17" s="7">
        <f>'Lundi '!AJ17+Mardi!AJ17+Mercredi!AJ17+Jeudi!AJ17+Vendredi!AJ17+Samedi!AJ17</f>
        <v>0</v>
      </c>
      <c r="AK17" s="8">
        <f>'Lundi '!AK17+Mardi!AK17+Mercredi!AK17+Jeudi!AK17+Vendredi!AK17+Samedi!AK17</f>
        <v>0</v>
      </c>
      <c r="AL17" s="9">
        <f>'Lundi '!AL17+Mardi!AL17+Mercredi!AL17+Jeudi!AL17+Vendredi!AL17+Samedi!AL17</f>
        <v>6</v>
      </c>
      <c r="AM17" s="10">
        <f>'Lundi '!AM17+Mardi!AM17+Mercredi!AM17+Jeudi!AM17+Vendredi!AM17+Samedi!AM17</f>
        <v>0</v>
      </c>
      <c r="AN17" s="10">
        <f>'Lundi '!AN17+Mardi!AN17+Mercredi!AN17+Jeudi!AN17+Vendredi!AN17+Samedi!AN17</f>
        <v>5</v>
      </c>
      <c r="AO17" s="10">
        <f>'Lundi '!AO17+Mardi!AO17+Mercredi!AO17+Jeudi!AO17+Vendredi!AO17+Samedi!AO17</f>
        <v>7</v>
      </c>
      <c r="AP17" s="11">
        <f>'Lundi '!AP17+Mardi!AP17+Mercredi!AP17+Jeudi!AP17+Vendredi!AP17+Samedi!AP17</f>
        <v>27</v>
      </c>
      <c r="AQ17" s="91">
        <f>'Lundi '!AQ17+Mardi!AQ17+Mercredi!AQ17+Jeudi!AQ17+Vendredi!AQ17+Samedi!AQ17</f>
        <v>1.8333333333333333</v>
      </c>
      <c r="AR17" s="10">
        <f>'Lundi '!AR17+Mardi!AR17+Mercredi!AR17+Jeudi!AR17+Vendredi!AR17+Samedi!AR17</f>
        <v>0</v>
      </c>
      <c r="AS17" s="10">
        <f>'Lundi '!AS17+Mardi!AS17+Mercredi!AS17+Jeudi!AS17+Vendredi!AS17+Samedi!AS17</f>
        <v>0.75</v>
      </c>
      <c r="AT17" s="10">
        <f>'Lundi '!AT17+Mardi!AT17+Mercredi!AT17+Jeudi!AT17+Vendredi!AT17+Samedi!AT17</f>
        <v>2.2000000000000002</v>
      </c>
      <c r="AU17" s="10">
        <f>'Lundi '!AU17+Mardi!AU17+Mercredi!AU17+Jeudi!AU17+Vendredi!AU17+Samedi!AU17</f>
        <v>7.5</v>
      </c>
      <c r="AV17" s="6">
        <f>'Lundi '!AV17+Mardi!AV17+Mercredi!AV17+Jeudi!AV17+Vendredi!AV17+Samedi!AV17</f>
        <v>26</v>
      </c>
      <c r="AW17" s="7">
        <f>'Lundi '!AW17+Mardi!AW17+Mercredi!AW17+Jeudi!AW17+Vendredi!AW17+Samedi!AW17</f>
        <v>20</v>
      </c>
      <c r="AX17" s="7">
        <f>'Lundi '!AX17+Mardi!AX17+Mercredi!AX17+Jeudi!AX17+Vendredi!AX17+Samedi!AX17</f>
        <v>24</v>
      </c>
      <c r="AY17" s="7">
        <f>'Lundi '!AY17+Mardi!AY17+Mercredi!AY17+Jeudi!AY17+Vendredi!AY17+Samedi!AY17</f>
        <v>0</v>
      </c>
      <c r="AZ17" s="8">
        <f>'Lundi '!AZ17+Mardi!AZ17+Mercredi!AZ17+Jeudi!AZ17+Vendredi!AZ17+Samedi!AZ17</f>
        <v>0</v>
      </c>
      <c r="BA17" s="6">
        <f>'Lundi '!BA17+Mardi!BA17+Mercredi!BA17+Jeudi!BA17+Vendredi!BA17+Samedi!BA17</f>
        <v>47</v>
      </c>
      <c r="BB17" s="7">
        <f>'Lundi '!BB17+Mardi!BB17+Mercredi!BB17+Jeudi!BB17+Vendredi!BB17+Samedi!BB17</f>
        <v>0</v>
      </c>
      <c r="BC17" s="8">
        <f>'Lundi '!BC17+Mardi!BC17+Mercredi!BC17+Jeudi!BC17+Vendredi!BC17+Samedi!BC17</f>
        <v>96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>
        <f>'Lundi '!W18+Mardi!W18+Mercredi!W18+Jeudi!W18+Vendredi!W18+Samedi!W18</f>
        <v>175</v>
      </c>
      <c r="X18" s="7">
        <f>'Lundi '!X18+Mardi!X18+Mercredi!X18+Jeudi!X18+Vendredi!X18+Samedi!X18</f>
        <v>0</v>
      </c>
      <c r="Y18" s="7">
        <f>'Lundi '!Y18+Mardi!Y18+Mercredi!Y18+Jeudi!Y18+Vendredi!Y18+Samedi!Y18</f>
        <v>0</v>
      </c>
      <c r="Z18" s="7">
        <f>'Lundi '!Z18+Mardi!Z18+Mercredi!Z18+Jeudi!Z18+Vendredi!Z18+Samedi!Z18</f>
        <v>0</v>
      </c>
      <c r="AA18" s="8">
        <f>'Lundi '!AA18+Mardi!AA18+Mercredi!AA18+Jeudi!AA18+Vendredi!AA18+Samedi!AA18</f>
        <v>0</v>
      </c>
      <c r="AB18" s="10">
        <f>'Lundi '!AB18+Mardi!AB18+Mercredi!AB18+Jeudi!AB18+Vendredi!AB18+Samedi!AB18</f>
        <v>2</v>
      </c>
      <c r="AC18" s="10">
        <f>'Lundi '!AC18+Mardi!AC18+Mercredi!AC18+Jeudi!AC18+Vendredi!AC18+Samedi!AC18</f>
        <v>0</v>
      </c>
      <c r="AD18" s="10">
        <f>'Lundi '!AD18+Mardi!AD18+Mercredi!AD18+Jeudi!AD18+Vendredi!AD18+Samedi!AD18</f>
        <v>2</v>
      </c>
      <c r="AE18" s="10">
        <f>'Lundi '!AE18+Mardi!AE18+Mercredi!AE18+Jeudi!AE18+Vendredi!AE18+Samedi!AE18</f>
        <v>0</v>
      </c>
      <c r="AF18" s="10">
        <f>'Lundi '!AF18+Mardi!AF18+Mercredi!AF18+Jeudi!AF18+Vendredi!AF18+Samedi!AF18</f>
        <v>0</v>
      </c>
      <c r="AG18" s="6">
        <f>'Lundi '!AG18+Mardi!AG18+Mercredi!AG18+Jeudi!AG18+Vendredi!AG18+Samedi!AG18</f>
        <v>60</v>
      </c>
      <c r="AH18" s="7">
        <f>'Lundi '!AH18+Mardi!AH18+Mercredi!AH18+Jeudi!AH18+Vendredi!AH18+Samedi!AH18</f>
        <v>0</v>
      </c>
      <c r="AI18" s="7">
        <f>'Lundi '!AI18+Mardi!AI18+Mercredi!AI18+Jeudi!AI18+Vendredi!AI18+Samedi!AI18</f>
        <v>0</v>
      </c>
      <c r="AJ18" s="7">
        <f>'Lundi '!AJ18+Mardi!AJ18+Mercredi!AJ18+Jeudi!AJ18+Vendredi!AJ18+Samedi!AJ18</f>
        <v>0</v>
      </c>
      <c r="AK18" s="8">
        <f>'Lundi '!AK18+Mardi!AK18+Mercredi!AK18+Jeudi!AK18+Vendredi!AK18+Samedi!AK18</f>
        <v>0</v>
      </c>
      <c r="AL18" s="9">
        <f>'Lundi '!AL18+Mardi!AL18+Mercredi!AL18+Jeudi!AL18+Vendredi!AL18+Samedi!AL18</f>
        <v>11</v>
      </c>
      <c r="AM18" s="10">
        <f>'Lundi '!AM18+Mardi!AM18+Mercredi!AM18+Jeudi!AM18+Vendredi!AM18+Samedi!AM18</f>
        <v>0</v>
      </c>
      <c r="AN18" s="10">
        <f>'Lundi '!AN18+Mardi!AN18+Mercredi!AN18+Jeudi!AN18+Vendredi!AN18+Samedi!AN18</f>
        <v>7</v>
      </c>
      <c r="AO18" s="10">
        <f>'Lundi '!AO18+Mardi!AO18+Mercredi!AO18+Jeudi!AO18+Vendredi!AO18+Samedi!AO18</f>
        <v>7</v>
      </c>
      <c r="AP18" s="11">
        <f>'Lundi '!AP18+Mardi!AP18+Mercredi!AP18+Jeudi!AP18+Vendredi!AP18+Samedi!AP18</f>
        <v>39</v>
      </c>
      <c r="AQ18" s="91">
        <f>'Lundi '!AQ18+Mardi!AQ18+Mercredi!AQ18+Jeudi!AQ18+Vendredi!AQ18+Samedi!AQ18</f>
        <v>3</v>
      </c>
      <c r="AR18" s="10">
        <f>'Lundi '!AR18+Mardi!AR18+Mercredi!AR18+Jeudi!AR18+Vendredi!AR18+Samedi!AR18</f>
        <v>0</v>
      </c>
      <c r="AS18" s="10">
        <f>'Lundi '!AS18+Mardi!AS18+Mercredi!AS18+Jeudi!AS18+Vendredi!AS18+Samedi!AS18</f>
        <v>0.75</v>
      </c>
      <c r="AT18" s="10">
        <f>'Lundi '!AT18+Mardi!AT18+Mercredi!AT18+Jeudi!AT18+Vendredi!AT18+Samedi!AT18</f>
        <v>2.6</v>
      </c>
      <c r="AU18" s="10">
        <f>'Lundi '!AU18+Mardi!AU18+Mercredi!AU18+Jeudi!AU18+Vendredi!AU18+Samedi!AU18</f>
        <v>12.95</v>
      </c>
      <c r="AV18" s="6">
        <f>'Lundi '!AV18+Mardi!AV18+Mercredi!AV18+Jeudi!AV18+Vendredi!AV18+Samedi!AV18</f>
        <v>26</v>
      </c>
      <c r="AW18" s="7">
        <f>'Lundi '!AW18+Mardi!AW18+Mercredi!AW18+Jeudi!AW18+Vendredi!AW18+Samedi!AW18</f>
        <v>20</v>
      </c>
      <c r="AX18" s="7">
        <f>'Lundi '!AX18+Mardi!AX18+Mercredi!AX18+Jeudi!AX18+Vendredi!AX18+Samedi!AX18</f>
        <v>24</v>
      </c>
      <c r="AY18" s="7">
        <f>'Lundi '!AY18+Mardi!AY18+Mercredi!AY18+Jeudi!AY18+Vendredi!AY18+Samedi!AY18</f>
        <v>0</v>
      </c>
      <c r="AZ18" s="8">
        <f>'Lundi '!AZ18+Mardi!AZ18+Mercredi!AZ18+Jeudi!AZ18+Vendredi!AZ18+Samedi!AZ18</f>
        <v>0</v>
      </c>
      <c r="BA18" s="6">
        <f>'Lundi '!BA18+Mardi!BA18+Mercredi!BA18+Jeudi!BA18+Vendredi!BA18+Samedi!BA18</f>
        <v>59</v>
      </c>
      <c r="BB18" s="7">
        <f>'Lundi '!BB18+Mardi!BB18+Mercredi!BB18+Jeudi!BB18+Vendredi!BB18+Samedi!BB18</f>
        <v>0</v>
      </c>
      <c r="BC18" s="8">
        <f>'Lundi '!BC18+Mardi!BC18+Mercredi!BC18+Jeudi!BC18+Vendredi!BC18+Samedi!BC18</f>
        <v>152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>
        <f>'Lundi '!W19+Mardi!W19+Mercredi!W19+Jeudi!W19+Vendredi!W19+Samedi!W19</f>
        <v>181</v>
      </c>
      <c r="X19" s="7">
        <f>'Lundi '!X19+Mardi!X19+Mercredi!X19+Jeudi!X19+Vendredi!X19+Samedi!X19</f>
        <v>0</v>
      </c>
      <c r="Y19" s="7">
        <f>'Lundi '!Y19+Mardi!Y19+Mercredi!Y19+Jeudi!Y19+Vendredi!Y19+Samedi!Y19</f>
        <v>0</v>
      </c>
      <c r="Z19" s="7">
        <f>'Lundi '!Z19+Mardi!Z19+Mercredi!Z19+Jeudi!Z19+Vendredi!Z19+Samedi!Z19</f>
        <v>0</v>
      </c>
      <c r="AA19" s="8">
        <f>'Lundi '!AA19+Mardi!AA19+Mercredi!AA19+Jeudi!AA19+Vendredi!AA19+Samedi!AA19</f>
        <v>0</v>
      </c>
      <c r="AB19" s="10">
        <f>'Lundi '!AB19+Mardi!AB19+Mercredi!AB19+Jeudi!AB19+Vendredi!AB19+Samedi!AB19</f>
        <v>0</v>
      </c>
      <c r="AC19" s="10">
        <f>'Lundi '!AC19+Mardi!AC19+Mercredi!AC19+Jeudi!AC19+Vendredi!AC19+Samedi!AC19</f>
        <v>0</v>
      </c>
      <c r="AD19" s="10">
        <f>'Lundi '!AD19+Mardi!AD19+Mercredi!AD19+Jeudi!AD19+Vendredi!AD19+Samedi!AD19</f>
        <v>1</v>
      </c>
      <c r="AE19" s="10">
        <f>'Lundi '!AE19+Mardi!AE19+Mercredi!AE19+Jeudi!AE19+Vendredi!AE19+Samedi!AE19</f>
        <v>2</v>
      </c>
      <c r="AF19" s="10">
        <f>'Lundi '!AF19+Mardi!AF19+Mercredi!AF19+Jeudi!AF19+Vendredi!AF19+Samedi!AF19</f>
        <v>1</v>
      </c>
      <c r="AG19" s="6">
        <f>'Lundi '!AG19+Mardi!AG19+Mercredi!AG19+Jeudi!AG19+Vendredi!AG19+Samedi!AG19</f>
        <v>45</v>
      </c>
      <c r="AH19" s="7">
        <f>'Lundi '!AH19+Mardi!AH19+Mercredi!AH19+Jeudi!AH19+Vendredi!AH19+Samedi!AH19</f>
        <v>0</v>
      </c>
      <c r="AI19" s="7">
        <f>'Lundi '!AI19+Mardi!AI19+Mercredi!AI19+Jeudi!AI19+Vendredi!AI19+Samedi!AI19</f>
        <v>0</v>
      </c>
      <c r="AJ19" s="7">
        <f>'Lundi '!AJ19+Mardi!AJ19+Mercredi!AJ19+Jeudi!AJ19+Vendredi!AJ19+Samedi!AJ19</f>
        <v>0</v>
      </c>
      <c r="AK19" s="8">
        <f>'Lundi '!AK19+Mardi!AK19+Mercredi!AK19+Jeudi!AK19+Vendredi!AK19+Samedi!AK19</f>
        <v>0</v>
      </c>
      <c r="AL19" s="9">
        <f>'Lundi '!AL19+Mardi!AL19+Mercredi!AL19+Jeudi!AL19+Vendredi!AL19+Samedi!AL19</f>
        <v>9</v>
      </c>
      <c r="AM19" s="10">
        <f>'Lundi '!AM19+Mardi!AM19+Mercredi!AM19+Jeudi!AM19+Vendredi!AM19+Samedi!AM19</f>
        <v>0</v>
      </c>
      <c r="AN19" s="10">
        <f>'Lundi '!AN19+Mardi!AN19+Mercredi!AN19+Jeudi!AN19+Vendredi!AN19+Samedi!AN19</f>
        <v>3</v>
      </c>
      <c r="AO19" s="10">
        <f>'Lundi '!AO19+Mardi!AO19+Mercredi!AO19+Jeudi!AO19+Vendredi!AO19+Samedi!AO19</f>
        <v>9</v>
      </c>
      <c r="AP19" s="11">
        <f>'Lundi '!AP19+Mardi!AP19+Mercredi!AP19+Jeudi!AP19+Vendredi!AP19+Samedi!AP19</f>
        <v>27</v>
      </c>
      <c r="AQ19" s="91">
        <f>'Lundi '!AQ19+Mardi!AQ19+Mercredi!AQ19+Jeudi!AQ19+Vendredi!AQ19+Samedi!AQ19</f>
        <v>3.25</v>
      </c>
      <c r="AR19" s="10">
        <f>'Lundi '!AR19+Mardi!AR19+Mercredi!AR19+Jeudi!AR19+Vendredi!AR19+Samedi!AR19</f>
        <v>0</v>
      </c>
      <c r="AS19" s="10">
        <f>'Lundi '!AS19+Mardi!AS19+Mercredi!AS19+Jeudi!AS19+Vendredi!AS19+Samedi!AS19</f>
        <v>0.5</v>
      </c>
      <c r="AT19" s="10">
        <f>'Lundi '!AT19+Mardi!AT19+Mercredi!AT19+Jeudi!AT19+Vendredi!AT19+Samedi!AT19</f>
        <v>2.4</v>
      </c>
      <c r="AU19" s="10">
        <f>'Lundi '!AU19+Mardi!AU19+Mercredi!AU19+Jeudi!AU19+Vendredi!AU19+Samedi!AU19</f>
        <v>8.75</v>
      </c>
      <c r="AV19" s="6">
        <f>'Lundi '!AV19+Mardi!AV19+Mercredi!AV19+Jeudi!AV19+Vendredi!AV19+Samedi!AV19</f>
        <v>26</v>
      </c>
      <c r="AW19" s="7">
        <f>'Lundi '!AW19+Mardi!AW19+Mercredi!AW19+Jeudi!AW19+Vendredi!AW19+Samedi!AW19</f>
        <v>20</v>
      </c>
      <c r="AX19" s="7">
        <f>'Lundi '!AX19+Mardi!AX19+Mercredi!AX19+Jeudi!AX19+Vendredi!AX19+Samedi!AX19</f>
        <v>24</v>
      </c>
      <c r="AY19" s="7">
        <f>'Lundi '!AY19+Mardi!AY19+Mercredi!AY19+Jeudi!AY19+Vendredi!AY19+Samedi!AY19</f>
        <v>0</v>
      </c>
      <c r="AZ19" s="8">
        <f>'Lundi '!AZ19+Mardi!AZ19+Mercredi!AZ19+Jeudi!AZ19+Vendredi!AZ19+Samedi!AZ19</f>
        <v>0</v>
      </c>
      <c r="BA19" s="6">
        <f>'Lundi '!BA19+Mardi!BA19+Mercredi!BA19+Jeudi!BA19+Vendredi!BA19+Samedi!BA19</f>
        <v>50</v>
      </c>
      <c r="BB19" s="7">
        <f>'Lundi '!BB19+Mardi!BB19+Mercredi!BB19+Jeudi!BB19+Vendredi!BB19+Samedi!BB19</f>
        <v>0</v>
      </c>
      <c r="BC19" s="8">
        <f>'Lundi '!BC19+Mardi!BC19+Mercredi!BC19+Jeudi!BC19+Vendredi!BC19+Samedi!BC19</f>
        <v>120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>
        <f>'Lundi '!W20+Mardi!W20+Mercredi!W20+Jeudi!W20+Vendredi!W20+Samedi!W20</f>
        <v>173</v>
      </c>
      <c r="X20" s="7">
        <f>'Lundi '!X20+Mardi!X20+Mercredi!X20+Jeudi!X20+Vendredi!X20+Samedi!X20</f>
        <v>0</v>
      </c>
      <c r="Y20" s="7">
        <f>'Lundi '!Y20+Mardi!Y20+Mercredi!Y20+Jeudi!Y20+Vendredi!Y20+Samedi!Y20</f>
        <v>0</v>
      </c>
      <c r="Z20" s="7">
        <f>'Lundi '!Z20+Mardi!Z20+Mercredi!Z20+Jeudi!Z20+Vendredi!Z20+Samedi!Z20</f>
        <v>0</v>
      </c>
      <c r="AA20" s="8">
        <f>'Lundi '!AA20+Mardi!AA20+Mercredi!AA20+Jeudi!AA20+Vendredi!AA20+Samedi!AA20</f>
        <v>0</v>
      </c>
      <c r="AB20" s="10">
        <f>'Lundi '!AB20+Mardi!AB20+Mercredi!AB20+Jeudi!AB20+Vendredi!AB20+Samedi!AB20</f>
        <v>1</v>
      </c>
      <c r="AC20" s="10">
        <f>'Lundi '!AC20+Mardi!AC20+Mercredi!AC20+Jeudi!AC20+Vendredi!AC20+Samedi!AC20</f>
        <v>1</v>
      </c>
      <c r="AD20" s="10">
        <f>'Lundi '!AD20+Mardi!AD20+Mercredi!AD20+Jeudi!AD20+Vendredi!AD20+Samedi!AD20</f>
        <v>0</v>
      </c>
      <c r="AE20" s="10">
        <f>'Lundi '!AE20+Mardi!AE20+Mercredi!AE20+Jeudi!AE20+Vendredi!AE20+Samedi!AE20</f>
        <v>8</v>
      </c>
      <c r="AF20" s="10">
        <f>'Lundi '!AF20+Mardi!AF20+Mercredi!AF20+Jeudi!AF20+Vendredi!AF20+Samedi!AF20</f>
        <v>2</v>
      </c>
      <c r="AG20" s="6">
        <f>'Lundi '!AG20+Mardi!AG20+Mercredi!AG20+Jeudi!AG20+Vendredi!AG20+Samedi!AG20</f>
        <v>46</v>
      </c>
      <c r="AH20" s="7">
        <f>'Lundi '!AH20+Mardi!AH20+Mercredi!AH20+Jeudi!AH20+Vendredi!AH20+Samedi!AH20</f>
        <v>0</v>
      </c>
      <c r="AI20" s="7">
        <f>'Lundi '!AI20+Mardi!AI20+Mercredi!AI20+Jeudi!AI20+Vendredi!AI20+Samedi!AI20</f>
        <v>0</v>
      </c>
      <c r="AJ20" s="7">
        <f>'Lundi '!AJ20+Mardi!AJ20+Mercredi!AJ20+Jeudi!AJ20+Vendredi!AJ20+Samedi!AJ20</f>
        <v>0</v>
      </c>
      <c r="AK20" s="8">
        <f>'Lundi '!AK20+Mardi!AK20+Mercredi!AK20+Jeudi!AK20+Vendredi!AK20+Samedi!AK20</f>
        <v>0</v>
      </c>
      <c r="AL20" s="9">
        <f>'Lundi '!AL20+Mardi!AL20+Mercredi!AL20+Jeudi!AL20+Vendredi!AL20+Samedi!AL20</f>
        <v>11</v>
      </c>
      <c r="AM20" s="10">
        <f>'Lundi '!AM20+Mardi!AM20+Mercredi!AM20+Jeudi!AM20+Vendredi!AM20+Samedi!AM20</f>
        <v>1</v>
      </c>
      <c r="AN20" s="10">
        <f>'Lundi '!AN20+Mardi!AN20+Mercredi!AN20+Jeudi!AN20+Vendredi!AN20+Samedi!AN20</f>
        <v>4</v>
      </c>
      <c r="AO20" s="10">
        <f>'Lundi '!AO20+Mardi!AO20+Mercredi!AO20+Jeudi!AO20+Vendredi!AO20+Samedi!AO20</f>
        <v>15</v>
      </c>
      <c r="AP20" s="11">
        <f>'Lundi '!AP20+Mardi!AP20+Mercredi!AP20+Jeudi!AP20+Vendredi!AP20+Samedi!AP20</f>
        <v>26</v>
      </c>
      <c r="AQ20" s="91">
        <f>'Lundi '!AQ20+Mardi!AQ20+Mercredi!AQ20+Jeudi!AQ20+Vendredi!AQ20+Samedi!AQ20</f>
        <v>4.083333333333333</v>
      </c>
      <c r="AR20" s="10">
        <f>'Lundi '!AR20+Mardi!AR20+Mercredi!AR20+Jeudi!AR20+Vendredi!AR20+Samedi!AR20</f>
        <v>0</v>
      </c>
      <c r="AS20" s="10">
        <f>'Lundi '!AS20+Mardi!AS20+Mercredi!AS20+Jeudi!AS20+Vendredi!AS20+Samedi!AS20</f>
        <v>0.89999999999999991</v>
      </c>
      <c r="AT20" s="10">
        <f>'Lundi '!AT20+Mardi!AT20+Mercredi!AT20+Jeudi!AT20+Vendredi!AT20+Samedi!AT20</f>
        <v>2</v>
      </c>
      <c r="AU20" s="10">
        <f>'Lundi '!AU20+Mardi!AU20+Mercredi!AU20+Jeudi!AU20+Vendredi!AU20+Samedi!AU20</f>
        <v>7</v>
      </c>
      <c r="AV20" s="6">
        <f>'Lundi '!AV20+Mardi!AV20+Mercredi!AV20+Jeudi!AV20+Vendredi!AV20+Samedi!AV20</f>
        <v>26</v>
      </c>
      <c r="AW20" s="7">
        <f>'Lundi '!AW20+Mardi!AW20+Mercredi!AW20+Jeudi!AW20+Vendredi!AW20+Samedi!AW20</f>
        <v>20</v>
      </c>
      <c r="AX20" s="7">
        <f>'Lundi '!AX20+Mardi!AX20+Mercredi!AX20+Jeudi!AX20+Vendredi!AX20+Samedi!AX20</f>
        <v>24</v>
      </c>
      <c r="AY20" s="7">
        <f>'Lundi '!AY20+Mardi!AY20+Mercredi!AY20+Jeudi!AY20+Vendredi!AY20+Samedi!AY20</f>
        <v>0</v>
      </c>
      <c r="AZ20" s="8">
        <f>'Lundi '!AZ20+Mardi!AZ20+Mercredi!AZ20+Jeudi!AZ20+Vendredi!AZ20+Samedi!AZ20</f>
        <v>0</v>
      </c>
      <c r="BA20" s="6">
        <f>'Lundi '!BA20+Mardi!BA20+Mercredi!BA20+Jeudi!BA20+Vendredi!BA20+Samedi!BA20</f>
        <v>77</v>
      </c>
      <c r="BB20" s="7">
        <f>'Lundi '!BB20+Mardi!BB20+Mercredi!BB20+Jeudi!BB20+Vendredi!BB20+Samedi!BB20</f>
        <v>0</v>
      </c>
      <c r="BC20" s="8">
        <f>'Lundi '!BC20+Mardi!BC20+Mercredi!BC20+Jeudi!BC20+Vendredi!BC20+Samedi!BC20</f>
        <v>86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>
        <f>'Lundi '!W21+Mardi!W21+Mercredi!W21+Jeudi!W21+Vendredi!W21+Samedi!W21</f>
        <v>184</v>
      </c>
      <c r="X21" s="7">
        <f>'Lundi '!X21+Mardi!X21+Mercredi!X21+Jeudi!X21+Vendredi!X21+Samedi!X21</f>
        <v>0</v>
      </c>
      <c r="Y21" s="7">
        <f>'Lundi '!Y21+Mardi!Y21+Mercredi!Y21+Jeudi!Y21+Vendredi!Y21+Samedi!Y21</f>
        <v>0</v>
      </c>
      <c r="Z21" s="7">
        <f>'Lundi '!Z21+Mardi!Z21+Mercredi!Z21+Jeudi!Z21+Vendredi!Z21+Samedi!Z21</f>
        <v>0</v>
      </c>
      <c r="AA21" s="8">
        <f>'Lundi '!AA21+Mardi!AA21+Mercredi!AA21+Jeudi!AA21+Vendredi!AA21+Samedi!AA21</f>
        <v>0</v>
      </c>
      <c r="AB21" s="10">
        <f>'Lundi '!AB21+Mardi!AB21+Mercredi!AB21+Jeudi!AB21+Vendredi!AB21+Samedi!AB21</f>
        <v>1</v>
      </c>
      <c r="AC21" s="10">
        <f>'Lundi '!AC21+Mardi!AC21+Mercredi!AC21+Jeudi!AC21+Vendredi!AC21+Samedi!AC21</f>
        <v>0</v>
      </c>
      <c r="AD21" s="10">
        <f>'Lundi '!AD21+Mardi!AD21+Mercredi!AD21+Jeudi!AD21+Vendredi!AD21+Samedi!AD21</f>
        <v>1</v>
      </c>
      <c r="AE21" s="10">
        <f>'Lundi '!AE21+Mardi!AE21+Mercredi!AE21+Jeudi!AE21+Vendredi!AE21+Samedi!AE21</f>
        <v>0</v>
      </c>
      <c r="AF21" s="10">
        <f>'Lundi '!AF21+Mardi!AF21+Mercredi!AF21+Jeudi!AF21+Vendredi!AF21+Samedi!AF21</f>
        <v>2</v>
      </c>
      <c r="AG21" s="6">
        <f>'Lundi '!AG21+Mardi!AG21+Mercredi!AG21+Jeudi!AG21+Vendredi!AG21+Samedi!AG21</f>
        <v>47</v>
      </c>
      <c r="AH21" s="7">
        <f>'Lundi '!AH21+Mardi!AH21+Mercredi!AH21+Jeudi!AH21+Vendredi!AH21+Samedi!AH21</f>
        <v>0</v>
      </c>
      <c r="AI21" s="7">
        <f>'Lundi '!AI21+Mardi!AI21+Mercredi!AI21+Jeudi!AI21+Vendredi!AI21+Samedi!AI21</f>
        <v>0</v>
      </c>
      <c r="AJ21" s="7">
        <f>'Lundi '!AJ21+Mardi!AJ21+Mercredi!AJ21+Jeudi!AJ21+Vendredi!AJ21+Samedi!AJ21</f>
        <v>0</v>
      </c>
      <c r="AK21" s="8">
        <f>'Lundi '!AK21+Mardi!AK21+Mercredi!AK21+Jeudi!AK21+Vendredi!AK21+Samedi!AK21</f>
        <v>0</v>
      </c>
      <c r="AL21" s="9">
        <f>'Lundi '!AL21+Mardi!AL21+Mercredi!AL21+Jeudi!AL21+Vendredi!AL21+Samedi!AL21</f>
        <v>7</v>
      </c>
      <c r="AM21" s="10">
        <f>'Lundi '!AM21+Mardi!AM21+Mercredi!AM21+Jeudi!AM21+Vendredi!AM21+Samedi!AM21</f>
        <v>0</v>
      </c>
      <c r="AN21" s="10">
        <f>'Lundi '!AN21+Mardi!AN21+Mercredi!AN21+Jeudi!AN21+Vendredi!AN21+Samedi!AN21</f>
        <v>5</v>
      </c>
      <c r="AO21" s="10">
        <f>'Lundi '!AO21+Mardi!AO21+Mercredi!AO21+Jeudi!AO21+Vendredi!AO21+Samedi!AO21</f>
        <v>7</v>
      </c>
      <c r="AP21" s="11">
        <f>'Lundi '!AP21+Mardi!AP21+Mercredi!AP21+Jeudi!AP21+Vendredi!AP21+Samedi!AP21</f>
        <v>31</v>
      </c>
      <c r="AQ21" s="91">
        <f>'Lundi '!AQ21+Mardi!AQ21+Mercredi!AQ21+Jeudi!AQ21+Vendredi!AQ21+Samedi!AQ21</f>
        <v>2.9166666666666665</v>
      </c>
      <c r="AR21" s="10">
        <f>'Lundi '!AR21+Mardi!AR21+Mercredi!AR21+Jeudi!AR21+Vendredi!AR21+Samedi!AR21</f>
        <v>0</v>
      </c>
      <c r="AS21" s="10">
        <f>'Lundi '!AS21+Mardi!AS21+Mercredi!AS21+Jeudi!AS21+Vendredi!AS21+Samedi!AS21</f>
        <v>0.70000000000000007</v>
      </c>
      <c r="AT21" s="10">
        <f>'Lundi '!AT21+Mardi!AT21+Mercredi!AT21+Jeudi!AT21+Vendredi!AT21+Samedi!AT21</f>
        <v>2.7</v>
      </c>
      <c r="AU21" s="10">
        <f>'Lundi '!AU21+Mardi!AU21+Mercredi!AU21+Jeudi!AU21+Vendredi!AU21+Samedi!AU21</f>
        <v>9.25</v>
      </c>
      <c r="AV21" s="6">
        <f>'Lundi '!AV21+Mardi!AV21+Mercredi!AV21+Jeudi!AV21+Vendredi!AV21+Samedi!AV21</f>
        <v>26</v>
      </c>
      <c r="AW21" s="7">
        <f>'Lundi '!AW21+Mardi!AW21+Mercredi!AW21+Jeudi!AW21+Vendredi!AW21+Samedi!AW21</f>
        <v>20</v>
      </c>
      <c r="AX21" s="7">
        <f>'Lundi '!AX21+Mardi!AX21+Mercredi!AX21+Jeudi!AX21+Vendredi!AX21+Samedi!AX21</f>
        <v>24</v>
      </c>
      <c r="AY21" s="7">
        <f>'Lundi '!AY21+Mardi!AY21+Mercredi!AY21+Jeudi!AY21+Vendredi!AY21+Samedi!AY21</f>
        <v>0</v>
      </c>
      <c r="AZ21" s="8">
        <f>'Lundi '!AZ21+Mardi!AZ21+Mercredi!AZ21+Jeudi!AZ21+Vendredi!AZ21+Samedi!AZ21</f>
        <v>0</v>
      </c>
      <c r="BA21" s="6">
        <f>'Lundi '!BA21+Mardi!BA21+Mercredi!BA21+Jeudi!BA21+Vendredi!BA21+Samedi!BA21</f>
        <v>53</v>
      </c>
      <c r="BB21" s="7">
        <f>'Lundi '!BB21+Mardi!BB21+Mercredi!BB21+Jeudi!BB21+Vendredi!BB21+Samedi!BB21</f>
        <v>0</v>
      </c>
      <c r="BC21" s="8">
        <f>'Lundi '!BC21+Mardi!BC21+Mercredi!BC21+Jeudi!BC21+Vendredi!BC21+Samedi!BC21</f>
        <v>117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>
        <f>'Lundi '!W22+Mardi!W22+Mercredi!W22+Jeudi!W22+Vendredi!W22+Samedi!W22</f>
        <v>153</v>
      </c>
      <c r="X22" s="7">
        <f>'Lundi '!X22+Mardi!X22+Mercredi!X22+Jeudi!X22+Vendredi!X22+Samedi!X22</f>
        <v>0</v>
      </c>
      <c r="Y22" s="7">
        <f>'Lundi '!Y22+Mardi!Y22+Mercredi!Y22+Jeudi!Y22+Vendredi!Y22+Samedi!Y22</f>
        <v>0</v>
      </c>
      <c r="Z22" s="7">
        <f>'Lundi '!Z22+Mardi!Z22+Mercredi!Z22+Jeudi!Z22+Vendredi!Z22+Samedi!Z22</f>
        <v>0</v>
      </c>
      <c r="AA22" s="8">
        <f>'Lundi '!AA22+Mardi!AA22+Mercredi!AA22+Jeudi!AA22+Vendredi!AA22+Samedi!AA22</f>
        <v>0</v>
      </c>
      <c r="AB22" s="10">
        <f>'Lundi '!AB22+Mardi!AB22+Mercredi!AB22+Jeudi!AB22+Vendredi!AB22+Samedi!AB22</f>
        <v>0</v>
      </c>
      <c r="AC22" s="10">
        <f>'Lundi '!AC22+Mardi!AC22+Mercredi!AC22+Jeudi!AC22+Vendredi!AC22+Samedi!AC22</f>
        <v>0</v>
      </c>
      <c r="AD22" s="10">
        <f>'Lundi '!AD22+Mardi!AD22+Mercredi!AD22+Jeudi!AD22+Vendredi!AD22+Samedi!AD22</f>
        <v>0</v>
      </c>
      <c r="AE22" s="10">
        <f>'Lundi '!AE22+Mardi!AE22+Mercredi!AE22+Jeudi!AE22+Vendredi!AE22+Samedi!AE22</f>
        <v>5</v>
      </c>
      <c r="AF22" s="10">
        <f>'Lundi '!AF22+Mardi!AF22+Mercredi!AF22+Jeudi!AF22+Vendredi!AF22+Samedi!AF22</f>
        <v>1</v>
      </c>
      <c r="AG22" s="6">
        <f>'Lundi '!AG22+Mardi!AG22+Mercredi!AG22+Jeudi!AG22+Vendredi!AG22+Samedi!AG22</f>
        <v>36</v>
      </c>
      <c r="AH22" s="7">
        <f>'Lundi '!AH22+Mardi!AH22+Mercredi!AH22+Jeudi!AH22+Vendredi!AH22+Samedi!AH22</f>
        <v>0</v>
      </c>
      <c r="AI22" s="7">
        <f>'Lundi '!AI22+Mardi!AI22+Mercredi!AI22+Jeudi!AI22+Vendredi!AI22+Samedi!AI22</f>
        <v>0</v>
      </c>
      <c r="AJ22" s="7">
        <f>'Lundi '!AJ22+Mardi!AJ22+Mercredi!AJ22+Jeudi!AJ22+Vendredi!AJ22+Samedi!AJ22</f>
        <v>0</v>
      </c>
      <c r="AK22" s="8">
        <f>'Lundi '!AK22+Mardi!AK22+Mercredi!AK22+Jeudi!AK22+Vendredi!AK22+Samedi!AK22</f>
        <v>0</v>
      </c>
      <c r="AL22" s="9">
        <f>'Lundi '!AL22+Mardi!AL22+Mercredi!AL22+Jeudi!AL22+Vendredi!AL22+Samedi!AL22</f>
        <v>5</v>
      </c>
      <c r="AM22" s="10">
        <f>'Lundi '!AM22+Mardi!AM22+Mercredi!AM22+Jeudi!AM22+Vendredi!AM22+Samedi!AM22</f>
        <v>0</v>
      </c>
      <c r="AN22" s="10">
        <f>'Lundi '!AN22+Mardi!AN22+Mercredi!AN22+Jeudi!AN22+Vendredi!AN22+Samedi!AN22</f>
        <v>5</v>
      </c>
      <c r="AO22" s="10">
        <f>'Lundi '!AO22+Mardi!AO22+Mercredi!AO22+Jeudi!AO22+Vendredi!AO22+Samedi!AO22</f>
        <v>8</v>
      </c>
      <c r="AP22" s="11">
        <f>'Lundi '!AP22+Mardi!AP22+Mercredi!AP22+Jeudi!AP22+Vendredi!AP22+Samedi!AP22</f>
        <v>24</v>
      </c>
      <c r="AQ22" s="91">
        <f>'Lundi '!AQ22+Mardi!AQ22+Mercredi!AQ22+Jeudi!AQ22+Vendredi!AQ22+Samedi!AQ22</f>
        <v>2</v>
      </c>
      <c r="AR22" s="10">
        <f>'Lundi '!AR22+Mardi!AR22+Mercredi!AR22+Jeudi!AR22+Vendredi!AR22+Samedi!AR22</f>
        <v>0</v>
      </c>
      <c r="AS22" s="10">
        <f>'Lundi '!AS22+Mardi!AS22+Mercredi!AS22+Jeudi!AS22+Vendredi!AS22+Samedi!AS22</f>
        <v>0.6</v>
      </c>
      <c r="AT22" s="10">
        <f>'Lundi '!AT22+Mardi!AT22+Mercredi!AT22+Jeudi!AT22+Vendredi!AT22+Samedi!AT22</f>
        <v>1.5</v>
      </c>
      <c r="AU22" s="10">
        <f>'Lundi '!AU22+Mardi!AU22+Mercredi!AU22+Jeudi!AU22+Vendredi!AU22+Samedi!AU22</f>
        <v>8</v>
      </c>
      <c r="AV22" s="6">
        <f>'Lundi '!AV22+Mardi!AV22+Mercredi!AV22+Jeudi!AV22+Vendredi!AV22+Samedi!AV22</f>
        <v>26</v>
      </c>
      <c r="AW22" s="7">
        <f>'Lundi '!AW22+Mardi!AW22+Mercredi!AW22+Jeudi!AW22+Vendredi!AW22+Samedi!AW22</f>
        <v>20</v>
      </c>
      <c r="AX22" s="7">
        <f>'Lundi '!AX22+Mardi!AX22+Mercredi!AX22+Jeudi!AX22+Vendredi!AX22+Samedi!AX22</f>
        <v>24</v>
      </c>
      <c r="AY22" s="7">
        <f>'Lundi '!AY22+Mardi!AY22+Mercredi!AY22+Jeudi!AY22+Vendredi!AY22+Samedi!AY22</f>
        <v>0</v>
      </c>
      <c r="AZ22" s="8">
        <f>'Lundi '!AZ22+Mardi!AZ22+Mercredi!AZ22+Jeudi!AZ22+Vendredi!AZ22+Samedi!AZ22</f>
        <v>0</v>
      </c>
      <c r="BA22" s="6">
        <f>'Lundi '!BA22+Mardi!BA22+Mercredi!BA22+Jeudi!BA22+Vendredi!BA22+Samedi!BA22</f>
        <v>44</v>
      </c>
      <c r="BB22" s="7">
        <f>'Lundi '!BB22+Mardi!BB22+Mercredi!BB22+Jeudi!BB22+Vendredi!BB22+Samedi!BB22</f>
        <v>0</v>
      </c>
      <c r="BC22" s="8">
        <f>'Lundi '!BC22+Mardi!BC22+Mercredi!BC22+Jeudi!BC22+Vendredi!BC22+Samedi!BC22</f>
        <v>93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>
        <f>'Lundi '!W23+Mardi!W23+Mercredi!W23+Jeudi!W23+Vendredi!W23+Samedi!W23</f>
        <v>185</v>
      </c>
      <c r="X23" s="7">
        <f>'Lundi '!X23+Mardi!X23+Mercredi!X23+Jeudi!X23+Vendredi!X23+Samedi!X23</f>
        <v>0</v>
      </c>
      <c r="Y23" s="7">
        <f>'Lundi '!Y23+Mardi!Y23+Mercredi!Y23+Jeudi!Y23+Vendredi!Y23+Samedi!Y23</f>
        <v>0</v>
      </c>
      <c r="Z23" s="7">
        <f>'Lundi '!Z23+Mardi!Z23+Mercredi!Z23+Jeudi!Z23+Vendredi!Z23+Samedi!Z23</f>
        <v>0</v>
      </c>
      <c r="AA23" s="8">
        <f>'Lundi '!AA23+Mardi!AA23+Mercredi!AA23+Jeudi!AA23+Vendredi!AA23+Samedi!AA23</f>
        <v>0</v>
      </c>
      <c r="AB23" s="10">
        <f>'Lundi '!AB23+Mardi!AB23+Mercredi!AB23+Jeudi!AB23+Vendredi!AB23+Samedi!AB23</f>
        <v>4</v>
      </c>
      <c r="AC23" s="10">
        <f>'Lundi '!AC23+Mardi!AC23+Mercredi!AC23+Jeudi!AC23+Vendredi!AC23+Samedi!AC23</f>
        <v>0</v>
      </c>
      <c r="AD23" s="10">
        <f>'Lundi '!AD23+Mardi!AD23+Mercredi!AD23+Jeudi!AD23+Vendredi!AD23+Samedi!AD23</f>
        <v>1</v>
      </c>
      <c r="AE23" s="10">
        <f>'Lundi '!AE23+Mardi!AE23+Mercredi!AE23+Jeudi!AE23+Vendredi!AE23+Samedi!AE23</f>
        <v>1</v>
      </c>
      <c r="AF23" s="10">
        <f>'Lundi '!AF23+Mardi!AF23+Mercredi!AF23+Jeudi!AF23+Vendredi!AF23+Samedi!AF23</f>
        <v>1</v>
      </c>
      <c r="AG23" s="6">
        <f>'Lundi '!AG23+Mardi!AG23+Mercredi!AG23+Jeudi!AG23+Vendredi!AG23+Samedi!AG23</f>
        <v>41</v>
      </c>
      <c r="AH23" s="7">
        <f>'Lundi '!AH23+Mardi!AH23+Mercredi!AH23+Jeudi!AH23+Vendredi!AH23+Samedi!AH23</f>
        <v>0</v>
      </c>
      <c r="AI23" s="7">
        <f>'Lundi '!AI23+Mardi!AI23+Mercredi!AI23+Jeudi!AI23+Vendredi!AI23+Samedi!AI23</f>
        <v>0</v>
      </c>
      <c r="AJ23" s="7">
        <f>'Lundi '!AJ23+Mardi!AJ23+Mercredi!AJ23+Jeudi!AJ23+Vendredi!AJ23+Samedi!AJ23</f>
        <v>0</v>
      </c>
      <c r="AK23" s="8">
        <f>'Lundi '!AK23+Mardi!AK23+Mercredi!AK23+Jeudi!AK23+Vendredi!AK23+Samedi!AK23</f>
        <v>0</v>
      </c>
      <c r="AL23" s="9">
        <f>'Lundi '!AL23+Mardi!AL23+Mercredi!AL23+Jeudi!AL23+Vendredi!AL23+Samedi!AL23</f>
        <v>8</v>
      </c>
      <c r="AM23" s="10">
        <f>'Lundi '!AM23+Mardi!AM23+Mercredi!AM23+Jeudi!AM23+Vendredi!AM23+Samedi!AM23</f>
        <v>0</v>
      </c>
      <c r="AN23" s="10">
        <f>'Lundi '!AN23+Mardi!AN23+Mercredi!AN23+Jeudi!AN23+Vendredi!AN23+Samedi!AN23</f>
        <v>4</v>
      </c>
      <c r="AO23" s="10">
        <f>'Lundi '!AO23+Mardi!AO23+Mercredi!AO23+Jeudi!AO23+Vendredi!AO23+Samedi!AO23</f>
        <v>6</v>
      </c>
      <c r="AP23" s="11">
        <f>'Lundi '!AP23+Mardi!AP23+Mercredi!AP23+Jeudi!AP23+Vendredi!AP23+Samedi!AP23</f>
        <v>29</v>
      </c>
      <c r="AQ23" s="91">
        <f>'Lundi '!AQ23+Mardi!AQ23+Mercredi!AQ23+Jeudi!AQ23+Vendredi!AQ23+Samedi!AQ23</f>
        <v>2.1666666666666665</v>
      </c>
      <c r="AR23" s="10">
        <f>'Lundi '!AR23+Mardi!AR23+Mercredi!AR23+Jeudi!AR23+Vendredi!AR23+Samedi!AR23</f>
        <v>0</v>
      </c>
      <c r="AS23" s="10">
        <f>'Lundi '!AS23+Mardi!AS23+Mercredi!AS23+Jeudi!AS23+Vendredi!AS23+Samedi!AS23</f>
        <v>0.44999999999999996</v>
      </c>
      <c r="AT23" s="10">
        <f>'Lundi '!AT23+Mardi!AT23+Mercredi!AT23+Jeudi!AT23+Vendredi!AT23+Samedi!AT23</f>
        <v>1.5999999999999999</v>
      </c>
      <c r="AU23" s="10">
        <f>'Lundi '!AU23+Mardi!AU23+Mercredi!AU23+Jeudi!AU23+Vendredi!AU23+Samedi!AU23</f>
        <v>8.5</v>
      </c>
      <c r="AV23" s="6">
        <f>'Lundi '!AV23+Mardi!AV23+Mercredi!AV23+Jeudi!AV23+Vendredi!AV23+Samedi!AV23</f>
        <v>26</v>
      </c>
      <c r="AW23" s="7">
        <f>'Lundi '!AW23+Mardi!AW23+Mercredi!AW23+Jeudi!AW23+Vendredi!AW23+Samedi!AW23</f>
        <v>20</v>
      </c>
      <c r="AX23" s="7">
        <f>'Lundi '!AX23+Mardi!AX23+Mercredi!AX23+Jeudi!AX23+Vendredi!AX23+Samedi!AX23</f>
        <v>24</v>
      </c>
      <c r="AY23" s="7">
        <f>'Lundi '!AY23+Mardi!AY23+Mercredi!AY23+Jeudi!AY23+Vendredi!AY23+Samedi!AY23</f>
        <v>0</v>
      </c>
      <c r="AZ23" s="8">
        <f>'Lundi '!AZ23+Mardi!AZ23+Mercredi!AZ23+Jeudi!AZ23+Vendredi!AZ23+Samedi!AZ23</f>
        <v>0</v>
      </c>
      <c r="BA23" s="6">
        <f>'Lundi '!BA23+Mardi!BA23+Mercredi!BA23+Jeudi!BA23+Vendredi!BA23+Samedi!BA23</f>
        <v>41</v>
      </c>
      <c r="BB23" s="7">
        <f>'Lundi '!BB23+Mardi!BB23+Mercredi!BB23+Jeudi!BB23+Vendredi!BB23+Samedi!BB23</f>
        <v>0</v>
      </c>
      <c r="BC23" s="8">
        <f>'Lundi '!BC23+Mardi!BC23+Mercredi!BC23+Jeudi!BC23+Vendredi!BC23+Samedi!BC23</f>
        <v>100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>
        <f>'Lundi '!W24+Mardi!W24+Mercredi!W24+Jeudi!W24+Vendredi!W24+Samedi!W24</f>
        <v>187</v>
      </c>
      <c r="X24" s="7">
        <f>'Lundi '!X24+Mardi!X24+Mercredi!X24+Jeudi!X24+Vendredi!X24+Samedi!X24</f>
        <v>0</v>
      </c>
      <c r="Y24" s="7">
        <f>'Lundi '!Y24+Mardi!Y24+Mercredi!Y24+Jeudi!Y24+Vendredi!Y24+Samedi!Y24</f>
        <v>0</v>
      </c>
      <c r="Z24" s="7">
        <f>'Lundi '!Z24+Mardi!Z24+Mercredi!Z24+Jeudi!Z24+Vendredi!Z24+Samedi!Z24</f>
        <v>0</v>
      </c>
      <c r="AA24" s="8">
        <f>'Lundi '!AA24+Mardi!AA24+Mercredi!AA24+Jeudi!AA24+Vendredi!AA24+Samedi!AA24</f>
        <v>0</v>
      </c>
      <c r="AB24" s="10">
        <f>'Lundi '!AB24+Mardi!AB24+Mercredi!AB24+Jeudi!AB24+Vendredi!AB24+Samedi!AB24</f>
        <v>0</v>
      </c>
      <c r="AC24" s="10">
        <f>'Lundi '!AC24+Mardi!AC24+Mercredi!AC24+Jeudi!AC24+Vendredi!AC24+Samedi!AC24</f>
        <v>0</v>
      </c>
      <c r="AD24" s="10">
        <f>'Lundi '!AD24+Mardi!AD24+Mercredi!AD24+Jeudi!AD24+Vendredi!AD24+Samedi!AD24</f>
        <v>2</v>
      </c>
      <c r="AE24" s="10">
        <f>'Lundi '!AE24+Mardi!AE24+Mercredi!AE24+Jeudi!AE24+Vendredi!AE24+Samedi!AE24</f>
        <v>0</v>
      </c>
      <c r="AF24" s="10">
        <f>'Lundi '!AF24+Mardi!AF24+Mercredi!AF24+Jeudi!AF24+Vendredi!AF24+Samedi!AF24</f>
        <v>2</v>
      </c>
      <c r="AG24" s="6">
        <f>'Lundi '!AG24+Mardi!AG24+Mercredi!AG24+Jeudi!AG24+Vendredi!AG24+Samedi!AG24</f>
        <v>72</v>
      </c>
      <c r="AH24" s="7">
        <f>'Lundi '!AH24+Mardi!AH24+Mercredi!AH24+Jeudi!AH24+Vendredi!AH24+Samedi!AH24</f>
        <v>0</v>
      </c>
      <c r="AI24" s="7">
        <f>'Lundi '!AI24+Mardi!AI24+Mercredi!AI24+Jeudi!AI24+Vendredi!AI24+Samedi!AI24</f>
        <v>0</v>
      </c>
      <c r="AJ24" s="7">
        <f>'Lundi '!AJ24+Mardi!AJ24+Mercredi!AJ24+Jeudi!AJ24+Vendredi!AJ24+Samedi!AJ24</f>
        <v>0</v>
      </c>
      <c r="AK24" s="8">
        <f>'Lundi '!AK24+Mardi!AK24+Mercredi!AK24+Jeudi!AK24+Vendredi!AK24+Samedi!AK24</f>
        <v>0</v>
      </c>
      <c r="AL24" s="9">
        <f>'Lundi '!AL24+Mardi!AL24+Mercredi!AL24+Jeudi!AL24+Vendredi!AL24+Samedi!AL24</f>
        <v>9</v>
      </c>
      <c r="AM24" s="10">
        <f>'Lundi '!AM24+Mardi!AM24+Mercredi!AM24+Jeudi!AM24+Vendredi!AM24+Samedi!AM24</f>
        <v>0</v>
      </c>
      <c r="AN24" s="10">
        <f>'Lundi '!AN24+Mardi!AN24+Mercredi!AN24+Jeudi!AN24+Vendredi!AN24+Samedi!AN24</f>
        <v>6</v>
      </c>
      <c r="AO24" s="10">
        <f>'Lundi '!AO24+Mardi!AO24+Mercredi!AO24+Jeudi!AO24+Vendredi!AO24+Samedi!AO24</f>
        <v>11</v>
      </c>
      <c r="AP24" s="11">
        <f>'Lundi '!AP24+Mardi!AP24+Mercredi!AP24+Jeudi!AP24+Vendredi!AP24+Samedi!AP24</f>
        <v>50</v>
      </c>
      <c r="AQ24" s="91">
        <f>'Lundi '!AQ24+Mardi!AQ24+Mercredi!AQ24+Jeudi!AQ24+Vendredi!AQ24+Samedi!AQ24</f>
        <v>3.75</v>
      </c>
      <c r="AR24" s="10">
        <f>'Lundi '!AR24+Mardi!AR24+Mercredi!AR24+Jeudi!AR24+Vendredi!AR24+Samedi!AR24</f>
        <v>0</v>
      </c>
      <c r="AS24" s="10">
        <f>'Lundi '!AS24+Mardi!AS24+Mercredi!AS24+Jeudi!AS24+Vendredi!AS24+Samedi!AS24</f>
        <v>0.6</v>
      </c>
      <c r="AT24" s="10">
        <f>'Lundi '!AT24+Mardi!AT24+Mercredi!AT24+Jeudi!AT24+Vendredi!AT24+Samedi!AT24</f>
        <v>3.4999999999999996</v>
      </c>
      <c r="AU24" s="10">
        <f>'Lundi '!AU24+Mardi!AU24+Mercredi!AU24+Jeudi!AU24+Vendredi!AU24+Samedi!AU24</f>
        <v>15</v>
      </c>
      <c r="AV24" s="6">
        <f>'Lundi '!AV24+Mardi!AV24+Mercredi!AV24+Jeudi!AV24+Vendredi!AV24+Samedi!AV24</f>
        <v>26</v>
      </c>
      <c r="AW24" s="7">
        <f>'Lundi '!AW24+Mardi!AW24+Mercredi!AW24+Jeudi!AW24+Vendredi!AW24+Samedi!AW24</f>
        <v>20</v>
      </c>
      <c r="AX24" s="7">
        <f>'Lundi '!AX24+Mardi!AX24+Mercredi!AX24+Jeudi!AX24+Vendredi!AX24+Samedi!AX24</f>
        <v>24</v>
      </c>
      <c r="AY24" s="7">
        <f>'Lundi '!AY24+Mardi!AY24+Mercredi!AY24+Jeudi!AY24+Vendredi!AY24+Samedi!AY24</f>
        <v>0</v>
      </c>
      <c r="AZ24" s="8">
        <f>'Lundi '!AZ24+Mardi!AZ24+Mercredi!AZ24+Jeudi!AZ24+Vendredi!AZ24+Samedi!AZ24</f>
        <v>0</v>
      </c>
      <c r="BA24" s="6">
        <f>'Lundi '!BA24+Mardi!BA24+Mercredi!BA24+Jeudi!BA24+Vendredi!BA24+Samedi!BA24</f>
        <v>61</v>
      </c>
      <c r="BB24" s="7">
        <f>'Lundi '!BB24+Mardi!BB24+Mercredi!BB24+Jeudi!BB24+Vendredi!BB24+Samedi!BB24</f>
        <v>0</v>
      </c>
      <c r="BC24" s="8">
        <f>'Lundi '!BC24+Mardi!BC24+Mercredi!BC24+Jeudi!BC24+Vendredi!BC24+Samedi!BC24</f>
        <v>185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>
        <f>'Lundi '!W25+Mardi!W25+Mercredi!W25+Jeudi!W25+Vendredi!W25+Samedi!W25</f>
        <v>174</v>
      </c>
      <c r="X25" s="7">
        <f>'Lundi '!X25+Mardi!X25+Mercredi!X25+Jeudi!X25+Vendredi!X25+Samedi!X25</f>
        <v>0</v>
      </c>
      <c r="Y25" s="7">
        <f>'Lundi '!Y25+Mardi!Y25+Mercredi!Y25+Jeudi!Y25+Vendredi!Y25+Samedi!Y25</f>
        <v>0</v>
      </c>
      <c r="Z25" s="7">
        <f>'Lundi '!Z25+Mardi!Z25+Mercredi!Z25+Jeudi!Z25+Vendredi!Z25+Samedi!Z25</f>
        <v>0</v>
      </c>
      <c r="AA25" s="8">
        <f>'Lundi '!AA25+Mardi!AA25+Mercredi!AA25+Jeudi!AA25+Vendredi!AA25+Samedi!AA25</f>
        <v>0</v>
      </c>
      <c r="AB25" s="10">
        <f>'Lundi '!AB25+Mardi!AB25+Mercredi!AB25+Jeudi!AB25+Vendredi!AB25+Samedi!AB25</f>
        <v>1</v>
      </c>
      <c r="AC25" s="10">
        <f>'Lundi '!AC25+Mardi!AC25+Mercredi!AC25+Jeudi!AC25+Vendredi!AC25+Samedi!AC25</f>
        <v>0</v>
      </c>
      <c r="AD25" s="10">
        <f>'Lundi '!AD25+Mardi!AD25+Mercredi!AD25+Jeudi!AD25+Vendredi!AD25+Samedi!AD25</f>
        <v>0</v>
      </c>
      <c r="AE25" s="10">
        <f>'Lundi '!AE25+Mardi!AE25+Mercredi!AE25+Jeudi!AE25+Vendredi!AE25+Samedi!AE25</f>
        <v>3</v>
      </c>
      <c r="AF25" s="10">
        <f>'Lundi '!AF25+Mardi!AF25+Mercredi!AF25+Jeudi!AF25+Vendredi!AF25+Samedi!AF25</f>
        <v>1</v>
      </c>
      <c r="AG25" s="6">
        <f>'Lundi '!AG25+Mardi!AG25+Mercredi!AG25+Jeudi!AG25+Vendredi!AG25+Samedi!AG25</f>
        <v>53</v>
      </c>
      <c r="AH25" s="7">
        <f>'Lundi '!AH25+Mardi!AH25+Mercredi!AH25+Jeudi!AH25+Vendredi!AH25+Samedi!AH25</f>
        <v>0</v>
      </c>
      <c r="AI25" s="7">
        <f>'Lundi '!AI25+Mardi!AI25+Mercredi!AI25+Jeudi!AI25+Vendredi!AI25+Samedi!AI25</f>
        <v>0</v>
      </c>
      <c r="AJ25" s="7">
        <f>'Lundi '!AJ25+Mardi!AJ25+Mercredi!AJ25+Jeudi!AJ25+Vendredi!AJ25+Samedi!AJ25</f>
        <v>0</v>
      </c>
      <c r="AK25" s="8">
        <f>'Lundi '!AK25+Mardi!AK25+Mercredi!AK25+Jeudi!AK25+Vendredi!AK25+Samedi!AK25</f>
        <v>0</v>
      </c>
      <c r="AL25" s="9">
        <f>'Lundi '!AL25+Mardi!AL25+Mercredi!AL25+Jeudi!AL25+Vendredi!AL25+Samedi!AL25</f>
        <v>5</v>
      </c>
      <c r="AM25" s="10">
        <f>'Lundi '!AM25+Mardi!AM25+Mercredi!AM25+Jeudi!AM25+Vendredi!AM25+Samedi!AM25</f>
        <v>0</v>
      </c>
      <c r="AN25" s="10">
        <f>'Lundi '!AN25+Mardi!AN25+Mercredi!AN25+Jeudi!AN25+Vendredi!AN25+Samedi!AN25</f>
        <v>3</v>
      </c>
      <c r="AO25" s="10">
        <f>'Lundi '!AO25+Mardi!AO25+Mercredi!AO25+Jeudi!AO25+Vendredi!AO25+Samedi!AO25</f>
        <v>9</v>
      </c>
      <c r="AP25" s="11">
        <f>'Lundi '!AP25+Mardi!AP25+Mercredi!AP25+Jeudi!AP25+Vendredi!AP25+Samedi!AP25</f>
        <v>40</v>
      </c>
      <c r="AQ25" s="91">
        <f>'Lundi '!AQ25+Mardi!AQ25+Mercredi!AQ25+Jeudi!AQ25+Vendredi!AQ25+Samedi!AQ25</f>
        <v>2.5</v>
      </c>
      <c r="AR25" s="10">
        <f>'Lundi '!AR25+Mardi!AR25+Mercredi!AR25+Jeudi!AR25+Vendredi!AR25+Samedi!AR25</f>
        <v>0</v>
      </c>
      <c r="AS25" s="10">
        <f>'Lundi '!AS25+Mardi!AS25+Mercredi!AS25+Jeudi!AS25+Vendredi!AS25+Samedi!AS25</f>
        <v>0.44999999999999996</v>
      </c>
      <c r="AT25" s="10">
        <f>'Lundi '!AT25+Mardi!AT25+Mercredi!AT25+Jeudi!AT25+Vendredi!AT25+Samedi!AT25</f>
        <v>2.1</v>
      </c>
      <c r="AU25" s="10">
        <f>'Lundi '!AU25+Mardi!AU25+Mercredi!AU25+Jeudi!AU25+Vendredi!AU25+Samedi!AU25</f>
        <v>12</v>
      </c>
      <c r="AV25" s="6">
        <f>'Lundi '!AV25+Mardi!AV25+Mercredi!AV25+Jeudi!AV25+Vendredi!AV25+Samedi!AV25</f>
        <v>26</v>
      </c>
      <c r="AW25" s="7">
        <f>'Lundi '!AW25+Mardi!AW25+Mercredi!AW25+Jeudi!AW25+Vendredi!AW25+Samedi!AW25</f>
        <v>20</v>
      </c>
      <c r="AX25" s="7">
        <f>'Lundi '!AX25+Mardi!AX25+Mercredi!AX25+Jeudi!AX25+Vendredi!AX25+Samedi!AX25</f>
        <v>24</v>
      </c>
      <c r="AY25" s="7">
        <f>'Lundi '!AY25+Mardi!AY25+Mercredi!AY25+Jeudi!AY25+Vendredi!AY25+Samedi!AY25</f>
        <v>0</v>
      </c>
      <c r="AZ25" s="8">
        <f>'Lundi '!AZ25+Mardi!AZ25+Mercredi!AZ25+Jeudi!AZ25+Vendredi!AZ25+Samedi!AZ25</f>
        <v>0</v>
      </c>
      <c r="BA25" s="6">
        <f>'Lundi '!BA25+Mardi!BA25+Mercredi!BA25+Jeudi!BA25+Vendredi!BA25+Samedi!BA25</f>
        <v>43</v>
      </c>
      <c r="BB25" s="7">
        <f>'Lundi '!BB25+Mardi!BB25+Mercredi!BB25+Jeudi!BB25+Vendredi!BB25+Samedi!BB25</f>
        <v>0</v>
      </c>
      <c r="BC25" s="8">
        <f>'Lundi '!BC25+Mardi!BC25+Mercredi!BC25+Jeudi!BC25+Vendredi!BC25+Samedi!BC25</f>
        <v>141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>
        <f>'Lundi '!W26+Mardi!W26+Mercredi!W26+Jeudi!W26+Vendredi!W26+Samedi!W26</f>
        <v>177</v>
      </c>
      <c r="X26" s="7">
        <f>'Lundi '!X26+Mardi!X26+Mercredi!X26+Jeudi!X26+Vendredi!X26+Samedi!X26</f>
        <v>0</v>
      </c>
      <c r="Y26" s="7">
        <f>'Lundi '!Y26+Mardi!Y26+Mercredi!Y26+Jeudi!Y26+Vendredi!Y26+Samedi!Y26</f>
        <v>0</v>
      </c>
      <c r="Z26" s="7">
        <f>'Lundi '!Z26+Mardi!Z26+Mercredi!Z26+Jeudi!Z26+Vendredi!Z26+Samedi!Z26</f>
        <v>0</v>
      </c>
      <c r="AA26" s="8">
        <f>'Lundi '!AA26+Mardi!AA26+Mercredi!AA26+Jeudi!AA26+Vendredi!AA26+Samedi!AA26</f>
        <v>0</v>
      </c>
      <c r="AB26" s="10">
        <f>'Lundi '!AB26+Mardi!AB26+Mercredi!AB26+Jeudi!AB26+Vendredi!AB26+Samedi!AB26</f>
        <v>4</v>
      </c>
      <c r="AC26" s="10">
        <f>'Lundi '!AC26+Mardi!AC26+Mercredi!AC26+Jeudi!AC26+Vendredi!AC26+Samedi!AC26</f>
        <v>1</v>
      </c>
      <c r="AD26" s="10">
        <f>'Lundi '!AD26+Mardi!AD26+Mercredi!AD26+Jeudi!AD26+Vendredi!AD26+Samedi!AD26</f>
        <v>0</v>
      </c>
      <c r="AE26" s="10">
        <f>'Lundi '!AE26+Mardi!AE26+Mercredi!AE26+Jeudi!AE26+Vendredi!AE26+Samedi!AE26</f>
        <v>1</v>
      </c>
      <c r="AF26" s="10">
        <f>'Lundi '!AF26+Mardi!AF26+Mercredi!AF26+Jeudi!AF26+Vendredi!AF26+Samedi!AF26</f>
        <v>2</v>
      </c>
      <c r="AG26" s="6">
        <f>'Lundi '!AG26+Mardi!AG26+Mercredi!AG26+Jeudi!AG26+Vendredi!AG26+Samedi!AG26</f>
        <v>43</v>
      </c>
      <c r="AH26" s="7">
        <f>'Lundi '!AH26+Mardi!AH26+Mercredi!AH26+Jeudi!AH26+Vendredi!AH26+Samedi!AH26</f>
        <v>0</v>
      </c>
      <c r="AI26" s="7">
        <f>'Lundi '!AI26+Mardi!AI26+Mercredi!AI26+Jeudi!AI26+Vendredi!AI26+Samedi!AI26</f>
        <v>0</v>
      </c>
      <c r="AJ26" s="7">
        <f>'Lundi '!AJ26+Mardi!AJ26+Mercredi!AJ26+Jeudi!AJ26+Vendredi!AJ26+Samedi!AJ26</f>
        <v>0</v>
      </c>
      <c r="AK26" s="8">
        <f>'Lundi '!AK26+Mardi!AK26+Mercredi!AK26+Jeudi!AK26+Vendredi!AK26+Samedi!AK26</f>
        <v>0</v>
      </c>
      <c r="AL26" s="9">
        <f>'Lundi '!AL26+Mardi!AL26+Mercredi!AL26+Jeudi!AL26+Vendredi!AL26+Samedi!AL26</f>
        <v>8</v>
      </c>
      <c r="AM26" s="10">
        <f>'Lundi '!AM26+Mardi!AM26+Mercredi!AM26+Jeudi!AM26+Vendredi!AM26+Samedi!AM26</f>
        <v>1</v>
      </c>
      <c r="AN26" s="10">
        <f>'Lundi '!AN26+Mardi!AN26+Mercredi!AN26+Jeudi!AN26+Vendredi!AN26+Samedi!AN26</f>
        <v>4</v>
      </c>
      <c r="AO26" s="10">
        <f>'Lundi '!AO26+Mardi!AO26+Mercredi!AO26+Jeudi!AO26+Vendredi!AO26+Samedi!AO26</f>
        <v>10</v>
      </c>
      <c r="AP26" s="11">
        <f>'Lundi '!AP26+Mardi!AP26+Mercredi!AP26+Jeudi!AP26+Vendredi!AP26+Samedi!AP26</f>
        <v>27</v>
      </c>
      <c r="AQ26" s="91">
        <f>'Lundi '!AQ26+Mardi!AQ26+Mercredi!AQ26+Jeudi!AQ26+Vendredi!AQ26+Samedi!AQ26</f>
        <v>1.8333333333333333</v>
      </c>
      <c r="AR26" s="10">
        <f>'Lundi '!AR26+Mardi!AR26+Mercredi!AR26+Jeudi!AR26+Vendredi!AR26+Samedi!AR26</f>
        <v>0</v>
      </c>
      <c r="AS26" s="10">
        <f>'Lundi '!AS26+Mardi!AS26+Mercredi!AS26+Jeudi!AS26+Vendredi!AS26+Samedi!AS26</f>
        <v>0.6</v>
      </c>
      <c r="AT26" s="10">
        <f>'Lundi '!AT26+Mardi!AT26+Mercredi!AT26+Jeudi!AT26+Vendredi!AT26+Samedi!AT26</f>
        <v>2.9</v>
      </c>
      <c r="AU26" s="10">
        <f>'Lundi '!AU26+Mardi!AU26+Mercredi!AU26+Jeudi!AU26+Vendredi!AU26+Samedi!AU26</f>
        <v>8.5</v>
      </c>
      <c r="AV26" s="6">
        <f>'Lundi '!AV26+Mardi!AV26+Mercredi!AV26+Jeudi!AV26+Vendredi!AV26+Samedi!AV26</f>
        <v>26</v>
      </c>
      <c r="AW26" s="7">
        <f>'Lundi '!AW26+Mardi!AW26+Mercredi!AW26+Jeudi!AW26+Vendredi!AW26+Samedi!AW26</f>
        <v>20</v>
      </c>
      <c r="AX26" s="7">
        <f>'Lundi '!AX26+Mardi!AX26+Mercredi!AX26+Jeudi!AX26+Vendredi!AX26+Samedi!AX26</f>
        <v>24</v>
      </c>
      <c r="AY26" s="7">
        <f>'Lundi '!AY26+Mardi!AY26+Mercredi!AY26+Jeudi!AY26+Vendredi!AY26+Samedi!AY26</f>
        <v>0</v>
      </c>
      <c r="AZ26" s="8">
        <f>'Lundi '!AZ26+Mardi!AZ26+Mercredi!AZ26+Jeudi!AZ26+Vendredi!AZ26+Samedi!AZ26</f>
        <v>0</v>
      </c>
      <c r="BA26" s="6">
        <f>'Lundi '!BA26+Mardi!BA26+Mercredi!BA26+Jeudi!BA26+Vendredi!BA26+Samedi!BA26</f>
        <v>42</v>
      </c>
      <c r="BB26" s="7">
        <f>'Lundi '!BB26+Mardi!BB26+Mercredi!BB26+Jeudi!BB26+Vendredi!BB26+Samedi!BB26</f>
        <v>0</v>
      </c>
      <c r="BC26" s="8">
        <f>'Lundi '!BC26+Mardi!BC26+Mercredi!BC26+Jeudi!BC26+Vendredi!BC26+Samedi!BC26</f>
        <v>113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>
        <f>'Lundi '!W27+Mardi!W27+Mercredi!W27+Jeudi!W27+Vendredi!W27+Samedi!W27</f>
        <v>179</v>
      </c>
      <c r="X27" s="93">
        <f>'Lundi '!X27+Mardi!X27+Mercredi!X27+Jeudi!X27+Vendredi!X27+Samedi!X27</f>
        <v>0</v>
      </c>
      <c r="Y27" s="93">
        <f>'Lundi '!Y27+Mardi!Y27+Mercredi!Y27+Jeudi!Y27+Vendredi!Y27+Samedi!Y27</f>
        <v>0</v>
      </c>
      <c r="Z27" s="93">
        <f>'Lundi '!Z27+Mardi!Z27+Mercredi!Z27+Jeudi!Z27+Vendredi!Z27+Samedi!Z27</f>
        <v>0</v>
      </c>
      <c r="AA27" s="94">
        <f>'Lundi '!AA27+Mardi!AA27+Mercredi!AA27+Jeudi!AA27+Vendredi!AA27+Samedi!AA27</f>
        <v>0</v>
      </c>
      <c r="AB27" s="22">
        <f>'Lundi '!AB27+Mardi!AB27+Mercredi!AB27+Jeudi!AB27+Vendredi!AB27+Samedi!AB27</f>
        <v>5</v>
      </c>
      <c r="AC27" s="22">
        <f>'Lundi '!AC27+Mardi!AC27+Mercredi!AC27+Jeudi!AC27+Vendredi!AC27+Samedi!AC27</f>
        <v>0</v>
      </c>
      <c r="AD27" s="22">
        <f>'Lundi '!AD27+Mardi!AD27+Mercredi!AD27+Jeudi!AD27+Vendredi!AD27+Samedi!AD27</f>
        <v>3</v>
      </c>
      <c r="AE27" s="22">
        <f>'Lundi '!AE27+Mardi!AE27+Mercredi!AE27+Jeudi!AE27+Vendredi!AE27+Samedi!AE27</f>
        <v>1</v>
      </c>
      <c r="AF27" s="22">
        <f>'Lundi '!AF27+Mardi!AF27+Mercredi!AF27+Jeudi!AF27+Vendredi!AF27+Samedi!AF27</f>
        <v>1</v>
      </c>
      <c r="AG27" s="92">
        <f>'Lundi '!AG27+Mardi!AG27+Mercredi!AG27+Jeudi!AG27+Vendredi!AG27+Samedi!AG27</f>
        <v>73</v>
      </c>
      <c r="AH27" s="93">
        <f>'Lundi '!AH27+Mardi!AH27+Mercredi!AH27+Jeudi!AH27+Vendredi!AH27+Samedi!AH27</f>
        <v>0</v>
      </c>
      <c r="AI27" s="93">
        <f>'Lundi '!AI27+Mardi!AI27+Mercredi!AI27+Jeudi!AI27+Vendredi!AI27+Samedi!AI27</f>
        <v>0</v>
      </c>
      <c r="AJ27" s="93">
        <f>'Lundi '!AJ27+Mardi!AJ27+Mercredi!AJ27+Jeudi!AJ27+Vendredi!AJ27+Samedi!AJ27</f>
        <v>0</v>
      </c>
      <c r="AK27" s="94">
        <f>'Lundi '!AK27+Mardi!AK27+Mercredi!AK27+Jeudi!AK27+Vendredi!AK27+Samedi!AK27</f>
        <v>0</v>
      </c>
      <c r="AL27" s="21">
        <f>'Lundi '!AL27+Mardi!AL27+Mercredi!AL27+Jeudi!AL27+Vendredi!AL27+Samedi!AL27</f>
        <v>16</v>
      </c>
      <c r="AM27" s="22">
        <f>'Lundi '!AM27+Mardi!AM27+Mercredi!AM27+Jeudi!AM27+Vendredi!AM27+Samedi!AM27</f>
        <v>0</v>
      </c>
      <c r="AN27" s="22">
        <f>'Lundi '!AN27+Mardi!AN27+Mercredi!AN27+Jeudi!AN27+Vendredi!AN27+Samedi!AN27</f>
        <v>6</v>
      </c>
      <c r="AO27" s="22">
        <f>'Lundi '!AO27+Mardi!AO27+Mercredi!AO27+Jeudi!AO27+Vendredi!AO27+Samedi!AO27</f>
        <v>11</v>
      </c>
      <c r="AP27" s="23">
        <f>'Lundi '!AP27+Mardi!AP27+Mercredi!AP27+Jeudi!AP27+Vendredi!AP27+Samedi!AP27</f>
        <v>45</v>
      </c>
      <c r="AQ27" s="95">
        <f>'Lundi '!AQ27+Mardi!AQ27+Mercredi!AQ27+Jeudi!AQ27+Vendredi!AQ27+Samedi!AQ27</f>
        <v>3.3333333333333335</v>
      </c>
      <c r="AR27" s="22">
        <f>'Lundi '!AR27+Mardi!AR27+Mercredi!AR27+Jeudi!AR27+Vendredi!AR27+Samedi!AR27</f>
        <v>0</v>
      </c>
      <c r="AS27" s="22">
        <f>'Lundi '!AS27+Mardi!AS27+Mercredi!AS27+Jeudi!AS27+Vendredi!AS27+Samedi!AS27</f>
        <v>1.05</v>
      </c>
      <c r="AT27" s="22">
        <f>'Lundi '!AT27+Mardi!AT27+Mercredi!AT27+Jeudi!AT27+Vendredi!AT27+Samedi!AT27</f>
        <v>3.5</v>
      </c>
      <c r="AU27" s="22">
        <f>'Lundi '!AU27+Mardi!AU27+Mercredi!AU27+Jeudi!AU27+Vendredi!AU27+Samedi!AU27</f>
        <v>15</v>
      </c>
      <c r="AV27" s="92">
        <f>'Lundi '!AV27+Mardi!AV27+Mercredi!AV27+Jeudi!AV27+Vendredi!AV27+Samedi!AV27</f>
        <v>26</v>
      </c>
      <c r="AW27" s="93">
        <f>'Lundi '!AW27+Mardi!AW27+Mercredi!AW27+Jeudi!AW27+Vendredi!AW27+Samedi!AW27</f>
        <v>20</v>
      </c>
      <c r="AX27" s="93">
        <f>'Lundi '!AX27+Mardi!AX27+Mercredi!AX27+Jeudi!AX27+Vendredi!AX27+Samedi!AX27</f>
        <v>24</v>
      </c>
      <c r="AY27" s="93">
        <f>'Lundi '!AY27+Mardi!AY27+Mercredi!AY27+Jeudi!AY27+Vendredi!AY27+Samedi!AY27</f>
        <v>0</v>
      </c>
      <c r="AZ27" s="94">
        <f>'Lundi '!AZ27+Mardi!AZ27+Mercredi!AZ27+Jeudi!AZ27+Vendredi!AZ27+Samedi!AZ27</f>
        <v>0</v>
      </c>
      <c r="BA27" s="92">
        <f>'Lundi '!BA27+Mardi!BA27+Mercredi!BA27+Jeudi!BA27+Vendredi!BA27+Samedi!BA27</f>
        <v>77</v>
      </c>
      <c r="BB27" s="93">
        <f>'Lundi '!BB27+Mardi!BB27+Mercredi!BB27+Jeudi!BB27+Vendredi!BB27+Samedi!BB27</f>
        <v>0</v>
      </c>
      <c r="BC27" s="94">
        <f>'Lundi '!BC27+Mardi!BC27+Mercredi!BC27+Jeudi!BC27+Vendredi!BC27+Samedi!BC27</f>
        <v>189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>
        <f t="shared" si="3"/>
        <v>3536</v>
      </c>
      <c r="X28" s="97">
        <f t="shared" si="3"/>
        <v>0</v>
      </c>
      <c r="Y28" s="97">
        <f t="shared" si="3"/>
        <v>0</v>
      </c>
      <c r="Z28" s="97">
        <f t="shared" si="3"/>
        <v>0</v>
      </c>
      <c r="AA28" s="98">
        <f t="shared" si="3"/>
        <v>0</v>
      </c>
      <c r="AB28" s="97">
        <f t="shared" si="3"/>
        <v>34</v>
      </c>
      <c r="AC28" s="97">
        <f t="shared" si="3"/>
        <v>2</v>
      </c>
      <c r="AD28" s="97">
        <f t="shared" si="3"/>
        <v>19</v>
      </c>
      <c r="AE28" s="97">
        <f t="shared" si="3"/>
        <v>37</v>
      </c>
      <c r="AF28" s="97">
        <f t="shared" si="3"/>
        <v>26</v>
      </c>
      <c r="AG28" s="96">
        <f t="shared" si="3"/>
        <v>994</v>
      </c>
      <c r="AH28" s="97">
        <f t="shared" si="3"/>
        <v>0</v>
      </c>
      <c r="AI28" s="97">
        <f t="shared" ref="AI28:BE28" si="4">SUM(AI8:AI27)</f>
        <v>0</v>
      </c>
      <c r="AJ28" s="97">
        <f t="shared" si="4"/>
        <v>0</v>
      </c>
      <c r="AK28" s="98">
        <f t="shared" si="4"/>
        <v>0</v>
      </c>
      <c r="AL28" s="96">
        <f t="shared" si="4"/>
        <v>173</v>
      </c>
      <c r="AM28" s="97">
        <f t="shared" si="4"/>
        <v>2</v>
      </c>
      <c r="AN28" s="97">
        <f t="shared" si="4"/>
        <v>95</v>
      </c>
      <c r="AO28" s="97">
        <f t="shared" si="4"/>
        <v>178</v>
      </c>
      <c r="AP28" s="98">
        <f t="shared" si="4"/>
        <v>646</v>
      </c>
      <c r="AQ28" s="99">
        <f t="shared" si="4"/>
        <v>55</v>
      </c>
      <c r="AR28" s="97">
        <f t="shared" si="4"/>
        <v>0</v>
      </c>
      <c r="AS28" s="97">
        <f t="shared" si="4"/>
        <v>13.349999999999996</v>
      </c>
      <c r="AT28" s="97">
        <f t="shared" si="4"/>
        <v>49</v>
      </c>
      <c r="AU28" s="97">
        <f t="shared" si="4"/>
        <v>198.95</v>
      </c>
      <c r="AV28" s="96">
        <f t="shared" si="4"/>
        <v>520</v>
      </c>
      <c r="AW28" s="97">
        <f t="shared" si="4"/>
        <v>400</v>
      </c>
      <c r="AX28" s="97">
        <f t="shared" si="4"/>
        <v>480</v>
      </c>
      <c r="AY28" s="97">
        <f t="shared" si="4"/>
        <v>0</v>
      </c>
      <c r="AZ28" s="98">
        <f t="shared" si="4"/>
        <v>0</v>
      </c>
      <c r="BA28" s="96">
        <f t="shared" si="4"/>
        <v>1065</v>
      </c>
      <c r="BB28" s="97">
        <f t="shared" si="4"/>
        <v>0</v>
      </c>
      <c r="BC28" s="98">
        <f t="shared" si="4"/>
        <v>2456</v>
      </c>
      <c r="BD28" s="19">
        <f t="shared" si="4"/>
        <v>0</v>
      </c>
      <c r="BE28" s="2">
        <f t="shared" si="4"/>
        <v>0</v>
      </c>
    </row>
  </sheetData>
  <mergeCells count="20">
    <mergeCell ref="BE10:BE12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  <mergeCell ref="W6:AA6"/>
    <mergeCell ref="AB6:AF6"/>
    <mergeCell ref="AG6:AK6"/>
    <mergeCell ref="AL6:AP6"/>
    <mergeCell ref="AQ6:AU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Lundi </vt:lpstr>
      <vt:lpstr>Mardi</vt:lpstr>
      <vt:lpstr>Mercredi</vt:lpstr>
      <vt:lpstr>Jeudi</vt:lpstr>
      <vt:lpstr>Vendredi</vt:lpstr>
      <vt:lpstr>Samedi</vt:lpstr>
      <vt:lpstr>Synthèse semaine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BLANCH</cp:lastModifiedBy>
  <cp:lastPrinted>2024-06-29T11:58:54Z</cp:lastPrinted>
  <dcterms:created xsi:type="dcterms:W3CDTF">2015-06-05T18:17:20Z</dcterms:created>
  <dcterms:modified xsi:type="dcterms:W3CDTF">2026-01-19T16:36:27Z</dcterms:modified>
</cp:coreProperties>
</file>