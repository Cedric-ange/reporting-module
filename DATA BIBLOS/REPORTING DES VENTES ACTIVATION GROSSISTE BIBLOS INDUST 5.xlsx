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NOH ERNEST\Desktop\BIBLOS INDUSTRIE\PROPOSITION CDO REFERENCEMENT\RAPPORT\REPORTING DES VENTES\"/>
    </mc:Choice>
  </mc:AlternateContent>
  <xr:revisionPtr revIDLastSave="0" documentId="13_ncr:1_{95E038B2-211E-465C-A20D-98CE4F0B9563}" xr6:coauthVersionLast="47" xr6:coauthVersionMax="47" xr10:uidLastSave="{00000000-0000-0000-0000-000000000000}"/>
  <bookViews>
    <workbookView xWindow="-120" yWindow="-120" windowWidth="29040" windowHeight="15060" activeTab="4" xr2:uid="{00000000-000D-0000-FFFF-FFFF00000000}"/>
  </bookViews>
  <sheets>
    <sheet name="JEUDI 22 JANV" sheetId="58" r:id="rId1"/>
    <sheet name="VEND 23 JANV" sheetId="178" r:id="rId2"/>
    <sheet name="SAM 24 JANV" sheetId="179" r:id="rId3"/>
    <sheet name="LUND 26 JANV" sheetId="180" r:id="rId4"/>
    <sheet name="MAR 27 JANV" sheetId="181" r:id="rId5"/>
    <sheet name="Synthèse semaine" sheetId="18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33" i="181" l="1"/>
  <c r="AS19" i="181"/>
  <c r="AS33" i="181"/>
  <c r="AR33" i="181"/>
  <c r="AR21" i="181"/>
  <c r="AS19" i="180"/>
  <c r="AS33" i="180"/>
  <c r="AY3" i="180"/>
  <c r="AX3" i="180"/>
  <c r="AW3" i="180"/>
  <c r="AV3" i="180"/>
  <c r="AU3" i="180"/>
  <c r="AT3" i="180"/>
  <c r="AS3" i="180"/>
  <c r="AR3" i="180"/>
  <c r="AQ3" i="180"/>
  <c r="AP3" i="180"/>
  <c r="AX3" i="179"/>
  <c r="AW3" i="179"/>
  <c r="AV3" i="179"/>
  <c r="AU3" i="179"/>
  <c r="AT3" i="179"/>
  <c r="AS3" i="179"/>
  <c r="AR3" i="179"/>
  <c r="AQ3" i="179"/>
  <c r="AP3" i="179"/>
  <c r="AO3" i="179"/>
  <c r="AS19" i="178"/>
  <c r="AR23" i="178"/>
  <c r="AX34" i="178"/>
  <c r="AZ3" i="178"/>
  <c r="AY3" i="178"/>
  <c r="AX3" i="178"/>
  <c r="AW3" i="178"/>
  <c r="AV3" i="178"/>
  <c r="AU3" i="178"/>
  <c r="AT3" i="178"/>
  <c r="AS3" i="178"/>
  <c r="AR3" i="178"/>
  <c r="AQ3" i="178"/>
  <c r="AS33" i="58"/>
  <c r="AR32" i="58"/>
  <c r="AZ3" i="58"/>
  <c r="AY3" i="58"/>
  <c r="AX3" i="58"/>
  <c r="AW3" i="58"/>
  <c r="AV3" i="58"/>
  <c r="AU3" i="58"/>
  <c r="AT3" i="58"/>
  <c r="AS3" i="58"/>
  <c r="AR3" i="58"/>
  <c r="AQ3" i="58"/>
  <c r="AY2" i="181"/>
  <c r="AX2" i="181"/>
  <c r="AW2" i="181"/>
  <c r="AV2" i="181"/>
  <c r="AU2" i="181"/>
  <c r="AT2" i="181"/>
  <c r="AS2" i="181"/>
  <c r="AR2" i="181"/>
  <c r="AQ2" i="181"/>
  <c r="AP2" i="181"/>
  <c r="BC27" i="183" l="1"/>
  <c r="BB27" i="183"/>
  <c r="BA27" i="183"/>
  <c r="AZ27" i="183"/>
  <c r="AY27" i="183"/>
  <c r="AX27" i="183"/>
  <c r="AW27" i="183"/>
  <c r="AV27" i="183"/>
  <c r="AU27" i="183"/>
  <c r="AT27" i="183"/>
  <c r="AS27" i="183"/>
  <c r="AR27" i="183"/>
  <c r="AQ27" i="183"/>
  <c r="AP27" i="183"/>
  <c r="AO27" i="183"/>
  <c r="AN27" i="183"/>
  <c r="AM27" i="183"/>
  <c r="AL27" i="183"/>
  <c r="AK27" i="183"/>
  <c r="AJ27" i="183"/>
  <c r="AI27" i="183"/>
  <c r="AH27" i="183"/>
  <c r="AG27" i="183"/>
  <c r="AF27" i="183"/>
  <c r="AE27" i="183"/>
  <c r="AD27" i="183"/>
  <c r="AC27" i="183"/>
  <c r="AB27" i="183"/>
  <c r="AA27" i="183"/>
  <c r="Z27" i="183"/>
  <c r="Y27" i="183"/>
  <c r="X27" i="183"/>
  <c r="W27" i="183"/>
  <c r="BC26" i="183"/>
  <c r="BB26" i="183"/>
  <c r="BA26" i="183"/>
  <c r="AZ26" i="183"/>
  <c r="AY26" i="183"/>
  <c r="AX26" i="183"/>
  <c r="AW26" i="183"/>
  <c r="AV26" i="183"/>
  <c r="AU26" i="183"/>
  <c r="AT26" i="183"/>
  <c r="AS26" i="183"/>
  <c r="AR26" i="183"/>
  <c r="AQ26" i="183"/>
  <c r="AP26" i="183"/>
  <c r="AO26" i="183"/>
  <c r="AN26" i="183"/>
  <c r="AM26" i="183"/>
  <c r="AL26" i="183"/>
  <c r="AK26" i="183"/>
  <c r="AJ26" i="183"/>
  <c r="AI26" i="183"/>
  <c r="AH26" i="183"/>
  <c r="AG26" i="183"/>
  <c r="AF26" i="183"/>
  <c r="AE26" i="183"/>
  <c r="AD26" i="183"/>
  <c r="AC26" i="183"/>
  <c r="AB26" i="183"/>
  <c r="AA26" i="183"/>
  <c r="Z26" i="183"/>
  <c r="Y26" i="183"/>
  <c r="X26" i="183"/>
  <c r="W26" i="183"/>
  <c r="BC25" i="183"/>
  <c r="BB25" i="183"/>
  <c r="BA25" i="183"/>
  <c r="AZ25" i="183"/>
  <c r="AY25" i="183"/>
  <c r="AX25" i="183"/>
  <c r="AW25" i="183"/>
  <c r="AV25" i="183"/>
  <c r="AU25" i="183"/>
  <c r="AT25" i="183"/>
  <c r="AS25" i="183"/>
  <c r="AR25" i="183"/>
  <c r="AQ25" i="183"/>
  <c r="AP25" i="183"/>
  <c r="AO25" i="183"/>
  <c r="AN25" i="183"/>
  <c r="AM25" i="183"/>
  <c r="AL25" i="183"/>
  <c r="AK25" i="183"/>
  <c r="AJ25" i="183"/>
  <c r="AI25" i="183"/>
  <c r="AH25" i="183"/>
  <c r="AG25" i="183"/>
  <c r="AF25" i="183"/>
  <c r="AE25" i="183"/>
  <c r="AD25" i="183"/>
  <c r="AC25" i="183"/>
  <c r="AB25" i="183"/>
  <c r="AA25" i="183"/>
  <c r="Z25" i="183"/>
  <c r="Y25" i="183"/>
  <c r="X25" i="183"/>
  <c r="W25" i="183"/>
  <c r="BC24" i="183"/>
  <c r="BB24" i="183"/>
  <c r="BA24" i="183"/>
  <c r="AZ24" i="183"/>
  <c r="AY24" i="183"/>
  <c r="AX24" i="183"/>
  <c r="AW24" i="183"/>
  <c r="AV24" i="183"/>
  <c r="AU24" i="183"/>
  <c r="AT24" i="183"/>
  <c r="AS24" i="183"/>
  <c r="AR24" i="183"/>
  <c r="AQ24" i="183"/>
  <c r="AP24" i="183"/>
  <c r="AO24" i="183"/>
  <c r="AN24" i="183"/>
  <c r="AM24" i="183"/>
  <c r="AL24" i="183"/>
  <c r="AK24" i="183"/>
  <c r="AJ24" i="183"/>
  <c r="AI24" i="183"/>
  <c r="AH24" i="183"/>
  <c r="AG24" i="183"/>
  <c r="AF24" i="183"/>
  <c r="AE24" i="183"/>
  <c r="AD24" i="183"/>
  <c r="AC24" i="183"/>
  <c r="AB24" i="183"/>
  <c r="AA24" i="183"/>
  <c r="Z24" i="183"/>
  <c r="Y24" i="183"/>
  <c r="X24" i="183"/>
  <c r="W24" i="183"/>
  <c r="BC23" i="183"/>
  <c r="BB23" i="183"/>
  <c r="BA23" i="183"/>
  <c r="AZ23" i="183"/>
  <c r="AY23" i="183"/>
  <c r="AX23" i="183"/>
  <c r="AW23" i="183"/>
  <c r="AV23" i="183"/>
  <c r="AU23" i="183"/>
  <c r="AT23" i="183"/>
  <c r="AS23" i="183"/>
  <c r="AR23" i="183"/>
  <c r="AQ23" i="183"/>
  <c r="AP23" i="183"/>
  <c r="AO23" i="183"/>
  <c r="AN23" i="183"/>
  <c r="AM23" i="183"/>
  <c r="AL23" i="183"/>
  <c r="AK23" i="183"/>
  <c r="AJ23" i="183"/>
  <c r="AI23" i="183"/>
  <c r="AH23" i="183"/>
  <c r="AG23" i="183"/>
  <c r="AF23" i="183"/>
  <c r="AE23" i="183"/>
  <c r="AD23" i="183"/>
  <c r="AC23" i="183"/>
  <c r="AB23" i="183"/>
  <c r="AA23" i="183"/>
  <c r="Z23" i="183"/>
  <c r="Y23" i="183"/>
  <c r="X23" i="183"/>
  <c r="W23" i="183"/>
  <c r="BC22" i="183"/>
  <c r="BB22" i="183"/>
  <c r="BA22" i="183"/>
  <c r="AZ22" i="183"/>
  <c r="AY22" i="183"/>
  <c r="AX22" i="183"/>
  <c r="AW22" i="183"/>
  <c r="AV22" i="183"/>
  <c r="AU22" i="183"/>
  <c r="AT22" i="183"/>
  <c r="AS22" i="183"/>
  <c r="AR22" i="183"/>
  <c r="AQ22" i="183"/>
  <c r="AP22" i="183"/>
  <c r="AO22" i="183"/>
  <c r="AN22" i="183"/>
  <c r="AM22" i="183"/>
  <c r="AL22" i="183"/>
  <c r="AK22" i="183"/>
  <c r="AJ22" i="183"/>
  <c r="AI22" i="183"/>
  <c r="AH22" i="183"/>
  <c r="AG22" i="183"/>
  <c r="AF22" i="183"/>
  <c r="AE22" i="183"/>
  <c r="AD22" i="183"/>
  <c r="AC22" i="183"/>
  <c r="AB22" i="183"/>
  <c r="AA22" i="183"/>
  <c r="Z22" i="183"/>
  <c r="Y22" i="183"/>
  <c r="X22" i="183"/>
  <c r="W22" i="183"/>
  <c r="BC21" i="183"/>
  <c r="BB21" i="183"/>
  <c r="BA21" i="183"/>
  <c r="AZ21" i="183"/>
  <c r="AY21" i="183"/>
  <c r="AX21" i="183"/>
  <c r="AW21" i="183"/>
  <c r="AV21" i="183"/>
  <c r="AU21" i="183"/>
  <c r="AT21" i="183"/>
  <c r="AS21" i="183"/>
  <c r="AR21" i="183"/>
  <c r="AQ21" i="183"/>
  <c r="AP21" i="183"/>
  <c r="AO21" i="183"/>
  <c r="AN21" i="183"/>
  <c r="AM21" i="183"/>
  <c r="AL21" i="183"/>
  <c r="AK21" i="183"/>
  <c r="AJ21" i="183"/>
  <c r="AI21" i="183"/>
  <c r="AH21" i="183"/>
  <c r="AG21" i="183"/>
  <c r="AF21" i="183"/>
  <c r="AE21" i="183"/>
  <c r="AD21" i="183"/>
  <c r="AC21" i="183"/>
  <c r="AB21" i="183"/>
  <c r="AA21" i="183"/>
  <c r="Z21" i="183"/>
  <c r="Y21" i="183"/>
  <c r="X21" i="183"/>
  <c r="W21" i="183"/>
  <c r="BC20" i="183"/>
  <c r="BB20" i="183"/>
  <c r="BA20" i="183"/>
  <c r="AZ20" i="183"/>
  <c r="AY20" i="183"/>
  <c r="AX20" i="183"/>
  <c r="AW20" i="183"/>
  <c r="AV20" i="183"/>
  <c r="AU20" i="183"/>
  <c r="AT20" i="183"/>
  <c r="AS20" i="183"/>
  <c r="AR20" i="183"/>
  <c r="AQ20" i="183"/>
  <c r="AP20" i="183"/>
  <c r="AO20" i="183"/>
  <c r="AN20" i="183"/>
  <c r="AM20" i="183"/>
  <c r="AL20" i="183"/>
  <c r="AK20" i="183"/>
  <c r="AJ20" i="183"/>
  <c r="AI20" i="183"/>
  <c r="AH20" i="183"/>
  <c r="AG20" i="183"/>
  <c r="AF20" i="183"/>
  <c r="AE20" i="183"/>
  <c r="AD20" i="183"/>
  <c r="AC20" i="183"/>
  <c r="AB20" i="183"/>
  <c r="AA20" i="183"/>
  <c r="Z20" i="183"/>
  <c r="Y20" i="183"/>
  <c r="X20" i="183"/>
  <c r="W20" i="183"/>
  <c r="BC19" i="183"/>
  <c r="BB19" i="183"/>
  <c r="BA19" i="183"/>
  <c r="AZ19" i="183"/>
  <c r="AY19" i="183"/>
  <c r="AX19" i="183"/>
  <c r="AW19" i="183"/>
  <c r="AV19" i="183"/>
  <c r="AU19" i="183"/>
  <c r="AT19" i="183"/>
  <c r="AS19" i="183"/>
  <c r="AR19" i="183"/>
  <c r="AQ19" i="183"/>
  <c r="AP19" i="183"/>
  <c r="AO19" i="183"/>
  <c r="AN19" i="183"/>
  <c r="AM19" i="183"/>
  <c r="AL19" i="183"/>
  <c r="AK19" i="183"/>
  <c r="AJ19" i="183"/>
  <c r="AI19" i="183"/>
  <c r="AH19" i="183"/>
  <c r="AG19" i="183"/>
  <c r="AF19" i="183"/>
  <c r="AE19" i="183"/>
  <c r="AD19" i="183"/>
  <c r="AC19" i="183"/>
  <c r="AB19" i="183"/>
  <c r="AA19" i="183"/>
  <c r="Z19" i="183"/>
  <c r="Y19" i="183"/>
  <c r="X19" i="183"/>
  <c r="W19" i="183"/>
  <c r="BC18" i="183"/>
  <c r="BB18" i="183"/>
  <c r="BA18" i="183"/>
  <c r="AZ18" i="183"/>
  <c r="AY18" i="183"/>
  <c r="AX18" i="183"/>
  <c r="AW18" i="183"/>
  <c r="AV18" i="183"/>
  <c r="AU18" i="183"/>
  <c r="AT18" i="183"/>
  <c r="AS18" i="183"/>
  <c r="AR18" i="183"/>
  <c r="AQ18" i="183"/>
  <c r="AP18" i="183"/>
  <c r="AO18" i="183"/>
  <c r="AN18" i="183"/>
  <c r="AM18" i="183"/>
  <c r="AL18" i="183"/>
  <c r="AK18" i="183"/>
  <c r="AJ18" i="183"/>
  <c r="AI18" i="183"/>
  <c r="AH18" i="183"/>
  <c r="AG18" i="183"/>
  <c r="AF18" i="183"/>
  <c r="AE18" i="183"/>
  <c r="AD18" i="183"/>
  <c r="AC18" i="183"/>
  <c r="AB18" i="183"/>
  <c r="AA18" i="183"/>
  <c r="Z18" i="183"/>
  <c r="Y18" i="183"/>
  <c r="X18" i="183"/>
  <c r="W18" i="183"/>
  <c r="BC17" i="183"/>
  <c r="BB17" i="183"/>
  <c r="BA17" i="183"/>
  <c r="AZ17" i="183"/>
  <c r="AY17" i="183"/>
  <c r="AX17" i="183"/>
  <c r="AW17" i="183"/>
  <c r="AV17" i="183"/>
  <c r="AU17" i="183"/>
  <c r="AT17" i="183"/>
  <c r="AS17" i="183"/>
  <c r="AR17" i="183"/>
  <c r="AQ17" i="183"/>
  <c r="AP17" i="183"/>
  <c r="AO17" i="183"/>
  <c r="AN17" i="183"/>
  <c r="AM17" i="183"/>
  <c r="AL17" i="183"/>
  <c r="AK17" i="183"/>
  <c r="AJ17" i="183"/>
  <c r="AI17" i="183"/>
  <c r="AH17" i="183"/>
  <c r="AG17" i="183"/>
  <c r="AF17" i="183"/>
  <c r="AE17" i="183"/>
  <c r="AD17" i="183"/>
  <c r="AC17" i="183"/>
  <c r="AB17" i="183"/>
  <c r="AA17" i="183"/>
  <c r="Z17" i="183"/>
  <c r="Y17" i="183"/>
  <c r="X17" i="183"/>
  <c r="W17" i="183"/>
  <c r="BC16" i="183"/>
  <c r="BB16" i="183"/>
  <c r="BA16" i="183"/>
  <c r="AZ16" i="183"/>
  <c r="AY16" i="183"/>
  <c r="AX16" i="183"/>
  <c r="AW16" i="183"/>
  <c r="AV16" i="183"/>
  <c r="AU16" i="183"/>
  <c r="AT16" i="183"/>
  <c r="AS16" i="183"/>
  <c r="AR16" i="183"/>
  <c r="AQ16" i="183"/>
  <c r="AP16" i="183"/>
  <c r="AO16" i="183"/>
  <c r="AN16" i="183"/>
  <c r="AM16" i="183"/>
  <c r="AL16" i="183"/>
  <c r="AK16" i="183"/>
  <c r="AJ16" i="183"/>
  <c r="AI16" i="183"/>
  <c r="AH16" i="183"/>
  <c r="AG16" i="183"/>
  <c r="AF16" i="183"/>
  <c r="AE16" i="183"/>
  <c r="AD16" i="183"/>
  <c r="AC16" i="183"/>
  <c r="AB16" i="183"/>
  <c r="AA16" i="183"/>
  <c r="Z16" i="183"/>
  <c r="Y16" i="183"/>
  <c r="X16" i="183"/>
  <c r="W16" i="183"/>
  <c r="BC15" i="183"/>
  <c r="BB15" i="183"/>
  <c r="BA15" i="183"/>
  <c r="AZ15" i="183"/>
  <c r="AY15" i="183"/>
  <c r="AX15" i="183"/>
  <c r="AW15" i="183"/>
  <c r="AV15" i="183"/>
  <c r="AU15" i="183"/>
  <c r="AT15" i="183"/>
  <c r="AS15" i="183"/>
  <c r="AR15" i="183"/>
  <c r="AQ15" i="183"/>
  <c r="AP15" i="183"/>
  <c r="AO15" i="183"/>
  <c r="AN15" i="183"/>
  <c r="AM15" i="183"/>
  <c r="AL15" i="183"/>
  <c r="AK15" i="183"/>
  <c r="AJ15" i="183"/>
  <c r="AI15" i="183"/>
  <c r="AH15" i="183"/>
  <c r="AG15" i="183"/>
  <c r="AF15" i="183"/>
  <c r="AE15" i="183"/>
  <c r="AD15" i="183"/>
  <c r="AC15" i="183"/>
  <c r="AB15" i="183"/>
  <c r="AA15" i="183"/>
  <c r="Z15" i="183"/>
  <c r="Y15" i="183"/>
  <c r="X15" i="183"/>
  <c r="W15" i="183"/>
  <c r="BC14" i="183"/>
  <c r="BB14" i="183"/>
  <c r="BA14" i="183"/>
  <c r="AZ14" i="183"/>
  <c r="AY14" i="183"/>
  <c r="AX14" i="183"/>
  <c r="AW14" i="183"/>
  <c r="AV14" i="183"/>
  <c r="AU14" i="183"/>
  <c r="AT14" i="183"/>
  <c r="AS14" i="183"/>
  <c r="AR14" i="183"/>
  <c r="AQ14" i="183"/>
  <c r="AP14" i="183"/>
  <c r="AO14" i="183"/>
  <c r="AN14" i="183"/>
  <c r="AM14" i="183"/>
  <c r="AL14" i="183"/>
  <c r="AK14" i="183"/>
  <c r="AJ14" i="183"/>
  <c r="AI14" i="183"/>
  <c r="AH14" i="183"/>
  <c r="AG14" i="183"/>
  <c r="AF14" i="183"/>
  <c r="AE14" i="183"/>
  <c r="AD14" i="183"/>
  <c r="AC14" i="183"/>
  <c r="AB14" i="183"/>
  <c r="AA14" i="183"/>
  <c r="Z14" i="183"/>
  <c r="Y14" i="183"/>
  <c r="X14" i="183"/>
  <c r="W14" i="183"/>
  <c r="BC13" i="183"/>
  <c r="BB13" i="183"/>
  <c r="BA13" i="183"/>
  <c r="AZ13" i="183"/>
  <c r="AY13" i="183"/>
  <c r="AX13" i="183"/>
  <c r="AW13" i="183"/>
  <c r="AV13" i="183"/>
  <c r="AU13" i="183"/>
  <c r="AT13" i="183"/>
  <c r="AS13" i="183"/>
  <c r="AR13" i="183"/>
  <c r="AQ13" i="183"/>
  <c r="AP13" i="183"/>
  <c r="AO13" i="183"/>
  <c r="AN13" i="183"/>
  <c r="AM13" i="183"/>
  <c r="AL13" i="183"/>
  <c r="AK13" i="183"/>
  <c r="AJ13" i="183"/>
  <c r="AI13" i="183"/>
  <c r="AH13" i="183"/>
  <c r="AG13" i="183"/>
  <c r="AF13" i="183"/>
  <c r="AE13" i="183"/>
  <c r="AD13" i="183"/>
  <c r="AC13" i="183"/>
  <c r="AB13" i="183"/>
  <c r="AA13" i="183"/>
  <c r="Z13" i="183"/>
  <c r="Y13" i="183"/>
  <c r="X13" i="183"/>
  <c r="W13" i="183"/>
  <c r="BC12" i="183"/>
  <c r="BB12" i="183"/>
  <c r="BA12" i="183"/>
  <c r="AZ12" i="183"/>
  <c r="AY12" i="183"/>
  <c r="AX12" i="183"/>
  <c r="AW12" i="183"/>
  <c r="AV12" i="183"/>
  <c r="AU12" i="183"/>
  <c r="AT12" i="183"/>
  <c r="AS12" i="183"/>
  <c r="AR12" i="183"/>
  <c r="AQ12" i="183"/>
  <c r="AP12" i="183"/>
  <c r="AO12" i="183"/>
  <c r="AN12" i="183"/>
  <c r="AM12" i="183"/>
  <c r="AL12" i="183"/>
  <c r="AK12" i="183"/>
  <c r="AJ12" i="183"/>
  <c r="AI12" i="183"/>
  <c r="AH12" i="183"/>
  <c r="AG12" i="183"/>
  <c r="AF12" i="183"/>
  <c r="AE12" i="183"/>
  <c r="AD12" i="183"/>
  <c r="AC12" i="183"/>
  <c r="AB12" i="183"/>
  <c r="AA12" i="183"/>
  <c r="Z12" i="183"/>
  <c r="Y12" i="183"/>
  <c r="X12" i="183"/>
  <c r="W12" i="183"/>
  <c r="BC11" i="183"/>
  <c r="BB11" i="183"/>
  <c r="BA11" i="183"/>
  <c r="AZ11" i="183"/>
  <c r="AY11" i="183"/>
  <c r="AX11" i="183"/>
  <c r="AW11" i="183"/>
  <c r="AV11" i="183"/>
  <c r="AU11" i="183"/>
  <c r="AT11" i="183"/>
  <c r="AS11" i="183"/>
  <c r="AR11" i="183"/>
  <c r="AQ11" i="183"/>
  <c r="AP11" i="183"/>
  <c r="AO11" i="183"/>
  <c r="AN11" i="183"/>
  <c r="AM11" i="183"/>
  <c r="AL11" i="183"/>
  <c r="AK11" i="183"/>
  <c r="AJ11" i="183"/>
  <c r="AI11" i="183"/>
  <c r="AH11" i="183"/>
  <c r="AG11" i="183"/>
  <c r="AF11" i="183"/>
  <c r="AE11" i="183"/>
  <c r="AD11" i="183"/>
  <c r="AC11" i="183"/>
  <c r="AB11" i="183"/>
  <c r="AA11" i="183"/>
  <c r="Z11" i="183"/>
  <c r="Y11" i="183"/>
  <c r="X11" i="183"/>
  <c r="W11" i="183"/>
  <c r="BC10" i="183"/>
  <c r="BB10" i="183"/>
  <c r="BA10" i="183"/>
  <c r="AZ10" i="183"/>
  <c r="AY10" i="183"/>
  <c r="AX10" i="183"/>
  <c r="AW10" i="183"/>
  <c r="AV10" i="183"/>
  <c r="AU10" i="183"/>
  <c r="AT10" i="183"/>
  <c r="AS10" i="183"/>
  <c r="AR10" i="183"/>
  <c r="AQ10" i="183"/>
  <c r="AP10" i="183"/>
  <c r="AO10" i="183"/>
  <c r="AN10" i="183"/>
  <c r="AM10" i="183"/>
  <c r="AL10" i="183"/>
  <c r="AK10" i="183"/>
  <c r="AJ10" i="183"/>
  <c r="AI10" i="183"/>
  <c r="AH10" i="183"/>
  <c r="AG10" i="183"/>
  <c r="AF10" i="183"/>
  <c r="AE10" i="183"/>
  <c r="AD10" i="183"/>
  <c r="AC10" i="183"/>
  <c r="AB10" i="183"/>
  <c r="AA10" i="183"/>
  <c r="Z10" i="183"/>
  <c r="Y10" i="183"/>
  <c r="X10" i="183"/>
  <c r="W10" i="183"/>
  <c r="BC9" i="183"/>
  <c r="BB9" i="183"/>
  <c r="BA9" i="183"/>
  <c r="AZ9" i="183"/>
  <c r="AY9" i="183"/>
  <c r="AX9" i="183"/>
  <c r="AW9" i="183"/>
  <c r="AV9" i="183"/>
  <c r="AU9" i="183"/>
  <c r="AT9" i="183"/>
  <c r="AS9" i="183"/>
  <c r="AR9" i="183"/>
  <c r="AQ9" i="183"/>
  <c r="AP9" i="183"/>
  <c r="AO9" i="183"/>
  <c r="AN9" i="183"/>
  <c r="AM9" i="183"/>
  <c r="AL9" i="183"/>
  <c r="AK9" i="183"/>
  <c r="AJ9" i="183"/>
  <c r="AI9" i="183"/>
  <c r="AH9" i="183"/>
  <c r="AG9" i="183"/>
  <c r="AF9" i="183"/>
  <c r="AE9" i="183"/>
  <c r="AD9" i="183"/>
  <c r="AC9" i="183"/>
  <c r="AB9" i="183"/>
  <c r="AA9" i="183"/>
  <c r="Z9" i="183"/>
  <c r="Y9" i="183"/>
  <c r="X9" i="183"/>
  <c r="W9" i="183"/>
  <c r="BC8" i="183"/>
  <c r="BB8" i="183"/>
  <c r="BA8" i="183"/>
  <c r="AZ8" i="183"/>
  <c r="AY8" i="183"/>
  <c r="AX8" i="183"/>
  <c r="AW8" i="183"/>
  <c r="AV8" i="183"/>
  <c r="AU8" i="183"/>
  <c r="AT8" i="183"/>
  <c r="AS8" i="183"/>
  <c r="AR8" i="183"/>
  <c r="AP8" i="183"/>
  <c r="AO8" i="183"/>
  <c r="AN8" i="183"/>
  <c r="AM8" i="183"/>
  <c r="AK8" i="183"/>
  <c r="AJ8" i="183"/>
  <c r="AI8" i="183"/>
  <c r="AH8" i="183"/>
  <c r="AF8" i="183"/>
  <c r="AE8" i="183"/>
  <c r="AD8" i="183"/>
  <c r="AC8" i="183"/>
  <c r="AB8" i="183"/>
  <c r="AA8" i="183"/>
  <c r="Z8" i="183"/>
  <c r="Y8" i="183"/>
  <c r="X8" i="183"/>
  <c r="J16" i="183"/>
  <c r="BE28" i="183"/>
  <c r="BD28" i="183"/>
  <c r="U27" i="183"/>
  <c r="Q27" i="183"/>
  <c r="P27" i="183"/>
  <c r="N27" i="183"/>
  <c r="L27" i="183"/>
  <c r="K27" i="183"/>
  <c r="J27" i="183"/>
  <c r="I27" i="183"/>
  <c r="H27" i="183"/>
  <c r="G27" i="183"/>
  <c r="F27" i="183"/>
  <c r="E27" i="183"/>
  <c r="D27" i="183"/>
  <c r="C27" i="183"/>
  <c r="U26" i="183"/>
  <c r="T26" i="183"/>
  <c r="Q26" i="183"/>
  <c r="P26" i="183"/>
  <c r="N26" i="183"/>
  <c r="L26" i="183"/>
  <c r="K26" i="183"/>
  <c r="J26" i="183"/>
  <c r="I26" i="183"/>
  <c r="H26" i="183"/>
  <c r="G26" i="183"/>
  <c r="F26" i="183"/>
  <c r="E26" i="183"/>
  <c r="D26" i="183"/>
  <c r="C26" i="183"/>
  <c r="Q25" i="183"/>
  <c r="P25" i="183"/>
  <c r="N25" i="183"/>
  <c r="L25" i="183"/>
  <c r="K25" i="183"/>
  <c r="J25" i="183"/>
  <c r="I25" i="183"/>
  <c r="H25" i="183"/>
  <c r="G25" i="183"/>
  <c r="F25" i="183"/>
  <c r="E25" i="183"/>
  <c r="D25" i="183"/>
  <c r="C25" i="183"/>
  <c r="U24" i="183"/>
  <c r="T24" i="183"/>
  <c r="Q24" i="183"/>
  <c r="P24" i="183"/>
  <c r="N24" i="183"/>
  <c r="L24" i="183"/>
  <c r="K24" i="183"/>
  <c r="J24" i="183"/>
  <c r="I24" i="183"/>
  <c r="H24" i="183"/>
  <c r="G24" i="183"/>
  <c r="F24" i="183"/>
  <c r="E24" i="183"/>
  <c r="D24" i="183"/>
  <c r="C24" i="183"/>
  <c r="U23" i="183"/>
  <c r="T23" i="183"/>
  <c r="Q23" i="183"/>
  <c r="P23" i="183"/>
  <c r="N23" i="183"/>
  <c r="L23" i="183"/>
  <c r="K23" i="183"/>
  <c r="J23" i="183"/>
  <c r="I23" i="183"/>
  <c r="H23" i="183"/>
  <c r="G23" i="183"/>
  <c r="F23" i="183"/>
  <c r="E23" i="183"/>
  <c r="D23" i="183"/>
  <c r="C23" i="183"/>
  <c r="Q22" i="183"/>
  <c r="P22" i="183"/>
  <c r="N22" i="183"/>
  <c r="L22" i="183"/>
  <c r="K22" i="183"/>
  <c r="J22" i="183"/>
  <c r="I22" i="183"/>
  <c r="H22" i="183"/>
  <c r="G22" i="183"/>
  <c r="F22" i="183"/>
  <c r="E22" i="183"/>
  <c r="D22" i="183"/>
  <c r="C22" i="183"/>
  <c r="U21" i="183"/>
  <c r="T21" i="183"/>
  <c r="Q21" i="183"/>
  <c r="P21" i="183"/>
  <c r="N21" i="183"/>
  <c r="L21" i="183"/>
  <c r="K21" i="183"/>
  <c r="J21" i="183"/>
  <c r="I21" i="183"/>
  <c r="H21" i="183"/>
  <c r="G21" i="183"/>
  <c r="F21" i="183"/>
  <c r="E21" i="183"/>
  <c r="D21" i="183"/>
  <c r="C21" i="183"/>
  <c r="U20" i="183"/>
  <c r="T20" i="183"/>
  <c r="Q20" i="183"/>
  <c r="P20" i="183"/>
  <c r="N20" i="183"/>
  <c r="L20" i="183"/>
  <c r="K20" i="183"/>
  <c r="J20" i="183"/>
  <c r="I20" i="183"/>
  <c r="H20" i="183"/>
  <c r="G20" i="183"/>
  <c r="F20" i="183"/>
  <c r="E20" i="183"/>
  <c r="D20" i="183"/>
  <c r="C20" i="183"/>
  <c r="Q19" i="183"/>
  <c r="P19" i="183"/>
  <c r="N19" i="183"/>
  <c r="L19" i="183"/>
  <c r="K19" i="183"/>
  <c r="J19" i="183"/>
  <c r="I19" i="183"/>
  <c r="H19" i="183"/>
  <c r="G19" i="183"/>
  <c r="F19" i="183"/>
  <c r="E19" i="183"/>
  <c r="D19" i="183"/>
  <c r="C19" i="183"/>
  <c r="U18" i="183"/>
  <c r="T18" i="183"/>
  <c r="Q18" i="183"/>
  <c r="P18" i="183"/>
  <c r="N18" i="183"/>
  <c r="L18" i="183"/>
  <c r="K18" i="183"/>
  <c r="J18" i="183"/>
  <c r="I18" i="183"/>
  <c r="H18" i="183"/>
  <c r="G18" i="183"/>
  <c r="F18" i="183"/>
  <c r="E18" i="183"/>
  <c r="D18" i="183"/>
  <c r="C18" i="183"/>
  <c r="U17" i="183"/>
  <c r="T17" i="183"/>
  <c r="Q17" i="183"/>
  <c r="P17" i="183"/>
  <c r="N17" i="183"/>
  <c r="L17" i="183"/>
  <c r="K17" i="183"/>
  <c r="J17" i="183"/>
  <c r="I17" i="183"/>
  <c r="H17" i="183"/>
  <c r="G17" i="183"/>
  <c r="F17" i="183"/>
  <c r="E17" i="183"/>
  <c r="D17" i="183"/>
  <c r="C17" i="183"/>
  <c r="Q16" i="183"/>
  <c r="P16" i="183"/>
  <c r="N16" i="183"/>
  <c r="L16" i="183"/>
  <c r="K16" i="183"/>
  <c r="I16" i="183"/>
  <c r="H16" i="183"/>
  <c r="G16" i="183"/>
  <c r="F16" i="183"/>
  <c r="E16" i="183"/>
  <c r="D16" i="183"/>
  <c r="C16" i="183"/>
  <c r="T15" i="183"/>
  <c r="S15" i="183"/>
  <c r="Q15" i="183"/>
  <c r="P15" i="183"/>
  <c r="N15" i="183"/>
  <c r="L15" i="183"/>
  <c r="K15" i="183"/>
  <c r="J15" i="183"/>
  <c r="I15" i="183"/>
  <c r="H15" i="183"/>
  <c r="G15" i="183"/>
  <c r="F15" i="183"/>
  <c r="E15" i="183"/>
  <c r="D15" i="183"/>
  <c r="C15" i="183"/>
  <c r="T14" i="183"/>
  <c r="S14" i="183"/>
  <c r="Q14" i="183"/>
  <c r="P14" i="183"/>
  <c r="N14" i="183"/>
  <c r="L14" i="183"/>
  <c r="K14" i="183"/>
  <c r="J14" i="183"/>
  <c r="I14" i="183"/>
  <c r="H14" i="183"/>
  <c r="G14" i="183"/>
  <c r="F14" i="183"/>
  <c r="E14" i="183"/>
  <c r="D14" i="183"/>
  <c r="C14" i="183"/>
  <c r="Q13" i="183"/>
  <c r="P13" i="183"/>
  <c r="N13" i="183"/>
  <c r="M13" i="183"/>
  <c r="L13" i="183"/>
  <c r="K13" i="183"/>
  <c r="J13" i="183"/>
  <c r="I13" i="183"/>
  <c r="H13" i="183"/>
  <c r="G13" i="183"/>
  <c r="F13" i="183"/>
  <c r="E13" i="183"/>
  <c r="D13" i="183"/>
  <c r="C13" i="183"/>
  <c r="T12" i="183"/>
  <c r="S12" i="183"/>
  <c r="Q12" i="183"/>
  <c r="P12" i="183"/>
  <c r="N12" i="183"/>
  <c r="L12" i="183"/>
  <c r="K12" i="183"/>
  <c r="J12" i="183"/>
  <c r="I12" i="183"/>
  <c r="H12" i="183"/>
  <c r="G12" i="183"/>
  <c r="F12" i="183"/>
  <c r="E12" i="183"/>
  <c r="D12" i="183"/>
  <c r="C12" i="183"/>
  <c r="T11" i="183"/>
  <c r="S11" i="183"/>
  <c r="Q11" i="183"/>
  <c r="P11" i="183"/>
  <c r="N11" i="183"/>
  <c r="L11" i="183"/>
  <c r="K11" i="183"/>
  <c r="J11" i="183"/>
  <c r="I11" i="183"/>
  <c r="H11" i="183"/>
  <c r="G11" i="183"/>
  <c r="F11" i="183"/>
  <c r="E11" i="183"/>
  <c r="D11" i="183"/>
  <c r="C11" i="183"/>
  <c r="Q10" i="183"/>
  <c r="P10" i="183"/>
  <c r="N10" i="183"/>
  <c r="M10" i="183"/>
  <c r="L10" i="183"/>
  <c r="K10" i="183"/>
  <c r="J10" i="183"/>
  <c r="I10" i="183"/>
  <c r="H10" i="183"/>
  <c r="G10" i="183"/>
  <c r="F10" i="183"/>
  <c r="E10" i="183"/>
  <c r="D10" i="183"/>
  <c r="C10" i="183"/>
  <c r="T9" i="183"/>
  <c r="S9" i="183"/>
  <c r="Q9" i="183"/>
  <c r="P9" i="183"/>
  <c r="N9" i="183"/>
  <c r="L9" i="183"/>
  <c r="K9" i="183"/>
  <c r="J9" i="183"/>
  <c r="I9" i="183"/>
  <c r="H9" i="183"/>
  <c r="G9" i="183"/>
  <c r="F9" i="183"/>
  <c r="E9" i="183"/>
  <c r="D9" i="183"/>
  <c r="C9" i="183"/>
  <c r="T8" i="183"/>
  <c r="S8" i="183"/>
  <c r="Q8" i="183"/>
  <c r="P8" i="183"/>
  <c r="N8" i="183"/>
  <c r="L8" i="183"/>
  <c r="K8" i="183"/>
  <c r="J8" i="183"/>
  <c r="I8" i="183"/>
  <c r="H8" i="183"/>
  <c r="G8" i="183"/>
  <c r="F8" i="183"/>
  <c r="F28" i="183" s="1"/>
  <c r="E8" i="183"/>
  <c r="D8" i="183"/>
  <c r="C8" i="183"/>
  <c r="V3" i="183"/>
  <c r="V17" i="183" s="1"/>
  <c r="U3" i="183"/>
  <c r="U25" i="183" s="1"/>
  <c r="T3" i="183"/>
  <c r="T25" i="183" s="1"/>
  <c r="S3" i="183"/>
  <c r="S22" i="183" s="1"/>
  <c r="O3" i="183"/>
  <c r="O21" i="183" s="1"/>
  <c r="M3" i="183"/>
  <c r="M26" i="183" s="1"/>
  <c r="BE28" i="181"/>
  <c r="BD28" i="181"/>
  <c r="BC28" i="181"/>
  <c r="BB28" i="181"/>
  <c r="BA28" i="181"/>
  <c r="AZ28" i="181"/>
  <c r="AY28" i="181"/>
  <c r="AX28" i="181"/>
  <c r="AW28" i="181"/>
  <c r="AV28" i="181"/>
  <c r="AU28" i="181"/>
  <c r="AT28" i="181"/>
  <c r="AS28" i="181"/>
  <c r="AR28" i="181"/>
  <c r="AP28" i="181"/>
  <c r="AO28" i="181"/>
  <c r="AN28" i="181"/>
  <c r="AM28" i="181"/>
  <c r="AL28" i="181"/>
  <c r="AK28" i="181"/>
  <c r="AJ28" i="181"/>
  <c r="AI28" i="181"/>
  <c r="AH28" i="181"/>
  <c r="AG28" i="181"/>
  <c r="AF28" i="181"/>
  <c r="AE28" i="181"/>
  <c r="AD28" i="181"/>
  <c r="AC28" i="181"/>
  <c r="AB28" i="181"/>
  <c r="AA28" i="181"/>
  <c r="Z28" i="181"/>
  <c r="Y28" i="181"/>
  <c r="X28" i="181"/>
  <c r="W28" i="181"/>
  <c r="U27" i="181"/>
  <c r="Q27" i="181"/>
  <c r="P27" i="181"/>
  <c r="N27" i="181"/>
  <c r="L27" i="181"/>
  <c r="K27" i="181"/>
  <c r="J27" i="181"/>
  <c r="I27" i="181"/>
  <c r="H27" i="181"/>
  <c r="G27" i="181"/>
  <c r="F27" i="181"/>
  <c r="E27" i="181"/>
  <c r="D27" i="181"/>
  <c r="C27" i="181"/>
  <c r="U26" i="181"/>
  <c r="T26" i="181"/>
  <c r="Q26" i="181"/>
  <c r="P26" i="181"/>
  <c r="N26" i="181"/>
  <c r="L26" i="181"/>
  <c r="K26" i="181"/>
  <c r="J26" i="181"/>
  <c r="I26" i="181"/>
  <c r="H26" i="181"/>
  <c r="G26" i="181"/>
  <c r="F26" i="181"/>
  <c r="E26" i="181"/>
  <c r="D26" i="181"/>
  <c r="C26" i="181"/>
  <c r="Q25" i="181"/>
  <c r="P25" i="181"/>
  <c r="N25" i="181"/>
  <c r="L25" i="181"/>
  <c r="K25" i="181"/>
  <c r="J25" i="181"/>
  <c r="I25" i="181"/>
  <c r="H25" i="181"/>
  <c r="G25" i="181"/>
  <c r="F25" i="181"/>
  <c r="E25" i="181"/>
  <c r="D25" i="181"/>
  <c r="C25" i="181"/>
  <c r="U24" i="181"/>
  <c r="T24" i="181"/>
  <c r="Q24" i="181"/>
  <c r="P24" i="181"/>
  <c r="N24" i="181"/>
  <c r="L24" i="181"/>
  <c r="K24" i="181"/>
  <c r="J24" i="181"/>
  <c r="I24" i="181"/>
  <c r="H24" i="181"/>
  <c r="G24" i="181"/>
  <c r="F24" i="181"/>
  <c r="E24" i="181"/>
  <c r="D24" i="181"/>
  <c r="C24" i="181"/>
  <c r="U23" i="181"/>
  <c r="T23" i="181"/>
  <c r="Q23" i="181"/>
  <c r="P23" i="181"/>
  <c r="N23" i="181"/>
  <c r="L23" i="181"/>
  <c r="K23" i="181"/>
  <c r="J23" i="181"/>
  <c r="I23" i="181"/>
  <c r="H23" i="181"/>
  <c r="G23" i="181"/>
  <c r="F23" i="181"/>
  <c r="E23" i="181"/>
  <c r="D23" i="181"/>
  <c r="C23" i="181"/>
  <c r="Q22" i="181"/>
  <c r="P22" i="181"/>
  <c r="N22" i="181"/>
  <c r="L22" i="181"/>
  <c r="K22" i="181"/>
  <c r="J22" i="181"/>
  <c r="I22" i="181"/>
  <c r="H22" i="181"/>
  <c r="G22" i="181"/>
  <c r="F22" i="181"/>
  <c r="E22" i="181"/>
  <c r="D22" i="181"/>
  <c r="C22" i="181"/>
  <c r="U21" i="181"/>
  <c r="T21" i="181"/>
  <c r="Q21" i="181"/>
  <c r="P21" i="181"/>
  <c r="N21" i="181"/>
  <c r="L21" i="181"/>
  <c r="K21" i="181"/>
  <c r="J21" i="181"/>
  <c r="I21" i="181"/>
  <c r="H21" i="181"/>
  <c r="G21" i="181"/>
  <c r="F21" i="181"/>
  <c r="E21" i="181"/>
  <c r="D21" i="181"/>
  <c r="C21" i="181"/>
  <c r="U20" i="181"/>
  <c r="T20" i="181"/>
  <c r="Q20" i="181"/>
  <c r="P20" i="181"/>
  <c r="N20" i="181"/>
  <c r="L20" i="181"/>
  <c r="K20" i="181"/>
  <c r="J20" i="181"/>
  <c r="I20" i="181"/>
  <c r="H20" i="181"/>
  <c r="G20" i="181"/>
  <c r="F20" i="181"/>
  <c r="E20" i="181"/>
  <c r="D20" i="181"/>
  <c r="C20" i="181"/>
  <c r="Q19" i="181"/>
  <c r="P19" i="181"/>
  <c r="N19" i="181"/>
  <c r="L19" i="181"/>
  <c r="K19" i="181"/>
  <c r="J19" i="181"/>
  <c r="I19" i="181"/>
  <c r="H19" i="181"/>
  <c r="G19" i="181"/>
  <c r="F19" i="181"/>
  <c r="E19" i="181"/>
  <c r="D19" i="181"/>
  <c r="C19" i="181"/>
  <c r="U18" i="181"/>
  <c r="T18" i="181"/>
  <c r="Q18" i="181"/>
  <c r="P18" i="181"/>
  <c r="N18" i="181"/>
  <c r="L18" i="181"/>
  <c r="K18" i="181"/>
  <c r="J18" i="181"/>
  <c r="I18" i="181"/>
  <c r="H18" i="181"/>
  <c r="G18" i="181"/>
  <c r="F18" i="181"/>
  <c r="E18" i="181"/>
  <c r="D18" i="181"/>
  <c r="C18" i="181"/>
  <c r="U17" i="181"/>
  <c r="T17" i="181"/>
  <c r="Q17" i="181"/>
  <c r="P17" i="181"/>
  <c r="N17" i="181"/>
  <c r="L17" i="181"/>
  <c r="K17" i="181"/>
  <c r="J17" i="181"/>
  <c r="I17" i="181"/>
  <c r="H17" i="181"/>
  <c r="G17" i="181"/>
  <c r="F17" i="181"/>
  <c r="E17" i="181"/>
  <c r="D17" i="181"/>
  <c r="C17" i="181"/>
  <c r="Q16" i="181"/>
  <c r="P16" i="181"/>
  <c r="N16" i="181"/>
  <c r="L16" i="181"/>
  <c r="K16" i="181"/>
  <c r="J16" i="181"/>
  <c r="I16" i="181"/>
  <c r="H16" i="181"/>
  <c r="G16" i="181"/>
  <c r="F16" i="181"/>
  <c r="E16" i="181"/>
  <c r="D16" i="181"/>
  <c r="C16" i="181"/>
  <c r="U15" i="181"/>
  <c r="T15" i="181"/>
  <c r="Q15" i="181"/>
  <c r="P15" i="181"/>
  <c r="N15" i="181"/>
  <c r="L15" i="181"/>
  <c r="K15" i="181"/>
  <c r="J15" i="181"/>
  <c r="I15" i="181"/>
  <c r="H15" i="181"/>
  <c r="G15" i="181"/>
  <c r="F15" i="181"/>
  <c r="E15" i="181"/>
  <c r="D15" i="181"/>
  <c r="C15" i="181"/>
  <c r="U14" i="181"/>
  <c r="T14" i="181"/>
  <c r="Q14" i="181"/>
  <c r="P14" i="181"/>
  <c r="N14" i="181"/>
  <c r="L14" i="181"/>
  <c r="K14" i="181"/>
  <c r="J14" i="181"/>
  <c r="I14" i="181"/>
  <c r="H14" i="181"/>
  <c r="G14" i="181"/>
  <c r="F14" i="181"/>
  <c r="E14" i="181"/>
  <c r="D14" i="181"/>
  <c r="C14" i="181"/>
  <c r="Q13" i="181"/>
  <c r="P13" i="181"/>
  <c r="N13" i="181"/>
  <c r="L13" i="181"/>
  <c r="K13" i="181"/>
  <c r="J13" i="181"/>
  <c r="I13" i="181"/>
  <c r="H13" i="181"/>
  <c r="G13" i="181"/>
  <c r="F13" i="181"/>
  <c r="E13" i="181"/>
  <c r="D13" i="181"/>
  <c r="C13" i="181"/>
  <c r="U12" i="181"/>
  <c r="T12" i="181"/>
  <c r="Q12" i="181"/>
  <c r="P12" i="181"/>
  <c r="N12" i="181"/>
  <c r="L12" i="181"/>
  <c r="K12" i="181"/>
  <c r="J12" i="181"/>
  <c r="I12" i="181"/>
  <c r="H12" i="181"/>
  <c r="G12" i="181"/>
  <c r="F12" i="181"/>
  <c r="E12" i="181"/>
  <c r="D12" i="181"/>
  <c r="C12" i="181"/>
  <c r="U11" i="181"/>
  <c r="T11" i="181"/>
  <c r="Q11" i="181"/>
  <c r="P11" i="181"/>
  <c r="N11" i="181"/>
  <c r="L11" i="181"/>
  <c r="K11" i="181"/>
  <c r="J11" i="181"/>
  <c r="I11" i="181"/>
  <c r="H11" i="181"/>
  <c r="G11" i="181"/>
  <c r="F11" i="181"/>
  <c r="E11" i="181"/>
  <c r="D11" i="181"/>
  <c r="C11" i="181"/>
  <c r="Q10" i="181"/>
  <c r="P10" i="181"/>
  <c r="N10" i="181"/>
  <c r="L10" i="181"/>
  <c r="K10" i="181"/>
  <c r="J10" i="181"/>
  <c r="I10" i="181"/>
  <c r="H10" i="181"/>
  <c r="G10" i="181"/>
  <c r="F10" i="181"/>
  <c r="E10" i="181"/>
  <c r="D10" i="181"/>
  <c r="C10" i="181"/>
  <c r="U9" i="181"/>
  <c r="T9" i="181"/>
  <c r="Q9" i="181"/>
  <c r="P9" i="181"/>
  <c r="N9" i="181"/>
  <c r="L9" i="181"/>
  <c r="K9" i="181"/>
  <c r="J9" i="181"/>
  <c r="I9" i="181"/>
  <c r="H9" i="181"/>
  <c r="G9" i="181"/>
  <c r="F9" i="181"/>
  <c r="E9" i="181"/>
  <c r="D9" i="181"/>
  <c r="C9" i="181"/>
  <c r="U8" i="181"/>
  <c r="T8" i="181"/>
  <c r="Q8" i="181"/>
  <c r="P8" i="181"/>
  <c r="P28" i="181" s="1"/>
  <c r="N8" i="181"/>
  <c r="L8" i="181"/>
  <c r="K8" i="181"/>
  <c r="K28" i="181" s="1"/>
  <c r="J8" i="181"/>
  <c r="I8" i="181"/>
  <c r="I28" i="181" s="1"/>
  <c r="H8" i="181"/>
  <c r="G8" i="181"/>
  <c r="G28" i="181" s="1"/>
  <c r="F8" i="181"/>
  <c r="E8" i="181"/>
  <c r="E28" i="181" s="1"/>
  <c r="D8" i="181"/>
  <c r="C8" i="181"/>
  <c r="C28" i="181" s="1"/>
  <c r="V3" i="181"/>
  <c r="V26" i="181" s="1"/>
  <c r="U3" i="181"/>
  <c r="U25" i="181" s="1"/>
  <c r="T3" i="181"/>
  <c r="T25" i="181" s="1"/>
  <c r="S3" i="181"/>
  <c r="S25" i="181" s="1"/>
  <c r="O3" i="181"/>
  <c r="O27" i="181" s="1"/>
  <c r="M3" i="181"/>
  <c r="M26" i="181" s="1"/>
  <c r="BE28" i="180"/>
  <c r="BD28" i="180"/>
  <c r="BC28" i="180"/>
  <c r="BB28" i="180"/>
  <c r="BA28" i="180"/>
  <c r="AZ28" i="180"/>
  <c r="AY28" i="180"/>
  <c r="AX28" i="180"/>
  <c r="AW28" i="180"/>
  <c r="AV28" i="180"/>
  <c r="AU28" i="180"/>
  <c r="AT28" i="180"/>
  <c r="AS28" i="180"/>
  <c r="AR28" i="180"/>
  <c r="AQ28" i="180"/>
  <c r="AP28" i="180"/>
  <c r="AO28" i="180"/>
  <c r="AN28" i="180"/>
  <c r="AM28" i="180"/>
  <c r="AL28" i="180"/>
  <c r="AK28" i="180"/>
  <c r="AJ28" i="180"/>
  <c r="AI28" i="180"/>
  <c r="AH28" i="180"/>
  <c r="AG28" i="180"/>
  <c r="AF28" i="180"/>
  <c r="AE28" i="180"/>
  <c r="AD28" i="180"/>
  <c r="AC28" i="180"/>
  <c r="AB28" i="180"/>
  <c r="AA28" i="180"/>
  <c r="Z28" i="180"/>
  <c r="Y28" i="180"/>
  <c r="X28" i="180"/>
  <c r="S27" i="180"/>
  <c r="Q27" i="180"/>
  <c r="P27" i="180"/>
  <c r="N27" i="180"/>
  <c r="L27" i="180"/>
  <c r="K27" i="180"/>
  <c r="J27" i="180"/>
  <c r="I27" i="180"/>
  <c r="H27" i="180"/>
  <c r="G27" i="180"/>
  <c r="F27" i="180"/>
  <c r="E27" i="180"/>
  <c r="D27" i="180"/>
  <c r="C27" i="180"/>
  <c r="S26" i="180"/>
  <c r="Q26" i="180"/>
  <c r="P26" i="180"/>
  <c r="N26" i="180"/>
  <c r="L26" i="180"/>
  <c r="K26" i="180"/>
  <c r="J26" i="180"/>
  <c r="I26" i="180"/>
  <c r="H26" i="180"/>
  <c r="G26" i="180"/>
  <c r="F26" i="180"/>
  <c r="E26" i="180"/>
  <c r="D26" i="180"/>
  <c r="C26" i="180"/>
  <c r="Q25" i="180"/>
  <c r="P25" i="180"/>
  <c r="N25" i="180"/>
  <c r="L25" i="180"/>
  <c r="K25" i="180"/>
  <c r="J25" i="180"/>
  <c r="I25" i="180"/>
  <c r="H25" i="180"/>
  <c r="G25" i="180"/>
  <c r="F25" i="180"/>
  <c r="E25" i="180"/>
  <c r="D25" i="180"/>
  <c r="C25" i="180"/>
  <c r="S24" i="180"/>
  <c r="Q24" i="180"/>
  <c r="P24" i="180"/>
  <c r="N24" i="180"/>
  <c r="L24" i="180"/>
  <c r="K24" i="180"/>
  <c r="J24" i="180"/>
  <c r="I24" i="180"/>
  <c r="H24" i="180"/>
  <c r="G24" i="180"/>
  <c r="F24" i="180"/>
  <c r="E24" i="180"/>
  <c r="D24" i="180"/>
  <c r="C24" i="180"/>
  <c r="S23" i="180"/>
  <c r="Q23" i="180"/>
  <c r="P23" i="180"/>
  <c r="N23" i="180"/>
  <c r="L23" i="180"/>
  <c r="K23" i="180"/>
  <c r="J23" i="180"/>
  <c r="I23" i="180"/>
  <c r="H23" i="180"/>
  <c r="G23" i="180"/>
  <c r="F23" i="180"/>
  <c r="E23" i="180"/>
  <c r="D23" i="180"/>
  <c r="C23" i="180"/>
  <c r="Q22" i="180"/>
  <c r="P22" i="180"/>
  <c r="N22" i="180"/>
  <c r="L22" i="180"/>
  <c r="K22" i="180"/>
  <c r="J22" i="180"/>
  <c r="I22" i="180"/>
  <c r="H22" i="180"/>
  <c r="G22" i="180"/>
  <c r="F22" i="180"/>
  <c r="E22" i="180"/>
  <c r="D22" i="180"/>
  <c r="C22" i="180"/>
  <c r="S21" i="180"/>
  <c r="Q21" i="180"/>
  <c r="P21" i="180"/>
  <c r="N21" i="180"/>
  <c r="L21" i="180"/>
  <c r="K21" i="180"/>
  <c r="J21" i="180"/>
  <c r="I21" i="180"/>
  <c r="H21" i="180"/>
  <c r="G21" i="180"/>
  <c r="F21" i="180"/>
  <c r="E21" i="180"/>
  <c r="D21" i="180"/>
  <c r="C21" i="180"/>
  <c r="S20" i="180"/>
  <c r="Q20" i="180"/>
  <c r="P20" i="180"/>
  <c r="N20" i="180"/>
  <c r="L20" i="180"/>
  <c r="K20" i="180"/>
  <c r="J20" i="180"/>
  <c r="I20" i="180"/>
  <c r="H20" i="180"/>
  <c r="G20" i="180"/>
  <c r="F20" i="180"/>
  <c r="E20" i="180"/>
  <c r="D20" i="180"/>
  <c r="C20" i="180"/>
  <c r="Q19" i="180"/>
  <c r="P19" i="180"/>
  <c r="O19" i="180"/>
  <c r="N19" i="180"/>
  <c r="L19" i="180"/>
  <c r="K19" i="180"/>
  <c r="J19" i="180"/>
  <c r="I19" i="180"/>
  <c r="H19" i="180"/>
  <c r="G19" i="180"/>
  <c r="F19" i="180"/>
  <c r="E19" i="180"/>
  <c r="D19" i="180"/>
  <c r="C19" i="180"/>
  <c r="S18" i="180"/>
  <c r="Q18" i="180"/>
  <c r="P18" i="180"/>
  <c r="N18" i="180"/>
  <c r="L18" i="180"/>
  <c r="K18" i="180"/>
  <c r="J18" i="180"/>
  <c r="I18" i="180"/>
  <c r="H18" i="180"/>
  <c r="G18" i="180"/>
  <c r="F18" i="180"/>
  <c r="E18" i="180"/>
  <c r="D18" i="180"/>
  <c r="C18" i="180"/>
  <c r="S17" i="180"/>
  <c r="Q17" i="180"/>
  <c r="P17" i="180"/>
  <c r="N17" i="180"/>
  <c r="L17" i="180"/>
  <c r="K17" i="180"/>
  <c r="J17" i="180"/>
  <c r="I17" i="180"/>
  <c r="H17" i="180"/>
  <c r="G17" i="180"/>
  <c r="F17" i="180"/>
  <c r="E17" i="180"/>
  <c r="D17" i="180"/>
  <c r="C17" i="180"/>
  <c r="Q16" i="180"/>
  <c r="P16" i="180"/>
  <c r="O16" i="180"/>
  <c r="N16" i="180"/>
  <c r="L16" i="180"/>
  <c r="K16" i="180"/>
  <c r="J16" i="180"/>
  <c r="I16" i="180"/>
  <c r="H16" i="180"/>
  <c r="G16" i="180"/>
  <c r="F16" i="180"/>
  <c r="E16" i="180"/>
  <c r="D16" i="180"/>
  <c r="C16" i="180"/>
  <c r="S15" i="180"/>
  <c r="Q15" i="180"/>
  <c r="P15" i="180"/>
  <c r="N15" i="180"/>
  <c r="L15" i="180"/>
  <c r="K15" i="180"/>
  <c r="J15" i="180"/>
  <c r="I15" i="180"/>
  <c r="H15" i="180"/>
  <c r="G15" i="180"/>
  <c r="F15" i="180"/>
  <c r="E15" i="180"/>
  <c r="D15" i="180"/>
  <c r="C15" i="180"/>
  <c r="S14" i="180"/>
  <c r="Q14" i="180"/>
  <c r="P14" i="180"/>
  <c r="N14" i="180"/>
  <c r="L14" i="180"/>
  <c r="K14" i="180"/>
  <c r="J14" i="180"/>
  <c r="I14" i="180"/>
  <c r="H14" i="180"/>
  <c r="G14" i="180"/>
  <c r="F14" i="180"/>
  <c r="E14" i="180"/>
  <c r="D14" i="180"/>
  <c r="C14" i="180"/>
  <c r="Q13" i="180"/>
  <c r="P13" i="180"/>
  <c r="O13" i="180"/>
  <c r="N13" i="180"/>
  <c r="L13" i="180"/>
  <c r="K13" i="180"/>
  <c r="J13" i="180"/>
  <c r="I13" i="180"/>
  <c r="H13" i="180"/>
  <c r="G13" i="180"/>
  <c r="F13" i="180"/>
  <c r="E13" i="180"/>
  <c r="D13" i="180"/>
  <c r="C13" i="180"/>
  <c r="S12" i="180"/>
  <c r="Q12" i="180"/>
  <c r="P12" i="180"/>
  <c r="N12" i="180"/>
  <c r="L12" i="180"/>
  <c r="K12" i="180"/>
  <c r="J12" i="180"/>
  <c r="I12" i="180"/>
  <c r="H12" i="180"/>
  <c r="G12" i="180"/>
  <c r="F12" i="180"/>
  <c r="E12" i="180"/>
  <c r="D12" i="180"/>
  <c r="C12" i="180"/>
  <c r="S11" i="180"/>
  <c r="Q11" i="180"/>
  <c r="P11" i="180"/>
  <c r="N11" i="180"/>
  <c r="L11" i="180"/>
  <c r="K11" i="180"/>
  <c r="J11" i="180"/>
  <c r="I11" i="180"/>
  <c r="H11" i="180"/>
  <c r="G11" i="180"/>
  <c r="F11" i="180"/>
  <c r="E11" i="180"/>
  <c r="D11" i="180"/>
  <c r="C11" i="180"/>
  <c r="Q10" i="180"/>
  <c r="P10" i="180"/>
  <c r="O10" i="180"/>
  <c r="N10" i="180"/>
  <c r="L10" i="180"/>
  <c r="K10" i="180"/>
  <c r="J10" i="180"/>
  <c r="I10" i="180"/>
  <c r="H10" i="180"/>
  <c r="G10" i="180"/>
  <c r="F10" i="180"/>
  <c r="E10" i="180"/>
  <c r="D10" i="180"/>
  <c r="C10" i="180"/>
  <c r="S9" i="180"/>
  <c r="Q9" i="180"/>
  <c r="P9" i="180"/>
  <c r="N9" i="180"/>
  <c r="L9" i="180"/>
  <c r="K9" i="180"/>
  <c r="J9" i="180"/>
  <c r="I9" i="180"/>
  <c r="H9" i="180"/>
  <c r="G9" i="180"/>
  <c r="F9" i="180"/>
  <c r="E9" i="180"/>
  <c r="D9" i="180"/>
  <c r="C9" i="180"/>
  <c r="S8" i="180"/>
  <c r="Q8" i="180"/>
  <c r="Q28" i="180" s="1"/>
  <c r="P8" i="180"/>
  <c r="N8" i="180"/>
  <c r="N28" i="180" s="1"/>
  <c r="L8" i="180"/>
  <c r="K8" i="180"/>
  <c r="J8" i="180"/>
  <c r="I8" i="180"/>
  <c r="I28" i="180" s="1"/>
  <c r="H8" i="180"/>
  <c r="G8" i="180"/>
  <c r="G28" i="180" s="1"/>
  <c r="F8" i="180"/>
  <c r="E8" i="180"/>
  <c r="E28" i="180" s="1"/>
  <c r="D8" i="180"/>
  <c r="C8" i="180"/>
  <c r="C28" i="180" s="1"/>
  <c r="V3" i="180"/>
  <c r="V26" i="180" s="1"/>
  <c r="U3" i="180"/>
  <c r="U25" i="180" s="1"/>
  <c r="T3" i="180"/>
  <c r="T25" i="180" s="1"/>
  <c r="S3" i="180"/>
  <c r="S25" i="180" s="1"/>
  <c r="O3" i="180"/>
  <c r="O24" i="180" s="1"/>
  <c r="M3" i="180"/>
  <c r="M26" i="180" s="1"/>
  <c r="BE28" i="179"/>
  <c r="BD28" i="179"/>
  <c r="BC28" i="179"/>
  <c r="BB28" i="179"/>
  <c r="BA28" i="179"/>
  <c r="AZ28" i="179"/>
  <c r="AY28" i="179"/>
  <c r="AX28" i="179"/>
  <c r="AW28" i="179"/>
  <c r="AV28" i="179"/>
  <c r="AU28" i="179"/>
  <c r="AT28" i="179"/>
  <c r="AS28" i="179"/>
  <c r="AR28" i="179"/>
  <c r="AQ28" i="179"/>
  <c r="AP28" i="179"/>
  <c r="AO28" i="179"/>
  <c r="AN28" i="179"/>
  <c r="AM28" i="179"/>
  <c r="AL28" i="179"/>
  <c r="AK28" i="179"/>
  <c r="AJ28" i="179"/>
  <c r="AI28" i="179"/>
  <c r="AH28" i="179"/>
  <c r="AG28" i="179"/>
  <c r="AF28" i="179"/>
  <c r="AE28" i="179"/>
  <c r="AD28" i="179"/>
  <c r="AC28" i="179"/>
  <c r="AB28" i="179"/>
  <c r="AA28" i="179"/>
  <c r="Z28" i="179"/>
  <c r="Y28" i="179"/>
  <c r="X28" i="179"/>
  <c r="W28" i="179"/>
  <c r="Q27" i="179"/>
  <c r="P27" i="179"/>
  <c r="N27" i="179"/>
  <c r="L27" i="179"/>
  <c r="K27" i="179"/>
  <c r="J27" i="179"/>
  <c r="I27" i="179"/>
  <c r="H27" i="179"/>
  <c r="G27" i="179"/>
  <c r="F27" i="179"/>
  <c r="E27" i="179"/>
  <c r="D27" i="179"/>
  <c r="C27" i="179"/>
  <c r="Q26" i="179"/>
  <c r="P26" i="179"/>
  <c r="N26" i="179"/>
  <c r="L26" i="179"/>
  <c r="K26" i="179"/>
  <c r="J26" i="179"/>
  <c r="I26" i="179"/>
  <c r="H26" i="179"/>
  <c r="G26" i="179"/>
  <c r="F26" i="179"/>
  <c r="E26" i="179"/>
  <c r="D26" i="179"/>
  <c r="C26" i="179"/>
  <c r="Q25" i="179"/>
  <c r="P25" i="179"/>
  <c r="N25" i="179"/>
  <c r="L25" i="179"/>
  <c r="K25" i="179"/>
  <c r="J25" i="179"/>
  <c r="I25" i="179"/>
  <c r="H25" i="179"/>
  <c r="G25" i="179"/>
  <c r="F25" i="179"/>
  <c r="E25" i="179"/>
  <c r="D25" i="179"/>
  <c r="C25" i="179"/>
  <c r="Q24" i="179"/>
  <c r="P24" i="179"/>
  <c r="N24" i="179"/>
  <c r="L24" i="179"/>
  <c r="K24" i="179"/>
  <c r="J24" i="179"/>
  <c r="I24" i="179"/>
  <c r="H24" i="179"/>
  <c r="G24" i="179"/>
  <c r="F24" i="179"/>
  <c r="E24" i="179"/>
  <c r="D24" i="179"/>
  <c r="C24" i="179"/>
  <c r="Q23" i="179"/>
  <c r="P23" i="179"/>
  <c r="N23" i="179"/>
  <c r="L23" i="179"/>
  <c r="K23" i="179"/>
  <c r="J23" i="179"/>
  <c r="I23" i="179"/>
  <c r="H23" i="179"/>
  <c r="G23" i="179"/>
  <c r="F23" i="179"/>
  <c r="E23" i="179"/>
  <c r="D23" i="179"/>
  <c r="C23" i="179"/>
  <c r="Q22" i="179"/>
  <c r="P22" i="179"/>
  <c r="N22" i="179"/>
  <c r="L22" i="179"/>
  <c r="K22" i="179"/>
  <c r="J22" i="179"/>
  <c r="I22" i="179"/>
  <c r="H22" i="179"/>
  <c r="G22" i="179"/>
  <c r="F22" i="179"/>
  <c r="E22" i="179"/>
  <c r="D22" i="179"/>
  <c r="C22" i="179"/>
  <c r="Q21" i="179"/>
  <c r="P21" i="179"/>
  <c r="N21" i="179"/>
  <c r="L21" i="179"/>
  <c r="K21" i="179"/>
  <c r="J21" i="179"/>
  <c r="I21" i="179"/>
  <c r="H21" i="179"/>
  <c r="G21" i="179"/>
  <c r="F21" i="179"/>
  <c r="E21" i="179"/>
  <c r="D21" i="179"/>
  <c r="C21" i="179"/>
  <c r="Q20" i="179"/>
  <c r="P20" i="179"/>
  <c r="N20" i="179"/>
  <c r="L20" i="179"/>
  <c r="K20" i="179"/>
  <c r="J20" i="179"/>
  <c r="I20" i="179"/>
  <c r="H20" i="179"/>
  <c r="G20" i="179"/>
  <c r="F20" i="179"/>
  <c r="E20" i="179"/>
  <c r="D20" i="179"/>
  <c r="C20" i="179"/>
  <c r="Q19" i="179"/>
  <c r="P19" i="179"/>
  <c r="N19" i="179"/>
  <c r="L19" i="179"/>
  <c r="K19" i="179"/>
  <c r="J19" i="179"/>
  <c r="I19" i="179"/>
  <c r="H19" i="179"/>
  <c r="G19" i="179"/>
  <c r="F19" i="179"/>
  <c r="E19" i="179"/>
  <c r="D19" i="179"/>
  <c r="C19" i="179"/>
  <c r="Q18" i="179"/>
  <c r="P18" i="179"/>
  <c r="N18" i="179"/>
  <c r="L18" i="179"/>
  <c r="K18" i="179"/>
  <c r="J18" i="179"/>
  <c r="I18" i="179"/>
  <c r="H18" i="179"/>
  <c r="G18" i="179"/>
  <c r="F18" i="179"/>
  <c r="E18" i="179"/>
  <c r="D18" i="179"/>
  <c r="C18" i="179"/>
  <c r="Q17" i="179"/>
  <c r="P17" i="179"/>
  <c r="N17" i="179"/>
  <c r="L17" i="179"/>
  <c r="K17" i="179"/>
  <c r="J17" i="179"/>
  <c r="I17" i="179"/>
  <c r="H17" i="179"/>
  <c r="G17" i="179"/>
  <c r="F17" i="179"/>
  <c r="E17" i="179"/>
  <c r="D17" i="179"/>
  <c r="C17" i="179"/>
  <c r="Q16" i="179"/>
  <c r="P16" i="179"/>
  <c r="O16" i="179"/>
  <c r="N16" i="179"/>
  <c r="L16" i="179"/>
  <c r="K16" i="179"/>
  <c r="J16" i="179"/>
  <c r="I16" i="179"/>
  <c r="H16" i="179"/>
  <c r="G16" i="179"/>
  <c r="F16" i="179"/>
  <c r="E16" i="179"/>
  <c r="D16" i="179"/>
  <c r="C16" i="179"/>
  <c r="Q15" i="179"/>
  <c r="P15" i="179"/>
  <c r="N15" i="179"/>
  <c r="L15" i="179"/>
  <c r="K15" i="179"/>
  <c r="J15" i="179"/>
  <c r="I15" i="179"/>
  <c r="H15" i="179"/>
  <c r="G15" i="179"/>
  <c r="F15" i="179"/>
  <c r="E15" i="179"/>
  <c r="D15" i="179"/>
  <c r="C15" i="179"/>
  <c r="Q14" i="179"/>
  <c r="P14" i="179"/>
  <c r="O14" i="179"/>
  <c r="N14" i="179"/>
  <c r="L14" i="179"/>
  <c r="K14" i="179"/>
  <c r="J14" i="179"/>
  <c r="I14" i="179"/>
  <c r="H14" i="179"/>
  <c r="G14" i="179"/>
  <c r="F14" i="179"/>
  <c r="E14" i="179"/>
  <c r="D14" i="179"/>
  <c r="C14" i="179"/>
  <c r="Q13" i="179"/>
  <c r="P13" i="179"/>
  <c r="N13" i="179"/>
  <c r="L13" i="179"/>
  <c r="K13" i="179"/>
  <c r="J13" i="179"/>
  <c r="I13" i="179"/>
  <c r="H13" i="179"/>
  <c r="G13" i="179"/>
  <c r="F13" i="179"/>
  <c r="E13" i="179"/>
  <c r="D13" i="179"/>
  <c r="C13" i="179"/>
  <c r="Q12" i="179"/>
  <c r="P12" i="179"/>
  <c r="N12" i="179"/>
  <c r="L12" i="179"/>
  <c r="K12" i="179"/>
  <c r="J12" i="179"/>
  <c r="I12" i="179"/>
  <c r="H12" i="179"/>
  <c r="G12" i="179"/>
  <c r="F12" i="179"/>
  <c r="E12" i="179"/>
  <c r="D12" i="179"/>
  <c r="C12" i="179"/>
  <c r="Q11" i="179"/>
  <c r="P11" i="179"/>
  <c r="N11" i="179"/>
  <c r="L11" i="179"/>
  <c r="K11" i="179"/>
  <c r="J11" i="179"/>
  <c r="I11" i="179"/>
  <c r="H11" i="179"/>
  <c r="G11" i="179"/>
  <c r="F11" i="179"/>
  <c r="E11" i="179"/>
  <c r="D11" i="179"/>
  <c r="C11" i="179"/>
  <c r="Q10" i="179"/>
  <c r="P10" i="179"/>
  <c r="N10" i="179"/>
  <c r="L10" i="179"/>
  <c r="K10" i="179"/>
  <c r="J10" i="179"/>
  <c r="I10" i="179"/>
  <c r="H10" i="179"/>
  <c r="G10" i="179"/>
  <c r="F10" i="179"/>
  <c r="E10" i="179"/>
  <c r="D10" i="179"/>
  <c r="C10" i="179"/>
  <c r="Q9" i="179"/>
  <c r="P9" i="179"/>
  <c r="N9" i="179"/>
  <c r="L9" i="179"/>
  <c r="K9" i="179"/>
  <c r="J9" i="179"/>
  <c r="I9" i="179"/>
  <c r="H9" i="179"/>
  <c r="G9" i="179"/>
  <c r="F9" i="179"/>
  <c r="E9" i="179"/>
  <c r="D9" i="179"/>
  <c r="C9" i="179"/>
  <c r="Q8" i="179"/>
  <c r="Q28" i="179" s="1"/>
  <c r="P8" i="179"/>
  <c r="N8" i="179"/>
  <c r="L8" i="179"/>
  <c r="K8" i="179"/>
  <c r="J8" i="179"/>
  <c r="I8" i="179"/>
  <c r="H8" i="179"/>
  <c r="G8" i="179"/>
  <c r="F8" i="179"/>
  <c r="E8" i="179"/>
  <c r="D8" i="179"/>
  <c r="C8" i="179"/>
  <c r="V3" i="179"/>
  <c r="V21" i="179" s="1"/>
  <c r="U3" i="179"/>
  <c r="U23" i="179" s="1"/>
  <c r="T3" i="179"/>
  <c r="T25" i="179" s="1"/>
  <c r="S3" i="179"/>
  <c r="S25" i="179" s="1"/>
  <c r="O3" i="179"/>
  <c r="O27" i="179" s="1"/>
  <c r="M3" i="179"/>
  <c r="M15" i="179" s="1"/>
  <c r="BE28" i="178"/>
  <c r="BD28" i="178"/>
  <c r="BC28" i="178"/>
  <c r="BB28" i="178"/>
  <c r="BA28" i="178"/>
  <c r="AZ28" i="178"/>
  <c r="AY28" i="178"/>
  <c r="AX28" i="178"/>
  <c r="AW28" i="178"/>
  <c r="AV28" i="178"/>
  <c r="AU28" i="178"/>
  <c r="AT28" i="178"/>
  <c r="AS28" i="178"/>
  <c r="AR28" i="178"/>
  <c r="AQ28" i="178"/>
  <c r="AP28" i="178"/>
  <c r="AO28" i="178"/>
  <c r="AN28" i="178"/>
  <c r="AM28" i="178"/>
  <c r="AK28" i="178"/>
  <c r="AJ28" i="178"/>
  <c r="AI28" i="178"/>
  <c r="AH28" i="178"/>
  <c r="AF28" i="178"/>
  <c r="AE28" i="178"/>
  <c r="AD28" i="178"/>
  <c r="AC28" i="178"/>
  <c r="AB28" i="178"/>
  <c r="AA28" i="178"/>
  <c r="Z28" i="178"/>
  <c r="Y28" i="178"/>
  <c r="X28" i="178"/>
  <c r="W28" i="178"/>
  <c r="Q27" i="178"/>
  <c r="P27" i="178"/>
  <c r="N27" i="178"/>
  <c r="L27" i="178"/>
  <c r="K27" i="178"/>
  <c r="J27" i="178"/>
  <c r="I27" i="178"/>
  <c r="H27" i="178"/>
  <c r="G27" i="178"/>
  <c r="F27" i="178"/>
  <c r="E27" i="178"/>
  <c r="D27" i="178"/>
  <c r="C27" i="178"/>
  <c r="Q26" i="178"/>
  <c r="P26" i="178"/>
  <c r="N26" i="178"/>
  <c r="L26" i="178"/>
  <c r="K26" i="178"/>
  <c r="J26" i="178"/>
  <c r="I26" i="178"/>
  <c r="H26" i="178"/>
  <c r="G26" i="178"/>
  <c r="F26" i="178"/>
  <c r="E26" i="178"/>
  <c r="D26" i="178"/>
  <c r="C26" i="178"/>
  <c r="Q25" i="178"/>
  <c r="P25" i="178"/>
  <c r="N25" i="178"/>
  <c r="L25" i="178"/>
  <c r="K25" i="178"/>
  <c r="J25" i="178"/>
  <c r="I25" i="178"/>
  <c r="H25" i="178"/>
  <c r="G25" i="178"/>
  <c r="F25" i="178"/>
  <c r="E25" i="178"/>
  <c r="D25" i="178"/>
  <c r="C25" i="178"/>
  <c r="Q24" i="178"/>
  <c r="P24" i="178"/>
  <c r="N24" i="178"/>
  <c r="L24" i="178"/>
  <c r="K24" i="178"/>
  <c r="J24" i="178"/>
  <c r="I24" i="178"/>
  <c r="H24" i="178"/>
  <c r="G24" i="178"/>
  <c r="F24" i="178"/>
  <c r="E24" i="178"/>
  <c r="D24" i="178"/>
  <c r="C24" i="178"/>
  <c r="S23" i="178"/>
  <c r="Q23" i="178"/>
  <c r="P23" i="178"/>
  <c r="N23" i="178"/>
  <c r="L23" i="178"/>
  <c r="K23" i="178"/>
  <c r="J23" i="178"/>
  <c r="I23" i="178"/>
  <c r="H23" i="178"/>
  <c r="G23" i="178"/>
  <c r="F23" i="178"/>
  <c r="E23" i="178"/>
  <c r="D23" i="178"/>
  <c r="C23" i="178"/>
  <c r="Q22" i="178"/>
  <c r="P22" i="178"/>
  <c r="N22" i="178"/>
  <c r="L22" i="178"/>
  <c r="K22" i="178"/>
  <c r="J22" i="178"/>
  <c r="I22" i="178"/>
  <c r="H22" i="178"/>
  <c r="G22" i="178"/>
  <c r="F22" i="178"/>
  <c r="E22" i="178"/>
  <c r="D22" i="178"/>
  <c r="C22" i="178"/>
  <c r="Q21" i="178"/>
  <c r="P21" i="178"/>
  <c r="N21" i="178"/>
  <c r="L21" i="178"/>
  <c r="K21" i="178"/>
  <c r="J21" i="178"/>
  <c r="I21" i="178"/>
  <c r="H21" i="178"/>
  <c r="G21" i="178"/>
  <c r="F21" i="178"/>
  <c r="E21" i="178"/>
  <c r="D21" i="178"/>
  <c r="C21" i="178"/>
  <c r="Q20" i="178"/>
  <c r="P20" i="178"/>
  <c r="N20" i="178"/>
  <c r="L20" i="178"/>
  <c r="K20" i="178"/>
  <c r="J20" i="178"/>
  <c r="I20" i="178"/>
  <c r="H20" i="178"/>
  <c r="G20" i="178"/>
  <c r="F20" i="178"/>
  <c r="E20" i="178"/>
  <c r="D20" i="178"/>
  <c r="C20" i="178"/>
  <c r="Q19" i="178"/>
  <c r="P19" i="178"/>
  <c r="N19" i="178"/>
  <c r="L19" i="178"/>
  <c r="K19" i="178"/>
  <c r="J19" i="178"/>
  <c r="I19" i="178"/>
  <c r="H19" i="178"/>
  <c r="G19" i="178"/>
  <c r="F19" i="178"/>
  <c r="E19" i="178"/>
  <c r="D19" i="178"/>
  <c r="C19" i="178"/>
  <c r="S18" i="178"/>
  <c r="Q18" i="178"/>
  <c r="P18" i="178"/>
  <c r="N18" i="178"/>
  <c r="L18" i="178"/>
  <c r="K18" i="178"/>
  <c r="J18" i="178"/>
  <c r="I18" i="178"/>
  <c r="H18" i="178"/>
  <c r="G18" i="178"/>
  <c r="F18" i="178"/>
  <c r="E18" i="178"/>
  <c r="D18" i="178"/>
  <c r="C18" i="178"/>
  <c r="Q17" i="178"/>
  <c r="P17" i="178"/>
  <c r="N17" i="178"/>
  <c r="L17" i="178"/>
  <c r="K17" i="178"/>
  <c r="J17" i="178"/>
  <c r="I17" i="178"/>
  <c r="H17" i="178"/>
  <c r="G17" i="178"/>
  <c r="F17" i="178"/>
  <c r="E17" i="178"/>
  <c r="D17" i="178"/>
  <c r="C17" i="178"/>
  <c r="Q16" i="178"/>
  <c r="P16" i="178"/>
  <c r="N16" i="178"/>
  <c r="L16" i="178"/>
  <c r="K16" i="178"/>
  <c r="J16" i="178"/>
  <c r="I16" i="178"/>
  <c r="H16" i="178"/>
  <c r="G16" i="178"/>
  <c r="F16" i="178"/>
  <c r="E16" i="178"/>
  <c r="D16" i="178"/>
  <c r="C16" i="178"/>
  <c r="Q15" i="178"/>
  <c r="P15" i="178"/>
  <c r="N15" i="178"/>
  <c r="L15" i="178"/>
  <c r="K15" i="178"/>
  <c r="J15" i="178"/>
  <c r="I15" i="178"/>
  <c r="H15" i="178"/>
  <c r="G15" i="178"/>
  <c r="F15" i="178"/>
  <c r="E15" i="178"/>
  <c r="D15" i="178"/>
  <c r="C15" i="178"/>
  <c r="Q14" i="178"/>
  <c r="P14" i="178"/>
  <c r="N14" i="178"/>
  <c r="L14" i="178"/>
  <c r="K14" i="178"/>
  <c r="J14" i="178"/>
  <c r="I14" i="178"/>
  <c r="H14" i="178"/>
  <c r="G14" i="178"/>
  <c r="F14" i="178"/>
  <c r="E14" i="178"/>
  <c r="D14" i="178"/>
  <c r="C14" i="178"/>
  <c r="Q13" i="178"/>
  <c r="P13" i="178"/>
  <c r="N13" i="178"/>
  <c r="L13" i="178"/>
  <c r="K13" i="178"/>
  <c r="J13" i="178"/>
  <c r="I13" i="178"/>
  <c r="H13" i="178"/>
  <c r="G13" i="178"/>
  <c r="F13" i="178"/>
  <c r="E13" i="178"/>
  <c r="D13" i="178"/>
  <c r="C13" i="178"/>
  <c r="Q12" i="178"/>
  <c r="P12" i="178"/>
  <c r="N12" i="178"/>
  <c r="L12" i="178"/>
  <c r="K12" i="178"/>
  <c r="J12" i="178"/>
  <c r="I12" i="178"/>
  <c r="H12" i="178"/>
  <c r="G12" i="178"/>
  <c r="F12" i="178"/>
  <c r="E12" i="178"/>
  <c r="D12" i="178"/>
  <c r="C12" i="178"/>
  <c r="S11" i="178"/>
  <c r="Q11" i="178"/>
  <c r="P11" i="178"/>
  <c r="N11" i="178"/>
  <c r="L11" i="178"/>
  <c r="K11" i="178"/>
  <c r="J11" i="178"/>
  <c r="I11" i="178"/>
  <c r="H11" i="178"/>
  <c r="G11" i="178"/>
  <c r="F11" i="178"/>
  <c r="E11" i="178"/>
  <c r="D11" i="178"/>
  <c r="C11" i="178"/>
  <c r="Q10" i="178"/>
  <c r="P10" i="178"/>
  <c r="N10" i="178"/>
  <c r="L10" i="178"/>
  <c r="K10" i="178"/>
  <c r="J10" i="178"/>
  <c r="I10" i="178"/>
  <c r="H10" i="178"/>
  <c r="G10" i="178"/>
  <c r="F10" i="178"/>
  <c r="E10" i="178"/>
  <c r="D10" i="178"/>
  <c r="C10" i="178"/>
  <c r="Q9" i="178"/>
  <c r="P9" i="178"/>
  <c r="N9" i="178"/>
  <c r="L9" i="178"/>
  <c r="K9" i="178"/>
  <c r="J9" i="178"/>
  <c r="I9" i="178"/>
  <c r="H9" i="178"/>
  <c r="G9" i="178"/>
  <c r="F9" i="178"/>
  <c r="E9" i="178"/>
  <c r="D9" i="178"/>
  <c r="C9" i="178"/>
  <c r="Q8" i="178"/>
  <c r="P8" i="178"/>
  <c r="N8" i="178"/>
  <c r="N28" i="178" s="1"/>
  <c r="L8" i="178"/>
  <c r="K8" i="178"/>
  <c r="J8" i="178"/>
  <c r="I8" i="178"/>
  <c r="I28" i="178" s="1"/>
  <c r="H8" i="178"/>
  <c r="G8" i="178"/>
  <c r="F8" i="178"/>
  <c r="E8" i="178"/>
  <c r="E28" i="178" s="1"/>
  <c r="D8" i="178"/>
  <c r="C8" i="178"/>
  <c r="V3" i="178"/>
  <c r="V26" i="178" s="1"/>
  <c r="U3" i="178"/>
  <c r="U25" i="178" s="1"/>
  <c r="T3" i="178"/>
  <c r="T25" i="178" s="1"/>
  <c r="S3" i="178"/>
  <c r="S25" i="178" s="1"/>
  <c r="O3" i="178"/>
  <c r="O27" i="178" s="1"/>
  <c r="M3" i="178"/>
  <c r="M26" i="178" s="1"/>
  <c r="AU28" i="58"/>
  <c r="AT28" i="58"/>
  <c r="AS28" i="58"/>
  <c r="AR28" i="58"/>
  <c r="AQ28" i="58"/>
  <c r="AF28" i="58"/>
  <c r="AE28" i="58"/>
  <c r="AD28" i="58"/>
  <c r="AC28" i="58"/>
  <c r="AB28" i="58"/>
  <c r="Q27" i="58"/>
  <c r="P27" i="58"/>
  <c r="N27" i="58"/>
  <c r="L27" i="58"/>
  <c r="K27" i="58"/>
  <c r="J27" i="58"/>
  <c r="I27" i="58"/>
  <c r="H27" i="58"/>
  <c r="G27" i="58"/>
  <c r="F27" i="58"/>
  <c r="E27" i="58"/>
  <c r="D27" i="58"/>
  <c r="C27" i="58"/>
  <c r="AP28" i="58"/>
  <c r="AM28" i="58"/>
  <c r="AL28" i="58"/>
  <c r="AO28" i="58"/>
  <c r="L28" i="180" l="1"/>
  <c r="O8" i="183"/>
  <c r="S9" i="178"/>
  <c r="S14" i="178"/>
  <c r="S21" i="178"/>
  <c r="E28" i="179"/>
  <c r="T8" i="179"/>
  <c r="T18" i="179"/>
  <c r="T20" i="179"/>
  <c r="F28" i="180"/>
  <c r="O8" i="180"/>
  <c r="T8" i="180"/>
  <c r="T9" i="180"/>
  <c r="M10" i="180"/>
  <c r="O11" i="180"/>
  <c r="T11" i="180"/>
  <c r="T12" i="180"/>
  <c r="M13" i="180"/>
  <c r="O14" i="180"/>
  <c r="T14" i="180"/>
  <c r="T15" i="180"/>
  <c r="M16" i="180"/>
  <c r="O17" i="180"/>
  <c r="T17" i="180"/>
  <c r="T18" i="180"/>
  <c r="M19" i="180"/>
  <c r="O20" i="180"/>
  <c r="T20" i="180"/>
  <c r="T21" i="180"/>
  <c r="M22" i="180"/>
  <c r="O23" i="180"/>
  <c r="T23" i="180"/>
  <c r="T24" i="180"/>
  <c r="M25" i="180"/>
  <c r="O26" i="180"/>
  <c r="T26" i="180"/>
  <c r="T27" i="180"/>
  <c r="D28" i="181"/>
  <c r="H28" i="181"/>
  <c r="Q28" i="181"/>
  <c r="O10" i="181"/>
  <c r="O13" i="181"/>
  <c r="O16" i="181"/>
  <c r="O19" i="181"/>
  <c r="O22" i="181"/>
  <c r="O25" i="181"/>
  <c r="C28" i="183"/>
  <c r="G28" i="183"/>
  <c r="P28" i="183"/>
  <c r="U8" i="183"/>
  <c r="U9" i="183"/>
  <c r="J28" i="183"/>
  <c r="U11" i="183"/>
  <c r="U12" i="183"/>
  <c r="U14" i="183"/>
  <c r="U15" i="183"/>
  <c r="O16" i="183"/>
  <c r="O19" i="183"/>
  <c r="O22" i="183"/>
  <c r="O25" i="183"/>
  <c r="S24" i="181"/>
  <c r="S26" i="181"/>
  <c r="S27" i="181"/>
  <c r="D28" i="183"/>
  <c r="H28" i="183"/>
  <c r="Q28" i="183"/>
  <c r="K28" i="183"/>
  <c r="O10" i="183"/>
  <c r="O13" i="183"/>
  <c r="S17" i="183"/>
  <c r="S18" i="183"/>
  <c r="S20" i="183"/>
  <c r="S21" i="183"/>
  <c r="S23" i="183"/>
  <c r="S24" i="183"/>
  <c r="S26" i="183"/>
  <c r="S27" i="183"/>
  <c r="J28" i="181"/>
  <c r="O11" i="183"/>
  <c r="O14" i="183"/>
  <c r="C28" i="178"/>
  <c r="G28" i="178"/>
  <c r="Q28" i="178"/>
  <c r="S12" i="178"/>
  <c r="S17" i="178"/>
  <c r="S24" i="178"/>
  <c r="O8" i="179"/>
  <c r="O10" i="179"/>
  <c r="O20" i="179"/>
  <c r="P28" i="180"/>
  <c r="U8" i="180"/>
  <c r="U9" i="180"/>
  <c r="J28" i="180"/>
  <c r="U11" i="180"/>
  <c r="U12" i="180"/>
  <c r="U14" i="180"/>
  <c r="U15" i="180"/>
  <c r="U17" i="180"/>
  <c r="U18" i="180"/>
  <c r="U20" i="180"/>
  <c r="U21" i="180"/>
  <c r="U23" i="180"/>
  <c r="U24" i="180"/>
  <c r="U26" i="180"/>
  <c r="U27" i="180"/>
  <c r="N28" i="181"/>
  <c r="S8" i="181"/>
  <c r="S9" i="181"/>
  <c r="L28" i="181"/>
  <c r="S11" i="181"/>
  <c r="S12" i="181"/>
  <c r="S14" i="181"/>
  <c r="S15" i="181"/>
  <c r="S17" i="181"/>
  <c r="S18" i="181"/>
  <c r="S20" i="181"/>
  <c r="S21" i="181"/>
  <c r="S23" i="181"/>
  <c r="S8" i="178"/>
  <c r="S15" i="178"/>
  <c r="S20" i="178"/>
  <c r="C28" i="179"/>
  <c r="G28" i="179"/>
  <c r="T12" i="179"/>
  <c r="T14" i="179"/>
  <c r="D28" i="180"/>
  <c r="H28" i="180"/>
  <c r="K28" i="180"/>
  <c r="O22" i="180"/>
  <c r="O25" i="180"/>
  <c r="F28" i="181"/>
  <c r="O8" i="181"/>
  <c r="M10" i="181"/>
  <c r="O11" i="181"/>
  <c r="M13" i="181"/>
  <c r="O14" i="181"/>
  <c r="M16" i="181"/>
  <c r="O17" i="181"/>
  <c r="M19" i="181"/>
  <c r="O20" i="181"/>
  <c r="M22" i="181"/>
  <c r="O23" i="181"/>
  <c r="M25" i="181"/>
  <c r="O26" i="181"/>
  <c r="T27" i="181"/>
  <c r="E28" i="183"/>
  <c r="I28" i="183"/>
  <c r="N28" i="183"/>
  <c r="L28" i="183"/>
  <c r="M16" i="183"/>
  <c r="O17" i="183"/>
  <c r="M19" i="183"/>
  <c r="O20" i="183"/>
  <c r="M22" i="183"/>
  <c r="O23" i="183"/>
  <c r="M25" i="183"/>
  <c r="O26" i="183"/>
  <c r="T27" i="183"/>
  <c r="S15" i="179"/>
  <c r="D28" i="179"/>
  <c r="H28" i="179"/>
  <c r="P28" i="179"/>
  <c r="L28" i="179"/>
  <c r="M11" i="179"/>
  <c r="S12" i="179"/>
  <c r="M13" i="179"/>
  <c r="S14" i="179"/>
  <c r="T15" i="179"/>
  <c r="O17" i="179"/>
  <c r="T17" i="179"/>
  <c r="O19" i="179"/>
  <c r="M23" i="179"/>
  <c r="S24" i="179"/>
  <c r="M25" i="179"/>
  <c r="S26" i="179"/>
  <c r="T27" i="179"/>
  <c r="S9" i="179"/>
  <c r="M10" i="179"/>
  <c r="M20" i="179"/>
  <c r="S21" i="179"/>
  <c r="M22" i="179"/>
  <c r="S23" i="179"/>
  <c r="T24" i="179"/>
  <c r="O26" i="179"/>
  <c r="T26" i="179"/>
  <c r="M8" i="179"/>
  <c r="I28" i="179"/>
  <c r="S11" i="179"/>
  <c r="F28" i="179"/>
  <c r="N28" i="179"/>
  <c r="S8" i="179"/>
  <c r="T9" i="179"/>
  <c r="J28" i="179"/>
  <c r="O11" i="179"/>
  <c r="T11" i="179"/>
  <c r="O13" i="179"/>
  <c r="M17" i="179"/>
  <c r="S18" i="179"/>
  <c r="M19" i="179"/>
  <c r="S20" i="179"/>
  <c r="T21" i="179"/>
  <c r="O23" i="179"/>
  <c r="T23" i="179"/>
  <c r="O25" i="179"/>
  <c r="K28" i="179"/>
  <c r="M14" i="179"/>
  <c r="M16" i="179"/>
  <c r="S17" i="179"/>
  <c r="O22" i="179"/>
  <c r="M26" i="179"/>
  <c r="S27" i="179"/>
  <c r="S26" i="178"/>
  <c r="F28" i="178"/>
  <c r="O8" i="178"/>
  <c r="T8" i="178"/>
  <c r="T9" i="178"/>
  <c r="M10" i="178"/>
  <c r="O11" i="178"/>
  <c r="T11" i="178"/>
  <c r="T12" i="178"/>
  <c r="M13" i="178"/>
  <c r="O14" i="178"/>
  <c r="T14" i="178"/>
  <c r="T15" i="178"/>
  <c r="M16" i="178"/>
  <c r="O17" i="178"/>
  <c r="T17" i="178"/>
  <c r="T18" i="178"/>
  <c r="M19" i="178"/>
  <c r="O20" i="178"/>
  <c r="T20" i="178"/>
  <c r="T21" i="178"/>
  <c r="M22" i="178"/>
  <c r="O23" i="178"/>
  <c r="T23" i="178"/>
  <c r="T24" i="178"/>
  <c r="M25" i="178"/>
  <c r="O26" i="178"/>
  <c r="T26" i="178"/>
  <c r="T27" i="178"/>
  <c r="L28" i="178"/>
  <c r="P28" i="178"/>
  <c r="U8" i="178"/>
  <c r="U9" i="178"/>
  <c r="J28" i="178"/>
  <c r="U11" i="178"/>
  <c r="U12" i="178"/>
  <c r="U14" i="178"/>
  <c r="U15" i="178"/>
  <c r="U17" i="178"/>
  <c r="U18" i="178"/>
  <c r="U20" i="178"/>
  <c r="U21" i="178"/>
  <c r="U23" i="178"/>
  <c r="U24" i="178"/>
  <c r="U26" i="178"/>
  <c r="U27" i="178"/>
  <c r="D28" i="178"/>
  <c r="H28" i="178"/>
  <c r="K28" i="178"/>
  <c r="O10" i="178"/>
  <c r="O13" i="178"/>
  <c r="O16" i="178"/>
  <c r="O19" i="178"/>
  <c r="O22" i="178"/>
  <c r="O25" i="178"/>
  <c r="S27" i="178"/>
  <c r="Y28" i="183"/>
  <c r="Z28" i="183"/>
  <c r="AI28" i="183"/>
  <c r="AK28" i="183"/>
  <c r="X28" i="183"/>
  <c r="AY28" i="183"/>
  <c r="AZ28" i="183"/>
  <c r="AA28" i="183"/>
  <c r="AJ28" i="183"/>
  <c r="AW28" i="183"/>
  <c r="BC28" i="183"/>
  <c r="BB28" i="183"/>
  <c r="BA28" i="183"/>
  <c r="AF28" i="183"/>
  <c r="AU28" i="183"/>
  <c r="AP28" i="183"/>
  <c r="AO28" i="183"/>
  <c r="AN28" i="183"/>
  <c r="AV28" i="183"/>
  <c r="AE28" i="183"/>
  <c r="AD28" i="183"/>
  <c r="AC28" i="183"/>
  <c r="AX28" i="183"/>
  <c r="AM28" i="183"/>
  <c r="AS28" i="183"/>
  <c r="AB28" i="183"/>
  <c r="AR28" i="183"/>
  <c r="AH28" i="183"/>
  <c r="AT28" i="183"/>
  <c r="V10" i="183"/>
  <c r="V13" i="183"/>
  <c r="M9" i="183"/>
  <c r="M21" i="183"/>
  <c r="R3" i="183"/>
  <c r="V8" i="183"/>
  <c r="V11" i="183"/>
  <c r="V20" i="183"/>
  <c r="V23" i="183"/>
  <c r="V26" i="183"/>
  <c r="O9" i="183"/>
  <c r="S10" i="183"/>
  <c r="S13" i="183"/>
  <c r="O15" i="183"/>
  <c r="S16" i="183"/>
  <c r="O18" i="183"/>
  <c r="S19" i="183"/>
  <c r="O24" i="183"/>
  <c r="S25" i="183"/>
  <c r="O27" i="183"/>
  <c r="T10" i="183"/>
  <c r="T13" i="183"/>
  <c r="T28" i="183" s="1"/>
  <c r="T16" i="183"/>
  <c r="T19" i="183"/>
  <c r="T22" i="183"/>
  <c r="V16" i="183"/>
  <c r="V19" i="183"/>
  <c r="V22" i="183"/>
  <c r="V25" i="183"/>
  <c r="V9" i="183"/>
  <c r="V12" i="183"/>
  <c r="V15" i="183"/>
  <c r="V18" i="183"/>
  <c r="V21" i="183"/>
  <c r="V24" i="183"/>
  <c r="V27" i="183"/>
  <c r="M12" i="183"/>
  <c r="M15" i="183"/>
  <c r="M18" i="183"/>
  <c r="M24" i="183"/>
  <c r="M27" i="183"/>
  <c r="V14" i="183"/>
  <c r="O12" i="183"/>
  <c r="M8" i="183"/>
  <c r="U10" i="183"/>
  <c r="M11" i="183"/>
  <c r="U13" i="183"/>
  <c r="M14" i="183"/>
  <c r="U16" i="183"/>
  <c r="M17" i="183"/>
  <c r="U19" i="183"/>
  <c r="M20" i="183"/>
  <c r="U22" i="183"/>
  <c r="M23" i="183"/>
  <c r="V13" i="181"/>
  <c r="V22" i="181"/>
  <c r="V25" i="181"/>
  <c r="V18" i="181"/>
  <c r="V27" i="181"/>
  <c r="M12" i="181"/>
  <c r="M15" i="181"/>
  <c r="M21" i="181"/>
  <c r="M24" i="181"/>
  <c r="V11" i="181"/>
  <c r="V17" i="181"/>
  <c r="V23" i="181"/>
  <c r="O9" i="181"/>
  <c r="S10" i="181"/>
  <c r="O12" i="181"/>
  <c r="S13" i="181"/>
  <c r="O15" i="181"/>
  <c r="S16" i="181"/>
  <c r="O18" i="181"/>
  <c r="S19" i="181"/>
  <c r="O21" i="181"/>
  <c r="S22" i="181"/>
  <c r="O24" i="181"/>
  <c r="V16" i="181"/>
  <c r="V12" i="181"/>
  <c r="M9" i="181"/>
  <c r="M18" i="181"/>
  <c r="T10" i="181"/>
  <c r="T13" i="181"/>
  <c r="T16" i="181"/>
  <c r="T19" i="181"/>
  <c r="T22" i="181"/>
  <c r="V10" i="181"/>
  <c r="V19" i="181"/>
  <c r="V9" i="181"/>
  <c r="V15" i="181"/>
  <c r="V21" i="181"/>
  <c r="V24" i="181"/>
  <c r="M27" i="181"/>
  <c r="R3" i="181"/>
  <c r="V8" i="181"/>
  <c r="V14" i="181"/>
  <c r="V20" i="181"/>
  <c r="M8" i="181"/>
  <c r="U10" i="181"/>
  <c r="M11" i="181"/>
  <c r="U13" i="181"/>
  <c r="M14" i="181"/>
  <c r="U16" i="181"/>
  <c r="M17" i="181"/>
  <c r="U19" i="181"/>
  <c r="M20" i="181"/>
  <c r="U22" i="181"/>
  <c r="M23" i="181"/>
  <c r="V13" i="180"/>
  <c r="V19" i="180"/>
  <c r="V25" i="180"/>
  <c r="V12" i="180"/>
  <c r="V15" i="180"/>
  <c r="V21" i="180"/>
  <c r="V27" i="180"/>
  <c r="M12" i="180"/>
  <c r="M21" i="180"/>
  <c r="M24" i="180"/>
  <c r="R3" i="180"/>
  <c r="V8" i="180"/>
  <c r="V14" i="180"/>
  <c r="V20" i="180"/>
  <c r="V23" i="180"/>
  <c r="O9" i="180"/>
  <c r="S10" i="180"/>
  <c r="O15" i="180"/>
  <c r="S16" i="180"/>
  <c r="O21" i="180"/>
  <c r="S22" i="180"/>
  <c r="O27" i="180"/>
  <c r="T10" i="180"/>
  <c r="T13" i="180"/>
  <c r="T16" i="180"/>
  <c r="T19" i="180"/>
  <c r="T22" i="180"/>
  <c r="V10" i="180"/>
  <c r="V16" i="180"/>
  <c r="V22" i="180"/>
  <c r="V9" i="180"/>
  <c r="V18" i="180"/>
  <c r="V24" i="180"/>
  <c r="M9" i="180"/>
  <c r="M15" i="180"/>
  <c r="M18" i="180"/>
  <c r="M27" i="180"/>
  <c r="V11" i="180"/>
  <c r="V17" i="180"/>
  <c r="O12" i="180"/>
  <c r="S13" i="180"/>
  <c r="O18" i="180"/>
  <c r="S19" i="180"/>
  <c r="M8" i="180"/>
  <c r="M28" i="180" s="1"/>
  <c r="U10" i="180"/>
  <c r="M11" i="180"/>
  <c r="U13" i="180"/>
  <c r="M14" i="180"/>
  <c r="U16" i="180"/>
  <c r="M17" i="180"/>
  <c r="U19" i="180"/>
  <c r="M20" i="180"/>
  <c r="U22" i="180"/>
  <c r="M23" i="180"/>
  <c r="U10" i="179"/>
  <c r="U13" i="179"/>
  <c r="U19" i="179"/>
  <c r="V10" i="179"/>
  <c r="V22" i="179"/>
  <c r="U9" i="179"/>
  <c r="U15" i="179"/>
  <c r="U18" i="179"/>
  <c r="U24" i="179"/>
  <c r="U27" i="179"/>
  <c r="V15" i="179"/>
  <c r="V24" i="179"/>
  <c r="U11" i="179"/>
  <c r="M18" i="179"/>
  <c r="M21" i="179"/>
  <c r="M24" i="179"/>
  <c r="M27" i="179"/>
  <c r="R3" i="179"/>
  <c r="V8" i="179"/>
  <c r="V11" i="179"/>
  <c r="V14" i="179"/>
  <c r="V17" i="179"/>
  <c r="V20" i="179"/>
  <c r="V23" i="179"/>
  <c r="V26" i="179"/>
  <c r="U22" i="179"/>
  <c r="V13" i="179"/>
  <c r="V19" i="179"/>
  <c r="V9" i="179"/>
  <c r="V18" i="179"/>
  <c r="V27" i="179"/>
  <c r="U8" i="179"/>
  <c r="M12" i="179"/>
  <c r="U17" i="179"/>
  <c r="U26" i="179"/>
  <c r="O9" i="179"/>
  <c r="S10" i="179"/>
  <c r="O12" i="179"/>
  <c r="S13" i="179"/>
  <c r="O15" i="179"/>
  <c r="S16" i="179"/>
  <c r="O18" i="179"/>
  <c r="S19" i="179"/>
  <c r="O21" i="179"/>
  <c r="S22" i="179"/>
  <c r="O24" i="179"/>
  <c r="U16" i="179"/>
  <c r="U25" i="179"/>
  <c r="V16" i="179"/>
  <c r="V25" i="179"/>
  <c r="U12" i="179"/>
  <c r="U21" i="179"/>
  <c r="V12" i="179"/>
  <c r="M9" i="179"/>
  <c r="U14" i="179"/>
  <c r="U20" i="179"/>
  <c r="T10" i="179"/>
  <c r="T13" i="179"/>
  <c r="T16" i="179"/>
  <c r="T19" i="179"/>
  <c r="T22" i="179"/>
  <c r="V16" i="178"/>
  <c r="V22" i="178"/>
  <c r="V12" i="178"/>
  <c r="V19" i="178"/>
  <c r="V25" i="178"/>
  <c r="V15" i="178"/>
  <c r="V18" i="178"/>
  <c r="V21" i="178"/>
  <c r="M12" i="178"/>
  <c r="M18" i="178"/>
  <c r="M21" i="178"/>
  <c r="M27" i="178"/>
  <c r="V8" i="178"/>
  <c r="V17" i="178"/>
  <c r="V20" i="178"/>
  <c r="O15" i="178"/>
  <c r="V10" i="178"/>
  <c r="V13" i="178"/>
  <c r="V9" i="178"/>
  <c r="V24" i="178"/>
  <c r="V27" i="178"/>
  <c r="M9" i="178"/>
  <c r="M15" i="178"/>
  <c r="M24" i="178"/>
  <c r="R3" i="178"/>
  <c r="V11" i="178"/>
  <c r="V14" i="178"/>
  <c r="V23" i="178"/>
  <c r="O9" i="178"/>
  <c r="O28" i="178" s="1"/>
  <c r="S10" i="178"/>
  <c r="O12" i="178"/>
  <c r="S13" i="178"/>
  <c r="S16" i="178"/>
  <c r="O18" i="178"/>
  <c r="S19" i="178"/>
  <c r="O21" i="178"/>
  <c r="S22" i="178"/>
  <c r="O24" i="178"/>
  <c r="T10" i="178"/>
  <c r="T13" i="178"/>
  <c r="T16" i="178"/>
  <c r="T19" i="178"/>
  <c r="T22" i="178"/>
  <c r="M8" i="178"/>
  <c r="U10" i="178"/>
  <c r="M11" i="178"/>
  <c r="U13" i="178"/>
  <c r="M14" i="178"/>
  <c r="U16" i="178"/>
  <c r="U28" i="178" s="1"/>
  <c r="M17" i="178"/>
  <c r="U19" i="178"/>
  <c r="M20" i="178"/>
  <c r="U22" i="178"/>
  <c r="M23" i="178"/>
  <c r="AN28" i="58"/>
  <c r="T28" i="179" l="1"/>
  <c r="M28" i="179"/>
  <c r="T28" i="180"/>
  <c r="U28" i="181"/>
  <c r="O28" i="181"/>
  <c r="M28" i="181"/>
  <c r="T28" i="181"/>
  <c r="M28" i="183"/>
  <c r="S28" i="183"/>
  <c r="O28" i="180"/>
  <c r="S28" i="181"/>
  <c r="U28" i="180"/>
  <c r="S28" i="180"/>
  <c r="U28" i="183"/>
  <c r="O28" i="183"/>
  <c r="S28" i="179"/>
  <c r="O28" i="179"/>
  <c r="T28" i="178"/>
  <c r="S28" i="178"/>
  <c r="V28" i="178"/>
  <c r="M28" i="178"/>
  <c r="V28" i="183"/>
  <c r="R19" i="183"/>
  <c r="R13" i="183"/>
  <c r="R23" i="183"/>
  <c r="R17" i="183"/>
  <c r="R11" i="183"/>
  <c r="R27" i="183"/>
  <c r="R24" i="183"/>
  <c r="R18" i="183"/>
  <c r="R9" i="183"/>
  <c r="R25" i="183"/>
  <c r="R22" i="183"/>
  <c r="R16" i="183"/>
  <c r="R10" i="183"/>
  <c r="R26" i="183"/>
  <c r="R20" i="183"/>
  <c r="R14" i="183"/>
  <c r="R8" i="183"/>
  <c r="R21" i="183"/>
  <c r="R15" i="183"/>
  <c r="R12" i="183"/>
  <c r="V28" i="181"/>
  <c r="R25" i="181"/>
  <c r="R19" i="181"/>
  <c r="R13" i="181"/>
  <c r="R26" i="181"/>
  <c r="R23" i="181"/>
  <c r="R27" i="181"/>
  <c r="R15" i="181"/>
  <c r="R20" i="181"/>
  <c r="R14" i="181"/>
  <c r="R8" i="181"/>
  <c r="R21" i="181"/>
  <c r="R9" i="181"/>
  <c r="R22" i="181"/>
  <c r="R16" i="181"/>
  <c r="R10" i="181"/>
  <c r="R17" i="181"/>
  <c r="R11" i="181"/>
  <c r="R24" i="181"/>
  <c r="R18" i="181"/>
  <c r="R12" i="181"/>
  <c r="V28" i="180"/>
  <c r="R25" i="180"/>
  <c r="R22" i="180"/>
  <c r="R16" i="180"/>
  <c r="R10" i="180"/>
  <c r="R23" i="180"/>
  <c r="R17" i="180"/>
  <c r="R8" i="180"/>
  <c r="R21" i="180"/>
  <c r="R15" i="180"/>
  <c r="R12" i="180"/>
  <c r="R9" i="180"/>
  <c r="R19" i="180"/>
  <c r="R13" i="180"/>
  <c r="R26" i="180"/>
  <c r="R20" i="180"/>
  <c r="R14" i="180"/>
  <c r="R11" i="180"/>
  <c r="R27" i="180"/>
  <c r="R24" i="180"/>
  <c r="R18" i="180"/>
  <c r="U28" i="179"/>
  <c r="V28" i="179"/>
  <c r="R23" i="179"/>
  <c r="R14" i="179"/>
  <c r="R18" i="179"/>
  <c r="R9" i="179"/>
  <c r="R20" i="179"/>
  <c r="R27" i="179"/>
  <c r="R21" i="179"/>
  <c r="R25" i="179"/>
  <c r="R22" i="179"/>
  <c r="R19" i="179"/>
  <c r="R16" i="179"/>
  <c r="R13" i="179"/>
  <c r="R10" i="179"/>
  <c r="R26" i="179"/>
  <c r="R17" i="179"/>
  <c r="R11" i="179"/>
  <c r="R8" i="179"/>
  <c r="R24" i="179"/>
  <c r="R15" i="179"/>
  <c r="R12" i="179"/>
  <c r="R19" i="178"/>
  <c r="R13" i="178"/>
  <c r="R10" i="178"/>
  <c r="R26" i="178"/>
  <c r="R14" i="178"/>
  <c r="R11" i="178"/>
  <c r="R27" i="178"/>
  <c r="R18" i="178"/>
  <c r="R15" i="178"/>
  <c r="R25" i="178"/>
  <c r="R22" i="178"/>
  <c r="R16" i="178"/>
  <c r="R23" i="178"/>
  <c r="R17" i="178"/>
  <c r="R8" i="178"/>
  <c r="R21" i="178"/>
  <c r="R12" i="178"/>
  <c r="R20" i="178"/>
  <c r="R24" i="178"/>
  <c r="R9" i="178"/>
  <c r="R28" i="183" l="1"/>
  <c r="R28" i="181"/>
  <c r="R28" i="180"/>
  <c r="R28" i="179"/>
  <c r="R28" i="178"/>
  <c r="U3" i="58" l="1"/>
  <c r="U27" i="58" s="1"/>
  <c r="T3" i="58"/>
  <c r="T27" i="58" s="1"/>
  <c r="S3" i="58"/>
  <c r="S27" i="58" s="1"/>
  <c r="V3" i="58"/>
  <c r="V27" i="58" s="1"/>
  <c r="M3" i="58"/>
  <c r="O3" i="58"/>
  <c r="O27" i="58" s="1"/>
  <c r="R3" i="58" l="1"/>
  <c r="R27" i="58" s="1"/>
  <c r="M27" i="58"/>
  <c r="BC28" i="58"/>
  <c r="BB28" i="58" l="1"/>
  <c r="BA28" i="58"/>
  <c r="AZ28" i="58"/>
  <c r="AY28" i="58"/>
  <c r="AX28" i="58"/>
  <c r="AW28" i="58"/>
  <c r="AV28" i="58"/>
  <c r="AK28" i="58"/>
  <c r="AJ28" i="58"/>
  <c r="AI28" i="58"/>
  <c r="AH28" i="58"/>
  <c r="AG28" i="58"/>
  <c r="AA28" i="58"/>
  <c r="Z28" i="58"/>
  <c r="Y28" i="58"/>
  <c r="X28" i="58"/>
  <c r="W28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C28" i="58" l="1"/>
  <c r="D28" i="58"/>
  <c r="G28" i="58"/>
  <c r="K28" i="58"/>
  <c r="P28" i="58"/>
  <c r="I28" i="58"/>
  <c r="J28" i="58"/>
  <c r="L28" i="58"/>
  <c r="H28" i="58"/>
  <c r="R28" i="58"/>
  <c r="M28" i="58"/>
  <c r="V28" i="58"/>
  <c r="U28" i="58"/>
  <c r="T28" i="58"/>
  <c r="Q28" i="58"/>
  <c r="O28" i="58"/>
  <c r="N28" i="58"/>
  <c r="F28" i="58"/>
  <c r="E28" i="58"/>
  <c r="S28" i="58"/>
  <c r="BE28" i="58" l="1"/>
  <c r="BD28" i="58"/>
  <c r="W8" i="183"/>
  <c r="W28" i="183" s="1"/>
  <c r="W28" i="180"/>
  <c r="AQ8" i="183"/>
  <c r="AQ28" i="183" s="1"/>
  <c r="AQ28" i="181"/>
  <c r="AG8" i="183"/>
  <c r="AG28" i="183" s="1"/>
  <c r="AG28" i="178"/>
  <c r="AL28" i="178"/>
  <c r="AL8" i="183"/>
  <c r="AL28" i="183" s="1"/>
</calcChain>
</file>

<file path=xl/sharedStrings.xml><?xml version="1.0" encoding="utf-8"?>
<sst xmlns="http://schemas.openxmlformats.org/spreadsheetml/2006/main" count="542" uniqueCount="72">
  <si>
    <t xml:space="preserve">TOTAL </t>
  </si>
  <si>
    <t>OBJECTIFS JOURNALIERS</t>
  </si>
  <si>
    <t>Biblos Lait Premium 16g</t>
  </si>
  <si>
    <t>Biblos Lait Premium 360g</t>
  </si>
  <si>
    <t>Biblos Flocon d'avoine 50g</t>
  </si>
  <si>
    <t>Biblos Flocon d'avoine 400g</t>
  </si>
  <si>
    <t>Commentaires</t>
  </si>
  <si>
    <t>Impressions des PDV et des clients</t>
  </si>
  <si>
    <t>Agent promoteur</t>
  </si>
  <si>
    <t>Nombre de visite / Type de PDV</t>
  </si>
  <si>
    <t>Boutique</t>
  </si>
  <si>
    <t>Superette</t>
  </si>
  <si>
    <t>Kiosque</t>
  </si>
  <si>
    <t>Tablier</t>
  </si>
  <si>
    <t>Pushcart</t>
  </si>
  <si>
    <t>Nombre de référencement / Type de PDV</t>
  </si>
  <si>
    <t>Pose de matériel de visibilité</t>
  </si>
  <si>
    <t>Affiche Biblos Flocons d' Avoine</t>
  </si>
  <si>
    <t>Hanger</t>
  </si>
  <si>
    <t>Wobbler</t>
  </si>
  <si>
    <t>Affiche Biblos Lait  Prémium 16g &amp; 360g</t>
  </si>
  <si>
    <t>Affiche Biblos Lait Excellence</t>
  </si>
  <si>
    <t>REALISATIONS</t>
  </si>
  <si>
    <t>Biblos Lait Excellence 900g</t>
  </si>
  <si>
    <t>N°</t>
  </si>
  <si>
    <t>Vente en cartons</t>
  </si>
  <si>
    <t>Gratuits offerts en sachet</t>
  </si>
  <si>
    <t>Présence produits antérieure</t>
  </si>
  <si>
    <t>Nouveau Référencement par SKU</t>
  </si>
  <si>
    <t>VILLE</t>
  </si>
  <si>
    <t>DIBI SIMEON</t>
  </si>
  <si>
    <t>KRA EVAVARISTE</t>
  </si>
  <si>
    <t>DIOMANDE ESTHER</t>
  </si>
  <si>
    <t>BADA LANDRY</t>
  </si>
  <si>
    <t>KOUAME JOSE</t>
  </si>
  <si>
    <t>FANY BARAKISSA</t>
  </si>
  <si>
    <t>KONAN IVETTE</t>
  </si>
  <si>
    <t>KRA PACOME</t>
  </si>
  <si>
    <t>KONATE MARIAM</t>
  </si>
  <si>
    <t>OULAY WILFRIED</t>
  </si>
  <si>
    <t>NGUESSAN INNOCENT</t>
  </si>
  <si>
    <t>SAN PEDRO</t>
  </si>
  <si>
    <t>KOUAKOU ROSE</t>
  </si>
  <si>
    <t>ARISTIDE KOUAME</t>
  </si>
  <si>
    <t>ANGE STEPHANIE</t>
  </si>
  <si>
    <t>KOUADIO FLORENT</t>
  </si>
  <si>
    <t>SERIE ULRICHE</t>
  </si>
  <si>
    <t>KOADIO SARAH</t>
  </si>
  <si>
    <t>MLEHI ANGE</t>
  </si>
  <si>
    <t>SAN PEDRO/ 22/01/2026</t>
  </si>
  <si>
    <t>11C 2CH</t>
  </si>
  <si>
    <t>1C 17SACH</t>
  </si>
  <si>
    <t>5SACH</t>
  </si>
  <si>
    <t>9C 1CHA</t>
  </si>
  <si>
    <t>22C</t>
  </si>
  <si>
    <t>SAN PEDRO/ 23/01/2026</t>
  </si>
  <si>
    <t>8-6ch</t>
  </si>
  <si>
    <t>3c-6</t>
  </si>
  <si>
    <t>1c*6</t>
  </si>
  <si>
    <t>5-9ch</t>
  </si>
  <si>
    <t>33,5c</t>
  </si>
  <si>
    <t>5sach</t>
  </si>
  <si>
    <t>3ct</t>
  </si>
  <si>
    <t>28ct</t>
  </si>
  <si>
    <t>3c*12 sa</t>
  </si>
  <si>
    <t>1*3sa</t>
  </si>
  <si>
    <t>10*8ch</t>
  </si>
  <si>
    <t>2c*1sa</t>
  </si>
  <si>
    <t>3c 11 sa</t>
  </si>
  <si>
    <t>3* 9ch</t>
  </si>
  <si>
    <t>25,5 c</t>
  </si>
  <si>
    <t>9c* 6ch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</si>
</sst>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_-* #,##0.0_-;\-* #,##0.0_-;_-* &quot;-&quot;_-;_-@_-"/>
  </numFmts>
  <fonts count="21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16"/>
      <name val="Verdana"/>
      <family val="2"/>
    </font>
    <font>
      <sz val="16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Verdana"/>
      <family val="2"/>
    </font>
    <font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sz val="14"/>
      <color rgb="FFFF0000"/>
      <name val="Verdana"/>
      <family val="2"/>
    </font>
    <font>
      <sz val="18"/>
      <color theme="1"/>
      <name val="Verdana"/>
      <family val="2"/>
    </font>
    <font>
      <b/>
      <sz val="10"/>
      <color rgb="FFFF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EDEF"/>
        <bgColor indexed="64"/>
      </patternFill>
    </fill>
    <fill>
      <patternFill patternType="solid">
        <fgColor rgb="FFEEE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ECD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BAB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3">
    <xf numFmtId="0" fontId="0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4">
    <xf numFmtId="0" fontId="0" fillId="0" borderId="0" xfId="0"/>
    <xf numFmtId="0" fontId="4" fillId="0" borderId="0" xfId="0" applyFont="1"/>
    <xf numFmtId="3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41" fontId="9" fillId="4" borderId="10" xfId="1" applyFont="1" applyFill="1" applyBorder="1" applyAlignment="1">
      <alignment horizontal="center" vertical="center"/>
    </xf>
    <xf numFmtId="41" fontId="9" fillId="4" borderId="11" xfId="1" applyFont="1" applyFill="1" applyBorder="1" applyAlignment="1">
      <alignment horizontal="center" vertical="center"/>
    </xf>
    <xf numFmtId="41" fontId="9" fillId="4" borderId="12" xfId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41" fontId="9" fillId="4" borderId="6" xfId="1" applyFont="1" applyFill="1" applyBorder="1" applyAlignment="1">
      <alignment horizontal="center" vertical="center"/>
    </xf>
    <xf numFmtId="41" fontId="9" fillId="4" borderId="7" xfId="1" applyFont="1" applyFill="1" applyBorder="1" applyAlignment="1">
      <alignment horizontal="center" vertical="center"/>
    </xf>
    <xf numFmtId="41" fontId="12" fillId="4" borderId="9" xfId="1" applyFont="1" applyFill="1" applyBorder="1" applyAlignment="1">
      <alignment horizontal="center" vertical="center" wrapText="1"/>
    </xf>
    <xf numFmtId="41" fontId="10" fillId="4" borderId="9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20" xfId="1" applyFont="1" applyFill="1" applyBorder="1" applyAlignment="1">
      <alignment horizontal="center" vertical="center" wrapText="1"/>
    </xf>
    <xf numFmtId="3" fontId="5" fillId="3" borderId="24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41" fontId="9" fillId="4" borderId="26" xfId="1" applyFont="1" applyFill="1" applyBorder="1" applyAlignment="1">
      <alignment horizontal="center" vertical="center"/>
    </xf>
    <xf numFmtId="41" fontId="9" fillId="4" borderId="27" xfId="1" applyFont="1" applyFill="1" applyBorder="1" applyAlignment="1">
      <alignment horizontal="center" vertical="center"/>
    </xf>
    <xf numFmtId="41" fontId="9" fillId="4" borderId="28" xfId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 wrapText="1"/>
    </xf>
    <xf numFmtId="0" fontId="2" fillId="6" borderId="32" xfId="0" applyFont="1" applyFill="1" applyBorder="1" applyAlignment="1">
      <alignment horizontal="center" vertical="center" textRotation="90" wrapText="1"/>
    </xf>
    <xf numFmtId="0" fontId="2" fillId="7" borderId="31" xfId="0" applyFont="1" applyFill="1" applyBorder="1" applyAlignment="1">
      <alignment horizontal="center" vertical="center" textRotation="90" wrapText="1"/>
    </xf>
    <xf numFmtId="0" fontId="2" fillId="7" borderId="32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wrapText="1"/>
    </xf>
    <xf numFmtId="3" fontId="9" fillId="3" borderId="13" xfId="0" applyNumberFormat="1" applyFont="1" applyFill="1" applyBorder="1" applyAlignment="1">
      <alignment horizontal="center" vertical="center"/>
    </xf>
    <xf numFmtId="3" fontId="9" fillId="3" borderId="14" xfId="0" applyNumberFormat="1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wrapText="1"/>
    </xf>
    <xf numFmtId="165" fontId="9" fillId="4" borderId="10" xfId="1" applyNumberFormat="1" applyFont="1" applyFill="1" applyBorder="1" applyAlignment="1">
      <alignment horizontal="center" vertical="center"/>
    </xf>
    <xf numFmtId="165" fontId="9" fillId="4" borderId="11" xfId="1" applyNumberFormat="1" applyFont="1" applyFill="1" applyBorder="1" applyAlignment="1">
      <alignment horizontal="center" vertical="center"/>
    </xf>
    <xf numFmtId="165" fontId="9" fillId="4" borderId="12" xfId="1" applyNumberFormat="1" applyFont="1" applyFill="1" applyBorder="1" applyAlignment="1">
      <alignment horizontal="center" vertical="center"/>
    </xf>
    <xf numFmtId="165" fontId="9" fillId="4" borderId="5" xfId="1" applyNumberFormat="1" applyFont="1" applyFill="1" applyBorder="1" applyAlignment="1">
      <alignment horizontal="center" vertical="center"/>
    </xf>
    <xf numFmtId="165" fontId="9" fillId="4" borderId="6" xfId="1" applyNumberFormat="1" applyFont="1" applyFill="1" applyBorder="1" applyAlignment="1">
      <alignment horizontal="center" vertical="center"/>
    </xf>
    <xf numFmtId="165" fontId="9" fillId="4" borderId="7" xfId="1" applyNumberFormat="1" applyFont="1" applyFill="1" applyBorder="1" applyAlignment="1">
      <alignment horizontal="center" vertical="center"/>
    </xf>
    <xf numFmtId="9" fontId="3" fillId="0" borderId="0" xfId="2" applyFont="1" applyFill="1" applyAlignment="1">
      <alignment horizontal="center" wrapText="1"/>
    </xf>
    <xf numFmtId="0" fontId="9" fillId="4" borderId="10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6" xfId="1" applyNumberFormat="1" applyFont="1" applyFill="1" applyBorder="1" applyAlignment="1">
      <alignment horizontal="center" vertical="center"/>
    </xf>
    <xf numFmtId="0" fontId="9" fillId="4" borderId="7" xfId="1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3" fillId="4" borderId="7" xfId="1" applyNumberFormat="1" applyFont="1" applyFill="1" applyBorder="1" applyAlignment="1">
      <alignment horizontal="center" vertical="center"/>
    </xf>
    <xf numFmtId="41" fontId="9" fillId="3" borderId="15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41" fontId="13" fillId="4" borderId="5" xfId="1" applyFont="1" applyFill="1" applyBorder="1" applyAlignment="1">
      <alignment horizontal="center" vertical="center"/>
    </xf>
    <xf numFmtId="41" fontId="13" fillId="4" borderId="6" xfId="1" applyFont="1" applyFill="1" applyBorder="1" applyAlignment="1">
      <alignment horizontal="center" vertical="center"/>
    </xf>
    <xf numFmtId="41" fontId="13" fillId="4" borderId="7" xfId="1" applyFont="1" applyFill="1" applyBorder="1" applyAlignment="1">
      <alignment horizontal="center" vertical="center"/>
    </xf>
    <xf numFmtId="165" fontId="13" fillId="4" borderId="5" xfId="1" applyNumberFormat="1" applyFont="1" applyFill="1" applyBorder="1" applyAlignment="1">
      <alignment horizontal="center" vertical="center"/>
    </xf>
    <xf numFmtId="165" fontId="13" fillId="4" borderId="6" xfId="1" applyNumberFormat="1" applyFont="1" applyFill="1" applyBorder="1" applyAlignment="1">
      <alignment horizontal="center" vertical="center"/>
    </xf>
    <xf numFmtId="165" fontId="13" fillId="4" borderId="7" xfId="1" applyNumberFormat="1" applyFont="1" applyFill="1" applyBorder="1" applyAlignment="1">
      <alignment horizontal="center" vertical="center"/>
    </xf>
    <xf numFmtId="0" fontId="13" fillId="4" borderId="5" xfId="1" applyNumberFormat="1" applyFont="1" applyFill="1" applyBorder="1" applyAlignment="1">
      <alignment horizontal="center" vertical="center"/>
    </xf>
    <xf numFmtId="0" fontId="13" fillId="4" borderId="6" xfId="1" applyNumberFormat="1" applyFont="1" applyFill="1" applyBorder="1" applyAlignment="1">
      <alignment horizontal="center" vertical="center"/>
    </xf>
    <xf numFmtId="41" fontId="4" fillId="4" borderId="20" xfId="1" applyFont="1" applyFill="1" applyBorder="1" applyAlignment="1">
      <alignment horizontal="center" vertical="center" wrapText="1"/>
    </xf>
    <xf numFmtId="41" fontId="16" fillId="4" borderId="9" xfId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textRotation="90" wrapText="1"/>
    </xf>
    <xf numFmtId="0" fontId="15" fillId="0" borderId="0" xfId="0" applyFont="1"/>
    <xf numFmtId="1" fontId="9" fillId="3" borderId="13" xfId="0" applyNumberFormat="1" applyFont="1" applyFill="1" applyBorder="1" applyAlignment="1">
      <alignment horizontal="center" vertical="center"/>
    </xf>
    <xf numFmtId="1" fontId="9" fillId="3" borderId="14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" fontId="13" fillId="4" borderId="5" xfId="1" applyNumberFormat="1" applyFont="1" applyFill="1" applyBorder="1" applyAlignment="1">
      <alignment horizontal="center" vertical="center"/>
    </xf>
    <xf numFmtId="1" fontId="13" fillId="4" borderId="6" xfId="1" applyNumberFormat="1" applyFont="1" applyFill="1" applyBorder="1" applyAlignment="1">
      <alignment horizontal="center" vertical="center"/>
    </xf>
    <xf numFmtId="1" fontId="13" fillId="4" borderId="7" xfId="1" applyNumberFormat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center" vertical="center" textRotation="90" wrapText="1"/>
    </xf>
    <xf numFmtId="0" fontId="2" fillId="9" borderId="16" xfId="0" applyFont="1" applyFill="1" applyBorder="1" applyAlignment="1">
      <alignment horizontal="center" vertical="center" textRotation="90" wrapText="1"/>
    </xf>
    <xf numFmtId="0" fontId="2" fillId="9" borderId="32" xfId="0" applyFont="1" applyFill="1" applyBorder="1" applyAlignment="1">
      <alignment horizontal="center" vertical="center" textRotation="90" wrapText="1"/>
    </xf>
    <xf numFmtId="0" fontId="2" fillId="10" borderId="31" xfId="0" applyFont="1" applyFill="1" applyBorder="1" applyAlignment="1">
      <alignment horizontal="center" vertical="center" textRotation="90" wrapText="1"/>
    </xf>
    <xf numFmtId="0" fontId="2" fillId="10" borderId="16" xfId="0" applyFont="1" applyFill="1" applyBorder="1" applyAlignment="1">
      <alignment horizontal="center" vertical="center" textRotation="90" wrapText="1"/>
    </xf>
    <xf numFmtId="0" fontId="2" fillId="10" borderId="32" xfId="0" applyFont="1" applyFill="1" applyBorder="1" applyAlignment="1">
      <alignment horizontal="center" vertical="center" textRotation="90" wrapText="1"/>
    </xf>
    <xf numFmtId="0" fontId="2" fillId="11" borderId="31" xfId="0" applyFont="1" applyFill="1" applyBorder="1" applyAlignment="1">
      <alignment horizontal="center" vertical="center" textRotation="90" wrapText="1"/>
    </xf>
    <xf numFmtId="0" fontId="2" fillId="11" borderId="16" xfId="0" applyFont="1" applyFill="1" applyBorder="1" applyAlignment="1">
      <alignment horizontal="center" vertical="center" textRotation="90" wrapText="1"/>
    </xf>
    <xf numFmtId="0" fontId="2" fillId="11" borderId="32" xfId="0" applyFont="1" applyFill="1" applyBorder="1" applyAlignment="1">
      <alignment horizontal="center" vertical="center" textRotation="90" wrapText="1"/>
    </xf>
    <xf numFmtId="0" fontId="2" fillId="12" borderId="31" xfId="0" applyFont="1" applyFill="1" applyBorder="1" applyAlignment="1">
      <alignment horizontal="center" vertical="center" textRotation="90" wrapText="1"/>
    </xf>
    <xf numFmtId="0" fontId="2" fillId="12" borderId="16" xfId="0" applyFont="1" applyFill="1" applyBorder="1" applyAlignment="1">
      <alignment horizontal="center" vertical="center" textRotation="90" wrapText="1"/>
    </xf>
    <xf numFmtId="0" fontId="2" fillId="12" borderId="32" xfId="0" applyFont="1" applyFill="1" applyBorder="1" applyAlignment="1">
      <alignment horizontal="center" vertical="center" textRotation="90" wrapText="1"/>
    </xf>
    <xf numFmtId="0" fontId="2" fillId="13" borderId="31" xfId="0" applyFont="1" applyFill="1" applyBorder="1" applyAlignment="1">
      <alignment horizontal="center" vertical="center" textRotation="90" wrapText="1"/>
    </xf>
    <xf numFmtId="0" fontId="2" fillId="13" borderId="16" xfId="0" applyFont="1" applyFill="1" applyBorder="1" applyAlignment="1">
      <alignment horizontal="center" vertical="center" textRotation="90" wrapText="1"/>
    </xf>
    <xf numFmtId="0" fontId="2" fillId="13" borderId="32" xfId="0" applyFont="1" applyFill="1" applyBorder="1" applyAlignment="1">
      <alignment horizontal="center" vertical="center" textRotation="90" wrapText="1"/>
    </xf>
    <xf numFmtId="0" fontId="2" fillId="14" borderId="31" xfId="0" applyFont="1" applyFill="1" applyBorder="1" applyAlignment="1">
      <alignment horizontal="center" vertical="center" textRotation="90" wrapText="1"/>
    </xf>
    <xf numFmtId="0" fontId="2" fillId="14" borderId="16" xfId="0" applyFont="1" applyFill="1" applyBorder="1" applyAlignment="1">
      <alignment horizontal="center" vertical="center" textRotation="90" wrapText="1"/>
    </xf>
    <xf numFmtId="0" fontId="2" fillId="14" borderId="32" xfId="0" applyFont="1" applyFill="1" applyBorder="1" applyAlignment="1">
      <alignment horizontal="center" vertical="center" textRotation="90" wrapText="1"/>
    </xf>
    <xf numFmtId="0" fontId="17" fillId="0" borderId="0" xfId="0" applyFont="1"/>
    <xf numFmtId="0" fontId="2" fillId="13" borderId="34" xfId="0" applyFont="1" applyFill="1" applyBorder="1" applyAlignment="1">
      <alignment horizontal="center" vertical="center" textRotation="90" wrapText="1"/>
    </xf>
    <xf numFmtId="41" fontId="9" fillId="4" borderId="23" xfId="1" applyFont="1" applyFill="1" applyBorder="1" applyAlignment="1">
      <alignment horizontal="center" vertical="center"/>
    </xf>
    <xf numFmtId="41" fontId="9" fillId="4" borderId="35" xfId="1" applyFont="1" applyFill="1" applyBorder="1" applyAlignment="1">
      <alignment horizontal="center" vertical="center"/>
    </xf>
    <xf numFmtId="41" fontId="9" fillId="4" borderId="36" xfId="1" applyFont="1" applyFill="1" applyBorder="1" applyAlignment="1">
      <alignment horizontal="center" vertical="center"/>
    </xf>
    <xf numFmtId="41" fontId="9" fillId="4" borderId="33" xfId="1" applyFont="1" applyFill="1" applyBorder="1" applyAlignment="1">
      <alignment horizontal="center" vertical="center"/>
    </xf>
    <xf numFmtId="41" fontId="9" fillId="4" borderId="29" xfId="1" applyFont="1" applyFill="1" applyBorder="1" applyAlignment="1">
      <alignment horizontal="center" vertical="center"/>
    </xf>
    <xf numFmtId="41" fontId="9" fillId="3" borderId="13" xfId="1" applyFont="1" applyFill="1" applyBorder="1" applyAlignment="1">
      <alignment horizontal="center" vertical="center"/>
    </xf>
    <xf numFmtId="41" fontId="9" fillId="3" borderId="14" xfId="1" applyFont="1" applyFill="1" applyBorder="1" applyAlignment="1">
      <alignment horizontal="center" vertical="center"/>
    </xf>
    <xf numFmtId="41" fontId="9" fillId="3" borderId="15" xfId="1" applyFont="1" applyFill="1" applyBorder="1" applyAlignment="1">
      <alignment horizontal="center" vertical="center"/>
    </xf>
    <xf numFmtId="41" fontId="9" fillId="3" borderId="24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2" borderId="19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2" fontId="9" fillId="4" borderId="5" xfId="1" applyNumberFormat="1" applyFont="1" applyFill="1" applyBorder="1" applyAlignment="1">
      <alignment horizontal="center" vertical="center"/>
    </xf>
    <xf numFmtId="2" fontId="9" fillId="4" borderId="10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/>
    </xf>
    <xf numFmtId="2" fontId="9" fillId="4" borderId="7" xfId="1" applyNumberFormat="1" applyFont="1" applyFill="1" applyBorder="1" applyAlignment="1">
      <alignment horizontal="center" vertical="center"/>
    </xf>
    <xf numFmtId="2" fontId="13" fillId="4" borderId="5" xfId="1" applyNumberFormat="1" applyFont="1" applyFill="1" applyBorder="1" applyAlignment="1">
      <alignment horizontal="center" vertical="center"/>
    </xf>
    <xf numFmtId="2" fontId="13" fillId="4" borderId="6" xfId="1" applyNumberFormat="1" applyFont="1" applyFill="1" applyBorder="1" applyAlignment="1">
      <alignment horizontal="center" vertical="center"/>
    </xf>
    <xf numFmtId="2" fontId="13" fillId="4" borderId="7" xfId="1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0" fontId="18" fillId="4" borderId="11" xfId="1" applyNumberFormat="1" applyFont="1" applyFill="1" applyBorder="1" applyAlignment="1">
      <alignment horizontal="center" vertical="center"/>
    </xf>
    <xf numFmtId="0" fontId="18" fillId="4" borderId="6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2" fontId="9" fillId="3" borderId="13" xfId="0" applyNumberFormat="1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wrapText="1"/>
    </xf>
    <xf numFmtId="0" fontId="18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3" fillId="4" borderId="10" xfId="1" applyNumberFormat="1" applyFont="1" applyFill="1" applyBorder="1" applyAlignment="1">
      <alignment horizontal="center" vertical="center"/>
    </xf>
    <xf numFmtId="0" fontId="5" fillId="0" borderId="0" xfId="0" applyFont="1"/>
    <xf numFmtId="0" fontId="19" fillId="0" borderId="0" xfId="0" applyFont="1"/>
    <xf numFmtId="2" fontId="3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2" fontId="18" fillId="4" borderId="5" xfId="1" applyNumberFormat="1" applyFont="1" applyFill="1" applyBorder="1" applyAlignment="1">
      <alignment horizontal="center" vertical="center"/>
    </xf>
    <xf numFmtId="2" fontId="18" fillId="4" borderId="6" xfId="1" applyNumberFormat="1" applyFont="1" applyFill="1" applyBorder="1" applyAlignment="1">
      <alignment horizontal="center" vertical="center"/>
    </xf>
    <xf numFmtId="2" fontId="18" fillId="4" borderId="7" xfId="1" applyNumberFormat="1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/>
    </xf>
    <xf numFmtId="0" fontId="2" fillId="5" borderId="17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41" fontId="11" fillId="4" borderId="30" xfId="1" applyFont="1" applyFill="1" applyBorder="1" applyAlignment="1">
      <alignment horizontal="left" vertical="center" wrapText="1"/>
    </xf>
    <xf numFmtId="41" fontId="11" fillId="4" borderId="25" xfId="1" applyFont="1" applyFill="1" applyBorder="1" applyAlignment="1">
      <alignment horizontal="left" vertical="center" wrapText="1"/>
    </xf>
    <xf numFmtId="41" fontId="11" fillId="4" borderId="9" xfId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41" fontId="12" fillId="4" borderId="30" xfId="1" applyFont="1" applyFill="1" applyBorder="1" applyAlignment="1">
      <alignment horizontal="left" vertical="center" wrapText="1"/>
    </xf>
    <xf numFmtId="41" fontId="12" fillId="4" borderId="25" xfId="1" applyFont="1" applyFill="1" applyBorder="1" applyAlignment="1">
      <alignment horizontal="left" vertical="center" wrapText="1"/>
    </xf>
    <xf numFmtId="41" fontId="12" fillId="4" borderId="9" xfId="1" applyFont="1" applyFill="1" applyBorder="1" applyAlignment="1">
      <alignment horizontal="left" vertical="center" wrapText="1"/>
    </xf>
    <xf numFmtId="41" fontId="11" fillId="4" borderId="17" xfId="1" applyFont="1" applyFill="1" applyBorder="1" applyAlignment="1">
      <alignment horizontal="left" vertical="center" wrapText="1"/>
    </xf>
    <xf numFmtId="41" fontId="13" fillId="4" borderId="10" xfId="1" applyFont="1" applyFill="1" applyBorder="1" applyAlignment="1">
      <alignment horizontal="center" vertical="center"/>
    </xf>
    <xf numFmtId="41" fontId="13" fillId="4" borderId="11" xfId="1" applyFont="1" applyFill="1" applyBorder="1" applyAlignment="1">
      <alignment horizontal="center" vertical="center"/>
    </xf>
    <xf numFmtId="0" fontId="11" fillId="0" borderId="0" xfId="0" applyFo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9BAB1"/>
      <color rgb="FFFFCCCC"/>
      <color rgb="FFEFECDB"/>
      <color rgb="FFFFFFCC"/>
      <color rgb="FFEEE0DC"/>
      <color rgb="FFDBEDEF"/>
      <color rgb="FFCC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5"/>
  <sheetViews>
    <sheetView zoomScale="90" zoomScaleNormal="90" workbookViewId="0">
      <pane xSplit="2" ySplit="7" topLeftCell="AK25" activePane="bottomRight" state="frozen"/>
      <selection activeCell="C3" sqref="C3"/>
      <selection pane="topRight" activeCell="C3" sqref="C3"/>
      <selection pane="bottomLeft" activeCell="C3" sqref="C3"/>
      <selection pane="bottomRight" activeCell="AV9" sqref="AV9:AX25"/>
    </sheetView>
  </sheetViews>
  <sheetFormatPr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12.28515625" style="28" customWidth="1"/>
    <col min="44" max="44" width="8.85546875" style="28" customWidth="1"/>
    <col min="45" max="45" width="10" style="28" customWidth="1"/>
    <col min="46" max="46" width="10.85546875" style="28" customWidth="1"/>
    <col min="47" max="47" width="10.42578125" style="28" customWidth="1"/>
    <col min="48" max="54" width="8.85546875" style="28" customWidth="1"/>
    <col min="55" max="55" width="14.71093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2.5" x14ac:dyDescent="0.3">
      <c r="B2" s="101" t="s">
        <v>49</v>
      </c>
      <c r="AQ2" s="127">
        <v>2</v>
      </c>
      <c r="AR2" s="127">
        <v>3</v>
      </c>
      <c r="AS2" s="127">
        <v>4</v>
      </c>
      <c r="AT2" s="127">
        <v>5</v>
      </c>
      <c r="AU2" s="127">
        <v>6</v>
      </c>
      <c r="AV2" s="127">
        <v>7</v>
      </c>
      <c r="AW2" s="127">
        <v>8</v>
      </c>
      <c r="AX2" s="127">
        <v>9</v>
      </c>
      <c r="AY2" s="127">
        <v>10</v>
      </c>
      <c r="AZ2" s="127">
        <v>11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Q3" s="128">
        <f>2/12</f>
        <v>0.16666666666666666</v>
      </c>
      <c r="AR3" s="128">
        <f>3/12</f>
        <v>0.25</v>
      </c>
      <c r="AS3" s="128">
        <f>4/12</f>
        <v>0.33333333333333331</v>
      </c>
      <c r="AT3" s="128">
        <f>5/12</f>
        <v>0.41666666666666669</v>
      </c>
      <c r="AU3" s="128">
        <f>6/12</f>
        <v>0.5</v>
      </c>
      <c r="AV3" s="128">
        <f>7/12</f>
        <v>0.58333333333333337</v>
      </c>
      <c r="AW3" s="128">
        <f>8/12</f>
        <v>0.66666666666666663</v>
      </c>
      <c r="AX3" s="128">
        <f>9/12</f>
        <v>0.75</v>
      </c>
      <c r="AY3" s="128">
        <f>10/12</f>
        <v>0.83333333333333337</v>
      </c>
      <c r="AZ3" s="128">
        <f>11/12</f>
        <v>0.91666666666666663</v>
      </c>
    </row>
    <row r="4" spans="1:57" ht="18.75" thickBot="1" x14ac:dyDescent="0.3">
      <c r="A4" s="133"/>
      <c r="B4" s="133"/>
    </row>
    <row r="5" spans="1:57" ht="57.75" customHeight="1" thickBot="1" x14ac:dyDescent="0.25">
      <c r="C5" s="156" t="s">
        <v>1</v>
      </c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3" t="s">
        <v>22</v>
      </c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5"/>
      <c r="BD5" s="134" t="s">
        <v>6</v>
      </c>
      <c r="BE5" s="134" t="s">
        <v>7</v>
      </c>
    </row>
    <row r="6" spans="1:57" ht="69.75" customHeight="1" thickBot="1" x14ac:dyDescent="0.25">
      <c r="A6" s="137" t="s">
        <v>24</v>
      </c>
      <c r="B6" s="139" t="s">
        <v>8</v>
      </c>
      <c r="C6" s="158" t="s">
        <v>9</v>
      </c>
      <c r="D6" s="159"/>
      <c r="E6" s="159"/>
      <c r="F6" s="159"/>
      <c r="G6" s="160"/>
      <c r="H6" s="158" t="s">
        <v>15</v>
      </c>
      <c r="I6" s="159"/>
      <c r="J6" s="159"/>
      <c r="K6" s="159"/>
      <c r="L6" s="160"/>
      <c r="M6" s="141" t="s">
        <v>16</v>
      </c>
      <c r="N6" s="142"/>
      <c r="O6" s="142"/>
      <c r="P6" s="142"/>
      <c r="Q6" s="143"/>
      <c r="R6" s="141" t="s">
        <v>25</v>
      </c>
      <c r="S6" s="142"/>
      <c r="T6" s="142"/>
      <c r="U6" s="142"/>
      <c r="V6" s="143"/>
      <c r="W6" s="144" t="s">
        <v>9</v>
      </c>
      <c r="X6" s="145"/>
      <c r="Y6" s="145"/>
      <c r="Z6" s="145"/>
      <c r="AA6" s="146"/>
      <c r="AB6" s="164" t="s">
        <v>27</v>
      </c>
      <c r="AC6" s="165"/>
      <c r="AD6" s="165"/>
      <c r="AE6" s="165"/>
      <c r="AF6" s="166"/>
      <c r="AG6" s="147" t="s">
        <v>15</v>
      </c>
      <c r="AH6" s="148"/>
      <c r="AI6" s="148"/>
      <c r="AJ6" s="148"/>
      <c r="AK6" s="149"/>
      <c r="AL6" s="161" t="s">
        <v>28</v>
      </c>
      <c r="AM6" s="162"/>
      <c r="AN6" s="162"/>
      <c r="AO6" s="162"/>
      <c r="AP6" s="163"/>
      <c r="AQ6" s="167" t="s">
        <v>25</v>
      </c>
      <c r="AR6" s="168"/>
      <c r="AS6" s="168"/>
      <c r="AT6" s="168"/>
      <c r="AU6" s="169"/>
      <c r="AV6" s="150" t="s">
        <v>16</v>
      </c>
      <c r="AW6" s="151"/>
      <c r="AX6" s="151"/>
      <c r="AY6" s="151"/>
      <c r="AZ6" s="152"/>
      <c r="BA6" s="173" t="s">
        <v>26</v>
      </c>
      <c r="BB6" s="174"/>
      <c r="BC6" s="175"/>
      <c r="BD6" s="135"/>
      <c r="BE6" s="135"/>
    </row>
    <row r="7" spans="1:57" ht="222.75" customHeight="1" thickBot="1" x14ac:dyDescent="0.25">
      <c r="A7" s="138"/>
      <c r="B7" s="140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6"/>
      <c r="BE7" s="136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28</v>
      </c>
      <c r="X8" s="7"/>
      <c r="Y8" s="7"/>
      <c r="Z8" s="7"/>
      <c r="AA8" s="8"/>
      <c r="AB8" s="40"/>
      <c r="AC8" s="41"/>
      <c r="AD8" s="41"/>
      <c r="AE8" s="41"/>
      <c r="AF8" s="42"/>
      <c r="AG8" s="125">
        <v>6</v>
      </c>
      <c r="AH8" s="116"/>
      <c r="AI8" s="116"/>
      <c r="AJ8" s="41"/>
      <c r="AK8" s="42"/>
      <c r="AL8" s="40">
        <v>2</v>
      </c>
      <c r="AM8" s="41"/>
      <c r="AN8" s="41">
        <v>1</v>
      </c>
      <c r="AO8" s="41"/>
      <c r="AP8" s="42">
        <v>3</v>
      </c>
      <c r="AQ8" s="107">
        <v>1</v>
      </c>
      <c r="AR8" s="108"/>
      <c r="AS8" s="108">
        <v>0.15</v>
      </c>
      <c r="AT8" s="108"/>
      <c r="AU8" s="109">
        <v>2</v>
      </c>
      <c r="AV8" s="6">
        <v>3</v>
      </c>
      <c r="AW8" s="7">
        <v>3</v>
      </c>
      <c r="AX8" s="7">
        <v>3</v>
      </c>
      <c r="AY8" s="7"/>
      <c r="AZ8" s="8"/>
      <c r="BA8" s="6">
        <v>18</v>
      </c>
      <c r="BB8" s="7"/>
      <c r="BC8" s="8">
        <v>20</v>
      </c>
      <c r="BD8" s="17"/>
      <c r="BE8" s="13"/>
    </row>
    <row r="9" spans="1:57" ht="31.9" customHeight="1" x14ac:dyDescent="0.2">
      <c r="A9" s="20">
        <v>2</v>
      </c>
      <c r="B9" s="103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27</v>
      </c>
      <c r="X9" s="10"/>
      <c r="Y9" s="10"/>
      <c r="Z9" s="10"/>
      <c r="AA9" s="11"/>
      <c r="AB9" s="43">
        <v>1</v>
      </c>
      <c r="AC9" s="44"/>
      <c r="AD9" s="44"/>
      <c r="AE9" s="44"/>
      <c r="AF9" s="45">
        <v>1</v>
      </c>
      <c r="AG9" s="58">
        <v>7</v>
      </c>
      <c r="AH9" s="117"/>
      <c r="AI9" s="117"/>
      <c r="AJ9" s="44"/>
      <c r="AK9" s="45"/>
      <c r="AL9" s="43">
        <v>2</v>
      </c>
      <c r="AM9" s="44"/>
      <c r="AN9" s="44">
        <v>1</v>
      </c>
      <c r="AO9" s="44"/>
      <c r="AP9" s="45">
        <v>2</v>
      </c>
      <c r="AQ9" s="106">
        <v>1</v>
      </c>
      <c r="AR9" s="110"/>
      <c r="AS9" s="110">
        <v>0.05</v>
      </c>
      <c r="AT9" s="110"/>
      <c r="AU9" s="111">
        <v>1</v>
      </c>
      <c r="AV9" s="6">
        <v>3</v>
      </c>
      <c r="AW9" s="7">
        <v>3</v>
      </c>
      <c r="AX9" s="7">
        <v>3</v>
      </c>
      <c r="AY9" s="10"/>
      <c r="AZ9" s="11"/>
      <c r="BA9" s="9">
        <v>12</v>
      </c>
      <c r="BB9" s="10"/>
      <c r="BC9" s="11">
        <v>10</v>
      </c>
      <c r="BD9" s="70"/>
      <c r="BE9" s="12"/>
    </row>
    <row r="10" spans="1:57" ht="31.9" customHeight="1" x14ac:dyDescent="0.2">
      <c r="A10" s="20">
        <v>3</v>
      </c>
      <c r="B10" s="103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28</v>
      </c>
      <c r="X10" s="10"/>
      <c r="Y10" s="10"/>
      <c r="Z10" s="10"/>
      <c r="AA10" s="11"/>
      <c r="AB10" s="43"/>
      <c r="AC10" s="44"/>
      <c r="AD10" s="44"/>
      <c r="AE10" s="44"/>
      <c r="AF10" s="45"/>
      <c r="AG10" s="58">
        <v>4</v>
      </c>
      <c r="AH10" s="117"/>
      <c r="AI10" s="117"/>
      <c r="AJ10" s="44"/>
      <c r="AK10" s="45"/>
      <c r="AL10" s="43">
        <v>1</v>
      </c>
      <c r="AM10" s="44"/>
      <c r="AN10" s="44">
        <v>1</v>
      </c>
      <c r="AO10" s="44">
        <v>1</v>
      </c>
      <c r="AP10" s="45">
        <v>1</v>
      </c>
      <c r="AQ10" s="106">
        <v>0.5</v>
      </c>
      <c r="AR10" s="110"/>
      <c r="AS10" s="110">
        <v>0.15</v>
      </c>
      <c r="AT10" s="110">
        <v>0.5</v>
      </c>
      <c r="AU10" s="111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12</v>
      </c>
      <c r="BB10" s="10"/>
      <c r="BC10" s="11">
        <v>15</v>
      </c>
      <c r="BD10" s="170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27</v>
      </c>
      <c r="X11" s="10"/>
      <c r="Y11" s="10"/>
      <c r="Z11" s="10"/>
      <c r="AA11" s="11"/>
      <c r="AB11" s="43"/>
      <c r="AC11" s="44"/>
      <c r="AD11" s="44">
        <v>1</v>
      </c>
      <c r="AE11" s="44"/>
      <c r="AF11" s="45">
        <v>1</v>
      </c>
      <c r="AG11" s="58">
        <v>7</v>
      </c>
      <c r="AH11" s="117"/>
      <c r="AI11" s="117"/>
      <c r="AJ11" s="44"/>
      <c r="AK11" s="45"/>
      <c r="AL11" s="43">
        <v>1</v>
      </c>
      <c r="AM11" s="44"/>
      <c r="AN11" s="44">
        <v>1</v>
      </c>
      <c r="AO11" s="44">
        <v>1</v>
      </c>
      <c r="AP11" s="45">
        <v>2</v>
      </c>
      <c r="AQ11" s="106">
        <v>0.42</v>
      </c>
      <c r="AR11" s="110"/>
      <c r="AS11" s="110">
        <v>0.15</v>
      </c>
      <c r="AT11" s="110">
        <v>0.5</v>
      </c>
      <c r="AU11" s="111">
        <v>1.5</v>
      </c>
      <c r="AV11" s="6">
        <v>3</v>
      </c>
      <c r="AW11" s="7">
        <v>3</v>
      </c>
      <c r="AX11" s="7">
        <v>3</v>
      </c>
      <c r="AY11" s="10"/>
      <c r="AZ11" s="11"/>
      <c r="BA11" s="9">
        <v>11</v>
      </c>
      <c r="BB11" s="10"/>
      <c r="BC11" s="11">
        <v>20</v>
      </c>
      <c r="BD11" s="171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30</v>
      </c>
      <c r="X12" s="10"/>
      <c r="Y12" s="10"/>
      <c r="Z12" s="10"/>
      <c r="AA12" s="11"/>
      <c r="AB12" s="43"/>
      <c r="AC12" s="44"/>
      <c r="AD12" s="44"/>
      <c r="AE12" s="44"/>
      <c r="AF12" s="45"/>
      <c r="AG12" s="58">
        <v>3</v>
      </c>
      <c r="AH12" s="117"/>
      <c r="AI12" s="117"/>
      <c r="AJ12" s="44"/>
      <c r="AK12" s="45"/>
      <c r="AL12" s="43">
        <v>1</v>
      </c>
      <c r="AM12" s="44"/>
      <c r="AN12" s="44"/>
      <c r="AO12" s="44">
        <v>1</v>
      </c>
      <c r="AP12" s="45">
        <v>1</v>
      </c>
      <c r="AQ12" s="106">
        <v>0.5</v>
      </c>
      <c r="AR12" s="110"/>
      <c r="AS12" s="110"/>
      <c r="AT12" s="110">
        <v>0.5</v>
      </c>
      <c r="AU12" s="111">
        <v>1</v>
      </c>
      <c r="AV12" s="6">
        <v>3</v>
      </c>
      <c r="AW12" s="7">
        <v>3</v>
      </c>
      <c r="AX12" s="7">
        <v>3</v>
      </c>
      <c r="AY12" s="10"/>
      <c r="AZ12" s="11"/>
      <c r="BA12" s="9">
        <v>6</v>
      </c>
      <c r="BB12" s="10"/>
      <c r="BC12" s="11">
        <v>15</v>
      </c>
      <c r="BD12" s="172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27</v>
      </c>
      <c r="X13" s="10"/>
      <c r="Y13" s="10"/>
      <c r="Z13" s="10"/>
      <c r="AA13" s="11"/>
      <c r="AB13" s="43">
        <v>1</v>
      </c>
      <c r="AC13" s="44"/>
      <c r="AD13" s="44"/>
      <c r="AE13" s="44"/>
      <c r="AF13" s="45">
        <v>1</v>
      </c>
      <c r="AG13" s="43">
        <v>6</v>
      </c>
      <c r="AH13" s="44"/>
      <c r="AI13" s="44"/>
      <c r="AJ13" s="44"/>
      <c r="AK13" s="45"/>
      <c r="AL13" s="43">
        <v>1</v>
      </c>
      <c r="AM13" s="44"/>
      <c r="AN13" s="44"/>
      <c r="AO13" s="44">
        <v>1</v>
      </c>
      <c r="AP13" s="45">
        <v>2</v>
      </c>
      <c r="AQ13" s="106">
        <v>0.33</v>
      </c>
      <c r="AR13" s="110"/>
      <c r="AS13" s="110"/>
      <c r="AT13" s="110">
        <v>0.5</v>
      </c>
      <c r="AU13" s="111">
        <v>1</v>
      </c>
      <c r="AV13" s="6">
        <v>3</v>
      </c>
      <c r="AW13" s="7">
        <v>3</v>
      </c>
      <c r="AX13" s="7">
        <v>3</v>
      </c>
      <c r="AY13" s="10"/>
      <c r="AZ13" s="11"/>
      <c r="BA13" s="9">
        <v>4</v>
      </c>
      <c r="BB13" s="10"/>
      <c r="BC13" s="11">
        <v>15</v>
      </c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25</v>
      </c>
      <c r="X14" s="10"/>
      <c r="Y14" s="10"/>
      <c r="Z14" s="10"/>
      <c r="AA14" s="11"/>
      <c r="AB14" s="43"/>
      <c r="AC14" s="44"/>
      <c r="AD14" s="44"/>
      <c r="AE14" s="44"/>
      <c r="AF14" s="45"/>
      <c r="AG14" s="43">
        <v>5</v>
      </c>
      <c r="AH14" s="44"/>
      <c r="AI14" s="44"/>
      <c r="AJ14" s="44"/>
      <c r="AK14" s="45"/>
      <c r="AL14" s="43">
        <v>1</v>
      </c>
      <c r="AM14" s="59"/>
      <c r="AN14" s="59">
        <v>1</v>
      </c>
      <c r="AO14" s="59">
        <v>1</v>
      </c>
      <c r="AP14" s="45">
        <v>2</v>
      </c>
      <c r="AQ14" s="106">
        <v>0.5</v>
      </c>
      <c r="AR14" s="110"/>
      <c r="AS14" s="110">
        <v>0.15</v>
      </c>
      <c r="AT14" s="110">
        <v>1</v>
      </c>
      <c r="AU14" s="111">
        <v>1</v>
      </c>
      <c r="AV14" s="6">
        <v>3</v>
      </c>
      <c r="AW14" s="7">
        <v>3</v>
      </c>
      <c r="AX14" s="7">
        <v>3</v>
      </c>
      <c r="AY14" s="10"/>
      <c r="AZ14" s="11"/>
      <c r="BA14" s="9">
        <v>12</v>
      </c>
      <c r="BB14" s="10"/>
      <c r="BC14" s="11">
        <v>20</v>
      </c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26</v>
      </c>
      <c r="X15" s="10"/>
      <c r="Y15" s="10"/>
      <c r="Z15" s="10"/>
      <c r="AA15" s="11"/>
      <c r="AB15" s="43"/>
      <c r="AC15" s="44"/>
      <c r="AD15" s="44"/>
      <c r="AE15" s="44"/>
      <c r="AF15" s="45">
        <v>1</v>
      </c>
      <c r="AG15" s="43">
        <v>7</v>
      </c>
      <c r="AH15" s="44"/>
      <c r="AI15" s="44"/>
      <c r="AJ15" s="44"/>
      <c r="AK15" s="45"/>
      <c r="AL15" s="43">
        <v>1</v>
      </c>
      <c r="AM15" s="59"/>
      <c r="AN15" s="59"/>
      <c r="AO15" s="59">
        <v>2</v>
      </c>
      <c r="AP15" s="45">
        <v>3</v>
      </c>
      <c r="AQ15" s="106">
        <v>0.5</v>
      </c>
      <c r="AR15" s="110"/>
      <c r="AS15" s="110"/>
      <c r="AT15" s="110">
        <v>1</v>
      </c>
      <c r="AU15" s="111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6</v>
      </c>
      <c r="BB15" s="10"/>
      <c r="BC15" s="11">
        <v>30</v>
      </c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29</v>
      </c>
      <c r="X16" s="10"/>
      <c r="Y16" s="10"/>
      <c r="Z16" s="10"/>
      <c r="AA16" s="11"/>
      <c r="AB16" s="43"/>
      <c r="AC16" s="44"/>
      <c r="AD16" s="44"/>
      <c r="AE16" s="44"/>
      <c r="AF16" s="45"/>
      <c r="AG16" s="43">
        <v>5</v>
      </c>
      <c r="AH16" s="44"/>
      <c r="AI16" s="44"/>
      <c r="AJ16" s="44"/>
      <c r="AK16" s="45"/>
      <c r="AL16" s="43">
        <v>1</v>
      </c>
      <c r="AM16" s="59"/>
      <c r="AN16" s="59">
        <v>1</v>
      </c>
      <c r="AO16" s="59">
        <v>1</v>
      </c>
      <c r="AP16" s="45">
        <v>2</v>
      </c>
      <c r="AQ16" s="106">
        <v>1</v>
      </c>
      <c r="AR16" s="110"/>
      <c r="AS16" s="110">
        <v>0.3</v>
      </c>
      <c r="AT16" s="110">
        <v>0.5</v>
      </c>
      <c r="AU16" s="111">
        <v>1</v>
      </c>
      <c r="AV16" s="6">
        <v>3</v>
      </c>
      <c r="AW16" s="7">
        <v>3</v>
      </c>
      <c r="AX16" s="7">
        <v>3</v>
      </c>
      <c r="AY16" s="10"/>
      <c r="AZ16" s="11"/>
      <c r="BA16" s="9">
        <v>24</v>
      </c>
      <c r="BB16" s="10"/>
      <c r="BC16" s="11">
        <v>15</v>
      </c>
      <c r="BD16" s="18"/>
      <c r="BE16" s="12"/>
    </row>
    <row r="17" spans="1:57" ht="31.9" customHeight="1" x14ac:dyDescent="0.2">
      <c r="A17" s="20">
        <v>10</v>
      </c>
      <c r="B17" s="103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26</v>
      </c>
      <c r="X17" s="10"/>
      <c r="Y17" s="10"/>
      <c r="Z17" s="10"/>
      <c r="AA17" s="11"/>
      <c r="AB17" s="43"/>
      <c r="AC17" s="44"/>
      <c r="AD17" s="44"/>
      <c r="AE17" s="44"/>
      <c r="AF17" s="45"/>
      <c r="AG17" s="43">
        <v>5</v>
      </c>
      <c r="AH17" s="44"/>
      <c r="AI17" s="44"/>
      <c r="AJ17" s="44"/>
      <c r="AK17" s="45"/>
      <c r="AL17" s="43">
        <v>1</v>
      </c>
      <c r="AM17" s="44"/>
      <c r="AN17" s="44">
        <v>1</v>
      </c>
      <c r="AO17" s="44">
        <v>1</v>
      </c>
      <c r="AP17" s="45">
        <v>2</v>
      </c>
      <c r="AQ17" s="106">
        <v>0.5</v>
      </c>
      <c r="AR17" s="110"/>
      <c r="AS17" s="110">
        <v>0.15</v>
      </c>
      <c r="AT17" s="110">
        <v>0.5</v>
      </c>
      <c r="AU17" s="111">
        <v>1</v>
      </c>
      <c r="AV17" s="6">
        <v>3</v>
      </c>
      <c r="AW17" s="7">
        <v>3</v>
      </c>
      <c r="AX17" s="7">
        <v>3</v>
      </c>
      <c r="AY17" s="10"/>
      <c r="AZ17" s="11"/>
      <c r="BA17" s="9">
        <v>12</v>
      </c>
      <c r="BB17" s="10"/>
      <c r="BC17" s="11">
        <v>15</v>
      </c>
      <c r="BD17" s="18"/>
      <c r="BE17" s="12"/>
    </row>
    <row r="18" spans="1:57" ht="31.9" customHeight="1" x14ac:dyDescent="0.2">
      <c r="A18" s="20">
        <v>11</v>
      </c>
      <c r="B18" s="103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29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>
        <v>1</v>
      </c>
      <c r="AG18" s="43">
        <v>4</v>
      </c>
      <c r="AH18" s="44"/>
      <c r="AI18" s="44"/>
      <c r="AJ18" s="44"/>
      <c r="AK18" s="45"/>
      <c r="AL18" s="43">
        <v>1</v>
      </c>
      <c r="AM18" s="44"/>
      <c r="AN18" s="44"/>
      <c r="AO18" s="44"/>
      <c r="AP18" s="45">
        <v>1</v>
      </c>
      <c r="AQ18" s="106">
        <v>0.67</v>
      </c>
      <c r="AR18" s="110"/>
      <c r="AS18" s="110"/>
      <c r="AT18" s="110"/>
      <c r="AU18" s="111">
        <v>1</v>
      </c>
      <c r="AV18" s="6">
        <v>3</v>
      </c>
      <c r="AW18" s="7">
        <v>3</v>
      </c>
      <c r="AX18" s="7">
        <v>3</v>
      </c>
      <c r="AY18" s="10"/>
      <c r="AZ18" s="11"/>
      <c r="BA18" s="9">
        <v>8</v>
      </c>
      <c r="BB18" s="10"/>
      <c r="BC18" s="11">
        <v>10</v>
      </c>
      <c r="BD18" s="18"/>
      <c r="BE18" s="12"/>
    </row>
    <row r="19" spans="1:57" ht="31.9" customHeight="1" x14ac:dyDescent="0.2">
      <c r="A19" s="20">
        <v>12</v>
      </c>
      <c r="B19" s="103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28</v>
      </c>
      <c r="X19" s="10"/>
      <c r="Y19" s="10"/>
      <c r="Z19" s="10"/>
      <c r="AA19" s="11"/>
      <c r="AB19" s="43"/>
      <c r="AC19" s="44"/>
      <c r="AD19" s="44"/>
      <c r="AE19" s="44"/>
      <c r="AF19" s="45">
        <v>2</v>
      </c>
      <c r="AG19" s="43">
        <v>8</v>
      </c>
      <c r="AH19" s="44"/>
      <c r="AI19" s="44"/>
      <c r="AJ19" s="44"/>
      <c r="AK19" s="45"/>
      <c r="AL19" s="43">
        <v>1</v>
      </c>
      <c r="AM19" s="44"/>
      <c r="AN19" s="44"/>
      <c r="AO19" s="44">
        <v>2</v>
      </c>
      <c r="AP19" s="45">
        <v>3</v>
      </c>
      <c r="AQ19" s="106">
        <v>0.5</v>
      </c>
      <c r="AR19" s="110"/>
      <c r="AS19" s="110"/>
      <c r="AT19" s="110">
        <v>1</v>
      </c>
      <c r="AU19" s="111">
        <v>1.5</v>
      </c>
      <c r="AV19" s="6">
        <v>3</v>
      </c>
      <c r="AW19" s="7">
        <v>3</v>
      </c>
      <c r="AX19" s="7">
        <v>3</v>
      </c>
      <c r="AY19" s="10"/>
      <c r="AZ19" s="11"/>
      <c r="BA19" s="9">
        <v>6</v>
      </c>
      <c r="BB19" s="10"/>
      <c r="BC19" s="11">
        <v>25</v>
      </c>
      <c r="BD19" s="18"/>
      <c r="BE19" s="12"/>
    </row>
    <row r="20" spans="1:57" ht="31.9" customHeight="1" x14ac:dyDescent="0.2">
      <c r="A20" s="20">
        <v>13</v>
      </c>
      <c r="B20" s="103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27</v>
      </c>
      <c r="X20" s="10"/>
      <c r="Y20" s="10"/>
      <c r="Z20" s="10"/>
      <c r="AA20" s="11"/>
      <c r="AB20" s="43">
        <v>1</v>
      </c>
      <c r="AC20" s="44"/>
      <c r="AD20" s="44"/>
      <c r="AE20" s="44"/>
      <c r="AF20" s="45"/>
      <c r="AG20" s="121">
        <v>6</v>
      </c>
      <c r="AH20" s="44"/>
      <c r="AI20" s="44"/>
      <c r="AJ20" s="44"/>
      <c r="AK20" s="45"/>
      <c r="AL20" s="43">
        <v>1</v>
      </c>
      <c r="AM20" s="44"/>
      <c r="AN20" s="44">
        <v>1</v>
      </c>
      <c r="AO20" s="44">
        <v>1</v>
      </c>
      <c r="AP20" s="45">
        <v>2</v>
      </c>
      <c r="AQ20" s="106">
        <v>0.5</v>
      </c>
      <c r="AR20" s="110"/>
      <c r="AS20" s="110">
        <v>0.15</v>
      </c>
      <c r="AT20" s="110">
        <v>1</v>
      </c>
      <c r="AU20" s="111">
        <v>1</v>
      </c>
      <c r="AV20" s="6">
        <v>3</v>
      </c>
      <c r="AW20" s="7">
        <v>3</v>
      </c>
      <c r="AX20" s="7">
        <v>3</v>
      </c>
      <c r="AY20" s="10"/>
      <c r="AZ20" s="11"/>
      <c r="BA20" s="9">
        <v>12</v>
      </c>
      <c r="BB20" s="10"/>
      <c r="BC20" s="11">
        <v>20</v>
      </c>
      <c r="BD20" s="18"/>
      <c r="BE20" s="12"/>
    </row>
    <row r="21" spans="1:57" ht="31.9" customHeight="1" x14ac:dyDescent="0.2">
      <c r="A21" s="20">
        <v>14</v>
      </c>
      <c r="B21" s="103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30</v>
      </c>
      <c r="X21" s="10"/>
      <c r="Y21" s="10"/>
      <c r="Z21" s="10"/>
      <c r="AA21" s="11"/>
      <c r="AB21" s="43"/>
      <c r="AC21" s="44"/>
      <c r="AD21" s="44"/>
      <c r="AE21" s="44"/>
      <c r="AF21" s="45"/>
      <c r="AG21" s="43">
        <v>4</v>
      </c>
      <c r="AH21" s="44"/>
      <c r="AI21" s="44"/>
      <c r="AJ21" s="44"/>
      <c r="AK21" s="45"/>
      <c r="AL21" s="43">
        <v>1</v>
      </c>
      <c r="AM21" s="44"/>
      <c r="AN21" s="44">
        <v>1</v>
      </c>
      <c r="AO21" s="44">
        <v>1</v>
      </c>
      <c r="AP21" s="45">
        <v>1</v>
      </c>
      <c r="AQ21" s="106">
        <v>0.5</v>
      </c>
      <c r="AR21" s="110"/>
      <c r="AS21" s="110">
        <v>0.15</v>
      </c>
      <c r="AT21" s="110">
        <v>1</v>
      </c>
      <c r="AU21" s="111">
        <v>1</v>
      </c>
      <c r="AV21" s="6">
        <v>3</v>
      </c>
      <c r="AW21" s="7">
        <v>3</v>
      </c>
      <c r="AX21" s="7">
        <v>3</v>
      </c>
      <c r="AY21" s="10"/>
      <c r="AZ21" s="11"/>
      <c r="BA21" s="9">
        <v>12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03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30</v>
      </c>
      <c r="X22" s="10"/>
      <c r="Y22" s="10"/>
      <c r="Z22" s="10"/>
      <c r="AA22" s="11"/>
      <c r="AB22" s="43"/>
      <c r="AC22" s="44">
        <v>1</v>
      </c>
      <c r="AD22" s="44"/>
      <c r="AE22" s="44"/>
      <c r="AF22" s="45"/>
      <c r="AG22" s="43">
        <v>6</v>
      </c>
      <c r="AH22" s="44"/>
      <c r="AI22" s="44"/>
      <c r="AJ22" s="44"/>
      <c r="AK22" s="45"/>
      <c r="AL22" s="43">
        <v>1</v>
      </c>
      <c r="AM22" s="44"/>
      <c r="AN22" s="44">
        <v>1</v>
      </c>
      <c r="AO22" s="44">
        <v>1</v>
      </c>
      <c r="AP22" s="45">
        <v>2</v>
      </c>
      <c r="AQ22" s="106">
        <v>0.5</v>
      </c>
      <c r="AR22" s="110"/>
      <c r="AS22" s="110">
        <v>0.15</v>
      </c>
      <c r="AT22" s="110">
        <v>0.5</v>
      </c>
      <c r="AU22" s="111">
        <v>1</v>
      </c>
      <c r="AV22" s="6">
        <v>3</v>
      </c>
      <c r="AW22" s="7">
        <v>3</v>
      </c>
      <c r="AX22" s="7">
        <v>3</v>
      </c>
      <c r="AY22" s="10"/>
      <c r="AZ22" s="11"/>
      <c r="BA22" s="9">
        <v>12</v>
      </c>
      <c r="BB22" s="10"/>
      <c r="BC22" s="11">
        <v>15</v>
      </c>
      <c r="BD22" s="18"/>
      <c r="BE22" s="12"/>
    </row>
    <row r="23" spans="1:57" ht="31.9" customHeight="1" x14ac:dyDescent="0.2">
      <c r="A23" s="20">
        <v>16</v>
      </c>
      <c r="B23" s="103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25</v>
      </c>
      <c r="X23" s="10"/>
      <c r="Y23" s="10"/>
      <c r="Z23" s="10"/>
      <c r="AA23" s="11"/>
      <c r="AB23" s="43"/>
      <c r="AC23" s="44"/>
      <c r="AD23" s="44"/>
      <c r="AE23" s="44"/>
      <c r="AF23" s="45"/>
      <c r="AG23" s="43">
        <v>4</v>
      </c>
      <c r="AH23" s="44"/>
      <c r="AI23" s="44"/>
      <c r="AJ23" s="44"/>
      <c r="AK23" s="45"/>
      <c r="AL23" s="43">
        <v>2</v>
      </c>
      <c r="AM23" s="44"/>
      <c r="AN23" s="44"/>
      <c r="AO23" s="44"/>
      <c r="AP23" s="45">
        <v>2</v>
      </c>
      <c r="AQ23" s="106">
        <v>1</v>
      </c>
      <c r="AR23" s="110"/>
      <c r="AS23" s="110"/>
      <c r="AT23" s="110"/>
      <c r="AU23" s="111">
        <v>1</v>
      </c>
      <c r="AV23" s="6">
        <v>3</v>
      </c>
      <c r="AW23" s="7">
        <v>3</v>
      </c>
      <c r="AX23" s="7">
        <v>3</v>
      </c>
      <c r="AY23" s="10"/>
      <c r="AZ23" s="11"/>
      <c r="BA23" s="9">
        <v>12</v>
      </c>
      <c r="BB23" s="10"/>
      <c r="BC23" s="11">
        <v>10</v>
      </c>
      <c r="BD23" s="18"/>
      <c r="BE23" s="12"/>
    </row>
    <row r="24" spans="1:57" ht="31.9" customHeight="1" x14ac:dyDescent="0.2">
      <c r="A24" s="20">
        <v>17</v>
      </c>
      <c r="B24" s="103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25</v>
      </c>
      <c r="X24" s="10"/>
      <c r="Y24" s="10"/>
      <c r="Z24" s="10"/>
      <c r="AA24" s="11"/>
      <c r="AB24" s="43"/>
      <c r="AC24" s="44"/>
      <c r="AD24" s="44">
        <v>1</v>
      </c>
      <c r="AE24" s="44">
        <v>1</v>
      </c>
      <c r="AF24" s="45"/>
      <c r="AG24" s="43">
        <v>9</v>
      </c>
      <c r="AH24" s="44"/>
      <c r="AI24" s="44"/>
      <c r="AJ24" s="44"/>
      <c r="AK24" s="45"/>
      <c r="AL24" s="43">
        <v>1</v>
      </c>
      <c r="AM24" s="44"/>
      <c r="AN24" s="44">
        <v>1</v>
      </c>
      <c r="AO24" s="44">
        <v>1</v>
      </c>
      <c r="AP24" s="45">
        <v>4</v>
      </c>
      <c r="AQ24" s="106">
        <v>0.57999999999999996</v>
      </c>
      <c r="AR24" s="110"/>
      <c r="AS24" s="110">
        <v>0.15</v>
      </c>
      <c r="AT24" s="110">
        <v>0.5</v>
      </c>
      <c r="AU24" s="111">
        <v>2</v>
      </c>
      <c r="AV24" s="6">
        <v>3</v>
      </c>
      <c r="AW24" s="7">
        <v>3</v>
      </c>
      <c r="AX24" s="7">
        <v>3</v>
      </c>
      <c r="AY24" s="10"/>
      <c r="AZ24" s="11"/>
      <c r="BA24" s="9">
        <v>13</v>
      </c>
      <c r="BB24" s="10"/>
      <c r="BC24" s="11">
        <v>25</v>
      </c>
      <c r="BD24" s="18"/>
      <c r="BE24" s="12"/>
    </row>
    <row r="25" spans="1:57" ht="31.9" customHeight="1" x14ac:dyDescent="0.2">
      <c r="A25" s="20">
        <v>18</v>
      </c>
      <c r="B25" s="103" t="s">
        <v>48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25</v>
      </c>
      <c r="X25" s="10"/>
      <c r="Y25" s="10"/>
      <c r="Z25" s="10"/>
      <c r="AA25" s="11"/>
      <c r="AB25" s="43"/>
      <c r="AC25" s="44"/>
      <c r="AD25" s="44"/>
      <c r="AE25" s="44"/>
      <c r="AF25" s="45">
        <v>2</v>
      </c>
      <c r="AG25" s="43">
        <v>7</v>
      </c>
      <c r="AH25" s="44"/>
      <c r="AI25" s="44"/>
      <c r="AJ25" s="44"/>
      <c r="AK25" s="45"/>
      <c r="AL25" s="43">
        <v>1</v>
      </c>
      <c r="AM25" s="44">
        <v>2</v>
      </c>
      <c r="AN25" s="44">
        <v>1</v>
      </c>
      <c r="AO25" s="44"/>
      <c r="AP25" s="45">
        <v>1</v>
      </c>
      <c r="AQ25" s="106">
        <v>0.67</v>
      </c>
      <c r="AR25" s="110">
        <v>0.83</v>
      </c>
      <c r="AS25" s="110">
        <v>0.15</v>
      </c>
      <c r="AT25" s="110"/>
      <c r="AU25" s="111">
        <v>1</v>
      </c>
      <c r="AV25" s="6">
        <v>3</v>
      </c>
      <c r="AW25" s="7">
        <v>3</v>
      </c>
      <c r="AX25" s="7">
        <v>3</v>
      </c>
      <c r="AY25" s="10"/>
      <c r="AZ25" s="11"/>
      <c r="BA25" s="9">
        <v>24</v>
      </c>
      <c r="BB25" s="10"/>
      <c r="BC25" s="11">
        <v>10</v>
      </c>
      <c r="BD25" s="18"/>
      <c r="BE25" s="12"/>
    </row>
    <row r="26" spans="1:57" ht="31.9" customHeight="1" x14ac:dyDescent="0.2">
      <c r="A26" s="50">
        <v>19</v>
      </c>
      <c r="B26" s="104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>
        <v>1</v>
      </c>
      <c r="AC26" s="59"/>
      <c r="AD26" s="59"/>
      <c r="AE26" s="59"/>
      <c r="AF26" s="48"/>
      <c r="AG26" s="58"/>
      <c r="AH26" s="59"/>
      <c r="AI26" s="59"/>
      <c r="AJ26" s="59"/>
      <c r="AK26" s="48"/>
      <c r="AL26" s="58"/>
      <c r="AM26" s="59"/>
      <c r="AN26" s="59"/>
      <c r="AO26" s="59"/>
      <c r="AP26" s="48"/>
      <c r="AQ26" s="130"/>
      <c r="AR26" s="131"/>
      <c r="AS26" s="131"/>
      <c r="AT26" s="131"/>
      <c r="AU26" s="132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104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8"/>
      <c r="AH27" s="59"/>
      <c r="AI27" s="59"/>
      <c r="AJ27" s="59"/>
      <c r="AK27" s="48"/>
      <c r="AL27" s="67"/>
      <c r="AM27" s="68"/>
      <c r="AN27" s="68"/>
      <c r="AO27" s="68"/>
      <c r="AP27" s="69"/>
      <c r="AQ27" s="130"/>
      <c r="AR27" s="131"/>
      <c r="AS27" s="131"/>
      <c r="AT27" s="131"/>
      <c r="AU27" s="132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126" customFormat="1" ht="34.15" customHeight="1" thickBot="1" x14ac:dyDescent="0.3">
      <c r="A28" s="14"/>
      <c r="B28" s="105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492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5</v>
      </c>
      <c r="AC28" s="65">
        <f t="shared" si="3"/>
        <v>1</v>
      </c>
      <c r="AD28" s="65">
        <f t="shared" si="3"/>
        <v>2</v>
      </c>
      <c r="AE28" s="65">
        <f t="shared" si="3"/>
        <v>1</v>
      </c>
      <c r="AF28" s="66">
        <f t="shared" si="3"/>
        <v>9</v>
      </c>
      <c r="AG28" s="29">
        <f t="shared" si="3"/>
        <v>103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21</v>
      </c>
      <c r="AM28" s="65">
        <f t="shared" si="4"/>
        <v>2</v>
      </c>
      <c r="AN28" s="65">
        <f t="shared" si="4"/>
        <v>12</v>
      </c>
      <c r="AO28" s="65">
        <f t="shared" si="4"/>
        <v>15</v>
      </c>
      <c r="AP28" s="66">
        <f t="shared" si="4"/>
        <v>36</v>
      </c>
      <c r="AQ28" s="119">
        <f t="shared" si="4"/>
        <v>11.17</v>
      </c>
      <c r="AR28" s="115">
        <f t="shared" si="4"/>
        <v>0.83</v>
      </c>
      <c r="AS28" s="115">
        <f t="shared" si="4"/>
        <v>1.8499999999999994</v>
      </c>
      <c r="AT28" s="115">
        <f t="shared" si="4"/>
        <v>9</v>
      </c>
      <c r="AU28" s="120">
        <f t="shared" si="4"/>
        <v>22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216</v>
      </c>
      <c r="BB28" s="47">
        <f t="shared" si="4"/>
        <v>0</v>
      </c>
      <c r="BC28" s="49">
        <f t="shared" si="4"/>
        <v>310</v>
      </c>
      <c r="BD28" s="19">
        <f t="shared" si="4"/>
        <v>0</v>
      </c>
      <c r="BE28" s="2">
        <f t="shared" si="4"/>
        <v>0</v>
      </c>
    </row>
    <row r="29" spans="1:57" x14ac:dyDescent="0.25">
      <c r="AP29" s="122"/>
      <c r="AQ29" s="122"/>
      <c r="AR29" s="122"/>
      <c r="AT29" s="122"/>
      <c r="AU29" s="122"/>
      <c r="AV29" s="122"/>
      <c r="AW29" s="122"/>
    </row>
    <row r="30" spans="1:57" ht="54" x14ac:dyDescent="0.25">
      <c r="AP30" s="122"/>
      <c r="AQ30" s="123" t="s">
        <v>50</v>
      </c>
      <c r="AR30" s="123" t="s">
        <v>52</v>
      </c>
      <c r="AS30" s="123" t="s">
        <v>51</v>
      </c>
      <c r="AT30" s="123" t="s">
        <v>53</v>
      </c>
      <c r="AU30" s="123" t="s">
        <v>54</v>
      </c>
      <c r="AV30" s="122"/>
      <c r="AW30" s="122"/>
    </row>
    <row r="31" spans="1:57" x14ac:dyDescent="0.25">
      <c r="AP31" s="122"/>
      <c r="AQ31" s="124"/>
      <c r="AR31" s="124"/>
      <c r="AS31" s="124"/>
      <c r="AT31" s="124"/>
      <c r="AU31" s="124"/>
      <c r="AV31" s="122"/>
      <c r="AW31" s="122"/>
    </row>
    <row r="32" spans="1:57" x14ac:dyDescent="0.25">
      <c r="AP32" s="122"/>
      <c r="AQ32" s="122"/>
      <c r="AR32" s="122">
        <f>5/6</f>
        <v>0.83333333333333337</v>
      </c>
      <c r="AS32" s="122"/>
      <c r="AT32" s="122"/>
      <c r="AU32" s="122"/>
      <c r="AV32" s="122"/>
      <c r="AW32" s="122"/>
    </row>
    <row r="33" spans="42:49" x14ac:dyDescent="0.25">
      <c r="AP33" s="122"/>
      <c r="AQ33" s="122"/>
      <c r="AR33" s="122"/>
      <c r="AS33" s="122">
        <f>37/20</f>
        <v>1.85</v>
      </c>
      <c r="AT33" s="122"/>
      <c r="AU33" s="122"/>
      <c r="AV33" s="122"/>
      <c r="AW33" s="122"/>
    </row>
    <row r="34" spans="42:49" x14ac:dyDescent="0.25">
      <c r="AP34" s="122"/>
      <c r="AQ34" s="122"/>
      <c r="AR34" s="122"/>
      <c r="AS34" s="122"/>
      <c r="AT34" s="122"/>
      <c r="AU34" s="122"/>
      <c r="AV34" s="122"/>
      <c r="AW34" s="122"/>
    </row>
    <row r="35" spans="42:49" x14ac:dyDescent="0.25">
      <c r="AP35" s="122"/>
      <c r="AQ35" s="122"/>
      <c r="AR35" s="122"/>
      <c r="AS35" s="122"/>
      <c r="AT35" s="122"/>
      <c r="AU35" s="122"/>
      <c r="AV35" s="122"/>
      <c r="AW35" s="122"/>
    </row>
  </sheetData>
  <mergeCells count="19">
    <mergeCell ref="BD10:BD12"/>
    <mergeCell ref="BA6:BC6"/>
    <mergeCell ref="BD5:BD7"/>
    <mergeCell ref="A4:B4"/>
    <mergeCell ref="BE5:BE7"/>
    <mergeCell ref="A6:A7"/>
    <mergeCell ref="B6:B7"/>
    <mergeCell ref="R6:V6"/>
    <mergeCell ref="W6:AA6"/>
    <mergeCell ref="AG6:AK6"/>
    <mergeCell ref="AV6:AZ6"/>
    <mergeCell ref="W5:BC5"/>
    <mergeCell ref="C5:V5"/>
    <mergeCell ref="C6:G6"/>
    <mergeCell ref="H6:L6"/>
    <mergeCell ref="M6:Q6"/>
    <mergeCell ref="AL6:AP6"/>
    <mergeCell ref="AB6:AF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6"/>
  <sheetViews>
    <sheetView zoomScale="90" zoomScaleNormal="90" workbookViewId="0">
      <pane xSplit="2" ySplit="7" topLeftCell="AG23" activePane="bottomRight" state="frozen"/>
      <selection activeCell="C3" sqref="C3"/>
      <selection pane="topRight" activeCell="C3" sqref="C3"/>
      <selection pane="bottomLeft" activeCell="C3" sqref="C3"/>
      <selection pane="bottomRight" activeCell="AQ2" sqref="AQ2:AZ3"/>
    </sheetView>
  </sheetViews>
  <sheetFormatPr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5703125" style="28" bestFit="1" customWidth="1"/>
    <col min="44" max="44" width="9.28515625" style="28" bestFit="1" customWidth="1"/>
    <col min="45" max="46" width="8.85546875" style="28" customWidth="1"/>
    <col min="47" max="47" width="9.5703125" style="28" bestFit="1" customWidth="1"/>
    <col min="48" max="52" width="8.85546875" style="28" customWidth="1"/>
    <col min="53" max="53" width="10.5703125" style="28" customWidth="1"/>
    <col min="54" max="54" width="8.85546875" style="28" customWidth="1"/>
    <col min="55" max="55" width="17.285156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2.5" x14ac:dyDescent="0.3">
      <c r="A2" s="176" t="s">
        <v>55</v>
      </c>
      <c r="B2" s="176"/>
      <c r="AQ2" s="127">
        <v>2</v>
      </c>
      <c r="AR2" s="127">
        <v>3</v>
      </c>
      <c r="AS2" s="127">
        <v>4</v>
      </c>
      <c r="AT2" s="127">
        <v>5</v>
      </c>
      <c r="AU2" s="127">
        <v>6</v>
      </c>
      <c r="AV2" s="127">
        <v>7</v>
      </c>
      <c r="AW2" s="127">
        <v>8</v>
      </c>
      <c r="AX2" s="127">
        <v>9</v>
      </c>
      <c r="AY2" s="127">
        <v>10</v>
      </c>
      <c r="AZ2" s="127">
        <v>11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Q3" s="128">
        <f>2/12</f>
        <v>0.16666666666666666</v>
      </c>
      <c r="AR3" s="128">
        <f>3/12</f>
        <v>0.25</v>
      </c>
      <c r="AS3" s="128">
        <f>4/12</f>
        <v>0.33333333333333331</v>
      </c>
      <c r="AT3" s="128">
        <f>5/12</f>
        <v>0.41666666666666669</v>
      </c>
      <c r="AU3" s="128">
        <f>6/12</f>
        <v>0.5</v>
      </c>
      <c r="AV3" s="128">
        <f>7/12</f>
        <v>0.58333333333333337</v>
      </c>
      <c r="AW3" s="128">
        <f>8/12</f>
        <v>0.66666666666666663</v>
      </c>
      <c r="AX3" s="128">
        <f>9/12</f>
        <v>0.75</v>
      </c>
      <c r="AY3" s="128">
        <f>10/12</f>
        <v>0.83333333333333337</v>
      </c>
      <c r="AZ3" s="128">
        <f>11/12</f>
        <v>0.91666666666666663</v>
      </c>
    </row>
    <row r="4" spans="1:57" ht="18.75" thickBot="1" x14ac:dyDescent="0.3">
      <c r="A4" s="133"/>
      <c r="B4" s="133"/>
    </row>
    <row r="5" spans="1:57" ht="57.75" customHeight="1" thickBot="1" x14ac:dyDescent="0.25">
      <c r="C5" s="156" t="s">
        <v>1</v>
      </c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3" t="s">
        <v>22</v>
      </c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5"/>
      <c r="BD5" s="134" t="s">
        <v>6</v>
      </c>
      <c r="BE5" s="134" t="s">
        <v>7</v>
      </c>
    </row>
    <row r="6" spans="1:57" ht="69.75" customHeight="1" thickBot="1" x14ac:dyDescent="0.25">
      <c r="A6" s="137" t="s">
        <v>24</v>
      </c>
      <c r="B6" s="139" t="s">
        <v>8</v>
      </c>
      <c r="C6" s="158" t="s">
        <v>9</v>
      </c>
      <c r="D6" s="159"/>
      <c r="E6" s="159"/>
      <c r="F6" s="159"/>
      <c r="G6" s="160"/>
      <c r="H6" s="158" t="s">
        <v>15</v>
      </c>
      <c r="I6" s="159"/>
      <c r="J6" s="159"/>
      <c r="K6" s="159"/>
      <c r="L6" s="160"/>
      <c r="M6" s="141" t="s">
        <v>16</v>
      </c>
      <c r="N6" s="142"/>
      <c r="O6" s="142"/>
      <c r="P6" s="142"/>
      <c r="Q6" s="143"/>
      <c r="R6" s="141" t="s">
        <v>25</v>
      </c>
      <c r="S6" s="142"/>
      <c r="T6" s="142"/>
      <c r="U6" s="142"/>
      <c r="V6" s="143"/>
      <c r="W6" s="144" t="s">
        <v>9</v>
      </c>
      <c r="X6" s="145"/>
      <c r="Y6" s="145"/>
      <c r="Z6" s="145"/>
      <c r="AA6" s="146"/>
      <c r="AB6" s="164" t="s">
        <v>27</v>
      </c>
      <c r="AC6" s="165"/>
      <c r="AD6" s="165"/>
      <c r="AE6" s="165"/>
      <c r="AF6" s="166"/>
      <c r="AG6" s="147" t="s">
        <v>15</v>
      </c>
      <c r="AH6" s="148"/>
      <c r="AI6" s="148"/>
      <c r="AJ6" s="148"/>
      <c r="AK6" s="149"/>
      <c r="AL6" s="161" t="s">
        <v>28</v>
      </c>
      <c r="AM6" s="162"/>
      <c r="AN6" s="162"/>
      <c r="AO6" s="162"/>
      <c r="AP6" s="163"/>
      <c r="AQ6" s="167" t="s">
        <v>25</v>
      </c>
      <c r="AR6" s="168"/>
      <c r="AS6" s="168"/>
      <c r="AT6" s="168"/>
      <c r="AU6" s="169"/>
      <c r="AV6" s="150" t="s">
        <v>16</v>
      </c>
      <c r="AW6" s="151"/>
      <c r="AX6" s="151"/>
      <c r="AY6" s="151"/>
      <c r="AZ6" s="152"/>
      <c r="BA6" s="173" t="s">
        <v>26</v>
      </c>
      <c r="BB6" s="174"/>
      <c r="BC6" s="175"/>
      <c r="BD6" s="135"/>
      <c r="BE6" s="135"/>
    </row>
    <row r="7" spans="1:57" ht="222.75" customHeight="1" thickBot="1" x14ac:dyDescent="0.25">
      <c r="A7" s="138"/>
      <c r="B7" s="140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6"/>
      <c r="BE7" s="136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27</v>
      </c>
      <c r="X8" s="7"/>
      <c r="Y8" s="7"/>
      <c r="Z8" s="7"/>
      <c r="AA8" s="8"/>
      <c r="AB8" s="40">
        <v>1</v>
      </c>
      <c r="AC8" s="41"/>
      <c r="AD8" s="41"/>
      <c r="AE8" s="41">
        <v>2</v>
      </c>
      <c r="AF8" s="42"/>
      <c r="AG8" s="6">
        <v>6</v>
      </c>
      <c r="AH8" s="7"/>
      <c r="AI8" s="7"/>
      <c r="AJ8" s="7"/>
      <c r="AK8" s="8"/>
      <c r="AL8" s="40">
        <v>2</v>
      </c>
      <c r="AM8" s="41"/>
      <c r="AN8" s="41">
        <v>1</v>
      </c>
      <c r="AO8" s="41">
        <v>3</v>
      </c>
      <c r="AP8" s="42">
        <v>3</v>
      </c>
      <c r="AQ8" s="107">
        <v>0.5</v>
      </c>
      <c r="AR8" s="108"/>
      <c r="AS8" s="108">
        <v>0.3</v>
      </c>
      <c r="AT8" s="108">
        <v>0.3</v>
      </c>
      <c r="AU8" s="109">
        <v>3</v>
      </c>
      <c r="AV8" s="6">
        <v>3</v>
      </c>
      <c r="AW8" s="7">
        <v>3</v>
      </c>
      <c r="AX8" s="7">
        <v>3</v>
      </c>
      <c r="AY8" s="7"/>
      <c r="AZ8" s="8"/>
      <c r="BA8" s="6">
        <v>18</v>
      </c>
      <c r="BB8" s="7"/>
      <c r="BC8" s="8">
        <v>33</v>
      </c>
      <c r="BD8" s="17"/>
      <c r="BE8" s="13"/>
    </row>
    <row r="9" spans="1:57" ht="31.9" customHeight="1" x14ac:dyDescent="0.2">
      <c r="A9" s="20">
        <v>2</v>
      </c>
      <c r="B9" s="103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27</v>
      </c>
      <c r="X9" s="10"/>
      <c r="Y9" s="10"/>
      <c r="Z9" s="10"/>
      <c r="AA9" s="11"/>
      <c r="AB9" s="43">
        <v>2</v>
      </c>
      <c r="AC9" s="44"/>
      <c r="AD9" s="44">
        <v>1</v>
      </c>
      <c r="AE9" s="44"/>
      <c r="AF9" s="45">
        <v>1</v>
      </c>
      <c r="AG9" s="9">
        <v>7</v>
      </c>
      <c r="AH9" s="10"/>
      <c r="AI9" s="10"/>
      <c r="AJ9" s="10"/>
      <c r="AK9" s="11"/>
      <c r="AL9" s="43">
        <v>2</v>
      </c>
      <c r="AM9" s="44">
        <v>1</v>
      </c>
      <c r="AN9" s="44">
        <v>2</v>
      </c>
      <c r="AO9" s="44">
        <v>1</v>
      </c>
      <c r="AP9" s="45">
        <v>4</v>
      </c>
      <c r="AQ9" s="106">
        <v>0.5</v>
      </c>
      <c r="AR9" s="110">
        <v>0.5</v>
      </c>
      <c r="AS9" s="110">
        <v>0.15</v>
      </c>
      <c r="AT9" s="110">
        <v>1</v>
      </c>
      <c r="AU9" s="111">
        <v>3</v>
      </c>
      <c r="AV9" s="6">
        <v>3</v>
      </c>
      <c r="AW9" s="7">
        <v>3</v>
      </c>
      <c r="AX9" s="7">
        <v>3</v>
      </c>
      <c r="AY9" s="10"/>
      <c r="AZ9" s="11"/>
      <c r="BA9" s="9">
        <v>18</v>
      </c>
      <c r="BB9" s="10"/>
      <c r="BC9" s="11">
        <v>40</v>
      </c>
      <c r="BD9" s="70"/>
      <c r="BE9" s="12"/>
    </row>
    <row r="10" spans="1:57" ht="31.9" customHeight="1" x14ac:dyDescent="0.2">
      <c r="A10" s="20">
        <v>3</v>
      </c>
      <c r="B10" s="103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24</v>
      </c>
      <c r="X10" s="10"/>
      <c r="Y10" s="10"/>
      <c r="Z10" s="10"/>
      <c r="AA10" s="11"/>
      <c r="AB10" s="43"/>
      <c r="AC10" s="44"/>
      <c r="AD10" s="44"/>
      <c r="AE10" s="44">
        <v>1</v>
      </c>
      <c r="AF10" s="45">
        <v>1</v>
      </c>
      <c r="AG10" s="9">
        <v>5</v>
      </c>
      <c r="AH10" s="10"/>
      <c r="AI10" s="10"/>
      <c r="AJ10" s="10"/>
      <c r="AK10" s="11"/>
      <c r="AL10" s="43">
        <v>2</v>
      </c>
      <c r="AM10" s="44"/>
      <c r="AN10" s="44">
        <v>2</v>
      </c>
      <c r="AO10" s="44">
        <v>1</v>
      </c>
      <c r="AP10" s="45">
        <v>2</v>
      </c>
      <c r="AQ10" s="106">
        <v>1</v>
      </c>
      <c r="AR10" s="110"/>
      <c r="AS10" s="110">
        <v>0.3</v>
      </c>
      <c r="AT10" s="110"/>
      <c r="AU10" s="111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24</v>
      </c>
      <c r="BB10" s="10"/>
      <c r="BC10" s="11">
        <v>10</v>
      </c>
      <c r="BD10" s="170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28</v>
      </c>
      <c r="X11" s="10"/>
      <c r="Y11" s="10"/>
      <c r="Z11" s="10"/>
      <c r="AA11" s="11"/>
      <c r="AB11" s="43">
        <v>1</v>
      </c>
      <c r="AC11" s="44"/>
      <c r="AD11" s="44"/>
      <c r="AE11" s="44">
        <v>1</v>
      </c>
      <c r="AF11" s="45"/>
      <c r="AG11" s="9">
        <v>5</v>
      </c>
      <c r="AH11" s="10"/>
      <c r="AI11" s="10"/>
      <c r="AJ11" s="10"/>
      <c r="AK11" s="11"/>
      <c r="AL11" s="43">
        <v>2</v>
      </c>
      <c r="AM11" s="44"/>
      <c r="AN11" s="44">
        <v>1</v>
      </c>
      <c r="AO11" s="44">
        <v>2</v>
      </c>
      <c r="AP11" s="45">
        <v>2</v>
      </c>
      <c r="AQ11" s="106">
        <v>0.5</v>
      </c>
      <c r="AR11" s="110"/>
      <c r="AS11" s="110">
        <v>0.15</v>
      </c>
      <c r="AT11" s="110">
        <v>0.5</v>
      </c>
      <c r="AU11" s="111">
        <v>1.5</v>
      </c>
      <c r="AV11" s="6">
        <v>3</v>
      </c>
      <c r="AW11" s="7">
        <v>3</v>
      </c>
      <c r="AX11" s="7">
        <v>3</v>
      </c>
      <c r="AY11" s="10"/>
      <c r="AZ11" s="11"/>
      <c r="BA11" s="9">
        <v>12</v>
      </c>
      <c r="BB11" s="10"/>
      <c r="BC11" s="11">
        <v>20</v>
      </c>
      <c r="BD11" s="171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26</v>
      </c>
      <c r="X12" s="10"/>
      <c r="Y12" s="10"/>
      <c r="Z12" s="10"/>
      <c r="AA12" s="11"/>
      <c r="AB12" s="43">
        <v>2</v>
      </c>
      <c r="AC12" s="44"/>
      <c r="AD12" s="44"/>
      <c r="AE12" s="44"/>
      <c r="AF12" s="45"/>
      <c r="AG12" s="9">
        <v>4</v>
      </c>
      <c r="AH12" s="10"/>
      <c r="AI12" s="10"/>
      <c r="AJ12" s="10"/>
      <c r="AK12" s="11"/>
      <c r="AL12" s="43">
        <v>3</v>
      </c>
      <c r="AM12" s="44">
        <v>1</v>
      </c>
      <c r="AN12" s="44">
        <v>1</v>
      </c>
      <c r="AO12" s="44"/>
      <c r="AP12" s="45">
        <v>1</v>
      </c>
      <c r="AQ12" s="106">
        <v>0.33</v>
      </c>
      <c r="AR12" s="110">
        <v>0.5</v>
      </c>
      <c r="AS12" s="110">
        <v>0.15</v>
      </c>
      <c r="AT12" s="110"/>
      <c r="AU12" s="111">
        <v>1</v>
      </c>
      <c r="AV12" s="6">
        <v>3</v>
      </c>
      <c r="AW12" s="7">
        <v>3</v>
      </c>
      <c r="AX12" s="7">
        <v>3</v>
      </c>
      <c r="AY12" s="10"/>
      <c r="AZ12" s="11"/>
      <c r="BA12" s="9">
        <v>16</v>
      </c>
      <c r="BB12" s="10"/>
      <c r="BC12" s="11">
        <v>10</v>
      </c>
      <c r="BD12" s="172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25</v>
      </c>
      <c r="X13" s="10"/>
      <c r="Y13" s="10"/>
      <c r="Z13" s="10"/>
      <c r="AA13" s="11"/>
      <c r="AB13" s="43">
        <v>2</v>
      </c>
      <c r="AC13" s="44"/>
      <c r="AD13" s="44"/>
      <c r="AE13" s="44">
        <v>1</v>
      </c>
      <c r="AF13" s="45"/>
      <c r="AG13" s="9">
        <v>4</v>
      </c>
      <c r="AH13" s="10"/>
      <c r="AI13" s="10"/>
      <c r="AJ13" s="10"/>
      <c r="AK13" s="11"/>
      <c r="AL13" s="43">
        <v>2</v>
      </c>
      <c r="AM13" s="44"/>
      <c r="AN13" s="44">
        <v>1</v>
      </c>
      <c r="AO13" s="44">
        <v>2</v>
      </c>
      <c r="AP13" s="45">
        <v>2</v>
      </c>
      <c r="AQ13" s="106"/>
      <c r="AR13" s="110"/>
      <c r="AS13" s="110">
        <v>0.15</v>
      </c>
      <c r="AT13" s="110">
        <v>1</v>
      </c>
      <c r="AU13" s="111">
        <v>2</v>
      </c>
      <c r="AV13" s="6">
        <v>3</v>
      </c>
      <c r="AW13" s="7">
        <v>3</v>
      </c>
      <c r="AX13" s="7">
        <v>3</v>
      </c>
      <c r="AY13" s="10"/>
      <c r="AZ13" s="11"/>
      <c r="BA13" s="9">
        <v>6</v>
      </c>
      <c r="BB13" s="10"/>
      <c r="BC13" s="11">
        <v>30</v>
      </c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20</v>
      </c>
      <c r="X14" s="10"/>
      <c r="Y14" s="10"/>
      <c r="Z14" s="10"/>
      <c r="AA14" s="11"/>
      <c r="AB14" s="43"/>
      <c r="AC14" s="44">
        <v>1</v>
      </c>
      <c r="AD14" s="44"/>
      <c r="AE14" s="44">
        <v>1</v>
      </c>
      <c r="AF14" s="45"/>
      <c r="AG14" s="9">
        <v>5</v>
      </c>
      <c r="AH14" s="10"/>
      <c r="AI14" s="10"/>
      <c r="AJ14" s="10"/>
      <c r="AK14" s="11"/>
      <c r="AL14" s="43">
        <v>2</v>
      </c>
      <c r="AM14" s="44">
        <v>1</v>
      </c>
      <c r="AN14" s="44">
        <v>1</v>
      </c>
      <c r="AO14" s="44">
        <v>1</v>
      </c>
      <c r="AP14" s="45">
        <v>2</v>
      </c>
      <c r="AQ14" s="106">
        <v>1</v>
      </c>
      <c r="AR14" s="110"/>
      <c r="AS14" s="110">
        <v>0.15</v>
      </c>
      <c r="AT14" s="110"/>
      <c r="AU14" s="111">
        <v>2</v>
      </c>
      <c r="AV14" s="6">
        <v>3</v>
      </c>
      <c r="AW14" s="7">
        <v>3</v>
      </c>
      <c r="AX14" s="7">
        <v>3</v>
      </c>
      <c r="AY14" s="10"/>
      <c r="AZ14" s="11"/>
      <c r="BA14" s="9">
        <v>18</v>
      </c>
      <c r="BB14" s="10"/>
      <c r="BC14" s="11">
        <v>20</v>
      </c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25</v>
      </c>
      <c r="X15" s="10"/>
      <c r="Y15" s="10"/>
      <c r="Z15" s="10"/>
      <c r="AA15" s="11"/>
      <c r="AB15" s="43"/>
      <c r="AC15" s="44"/>
      <c r="AD15" s="44">
        <v>1</v>
      </c>
      <c r="AE15" s="44"/>
      <c r="AF15" s="45">
        <v>1</v>
      </c>
      <c r="AG15" s="9">
        <v>4</v>
      </c>
      <c r="AH15" s="10"/>
      <c r="AI15" s="10"/>
      <c r="AJ15" s="10"/>
      <c r="AK15" s="11"/>
      <c r="AL15" s="43">
        <v>1</v>
      </c>
      <c r="AM15" s="44"/>
      <c r="AN15" s="44">
        <v>2</v>
      </c>
      <c r="AO15" s="44"/>
      <c r="AP15" s="45">
        <v>3</v>
      </c>
      <c r="AQ15" s="106">
        <v>0.25</v>
      </c>
      <c r="AR15" s="110"/>
      <c r="AS15" s="110">
        <v>0.15</v>
      </c>
      <c r="AT15" s="110"/>
      <c r="AU15" s="111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9</v>
      </c>
      <c r="BB15" s="10"/>
      <c r="BC15" s="11">
        <v>20</v>
      </c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23</v>
      </c>
      <c r="X16" s="10"/>
      <c r="Y16" s="10"/>
      <c r="Z16" s="10"/>
      <c r="AA16" s="11"/>
      <c r="AB16" s="43">
        <v>3</v>
      </c>
      <c r="AC16" s="44"/>
      <c r="AD16" s="44"/>
      <c r="AE16" s="44">
        <v>2</v>
      </c>
      <c r="AF16" s="45">
        <v>1</v>
      </c>
      <c r="AG16" s="9">
        <v>6</v>
      </c>
      <c r="AH16" s="10"/>
      <c r="AI16" s="10"/>
      <c r="AJ16" s="10"/>
      <c r="AK16" s="11"/>
      <c r="AL16" s="43">
        <v>2</v>
      </c>
      <c r="AM16" s="44"/>
      <c r="AN16" s="44">
        <v>1</v>
      </c>
      <c r="AO16" s="44">
        <v>3</v>
      </c>
      <c r="AP16" s="45">
        <v>4</v>
      </c>
      <c r="AQ16" s="106">
        <v>1</v>
      </c>
      <c r="AR16" s="110"/>
      <c r="AS16" s="110">
        <v>0.15</v>
      </c>
      <c r="AT16" s="110">
        <v>0.5</v>
      </c>
      <c r="AU16" s="111">
        <v>2.5</v>
      </c>
      <c r="AV16" s="6">
        <v>3</v>
      </c>
      <c r="AW16" s="7">
        <v>3</v>
      </c>
      <c r="AX16" s="7">
        <v>3</v>
      </c>
      <c r="AY16" s="10"/>
      <c r="AZ16" s="11"/>
      <c r="BA16" s="9">
        <v>18</v>
      </c>
      <c r="BB16" s="10"/>
      <c r="BC16" s="11">
        <v>30</v>
      </c>
      <c r="BD16" s="18"/>
      <c r="BE16" s="12"/>
    </row>
    <row r="17" spans="1:57" ht="31.9" customHeight="1" x14ac:dyDescent="0.2">
      <c r="A17" s="20">
        <v>10</v>
      </c>
      <c r="B17" s="103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20</v>
      </c>
      <c r="X17" s="10"/>
      <c r="Y17" s="10"/>
      <c r="Z17" s="10"/>
      <c r="AA17" s="11"/>
      <c r="AB17" s="43"/>
      <c r="AC17" s="44"/>
      <c r="AD17" s="44">
        <v>1</v>
      </c>
      <c r="AE17" s="44"/>
      <c r="AF17" s="45"/>
      <c r="AG17" s="9">
        <v>4</v>
      </c>
      <c r="AH17" s="10"/>
      <c r="AI17" s="10"/>
      <c r="AJ17" s="10"/>
      <c r="AK17" s="11"/>
      <c r="AL17" s="43">
        <v>1</v>
      </c>
      <c r="AM17" s="44"/>
      <c r="AN17" s="44">
        <v>1</v>
      </c>
      <c r="AO17" s="44">
        <v>1</v>
      </c>
      <c r="AP17" s="45">
        <v>2</v>
      </c>
      <c r="AQ17" s="106">
        <v>0.5</v>
      </c>
      <c r="AR17" s="110"/>
      <c r="AS17" s="110">
        <v>0.15</v>
      </c>
      <c r="AT17" s="110"/>
      <c r="AU17" s="111">
        <v>2</v>
      </c>
      <c r="AV17" s="6">
        <v>3</v>
      </c>
      <c r="AW17" s="7">
        <v>3</v>
      </c>
      <c r="AX17" s="7">
        <v>3</v>
      </c>
      <c r="AY17" s="10"/>
      <c r="AZ17" s="11"/>
      <c r="BA17" s="9">
        <v>12</v>
      </c>
      <c r="BB17" s="10"/>
      <c r="BC17" s="11">
        <v>20</v>
      </c>
      <c r="BD17" s="18"/>
      <c r="BE17" s="12"/>
    </row>
    <row r="18" spans="1:57" ht="31.9" customHeight="1" x14ac:dyDescent="0.2">
      <c r="A18" s="20">
        <v>11</v>
      </c>
      <c r="B18" s="103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27</v>
      </c>
      <c r="X18" s="10"/>
      <c r="Y18" s="10"/>
      <c r="Z18" s="10"/>
      <c r="AA18" s="11"/>
      <c r="AB18" s="43">
        <v>1</v>
      </c>
      <c r="AC18" s="44"/>
      <c r="AD18" s="44"/>
      <c r="AE18" s="44">
        <v>1</v>
      </c>
      <c r="AF18" s="45"/>
      <c r="AG18" s="9">
        <v>5</v>
      </c>
      <c r="AH18" s="10"/>
      <c r="AI18" s="10"/>
      <c r="AJ18" s="10"/>
      <c r="AK18" s="11"/>
      <c r="AL18" s="43">
        <v>2</v>
      </c>
      <c r="AM18" s="44"/>
      <c r="AN18" s="44">
        <v>1</v>
      </c>
      <c r="AO18" s="44">
        <v>2</v>
      </c>
      <c r="AP18" s="45">
        <v>2</v>
      </c>
      <c r="AQ18" s="106">
        <v>0.5</v>
      </c>
      <c r="AR18" s="110"/>
      <c r="AS18" s="110">
        <v>0.15</v>
      </c>
      <c r="AT18" s="110">
        <v>1</v>
      </c>
      <c r="AU18" s="111">
        <v>2</v>
      </c>
      <c r="AV18" s="6">
        <v>3</v>
      </c>
      <c r="AW18" s="7">
        <v>3</v>
      </c>
      <c r="AX18" s="7">
        <v>3</v>
      </c>
      <c r="AY18" s="10"/>
      <c r="AZ18" s="11"/>
      <c r="BA18" s="9">
        <v>12</v>
      </c>
      <c r="BB18" s="10"/>
      <c r="BC18" s="11">
        <v>30</v>
      </c>
      <c r="BD18" s="18"/>
      <c r="BE18" s="12"/>
    </row>
    <row r="19" spans="1:57" ht="31.9" customHeight="1" x14ac:dyDescent="0.2">
      <c r="A19" s="20">
        <v>12</v>
      </c>
      <c r="B19" s="103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25</v>
      </c>
      <c r="X19" s="10"/>
      <c r="Y19" s="10"/>
      <c r="Z19" s="10"/>
      <c r="AA19" s="11"/>
      <c r="AB19" s="43"/>
      <c r="AC19" s="44"/>
      <c r="AD19" s="44"/>
      <c r="AE19" s="44">
        <v>1</v>
      </c>
      <c r="AF19" s="45"/>
      <c r="AG19" s="9"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1</v>
      </c>
      <c r="AP19" s="45">
        <v>2</v>
      </c>
      <c r="AQ19" s="106">
        <v>0.5</v>
      </c>
      <c r="AR19" s="110"/>
      <c r="AS19" s="110">
        <f>4/20</f>
        <v>0.2</v>
      </c>
      <c r="AT19" s="110"/>
      <c r="AU19" s="111">
        <v>1.5</v>
      </c>
      <c r="AV19" s="6">
        <v>3</v>
      </c>
      <c r="AW19" s="7">
        <v>3</v>
      </c>
      <c r="AX19" s="7">
        <v>3</v>
      </c>
      <c r="AY19" s="10"/>
      <c r="AZ19" s="11"/>
      <c r="BA19" s="9">
        <v>12</v>
      </c>
      <c r="BB19" s="10"/>
      <c r="BC19" s="11">
        <v>15</v>
      </c>
      <c r="BD19" s="18"/>
      <c r="BE19" s="12"/>
    </row>
    <row r="20" spans="1:57" ht="31.9" customHeight="1" x14ac:dyDescent="0.2">
      <c r="A20" s="20">
        <v>13</v>
      </c>
      <c r="B20" s="103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23</v>
      </c>
      <c r="X20" s="10"/>
      <c r="Y20" s="10"/>
      <c r="Z20" s="10"/>
      <c r="AA20" s="11"/>
      <c r="AB20" s="43">
        <v>1</v>
      </c>
      <c r="AC20" s="44"/>
      <c r="AD20" s="44">
        <v>1</v>
      </c>
      <c r="AE20" s="44">
        <v>2</v>
      </c>
      <c r="AF20" s="45">
        <v>1</v>
      </c>
      <c r="AG20" s="9">
        <v>4</v>
      </c>
      <c r="AH20" s="10"/>
      <c r="AI20" s="10"/>
      <c r="AJ20" s="10"/>
      <c r="AK20" s="11"/>
      <c r="AL20" s="43">
        <v>2</v>
      </c>
      <c r="AM20" s="44"/>
      <c r="AN20" s="44">
        <v>1</v>
      </c>
      <c r="AO20" s="44">
        <v>2</v>
      </c>
      <c r="AP20" s="45">
        <v>3</v>
      </c>
      <c r="AQ20" s="106">
        <v>0.33</v>
      </c>
      <c r="AR20" s="110"/>
      <c r="AS20" s="110">
        <v>0.15</v>
      </c>
      <c r="AT20" s="110">
        <v>0.6</v>
      </c>
      <c r="AU20" s="111">
        <v>2</v>
      </c>
      <c r="AV20" s="6">
        <v>3</v>
      </c>
      <c r="AW20" s="7">
        <v>3</v>
      </c>
      <c r="AX20" s="7">
        <v>3</v>
      </c>
      <c r="AY20" s="10"/>
      <c r="AZ20" s="11"/>
      <c r="BA20" s="9">
        <v>10</v>
      </c>
      <c r="BB20" s="10"/>
      <c r="BC20" s="11">
        <v>26</v>
      </c>
      <c r="BD20" s="18"/>
      <c r="BE20" s="12"/>
    </row>
    <row r="21" spans="1:57" ht="31.9" customHeight="1" x14ac:dyDescent="0.2">
      <c r="A21" s="20">
        <v>14</v>
      </c>
      <c r="B21" s="103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26</v>
      </c>
      <c r="X21" s="10"/>
      <c r="Y21" s="10"/>
      <c r="Z21" s="10"/>
      <c r="AA21" s="11"/>
      <c r="AB21" s="43">
        <v>2</v>
      </c>
      <c r="AC21" s="44"/>
      <c r="AD21" s="44"/>
      <c r="AE21" s="44"/>
      <c r="AF21" s="45"/>
      <c r="AG21" s="9">
        <v>5</v>
      </c>
      <c r="AH21" s="10"/>
      <c r="AI21" s="10"/>
      <c r="AJ21" s="10"/>
      <c r="AK21" s="11"/>
      <c r="AL21" s="43">
        <v>2</v>
      </c>
      <c r="AM21" s="44">
        <v>1</v>
      </c>
      <c r="AN21" s="44">
        <v>2</v>
      </c>
      <c r="AO21" s="44"/>
      <c r="AP21" s="45">
        <v>2</v>
      </c>
      <c r="AQ21" s="106"/>
      <c r="AR21" s="110">
        <v>0.5</v>
      </c>
      <c r="AS21" s="110">
        <v>0.3</v>
      </c>
      <c r="AT21" s="110"/>
      <c r="AU21" s="111">
        <v>1.5</v>
      </c>
      <c r="AV21" s="6">
        <v>3</v>
      </c>
      <c r="AW21" s="7">
        <v>3</v>
      </c>
      <c r="AX21" s="7">
        <v>3</v>
      </c>
      <c r="AY21" s="10"/>
      <c r="AZ21" s="11"/>
      <c r="BA21" s="9">
        <v>18</v>
      </c>
      <c r="BB21" s="10"/>
      <c r="BC21" s="11">
        <v>15</v>
      </c>
      <c r="BD21" s="18"/>
      <c r="BE21" s="12"/>
    </row>
    <row r="22" spans="1:57" ht="31.9" customHeight="1" x14ac:dyDescent="0.2">
      <c r="A22" s="20">
        <v>15</v>
      </c>
      <c r="B22" s="103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24</v>
      </c>
      <c r="X22" s="10"/>
      <c r="Y22" s="10"/>
      <c r="Z22" s="10"/>
      <c r="AA22" s="11"/>
      <c r="AB22" s="43"/>
      <c r="AC22" s="44"/>
      <c r="AD22" s="44"/>
      <c r="AE22" s="44">
        <v>1</v>
      </c>
      <c r="AF22" s="45">
        <v>1</v>
      </c>
      <c r="AG22" s="9">
        <v>5</v>
      </c>
      <c r="AH22" s="10"/>
      <c r="AI22" s="10"/>
      <c r="AJ22" s="10"/>
      <c r="AK22" s="11"/>
      <c r="AL22" s="43">
        <v>1</v>
      </c>
      <c r="AM22" s="44"/>
      <c r="AN22" s="44">
        <v>1</v>
      </c>
      <c r="AO22" s="44">
        <v>2</v>
      </c>
      <c r="AP22" s="45">
        <v>3</v>
      </c>
      <c r="AQ22" s="106">
        <v>0.5</v>
      </c>
      <c r="AR22" s="110"/>
      <c r="AS22" s="110">
        <v>0.15</v>
      </c>
      <c r="AT22" s="110">
        <v>0.5</v>
      </c>
      <c r="AU22" s="111">
        <v>2</v>
      </c>
      <c r="AV22" s="6">
        <v>3</v>
      </c>
      <c r="AW22" s="7">
        <v>3</v>
      </c>
      <c r="AX22" s="7">
        <v>3</v>
      </c>
      <c r="AY22" s="10"/>
      <c r="AZ22" s="11"/>
      <c r="BA22" s="9">
        <v>12</v>
      </c>
      <c r="BB22" s="10"/>
      <c r="BC22" s="11">
        <v>25</v>
      </c>
      <c r="BD22" s="18"/>
      <c r="BE22" s="12"/>
    </row>
    <row r="23" spans="1:57" ht="31.9" customHeight="1" x14ac:dyDescent="0.2">
      <c r="A23" s="20">
        <v>16</v>
      </c>
      <c r="B23" s="103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27</v>
      </c>
      <c r="X23" s="10"/>
      <c r="Y23" s="10"/>
      <c r="Z23" s="10"/>
      <c r="AA23" s="11"/>
      <c r="AB23" s="43"/>
      <c r="AC23" s="44"/>
      <c r="AD23" s="44"/>
      <c r="AE23" s="44">
        <v>1</v>
      </c>
      <c r="AF23" s="45"/>
      <c r="AG23" s="9">
        <v>5</v>
      </c>
      <c r="AH23" s="10"/>
      <c r="AI23" s="10"/>
      <c r="AJ23" s="10"/>
      <c r="AK23" s="11"/>
      <c r="AL23" s="43">
        <v>1</v>
      </c>
      <c r="AM23" s="44">
        <v>1</v>
      </c>
      <c r="AN23" s="44">
        <v>1</v>
      </c>
      <c r="AO23" s="44">
        <v>1</v>
      </c>
      <c r="AP23" s="45">
        <v>2</v>
      </c>
      <c r="AQ23" s="106">
        <v>0.33</v>
      </c>
      <c r="AR23" s="110">
        <f>3/6</f>
        <v>0.5</v>
      </c>
      <c r="AS23" s="110">
        <v>0.3</v>
      </c>
      <c r="AT23" s="110"/>
      <c r="AU23" s="111">
        <v>1</v>
      </c>
      <c r="AV23" s="6">
        <v>3</v>
      </c>
      <c r="AW23" s="7">
        <v>3</v>
      </c>
      <c r="AX23" s="7">
        <v>3</v>
      </c>
      <c r="AY23" s="10"/>
      <c r="AZ23" s="11"/>
      <c r="BA23" s="9">
        <v>22</v>
      </c>
      <c r="BB23" s="10"/>
      <c r="BC23" s="11">
        <v>10</v>
      </c>
      <c r="BD23" s="18"/>
      <c r="BE23" s="12"/>
    </row>
    <row r="24" spans="1:57" ht="31.9" customHeight="1" x14ac:dyDescent="0.2">
      <c r="A24" s="20">
        <v>17</v>
      </c>
      <c r="B24" s="103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26</v>
      </c>
      <c r="X24" s="10"/>
      <c r="Y24" s="10"/>
      <c r="Z24" s="10"/>
      <c r="AA24" s="11"/>
      <c r="AB24" s="43">
        <v>1</v>
      </c>
      <c r="AC24" s="44">
        <v>1</v>
      </c>
      <c r="AD24" s="44"/>
      <c r="AE24" s="44">
        <v>2</v>
      </c>
      <c r="AF24" s="45">
        <v>2</v>
      </c>
      <c r="AG24" s="9">
        <v>5</v>
      </c>
      <c r="AH24" s="10"/>
      <c r="AI24" s="10"/>
      <c r="AJ24" s="10"/>
      <c r="AK24" s="11"/>
      <c r="AL24" s="43">
        <v>2</v>
      </c>
      <c r="AM24" s="44">
        <v>1</v>
      </c>
      <c r="AN24" s="44">
        <v>1</v>
      </c>
      <c r="AO24" s="44">
        <v>1</v>
      </c>
      <c r="AP24" s="45">
        <v>2</v>
      </c>
      <c r="AQ24" s="106">
        <v>0.42</v>
      </c>
      <c r="AR24" s="110"/>
      <c r="AS24" s="110">
        <v>0.15</v>
      </c>
      <c r="AT24" s="110">
        <v>0.5</v>
      </c>
      <c r="AU24" s="111">
        <v>2</v>
      </c>
      <c r="AV24" s="6">
        <v>3</v>
      </c>
      <c r="AW24" s="7">
        <v>3</v>
      </c>
      <c r="AX24" s="7">
        <v>3</v>
      </c>
      <c r="AY24" s="10"/>
      <c r="AZ24" s="11"/>
      <c r="BA24" s="9">
        <v>11</v>
      </c>
      <c r="BB24" s="10"/>
      <c r="BC24" s="11">
        <v>25</v>
      </c>
      <c r="BD24" s="18"/>
      <c r="BE24" s="12"/>
    </row>
    <row r="25" spans="1:57" ht="31.9" customHeight="1" x14ac:dyDescent="0.2">
      <c r="A25" s="50">
        <v>18</v>
      </c>
      <c r="B25" s="104" t="s">
        <v>48</v>
      </c>
      <c r="C25" s="52">
        <f t="shared" si="1"/>
        <v>10</v>
      </c>
      <c r="D25" s="53">
        <f t="shared" si="1"/>
        <v>3</v>
      </c>
      <c r="E25" s="53">
        <f t="shared" si="1"/>
        <v>2</v>
      </c>
      <c r="F25" s="53">
        <f t="shared" si="1"/>
        <v>2</v>
      </c>
      <c r="G25" s="54">
        <f t="shared" si="1"/>
        <v>3</v>
      </c>
      <c r="H25" s="52">
        <f t="shared" si="1"/>
        <v>3</v>
      </c>
      <c r="I25" s="53">
        <f t="shared" si="1"/>
        <v>1</v>
      </c>
      <c r="J25" s="53">
        <f t="shared" si="1"/>
        <v>1</v>
      </c>
      <c r="K25" s="53">
        <f t="shared" si="1"/>
        <v>1</v>
      </c>
      <c r="L25" s="54">
        <f t="shared" si="1"/>
        <v>1</v>
      </c>
      <c r="M25" s="52">
        <f t="shared" si="1"/>
        <v>3</v>
      </c>
      <c r="N25" s="53">
        <f t="shared" si="1"/>
        <v>1</v>
      </c>
      <c r="O25" s="53">
        <f t="shared" si="1"/>
        <v>3</v>
      </c>
      <c r="P25" s="53">
        <f t="shared" si="1"/>
        <v>0</v>
      </c>
      <c r="Q25" s="54">
        <f t="shared" si="1"/>
        <v>0</v>
      </c>
      <c r="R25" s="55">
        <f t="shared" si="1"/>
        <v>0.5</v>
      </c>
      <c r="S25" s="56">
        <f t="shared" si="2"/>
        <v>0.16666666666666666</v>
      </c>
      <c r="T25" s="56">
        <f t="shared" si="2"/>
        <v>0.1</v>
      </c>
      <c r="U25" s="56">
        <f t="shared" si="2"/>
        <v>0.6</v>
      </c>
      <c r="V25" s="57">
        <f t="shared" si="2"/>
        <v>0.15</v>
      </c>
      <c r="W25" s="52">
        <v>26</v>
      </c>
      <c r="X25" s="53"/>
      <c r="Y25" s="53"/>
      <c r="Z25" s="53"/>
      <c r="AA25" s="54"/>
      <c r="AB25" s="58">
        <v>2</v>
      </c>
      <c r="AC25" s="59"/>
      <c r="AD25" s="59">
        <v>1</v>
      </c>
      <c r="AE25" s="59">
        <v>1</v>
      </c>
      <c r="AF25" s="48">
        <v>1</v>
      </c>
      <c r="AG25" s="52">
        <v>4</v>
      </c>
      <c r="AH25" s="53"/>
      <c r="AI25" s="53"/>
      <c r="AJ25" s="53"/>
      <c r="AK25" s="54"/>
      <c r="AL25" s="58">
        <v>1</v>
      </c>
      <c r="AM25" s="59"/>
      <c r="AN25" s="59">
        <v>1</v>
      </c>
      <c r="AO25" s="59">
        <v>1</v>
      </c>
      <c r="AP25" s="48">
        <v>3</v>
      </c>
      <c r="AQ25" s="112">
        <v>0.33</v>
      </c>
      <c r="AR25" s="113"/>
      <c r="AS25" s="113">
        <v>0.3</v>
      </c>
      <c r="AT25" s="113"/>
      <c r="AU25" s="114">
        <v>1.5</v>
      </c>
      <c r="AV25" s="181">
        <v>3</v>
      </c>
      <c r="AW25" s="182">
        <v>3</v>
      </c>
      <c r="AX25" s="182">
        <v>3</v>
      </c>
      <c r="AY25" s="53"/>
      <c r="AZ25" s="54"/>
      <c r="BA25" s="52">
        <v>16</v>
      </c>
      <c r="BB25" s="53"/>
      <c r="BC25" s="54">
        <v>15</v>
      </c>
      <c r="BD25" s="60"/>
      <c r="BE25" s="61"/>
    </row>
    <row r="26" spans="1:57" ht="31.9" customHeight="1" x14ac:dyDescent="0.2">
      <c r="A26" s="50">
        <v>19</v>
      </c>
      <c r="B26" s="104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2"/>
      <c r="AR26" s="113"/>
      <c r="AS26" s="113"/>
      <c r="AT26" s="113"/>
      <c r="AU26" s="114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104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112"/>
      <c r="AR27" s="113"/>
      <c r="AS27" s="113"/>
      <c r="AT27" s="113"/>
      <c r="AU27" s="114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05"/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>SUM(V8:V27)</f>
        <v>2.9999999999999991</v>
      </c>
      <c r="W28" s="29">
        <f t="shared" si="3"/>
        <v>449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18</v>
      </c>
      <c r="AC28" s="65">
        <f t="shared" si="3"/>
        <v>2</v>
      </c>
      <c r="AD28" s="65">
        <f t="shared" si="3"/>
        <v>5</v>
      </c>
      <c r="AE28" s="65">
        <f t="shared" si="3"/>
        <v>17</v>
      </c>
      <c r="AF28" s="66">
        <f t="shared" si="3"/>
        <v>9</v>
      </c>
      <c r="AG28" s="29">
        <f t="shared" si="3"/>
        <v>87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31</v>
      </c>
      <c r="AM28" s="65">
        <f t="shared" si="4"/>
        <v>6</v>
      </c>
      <c r="AN28" s="65">
        <f t="shared" si="4"/>
        <v>22</v>
      </c>
      <c r="AO28" s="65">
        <f t="shared" si="4"/>
        <v>24</v>
      </c>
      <c r="AP28" s="66">
        <f t="shared" si="4"/>
        <v>44</v>
      </c>
      <c r="AQ28" s="119">
        <f t="shared" si="4"/>
        <v>8.49</v>
      </c>
      <c r="AR28" s="115">
        <f t="shared" si="4"/>
        <v>2</v>
      </c>
      <c r="AS28" s="115">
        <f t="shared" si="4"/>
        <v>3.4999999999999987</v>
      </c>
      <c r="AT28" s="115">
        <f t="shared" si="4"/>
        <v>5.8999999999999995</v>
      </c>
      <c r="AU28" s="120">
        <f t="shared" si="4"/>
        <v>33.5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264</v>
      </c>
      <c r="BB28" s="47">
        <f t="shared" si="4"/>
        <v>0</v>
      </c>
      <c r="BC28" s="49">
        <f t="shared" si="4"/>
        <v>394</v>
      </c>
      <c r="BD28" s="19">
        <f t="shared" si="4"/>
        <v>0</v>
      </c>
      <c r="BE28" s="2">
        <f t="shared" si="4"/>
        <v>0</v>
      </c>
    </row>
    <row r="30" spans="1:57" ht="36" x14ac:dyDescent="0.25">
      <c r="AQ30" s="124" t="s">
        <v>56</v>
      </c>
      <c r="AR30" s="124" t="s">
        <v>58</v>
      </c>
      <c r="AS30" s="124" t="s">
        <v>57</v>
      </c>
      <c r="AT30" s="124" t="s">
        <v>59</v>
      </c>
      <c r="AU30" s="124" t="s">
        <v>60</v>
      </c>
      <c r="AV30" s="122"/>
      <c r="AW30" s="122"/>
      <c r="AX30" s="122"/>
      <c r="AY30" s="122"/>
    </row>
    <row r="31" spans="1:57" x14ac:dyDescent="0.25">
      <c r="AQ31" s="122"/>
      <c r="AR31" s="122"/>
      <c r="AS31" s="122"/>
      <c r="AT31" s="122"/>
      <c r="AU31" s="122"/>
      <c r="AV31" s="122"/>
      <c r="AW31" s="122"/>
      <c r="AX31" s="122"/>
      <c r="AY31" s="122"/>
    </row>
    <row r="32" spans="1:57" x14ac:dyDescent="0.25">
      <c r="AQ32" s="122"/>
      <c r="AR32" s="122"/>
      <c r="AS32" s="122"/>
      <c r="AT32" s="122"/>
      <c r="AU32" s="122"/>
      <c r="AV32" s="122"/>
      <c r="AW32" s="122"/>
      <c r="AX32" s="122"/>
      <c r="AY32" s="122"/>
    </row>
    <row r="33" spans="43:51" x14ac:dyDescent="0.25">
      <c r="AQ33" s="122"/>
      <c r="AR33" s="122"/>
      <c r="AS33" s="122"/>
      <c r="AT33" s="122"/>
      <c r="AU33" s="122"/>
      <c r="AV33" s="122"/>
      <c r="AW33" s="122"/>
      <c r="AX33" s="122"/>
      <c r="AY33" s="122"/>
    </row>
    <row r="34" spans="43:51" x14ac:dyDescent="0.25">
      <c r="AQ34" s="122"/>
      <c r="AR34" s="122"/>
      <c r="AS34" s="122"/>
      <c r="AT34" s="122"/>
      <c r="AU34" s="122"/>
      <c r="AV34" s="122"/>
      <c r="AW34" s="122"/>
      <c r="AX34" s="122">
        <f>12/3</f>
        <v>4</v>
      </c>
      <c r="AY34" s="122"/>
    </row>
    <row r="35" spans="43:51" x14ac:dyDescent="0.25">
      <c r="AQ35" s="122"/>
      <c r="AR35" s="122"/>
      <c r="AS35" s="122"/>
      <c r="AT35" s="122"/>
      <c r="AU35" s="122"/>
      <c r="AV35" s="122"/>
      <c r="AW35" s="122"/>
      <c r="AX35" s="122"/>
      <c r="AY35" s="122"/>
    </row>
    <row r="36" spans="43:51" x14ac:dyDescent="0.25">
      <c r="AQ36" s="122"/>
      <c r="AR36" s="122"/>
      <c r="AS36" s="122"/>
      <c r="AT36" s="122"/>
      <c r="AU36" s="122"/>
      <c r="AV36" s="122"/>
      <c r="AW36" s="122"/>
      <c r="AX36" s="122"/>
      <c r="AY36" s="122"/>
    </row>
  </sheetData>
  <mergeCells count="20">
    <mergeCell ref="BE5:BE7"/>
    <mergeCell ref="A6:A7"/>
    <mergeCell ref="B6:B7"/>
    <mergeCell ref="C6:G6"/>
    <mergeCell ref="H6:L6"/>
    <mergeCell ref="M6:Q6"/>
    <mergeCell ref="AV6:AZ6"/>
    <mergeCell ref="BA6:BC6"/>
    <mergeCell ref="A2:B2"/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30"/>
  <sheetViews>
    <sheetView zoomScale="80" zoomScaleNormal="80" workbookViewId="0">
      <pane xSplit="2" ySplit="7" topLeftCell="AB23" activePane="bottomRight" state="frozen"/>
      <selection activeCell="C3" sqref="C3"/>
      <selection pane="topRight" activeCell="C3" sqref="C3"/>
      <selection pane="bottomLeft" activeCell="C3" sqref="C3"/>
      <selection pane="bottomRight" activeCell="AO2" sqref="AO2:AX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0.28515625" style="28" customWidth="1"/>
    <col min="34" max="34" width="8.85546875" style="28" customWidth="1"/>
    <col min="35" max="35" width="10.140625" style="28" bestFit="1" customWidth="1"/>
    <col min="36" max="44" width="8.85546875" style="28" customWidth="1"/>
    <col min="45" max="45" width="9.5703125" style="28" bestFit="1" customWidth="1"/>
    <col min="46" max="46" width="8.85546875" style="28" customWidth="1"/>
    <col min="47" max="47" width="9.5703125" style="28" bestFit="1" customWidth="1"/>
    <col min="48" max="54" width="8.85546875" style="28" customWidth="1"/>
    <col min="55" max="55" width="9.425781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2.5" x14ac:dyDescent="0.3">
      <c r="B2" s="89" t="s">
        <v>41</v>
      </c>
      <c r="AO2" s="127">
        <v>2</v>
      </c>
      <c r="AP2" s="127">
        <v>3</v>
      </c>
      <c r="AQ2" s="127">
        <v>4</v>
      </c>
      <c r="AR2" s="127">
        <v>5</v>
      </c>
      <c r="AS2" s="127">
        <v>6</v>
      </c>
      <c r="AT2" s="127">
        <v>7</v>
      </c>
      <c r="AU2" s="127">
        <v>8</v>
      </c>
      <c r="AV2" s="127">
        <v>9</v>
      </c>
      <c r="AW2" s="127">
        <v>10</v>
      </c>
      <c r="AX2" s="127">
        <v>11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O3" s="128">
        <f>2/12</f>
        <v>0.16666666666666666</v>
      </c>
      <c r="AP3" s="128">
        <f>3/12</f>
        <v>0.25</v>
      </c>
      <c r="AQ3" s="128">
        <f>4/12</f>
        <v>0.33333333333333331</v>
      </c>
      <c r="AR3" s="128">
        <f>5/12</f>
        <v>0.41666666666666669</v>
      </c>
      <c r="AS3" s="128">
        <f>6/12</f>
        <v>0.5</v>
      </c>
      <c r="AT3" s="128">
        <f>7/12</f>
        <v>0.58333333333333337</v>
      </c>
      <c r="AU3" s="128">
        <f>8/12</f>
        <v>0.66666666666666663</v>
      </c>
      <c r="AV3" s="128">
        <f>9/12</f>
        <v>0.75</v>
      </c>
      <c r="AW3" s="128">
        <f>10/12</f>
        <v>0.83333333333333337</v>
      </c>
      <c r="AX3" s="128">
        <f>11/12</f>
        <v>0.91666666666666663</v>
      </c>
    </row>
    <row r="4" spans="1:57" ht="18.75" thickBot="1" x14ac:dyDescent="0.3">
      <c r="A4" s="133"/>
      <c r="B4" s="133"/>
    </row>
    <row r="5" spans="1:57" ht="57.75" customHeight="1" thickBot="1" x14ac:dyDescent="0.25">
      <c r="C5" s="156" t="s">
        <v>1</v>
      </c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3" t="s">
        <v>22</v>
      </c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5"/>
      <c r="BD5" s="134" t="s">
        <v>6</v>
      </c>
      <c r="BE5" s="134" t="s">
        <v>7</v>
      </c>
    </row>
    <row r="6" spans="1:57" ht="69.75" customHeight="1" thickBot="1" x14ac:dyDescent="0.25">
      <c r="A6" s="137" t="s">
        <v>24</v>
      </c>
      <c r="B6" s="137" t="s">
        <v>8</v>
      </c>
      <c r="C6" s="158" t="s">
        <v>9</v>
      </c>
      <c r="D6" s="159"/>
      <c r="E6" s="159"/>
      <c r="F6" s="159"/>
      <c r="G6" s="160"/>
      <c r="H6" s="158" t="s">
        <v>15</v>
      </c>
      <c r="I6" s="159"/>
      <c r="J6" s="159"/>
      <c r="K6" s="159"/>
      <c r="L6" s="160"/>
      <c r="M6" s="141" t="s">
        <v>16</v>
      </c>
      <c r="N6" s="142"/>
      <c r="O6" s="142"/>
      <c r="P6" s="142"/>
      <c r="Q6" s="143"/>
      <c r="R6" s="141" t="s">
        <v>25</v>
      </c>
      <c r="S6" s="142"/>
      <c r="T6" s="142"/>
      <c r="U6" s="142"/>
      <c r="V6" s="143"/>
      <c r="W6" s="144" t="s">
        <v>9</v>
      </c>
      <c r="X6" s="145"/>
      <c r="Y6" s="145"/>
      <c r="Z6" s="145"/>
      <c r="AA6" s="146"/>
      <c r="AB6" s="164" t="s">
        <v>27</v>
      </c>
      <c r="AC6" s="165"/>
      <c r="AD6" s="165"/>
      <c r="AE6" s="165"/>
      <c r="AF6" s="166"/>
      <c r="AG6" s="147" t="s">
        <v>15</v>
      </c>
      <c r="AH6" s="148"/>
      <c r="AI6" s="148"/>
      <c r="AJ6" s="148"/>
      <c r="AK6" s="149"/>
      <c r="AL6" s="161" t="s">
        <v>28</v>
      </c>
      <c r="AM6" s="162"/>
      <c r="AN6" s="162"/>
      <c r="AO6" s="162"/>
      <c r="AP6" s="163"/>
      <c r="AQ6" s="167" t="s">
        <v>25</v>
      </c>
      <c r="AR6" s="168"/>
      <c r="AS6" s="168"/>
      <c r="AT6" s="168"/>
      <c r="AU6" s="169"/>
      <c r="AV6" s="150" t="s">
        <v>16</v>
      </c>
      <c r="AW6" s="151"/>
      <c r="AX6" s="151"/>
      <c r="AY6" s="151"/>
      <c r="AZ6" s="152"/>
      <c r="BA6" s="173" t="s">
        <v>26</v>
      </c>
      <c r="BB6" s="174"/>
      <c r="BC6" s="175"/>
      <c r="BD6" s="135"/>
      <c r="BE6" s="135"/>
    </row>
    <row r="7" spans="1:57" ht="222.75" customHeight="1" thickBot="1" x14ac:dyDescent="0.25">
      <c r="A7" s="138"/>
      <c r="B7" s="138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6"/>
      <c r="BE7" s="136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24</v>
      </c>
      <c r="X8" s="7"/>
      <c r="Y8" s="7"/>
      <c r="Z8" s="7"/>
      <c r="AA8" s="8"/>
      <c r="AB8" s="40"/>
      <c r="AC8" s="41"/>
      <c r="AD8" s="41">
        <v>1</v>
      </c>
      <c r="AE8" s="41"/>
      <c r="AF8" s="42">
        <v>1</v>
      </c>
      <c r="AG8" s="6">
        <v>4</v>
      </c>
      <c r="AH8" s="7"/>
      <c r="AI8" s="7"/>
      <c r="AJ8" s="7"/>
      <c r="AK8" s="8"/>
      <c r="AL8" s="40">
        <v>1</v>
      </c>
      <c r="AM8" s="41">
        <v>1</v>
      </c>
      <c r="AN8" s="41">
        <v>2</v>
      </c>
      <c r="AO8" s="41"/>
      <c r="AP8" s="42">
        <v>2</v>
      </c>
      <c r="AQ8" s="40">
        <v>1</v>
      </c>
      <c r="AR8" s="41">
        <v>0.33</v>
      </c>
      <c r="AS8" s="41">
        <v>0.15</v>
      </c>
      <c r="AT8" s="41"/>
      <c r="AU8" s="42">
        <v>1</v>
      </c>
      <c r="AV8" s="6">
        <v>3</v>
      </c>
      <c r="AW8" s="7">
        <v>3</v>
      </c>
      <c r="AX8" s="7">
        <v>3</v>
      </c>
      <c r="AY8" s="7"/>
      <c r="AZ8" s="8"/>
      <c r="BA8" s="6">
        <v>22</v>
      </c>
      <c r="BB8" s="7"/>
      <c r="BC8" s="8">
        <v>10</v>
      </c>
      <c r="BD8" s="17"/>
      <c r="BE8" s="13"/>
    </row>
    <row r="9" spans="1:57" ht="31.9" customHeight="1" x14ac:dyDescent="0.2">
      <c r="A9" s="20">
        <v>2</v>
      </c>
      <c r="B9" s="16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29</v>
      </c>
      <c r="X9" s="10"/>
      <c r="Y9" s="10"/>
      <c r="Z9" s="10"/>
      <c r="AA9" s="11"/>
      <c r="AB9" s="43">
        <v>1</v>
      </c>
      <c r="AC9" s="44"/>
      <c r="AD9" s="44"/>
      <c r="AE9" s="44">
        <v>1</v>
      </c>
      <c r="AF9" s="45"/>
      <c r="AG9" s="9">
        <v>6</v>
      </c>
      <c r="AH9" s="10"/>
      <c r="AI9" s="10"/>
      <c r="AJ9" s="10"/>
      <c r="AK9" s="11"/>
      <c r="AL9" s="43">
        <v>1</v>
      </c>
      <c r="AM9" s="44"/>
      <c r="AN9" s="44">
        <v>1</v>
      </c>
      <c r="AO9" s="44">
        <v>1</v>
      </c>
      <c r="AP9" s="45">
        <v>4</v>
      </c>
      <c r="AQ9" s="43"/>
      <c r="AR9" s="44"/>
      <c r="AS9" s="44">
        <v>0.3</v>
      </c>
      <c r="AT9" s="44">
        <v>1</v>
      </c>
      <c r="AU9" s="45">
        <v>3</v>
      </c>
      <c r="AV9" s="6">
        <v>3</v>
      </c>
      <c r="AW9" s="7">
        <v>3</v>
      </c>
      <c r="AX9" s="7">
        <v>3</v>
      </c>
      <c r="AY9" s="10"/>
      <c r="AZ9" s="11"/>
      <c r="BA9" s="9">
        <v>12</v>
      </c>
      <c r="BB9" s="10"/>
      <c r="BC9" s="11">
        <v>40</v>
      </c>
      <c r="BD9" s="70"/>
      <c r="BE9" s="12"/>
    </row>
    <row r="10" spans="1:57" ht="31.9" customHeight="1" x14ac:dyDescent="0.2">
      <c r="A10" s="20">
        <v>3</v>
      </c>
      <c r="B10" s="16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25</v>
      </c>
      <c r="X10" s="10"/>
      <c r="Y10" s="10"/>
      <c r="Z10" s="10"/>
      <c r="AA10" s="11"/>
      <c r="AB10" s="43"/>
      <c r="AC10" s="44"/>
      <c r="AD10" s="44">
        <v>1</v>
      </c>
      <c r="AE10" s="44">
        <v>1</v>
      </c>
      <c r="AF10" s="45"/>
      <c r="AG10" s="9">
        <v>4</v>
      </c>
      <c r="AH10" s="10"/>
      <c r="AI10" s="10"/>
      <c r="AJ10" s="10"/>
      <c r="AK10" s="11"/>
      <c r="AL10" s="43">
        <v>2</v>
      </c>
      <c r="AM10" s="44"/>
      <c r="AN10" s="44">
        <v>2</v>
      </c>
      <c r="AO10" s="44">
        <v>1</v>
      </c>
      <c r="AP10" s="45">
        <v>1</v>
      </c>
      <c r="AQ10" s="43">
        <v>1.5</v>
      </c>
      <c r="AR10" s="44"/>
      <c r="AS10" s="44">
        <v>0.3</v>
      </c>
      <c r="AT10" s="44"/>
      <c r="AU10" s="45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30</v>
      </c>
      <c r="BB10" s="10"/>
      <c r="BC10" s="11">
        <v>10</v>
      </c>
      <c r="BD10" s="170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27</v>
      </c>
      <c r="X11" s="10"/>
      <c r="Y11" s="10"/>
      <c r="Z11" s="10"/>
      <c r="AA11" s="11"/>
      <c r="AB11" s="43">
        <v>2</v>
      </c>
      <c r="AC11" s="44"/>
      <c r="AD11" s="44"/>
      <c r="AE11" s="44"/>
      <c r="AF11" s="45">
        <v>1</v>
      </c>
      <c r="AG11" s="9">
        <v>5</v>
      </c>
      <c r="AH11" s="10"/>
      <c r="AI11" s="10"/>
      <c r="AJ11" s="10"/>
      <c r="AK11" s="11"/>
      <c r="AL11" s="43">
        <v>3</v>
      </c>
      <c r="AM11" s="44"/>
      <c r="AN11" s="44">
        <v>1</v>
      </c>
      <c r="AO11" s="44">
        <v>1</v>
      </c>
      <c r="AP11" s="45">
        <v>3</v>
      </c>
      <c r="AQ11" s="43">
        <v>0.5</v>
      </c>
      <c r="AR11" s="44"/>
      <c r="AS11" s="44">
        <v>0.15</v>
      </c>
      <c r="AT11" s="44">
        <v>0.5</v>
      </c>
      <c r="AU11" s="45">
        <v>2</v>
      </c>
      <c r="AV11" s="6">
        <v>3</v>
      </c>
      <c r="AW11" s="7">
        <v>3</v>
      </c>
      <c r="AX11" s="7">
        <v>3</v>
      </c>
      <c r="AY11" s="10"/>
      <c r="AZ11" s="11"/>
      <c r="BA11" s="9">
        <v>12</v>
      </c>
      <c r="BB11" s="10"/>
      <c r="BC11" s="11">
        <v>25</v>
      </c>
      <c r="BD11" s="171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26</v>
      </c>
      <c r="X12" s="10"/>
      <c r="Y12" s="10"/>
      <c r="Z12" s="10"/>
      <c r="AA12" s="11"/>
      <c r="AB12" s="43"/>
      <c r="AC12" s="44">
        <v>1</v>
      </c>
      <c r="AD12" s="44"/>
      <c r="AE12" s="44">
        <v>1</v>
      </c>
      <c r="AF12" s="45"/>
      <c r="AG12" s="9">
        <v>2</v>
      </c>
      <c r="AH12" s="10"/>
      <c r="AI12" s="10"/>
      <c r="AJ12" s="10"/>
      <c r="AK12" s="11"/>
      <c r="AL12" s="43"/>
      <c r="AM12" s="44">
        <v>1</v>
      </c>
      <c r="AN12" s="44">
        <v>1</v>
      </c>
      <c r="AO12" s="44">
        <v>1</v>
      </c>
      <c r="AP12" s="45">
        <v>1</v>
      </c>
      <c r="AQ12" s="43"/>
      <c r="AR12" s="44"/>
      <c r="AS12" s="44">
        <v>0.3</v>
      </c>
      <c r="AT12" s="44"/>
      <c r="AU12" s="45">
        <v>1</v>
      </c>
      <c r="AV12" s="6">
        <v>3</v>
      </c>
      <c r="AW12" s="7">
        <v>3</v>
      </c>
      <c r="AX12" s="7">
        <v>3</v>
      </c>
      <c r="AY12" s="10"/>
      <c r="AZ12" s="11"/>
      <c r="BA12" s="9">
        <v>12</v>
      </c>
      <c r="BB12" s="10"/>
      <c r="BC12" s="11">
        <v>10</v>
      </c>
      <c r="BD12" s="172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23</v>
      </c>
      <c r="X13" s="10"/>
      <c r="Y13" s="10"/>
      <c r="Z13" s="10"/>
      <c r="AA13" s="11"/>
      <c r="AB13" s="43">
        <v>1</v>
      </c>
      <c r="AC13" s="44"/>
      <c r="AD13" s="44"/>
      <c r="AE13" s="44"/>
      <c r="AF13" s="45">
        <v>1</v>
      </c>
      <c r="AG13" s="9">
        <v>4</v>
      </c>
      <c r="AH13" s="10"/>
      <c r="AI13" s="10"/>
      <c r="AJ13" s="10"/>
      <c r="AK13" s="11"/>
      <c r="AL13" s="43">
        <v>2</v>
      </c>
      <c r="AM13" s="44"/>
      <c r="AN13" s="44">
        <v>1</v>
      </c>
      <c r="AO13" s="44"/>
      <c r="AP13" s="45">
        <v>3</v>
      </c>
      <c r="AQ13" s="43">
        <v>1</v>
      </c>
      <c r="AR13" s="44"/>
      <c r="AS13" s="44">
        <v>0.15</v>
      </c>
      <c r="AT13" s="44"/>
      <c r="AU13" s="45">
        <v>1</v>
      </c>
      <c r="AV13" s="6">
        <v>3</v>
      </c>
      <c r="AW13" s="7">
        <v>3</v>
      </c>
      <c r="AX13" s="7">
        <v>3</v>
      </c>
      <c r="AY13" s="10"/>
      <c r="AZ13" s="11"/>
      <c r="BA13" s="9">
        <v>18</v>
      </c>
      <c r="BB13" s="10"/>
      <c r="BC13" s="11">
        <v>10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21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v>2</v>
      </c>
      <c r="AH14" s="10"/>
      <c r="AI14" s="10"/>
      <c r="AJ14" s="10"/>
      <c r="AK14" s="11"/>
      <c r="AL14" s="43"/>
      <c r="AM14" s="44"/>
      <c r="AN14" s="44">
        <v>1</v>
      </c>
      <c r="AO14" s="44"/>
      <c r="AP14" s="45">
        <v>1</v>
      </c>
      <c r="AQ14" s="43"/>
      <c r="AR14" s="44"/>
      <c r="AS14" s="44">
        <v>0.15</v>
      </c>
      <c r="AT14" s="44"/>
      <c r="AU14" s="45">
        <v>1</v>
      </c>
      <c r="AV14" s="6">
        <v>3</v>
      </c>
      <c r="AW14" s="7">
        <v>3</v>
      </c>
      <c r="AX14" s="7">
        <v>3</v>
      </c>
      <c r="AY14" s="10"/>
      <c r="AZ14" s="11"/>
      <c r="BA14" s="9">
        <v>6</v>
      </c>
      <c r="BB14" s="10"/>
      <c r="BC14" s="11">
        <v>10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28</v>
      </c>
      <c r="X15" s="10"/>
      <c r="Y15" s="10"/>
      <c r="Z15" s="10"/>
      <c r="AA15" s="11"/>
      <c r="AB15" s="43">
        <v>1</v>
      </c>
      <c r="AC15" s="44"/>
      <c r="AD15" s="44">
        <v>1</v>
      </c>
      <c r="AE15" s="44">
        <v>1</v>
      </c>
      <c r="AF15" s="45"/>
      <c r="AG15" s="9">
        <v>5</v>
      </c>
      <c r="AH15" s="10"/>
      <c r="AI15" s="10"/>
      <c r="AJ15" s="10"/>
      <c r="AK15" s="11"/>
      <c r="AL15" s="43">
        <v>1</v>
      </c>
      <c r="AM15" s="44"/>
      <c r="AN15" s="44">
        <v>2</v>
      </c>
      <c r="AO15" s="44">
        <v>2</v>
      </c>
      <c r="AP15" s="45">
        <v>2</v>
      </c>
      <c r="AQ15" s="43">
        <v>0.5</v>
      </c>
      <c r="AR15" s="44"/>
      <c r="AS15" s="44">
        <v>0.3</v>
      </c>
      <c r="AT15" s="44">
        <v>0.5</v>
      </c>
      <c r="AU15" s="45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18</v>
      </c>
      <c r="BB15" s="10"/>
      <c r="BC15" s="11">
        <v>25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24</v>
      </c>
      <c r="X16" s="10"/>
      <c r="Y16" s="10"/>
      <c r="Z16" s="10"/>
      <c r="AA16" s="11"/>
      <c r="AB16" s="43"/>
      <c r="AC16" s="44"/>
      <c r="AD16" s="44"/>
      <c r="AE16" s="44"/>
      <c r="AF16" s="45">
        <v>1</v>
      </c>
      <c r="AG16" s="9">
        <v>4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/>
      <c r="AP16" s="45">
        <v>3</v>
      </c>
      <c r="AQ16" s="43">
        <v>0.5</v>
      </c>
      <c r="AR16" s="44"/>
      <c r="AS16" s="44">
        <v>0.15</v>
      </c>
      <c r="AT16" s="44"/>
      <c r="AU16" s="45">
        <v>1.5</v>
      </c>
      <c r="AV16" s="6">
        <v>3</v>
      </c>
      <c r="AW16" s="7">
        <v>3</v>
      </c>
      <c r="AX16" s="7">
        <v>3</v>
      </c>
      <c r="AY16" s="10"/>
      <c r="AZ16" s="11"/>
      <c r="BA16" s="9">
        <v>12</v>
      </c>
      <c r="BB16" s="10"/>
      <c r="BC16" s="11">
        <v>15</v>
      </c>
      <c r="BD16" s="18"/>
      <c r="BE16" s="12"/>
    </row>
    <row r="17" spans="1:57" ht="31.9" customHeight="1" x14ac:dyDescent="0.2">
      <c r="A17" s="20">
        <v>10</v>
      </c>
      <c r="B17" s="16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25</v>
      </c>
      <c r="X17" s="10"/>
      <c r="Y17" s="10"/>
      <c r="Z17" s="10"/>
      <c r="AA17" s="11"/>
      <c r="AB17" s="43">
        <v>2</v>
      </c>
      <c r="AC17" s="44"/>
      <c r="AD17" s="44"/>
      <c r="AE17" s="44">
        <v>1</v>
      </c>
      <c r="AF17" s="45"/>
      <c r="AG17" s="9">
        <v>3</v>
      </c>
      <c r="AH17" s="10"/>
      <c r="AI17" s="10"/>
      <c r="AJ17" s="10"/>
      <c r="AK17" s="11"/>
      <c r="AL17" s="43">
        <v>2</v>
      </c>
      <c r="AM17" s="44"/>
      <c r="AN17" s="44">
        <v>1</v>
      </c>
      <c r="AO17" s="44">
        <v>1</v>
      </c>
      <c r="AP17" s="45">
        <v>1</v>
      </c>
      <c r="AQ17" s="43"/>
      <c r="AR17" s="44"/>
      <c r="AS17" s="44">
        <v>0.3</v>
      </c>
      <c r="AT17" s="44">
        <v>0.5</v>
      </c>
      <c r="AU17" s="45">
        <v>1</v>
      </c>
      <c r="AV17" s="6">
        <v>3</v>
      </c>
      <c r="AW17" s="7">
        <v>3</v>
      </c>
      <c r="AX17" s="7">
        <v>3</v>
      </c>
      <c r="AY17" s="10"/>
      <c r="AZ17" s="11"/>
      <c r="BA17" s="9">
        <v>12</v>
      </c>
      <c r="BB17" s="10"/>
      <c r="BC17" s="11">
        <v>15</v>
      </c>
      <c r="BD17" s="18"/>
      <c r="BE17" s="12"/>
    </row>
    <row r="18" spans="1:57" ht="31.9" customHeight="1" x14ac:dyDescent="0.2">
      <c r="A18" s="20">
        <v>11</v>
      </c>
      <c r="B18" s="16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27</v>
      </c>
      <c r="X18" s="10"/>
      <c r="Y18" s="10"/>
      <c r="Z18" s="10"/>
      <c r="AA18" s="11"/>
      <c r="AB18" s="43"/>
      <c r="AC18" s="44"/>
      <c r="AD18" s="44">
        <v>1</v>
      </c>
      <c r="AE18" s="44"/>
      <c r="AF18" s="45"/>
      <c r="AG18" s="9">
        <v>4</v>
      </c>
      <c r="AH18" s="10"/>
      <c r="AI18" s="10"/>
      <c r="AJ18" s="10"/>
      <c r="AK18" s="11"/>
      <c r="AL18" s="43">
        <v>1</v>
      </c>
      <c r="AM18" s="44"/>
      <c r="AN18" s="44">
        <v>2</v>
      </c>
      <c r="AO18" s="44"/>
      <c r="AP18" s="45">
        <v>2</v>
      </c>
      <c r="AQ18" s="43">
        <v>0.5</v>
      </c>
      <c r="AR18" s="44"/>
      <c r="AS18" s="44">
        <v>0.15</v>
      </c>
      <c r="AT18" s="44"/>
      <c r="AU18" s="45">
        <v>1.5</v>
      </c>
      <c r="AV18" s="6">
        <v>3</v>
      </c>
      <c r="AW18" s="7">
        <v>3</v>
      </c>
      <c r="AX18" s="7">
        <v>3</v>
      </c>
      <c r="AY18" s="10"/>
      <c r="AZ18" s="11"/>
      <c r="BA18" s="9">
        <v>12</v>
      </c>
      <c r="BB18" s="10"/>
      <c r="BC18" s="11">
        <v>15</v>
      </c>
      <c r="BD18" s="18"/>
      <c r="BE18" s="12"/>
    </row>
    <row r="19" spans="1:57" ht="31.9" customHeight="1" x14ac:dyDescent="0.2">
      <c r="A19" s="20">
        <v>12</v>
      </c>
      <c r="B19" s="16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26</v>
      </c>
      <c r="X19" s="10"/>
      <c r="Y19" s="10"/>
      <c r="Z19" s="10"/>
      <c r="AA19" s="11"/>
      <c r="AB19" s="43"/>
      <c r="AC19" s="44"/>
      <c r="AD19" s="44"/>
      <c r="AE19" s="44">
        <v>2</v>
      </c>
      <c r="AF19" s="45">
        <v>1</v>
      </c>
      <c r="AG19" s="9"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2</v>
      </c>
      <c r="AP19" s="45">
        <v>3</v>
      </c>
      <c r="AQ19" s="43">
        <v>1</v>
      </c>
      <c r="AR19" s="44"/>
      <c r="AS19" s="44">
        <v>0.15</v>
      </c>
      <c r="AT19" s="44"/>
      <c r="AU19" s="45">
        <v>2</v>
      </c>
      <c r="AV19" s="6">
        <v>3</v>
      </c>
      <c r="AW19" s="7">
        <v>3</v>
      </c>
      <c r="AX19" s="7">
        <v>3</v>
      </c>
      <c r="AY19" s="10"/>
      <c r="AZ19" s="11"/>
      <c r="BA19" s="9">
        <v>18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6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26</v>
      </c>
      <c r="X20" s="10"/>
      <c r="Y20" s="10"/>
      <c r="Z20" s="10"/>
      <c r="AA20" s="11"/>
      <c r="AB20" s="43">
        <v>1</v>
      </c>
      <c r="AC20" s="44"/>
      <c r="AD20" s="44"/>
      <c r="AE20" s="44"/>
      <c r="AF20" s="45"/>
      <c r="AG20" s="9">
        <v>4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/>
      <c r="AP20" s="45">
        <v>2</v>
      </c>
      <c r="AQ20" s="43">
        <v>0.5</v>
      </c>
      <c r="AR20" s="44"/>
      <c r="AS20" s="44">
        <v>0.15</v>
      </c>
      <c r="AT20" s="44"/>
      <c r="AU20" s="45">
        <v>1.5</v>
      </c>
      <c r="AV20" s="6">
        <v>3</v>
      </c>
      <c r="AW20" s="7">
        <v>3</v>
      </c>
      <c r="AX20" s="7">
        <v>3</v>
      </c>
      <c r="AY20" s="10"/>
      <c r="AZ20" s="11"/>
      <c r="BA20" s="9">
        <v>12</v>
      </c>
      <c r="BB20" s="10"/>
      <c r="BC20" s="11">
        <v>15</v>
      </c>
      <c r="BD20" s="18"/>
      <c r="BE20" s="12"/>
    </row>
    <row r="21" spans="1:57" ht="31.9" customHeight="1" x14ac:dyDescent="0.2">
      <c r="A21" s="20">
        <v>14</v>
      </c>
      <c r="B21" s="16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27</v>
      </c>
      <c r="X21" s="10"/>
      <c r="Y21" s="10"/>
      <c r="Z21" s="10"/>
      <c r="AA21" s="11"/>
      <c r="AB21" s="43"/>
      <c r="AC21" s="44"/>
      <c r="AD21" s="44"/>
      <c r="AE21" s="44">
        <v>2</v>
      </c>
      <c r="AF21" s="45">
        <v>1</v>
      </c>
      <c r="AG21" s="9">
        <v>6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>
        <v>1</v>
      </c>
      <c r="AP21" s="45">
        <v>5</v>
      </c>
      <c r="AQ21" s="43">
        <v>0.5</v>
      </c>
      <c r="AR21" s="44"/>
      <c r="AS21" s="44">
        <v>0.15</v>
      </c>
      <c r="AT21" s="44"/>
      <c r="AU21" s="45">
        <v>3</v>
      </c>
      <c r="AV21" s="6">
        <v>3</v>
      </c>
      <c r="AW21" s="7">
        <v>3</v>
      </c>
      <c r="AX21" s="7">
        <v>3</v>
      </c>
      <c r="AY21" s="10"/>
      <c r="AZ21" s="11"/>
      <c r="BA21" s="9">
        <v>12</v>
      </c>
      <c r="BB21" s="10"/>
      <c r="BC21" s="11">
        <v>30</v>
      </c>
      <c r="BD21" s="18"/>
      <c r="BE21" s="12"/>
    </row>
    <row r="22" spans="1:57" ht="31.9" customHeight="1" x14ac:dyDescent="0.2">
      <c r="A22" s="20">
        <v>15</v>
      </c>
      <c r="B22" s="16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27</v>
      </c>
      <c r="X22" s="10"/>
      <c r="Y22" s="10"/>
      <c r="Z22" s="10"/>
      <c r="AA22" s="11"/>
      <c r="AB22" s="43">
        <v>1</v>
      </c>
      <c r="AC22" s="44">
        <v>1</v>
      </c>
      <c r="AD22" s="44"/>
      <c r="AE22" s="44"/>
      <c r="AF22" s="45">
        <v>1</v>
      </c>
      <c r="AG22" s="9">
        <v>3</v>
      </c>
      <c r="AH22" s="10"/>
      <c r="AI22" s="10"/>
      <c r="AJ22" s="10"/>
      <c r="AK22" s="11"/>
      <c r="AL22" s="43">
        <v>2</v>
      </c>
      <c r="AM22" s="44">
        <v>1</v>
      </c>
      <c r="AN22" s="44">
        <v>1</v>
      </c>
      <c r="AO22" s="44"/>
      <c r="AP22" s="45">
        <v>1</v>
      </c>
      <c r="AQ22" s="43">
        <v>1</v>
      </c>
      <c r="AR22" s="44"/>
      <c r="AS22" s="44">
        <v>0.15</v>
      </c>
      <c r="AT22" s="44"/>
      <c r="AU22" s="45">
        <v>1</v>
      </c>
      <c r="AV22" s="6">
        <v>3</v>
      </c>
      <c r="AW22" s="7">
        <v>3</v>
      </c>
      <c r="AX22" s="7">
        <v>3</v>
      </c>
      <c r="AY22" s="10"/>
      <c r="AZ22" s="11"/>
      <c r="BA22" s="9">
        <v>18</v>
      </c>
      <c r="BB22" s="10"/>
      <c r="BC22" s="11">
        <v>10</v>
      </c>
      <c r="BD22" s="18"/>
      <c r="BE22" s="12"/>
    </row>
    <row r="23" spans="1:57" ht="31.9" customHeight="1" x14ac:dyDescent="0.2">
      <c r="A23" s="20">
        <v>16</v>
      </c>
      <c r="B23" s="16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24</v>
      </c>
      <c r="X23" s="10"/>
      <c r="Y23" s="10"/>
      <c r="Z23" s="10"/>
      <c r="AA23" s="11"/>
      <c r="AB23" s="43">
        <v>1</v>
      </c>
      <c r="AC23" s="44"/>
      <c r="AD23" s="44">
        <v>1</v>
      </c>
      <c r="AE23" s="44">
        <v>1</v>
      </c>
      <c r="AF23" s="45">
        <v>1</v>
      </c>
      <c r="AG23" s="9">
        <v>5</v>
      </c>
      <c r="AH23" s="10"/>
      <c r="AI23" s="10"/>
      <c r="AJ23" s="10"/>
      <c r="AK23" s="11"/>
      <c r="AL23" s="43">
        <v>2</v>
      </c>
      <c r="AM23" s="44"/>
      <c r="AN23" s="44">
        <v>1</v>
      </c>
      <c r="AO23" s="44">
        <v>2</v>
      </c>
      <c r="AP23" s="45">
        <v>2</v>
      </c>
      <c r="AQ23" s="43">
        <v>0.5</v>
      </c>
      <c r="AR23" s="44"/>
      <c r="AS23" s="44">
        <v>0.3</v>
      </c>
      <c r="AT23" s="44">
        <v>0.5</v>
      </c>
      <c r="AU23" s="45">
        <v>2</v>
      </c>
      <c r="AV23" s="6">
        <v>3</v>
      </c>
      <c r="AW23" s="7">
        <v>3</v>
      </c>
      <c r="AX23" s="7">
        <v>3</v>
      </c>
      <c r="AY23" s="10"/>
      <c r="AZ23" s="11"/>
      <c r="BA23" s="9">
        <v>18</v>
      </c>
      <c r="BB23" s="10"/>
      <c r="BC23" s="11">
        <v>25</v>
      </c>
      <c r="BD23" s="18"/>
      <c r="BE23" s="12"/>
    </row>
    <row r="24" spans="1:57" ht="31.9" customHeight="1" x14ac:dyDescent="0.2">
      <c r="A24" s="20">
        <v>17</v>
      </c>
      <c r="B24" s="16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26</v>
      </c>
      <c r="X24" s="10"/>
      <c r="Y24" s="10"/>
      <c r="Z24" s="10"/>
      <c r="AA24" s="11"/>
      <c r="AB24" s="43"/>
      <c r="AC24" s="44"/>
      <c r="AD24" s="44"/>
      <c r="AE24" s="44">
        <v>2</v>
      </c>
      <c r="AF24" s="45"/>
      <c r="AG24" s="9">
        <v>3</v>
      </c>
      <c r="AH24" s="10"/>
      <c r="AI24" s="10"/>
      <c r="AJ24" s="10"/>
      <c r="AK24" s="11"/>
      <c r="AL24" s="43"/>
      <c r="AM24" s="44">
        <v>1</v>
      </c>
      <c r="AN24" s="44">
        <v>1</v>
      </c>
      <c r="AO24" s="44">
        <v>2</v>
      </c>
      <c r="AP24" s="45">
        <v>1</v>
      </c>
      <c r="AQ24" s="43"/>
      <c r="AR24" s="44">
        <v>0.5</v>
      </c>
      <c r="AS24" s="44">
        <v>0.15</v>
      </c>
      <c r="AT24" s="44"/>
      <c r="AU24" s="45">
        <v>1</v>
      </c>
      <c r="AV24" s="6">
        <v>3</v>
      </c>
      <c r="AW24" s="7">
        <v>3</v>
      </c>
      <c r="AX24" s="7">
        <v>3</v>
      </c>
      <c r="AY24" s="10"/>
      <c r="AZ24" s="11"/>
      <c r="BA24" s="9">
        <v>12</v>
      </c>
      <c r="BB24" s="10"/>
      <c r="BC24" s="11">
        <v>10</v>
      </c>
      <c r="BD24" s="18"/>
      <c r="BE24" s="12"/>
    </row>
    <row r="25" spans="1:57" s="183" customFormat="1" ht="31.9" customHeight="1" x14ac:dyDescent="0.2">
      <c r="A25" s="20">
        <v>18</v>
      </c>
      <c r="B25" s="16" t="s">
        <v>48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27</v>
      </c>
      <c r="X25" s="10"/>
      <c r="Y25" s="10"/>
      <c r="Z25" s="10"/>
      <c r="AA25" s="11"/>
      <c r="AB25" s="43">
        <v>1</v>
      </c>
      <c r="AC25" s="44"/>
      <c r="AD25" s="44"/>
      <c r="AE25" s="44">
        <v>1</v>
      </c>
      <c r="AF25" s="45"/>
      <c r="AG25" s="9">
        <v>4</v>
      </c>
      <c r="AH25" s="10"/>
      <c r="AI25" s="10"/>
      <c r="AJ25" s="10"/>
      <c r="AK25" s="11"/>
      <c r="AL25" s="43">
        <v>2</v>
      </c>
      <c r="AM25" s="44"/>
      <c r="AN25" s="44">
        <v>1</v>
      </c>
      <c r="AO25" s="44">
        <v>1</v>
      </c>
      <c r="AP25" s="45">
        <v>2</v>
      </c>
      <c r="AQ25" s="43">
        <v>0.5</v>
      </c>
      <c r="AR25" s="44"/>
      <c r="AS25" s="44">
        <v>0.15</v>
      </c>
      <c r="AT25" s="44"/>
      <c r="AU25" s="45">
        <v>1.5</v>
      </c>
      <c r="AV25" s="6">
        <v>3</v>
      </c>
      <c r="AW25" s="7">
        <v>3</v>
      </c>
      <c r="AX25" s="7">
        <v>3</v>
      </c>
      <c r="AY25" s="10"/>
      <c r="AZ25" s="11"/>
      <c r="BA25" s="9">
        <v>12</v>
      </c>
      <c r="BB25" s="10"/>
      <c r="BC25" s="11">
        <v>15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58"/>
      <c r="AR26" s="59"/>
      <c r="AS26" s="59"/>
      <c r="AT26" s="59"/>
      <c r="AU26" s="48"/>
      <c r="AV26" s="9"/>
      <c r="AW26" s="10"/>
      <c r="AX26" s="10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58"/>
      <c r="AR27" s="59"/>
      <c r="AS27" s="59"/>
      <c r="AT27" s="59"/>
      <c r="AU27" s="48"/>
      <c r="AV27" s="9"/>
      <c r="AW27" s="10"/>
      <c r="AX27" s="10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462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11</v>
      </c>
      <c r="AC28" s="65">
        <f t="shared" si="3"/>
        <v>2</v>
      </c>
      <c r="AD28" s="65">
        <f t="shared" si="3"/>
        <v>5</v>
      </c>
      <c r="AE28" s="65">
        <f t="shared" si="3"/>
        <v>13</v>
      </c>
      <c r="AF28" s="66">
        <f t="shared" si="3"/>
        <v>8</v>
      </c>
      <c r="AG28" s="29">
        <f t="shared" si="3"/>
        <v>72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23</v>
      </c>
      <c r="AM28" s="65">
        <f t="shared" si="4"/>
        <v>4</v>
      </c>
      <c r="AN28" s="65">
        <f t="shared" si="4"/>
        <v>22</v>
      </c>
      <c r="AO28" s="65">
        <f t="shared" si="4"/>
        <v>15</v>
      </c>
      <c r="AP28" s="66">
        <f t="shared" si="4"/>
        <v>39</v>
      </c>
      <c r="AQ28" s="119">
        <f t="shared" si="4"/>
        <v>9.5</v>
      </c>
      <c r="AR28" s="115">
        <f t="shared" si="4"/>
        <v>0.83000000000000007</v>
      </c>
      <c r="AS28" s="115">
        <f t="shared" si="4"/>
        <v>3.5999999999999988</v>
      </c>
      <c r="AT28" s="115">
        <f t="shared" si="4"/>
        <v>3</v>
      </c>
      <c r="AU28" s="120">
        <f t="shared" si="4"/>
        <v>28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268</v>
      </c>
      <c r="BB28" s="47">
        <f t="shared" si="4"/>
        <v>0</v>
      </c>
      <c r="BC28" s="49">
        <f t="shared" si="4"/>
        <v>310</v>
      </c>
      <c r="BD28" s="19">
        <f t="shared" si="4"/>
        <v>0</v>
      </c>
      <c r="BE28" s="2">
        <f t="shared" si="4"/>
        <v>0</v>
      </c>
    </row>
    <row r="30" spans="1:57" ht="36" x14ac:dyDescent="0.25">
      <c r="AQ30" s="28" t="s">
        <v>71</v>
      </c>
      <c r="AR30" s="28" t="s">
        <v>61</v>
      </c>
      <c r="AS30" s="28" t="s">
        <v>64</v>
      </c>
      <c r="AT30" s="28" t="s">
        <v>62</v>
      </c>
      <c r="AU30" s="28" t="s">
        <v>63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33"/>
  <sheetViews>
    <sheetView zoomScale="90" zoomScaleNormal="90" workbookViewId="0">
      <pane xSplit="2" ySplit="7" topLeftCell="O14" activePane="bottomRight" state="frozen"/>
      <selection activeCell="C3" sqref="C3"/>
      <selection pane="topRight" activeCell="C3" sqref="C3"/>
      <selection pane="bottomLeft" activeCell="C3" sqref="C3"/>
      <selection pane="bottomRight" activeCell="AW9" sqref="AW9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28515625" style="28" bestFit="1" customWidth="1"/>
    <col min="44" max="44" width="8.5703125" style="28" bestFit="1" customWidth="1"/>
    <col min="45" max="45" width="13" style="28" bestFit="1" customWidth="1"/>
    <col min="46" max="46" width="8.85546875" style="28" customWidth="1"/>
    <col min="47" max="47" width="11.140625" style="28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2.5" x14ac:dyDescent="0.3">
      <c r="B2" s="89" t="s">
        <v>41</v>
      </c>
      <c r="AP2" s="127">
        <v>2</v>
      </c>
      <c r="AQ2" s="127">
        <v>3</v>
      </c>
      <c r="AR2" s="127">
        <v>4</v>
      </c>
      <c r="AS2" s="127">
        <v>5</v>
      </c>
      <c r="AT2" s="127">
        <v>6</v>
      </c>
      <c r="AU2" s="127">
        <v>7</v>
      </c>
      <c r="AV2" s="127">
        <v>8</v>
      </c>
      <c r="AW2" s="127">
        <v>9</v>
      </c>
      <c r="AX2" s="127">
        <v>10</v>
      </c>
      <c r="AY2" s="127">
        <v>11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P3" s="128">
        <f>2/12</f>
        <v>0.16666666666666666</v>
      </c>
      <c r="AQ3" s="128">
        <f>3/12</f>
        <v>0.25</v>
      </c>
      <c r="AR3" s="128">
        <f>4/12</f>
        <v>0.33333333333333331</v>
      </c>
      <c r="AS3" s="128">
        <f>5/12</f>
        <v>0.41666666666666669</v>
      </c>
      <c r="AT3" s="128">
        <f>6/12</f>
        <v>0.5</v>
      </c>
      <c r="AU3" s="128">
        <f>7/12</f>
        <v>0.58333333333333337</v>
      </c>
      <c r="AV3" s="128">
        <f>8/12</f>
        <v>0.66666666666666663</v>
      </c>
      <c r="AW3" s="128">
        <f>9/12</f>
        <v>0.75</v>
      </c>
      <c r="AX3" s="128">
        <f>10/12</f>
        <v>0.83333333333333337</v>
      </c>
      <c r="AY3" s="128">
        <f>11/12</f>
        <v>0.91666666666666663</v>
      </c>
    </row>
    <row r="4" spans="1:57" ht="18.75" thickBot="1" x14ac:dyDescent="0.3">
      <c r="A4" s="133"/>
      <c r="B4" s="133"/>
    </row>
    <row r="5" spans="1:57" ht="57.75" customHeight="1" thickBot="1" x14ac:dyDescent="0.25">
      <c r="C5" s="156" t="s">
        <v>1</v>
      </c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3" t="s">
        <v>22</v>
      </c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5"/>
      <c r="BD5" s="134" t="s">
        <v>6</v>
      </c>
      <c r="BE5" s="134" t="s">
        <v>7</v>
      </c>
    </row>
    <row r="6" spans="1:57" ht="69.75" customHeight="1" thickBot="1" x14ac:dyDescent="0.25">
      <c r="A6" s="137" t="s">
        <v>24</v>
      </c>
      <c r="B6" s="137" t="s">
        <v>8</v>
      </c>
      <c r="C6" s="158" t="s">
        <v>9</v>
      </c>
      <c r="D6" s="159"/>
      <c r="E6" s="159"/>
      <c r="F6" s="159"/>
      <c r="G6" s="160"/>
      <c r="H6" s="158" t="s">
        <v>15</v>
      </c>
      <c r="I6" s="159"/>
      <c r="J6" s="159"/>
      <c r="K6" s="159"/>
      <c r="L6" s="160"/>
      <c r="M6" s="141" t="s">
        <v>16</v>
      </c>
      <c r="N6" s="142"/>
      <c r="O6" s="142"/>
      <c r="P6" s="142"/>
      <c r="Q6" s="143"/>
      <c r="R6" s="141" t="s">
        <v>25</v>
      </c>
      <c r="S6" s="142"/>
      <c r="T6" s="142"/>
      <c r="U6" s="142"/>
      <c r="V6" s="143"/>
      <c r="W6" s="144" t="s">
        <v>9</v>
      </c>
      <c r="X6" s="145"/>
      <c r="Y6" s="145"/>
      <c r="Z6" s="145"/>
      <c r="AA6" s="146"/>
      <c r="AB6" s="164" t="s">
        <v>27</v>
      </c>
      <c r="AC6" s="165"/>
      <c r="AD6" s="165"/>
      <c r="AE6" s="165"/>
      <c r="AF6" s="166"/>
      <c r="AG6" s="147" t="s">
        <v>15</v>
      </c>
      <c r="AH6" s="148"/>
      <c r="AI6" s="148"/>
      <c r="AJ6" s="148"/>
      <c r="AK6" s="149"/>
      <c r="AL6" s="161" t="s">
        <v>28</v>
      </c>
      <c r="AM6" s="162"/>
      <c r="AN6" s="162"/>
      <c r="AO6" s="162"/>
      <c r="AP6" s="163"/>
      <c r="AQ6" s="167" t="s">
        <v>25</v>
      </c>
      <c r="AR6" s="168"/>
      <c r="AS6" s="168"/>
      <c r="AT6" s="168"/>
      <c r="AU6" s="169"/>
      <c r="AV6" s="150" t="s">
        <v>16</v>
      </c>
      <c r="AW6" s="151"/>
      <c r="AX6" s="151"/>
      <c r="AY6" s="151"/>
      <c r="AZ6" s="152"/>
      <c r="BA6" s="173" t="s">
        <v>26</v>
      </c>
      <c r="BB6" s="174"/>
      <c r="BC6" s="175"/>
      <c r="BD6" s="135"/>
      <c r="BE6" s="135"/>
    </row>
    <row r="7" spans="1:57" ht="222.75" customHeight="1" thickBot="1" x14ac:dyDescent="0.25">
      <c r="A7" s="138"/>
      <c r="B7" s="138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6"/>
      <c r="BE7" s="136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/>
      <c r="AC8" s="41"/>
      <c r="AD8" s="41"/>
      <c r="AE8" s="41">
        <v>1</v>
      </c>
      <c r="AF8" s="42">
        <v>1</v>
      </c>
      <c r="AG8" s="6">
        <v>3</v>
      </c>
      <c r="AH8" s="7"/>
      <c r="AI8" s="7"/>
      <c r="AJ8" s="7"/>
      <c r="AK8" s="8"/>
      <c r="AL8" s="40">
        <v>1</v>
      </c>
      <c r="AM8" s="41"/>
      <c r="AN8" s="41">
        <v>1</v>
      </c>
      <c r="AO8" s="41">
        <v>1</v>
      </c>
      <c r="AP8" s="42">
        <v>2</v>
      </c>
      <c r="AQ8" s="107">
        <v>0.5</v>
      </c>
      <c r="AR8" s="108"/>
      <c r="AS8" s="108">
        <v>0.15</v>
      </c>
      <c r="AT8" s="108"/>
      <c r="AU8" s="109">
        <v>1</v>
      </c>
      <c r="AV8" s="6">
        <v>3</v>
      </c>
      <c r="AW8" s="7">
        <v>3</v>
      </c>
      <c r="AX8" s="7">
        <v>3</v>
      </c>
      <c r="AY8" s="7"/>
      <c r="AZ8" s="8"/>
      <c r="BA8" s="6">
        <v>12</v>
      </c>
      <c r="BB8" s="7"/>
      <c r="BC8" s="8">
        <v>10</v>
      </c>
      <c r="BD8" s="180"/>
      <c r="BE8" s="13"/>
    </row>
    <row r="9" spans="1:57" ht="31.9" customHeight="1" x14ac:dyDescent="0.2">
      <c r="A9" s="20">
        <v>2</v>
      </c>
      <c r="B9" s="16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20</v>
      </c>
      <c r="X9" s="10"/>
      <c r="Y9" s="10"/>
      <c r="Z9" s="10"/>
      <c r="AA9" s="11"/>
      <c r="AB9" s="43">
        <v>1</v>
      </c>
      <c r="AC9" s="44"/>
      <c r="AD9" s="44"/>
      <c r="AE9" s="44">
        <v>1</v>
      </c>
      <c r="AF9" s="45"/>
      <c r="AG9" s="9">
        <v>5</v>
      </c>
      <c r="AH9" s="10"/>
      <c r="AI9" s="10"/>
      <c r="AJ9" s="10"/>
      <c r="AK9" s="11"/>
      <c r="AL9" s="43">
        <v>1</v>
      </c>
      <c r="AM9" s="44"/>
      <c r="AN9" s="44"/>
      <c r="AO9" s="44">
        <v>2</v>
      </c>
      <c r="AP9" s="45">
        <v>2</v>
      </c>
      <c r="AQ9" s="106">
        <v>0.5</v>
      </c>
      <c r="AR9" s="110"/>
      <c r="AS9" s="110"/>
      <c r="AT9" s="110">
        <v>0.5</v>
      </c>
      <c r="AU9" s="111">
        <v>2</v>
      </c>
      <c r="AV9" s="6">
        <v>3</v>
      </c>
      <c r="AW9" s="7">
        <v>3</v>
      </c>
      <c r="AX9" s="7">
        <v>3</v>
      </c>
      <c r="AY9" s="10"/>
      <c r="AZ9" s="11"/>
      <c r="BA9" s="9">
        <v>6</v>
      </c>
      <c r="BB9" s="10"/>
      <c r="BC9" s="11">
        <v>25</v>
      </c>
      <c r="BD9" s="172"/>
      <c r="BE9" s="12"/>
    </row>
    <row r="10" spans="1:57" ht="31.9" customHeight="1" x14ac:dyDescent="0.2">
      <c r="A10" s="20">
        <v>3</v>
      </c>
      <c r="B10" s="16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22</v>
      </c>
      <c r="X10" s="10"/>
      <c r="Y10" s="10"/>
      <c r="Z10" s="10"/>
      <c r="AA10" s="11"/>
      <c r="AB10" s="43">
        <v>1</v>
      </c>
      <c r="AC10" s="44"/>
      <c r="AD10" s="44"/>
      <c r="AE10" s="44"/>
      <c r="AF10" s="45"/>
      <c r="AG10" s="9">
        <v>4</v>
      </c>
      <c r="AH10" s="10"/>
      <c r="AI10" s="10"/>
      <c r="AJ10" s="10"/>
      <c r="AK10" s="11"/>
      <c r="AL10" s="43">
        <v>1</v>
      </c>
      <c r="AM10" s="44"/>
      <c r="AN10" s="44">
        <v>1</v>
      </c>
      <c r="AO10" s="44"/>
      <c r="AP10" s="45">
        <v>2</v>
      </c>
      <c r="AQ10" s="106">
        <v>0.5</v>
      </c>
      <c r="AR10" s="110"/>
      <c r="AS10" s="110">
        <v>0.15</v>
      </c>
      <c r="AT10" s="110"/>
      <c r="AU10" s="111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12</v>
      </c>
      <c r="BB10" s="10"/>
      <c r="BC10" s="11">
        <v>10</v>
      </c>
      <c r="BD10" s="170"/>
      <c r="BE10" s="177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24</v>
      </c>
      <c r="X11" s="10"/>
      <c r="Y11" s="10"/>
      <c r="Z11" s="10"/>
      <c r="AA11" s="11"/>
      <c r="AB11" s="43"/>
      <c r="AC11" s="44"/>
      <c r="AD11" s="44"/>
      <c r="AE11" s="44">
        <v>1</v>
      </c>
      <c r="AF11" s="45">
        <v>1</v>
      </c>
      <c r="AG11" s="9">
        <v>4</v>
      </c>
      <c r="AH11" s="10"/>
      <c r="AI11" s="10"/>
      <c r="AJ11" s="10"/>
      <c r="AK11" s="11"/>
      <c r="AL11" s="43">
        <v>1</v>
      </c>
      <c r="AM11" s="44"/>
      <c r="AN11" s="44"/>
      <c r="AO11" s="44">
        <v>2</v>
      </c>
      <c r="AP11" s="45">
        <v>3</v>
      </c>
      <c r="AQ11" s="106">
        <v>0.5</v>
      </c>
      <c r="AR11" s="110"/>
      <c r="AS11" s="110"/>
      <c r="AT11" s="110">
        <v>0.5</v>
      </c>
      <c r="AU11" s="111">
        <v>2</v>
      </c>
      <c r="AV11" s="6">
        <v>3</v>
      </c>
      <c r="AW11" s="7">
        <v>3</v>
      </c>
      <c r="AX11" s="7">
        <v>3</v>
      </c>
      <c r="AY11" s="10"/>
      <c r="AZ11" s="11"/>
      <c r="BA11" s="9">
        <v>6</v>
      </c>
      <c r="BB11" s="10"/>
      <c r="BC11" s="11">
        <v>25</v>
      </c>
      <c r="BD11" s="171"/>
      <c r="BE11" s="178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20</v>
      </c>
      <c r="X12" s="10"/>
      <c r="Y12" s="10"/>
      <c r="Z12" s="10"/>
      <c r="AA12" s="11"/>
      <c r="AB12" s="43"/>
      <c r="AC12" s="44"/>
      <c r="AD12" s="44"/>
      <c r="AE12" s="44"/>
      <c r="AF12" s="45"/>
      <c r="AG12" s="9">
        <v>4</v>
      </c>
      <c r="AH12" s="10"/>
      <c r="AI12" s="10"/>
      <c r="AJ12" s="10"/>
      <c r="AK12" s="11"/>
      <c r="AL12" s="43">
        <v>1</v>
      </c>
      <c r="AM12" s="44"/>
      <c r="AN12" s="44"/>
      <c r="AO12" s="44">
        <v>1</v>
      </c>
      <c r="AP12" s="45">
        <v>2</v>
      </c>
      <c r="AQ12" s="106">
        <v>0.5</v>
      </c>
      <c r="AR12" s="110"/>
      <c r="AS12" s="110"/>
      <c r="AT12" s="110">
        <v>0.5</v>
      </c>
      <c r="AU12" s="111">
        <v>2</v>
      </c>
      <c r="AV12" s="6">
        <v>3</v>
      </c>
      <c r="AW12" s="7">
        <v>3</v>
      </c>
      <c r="AX12" s="7">
        <v>3</v>
      </c>
      <c r="AY12" s="10"/>
      <c r="AZ12" s="11"/>
      <c r="BA12" s="9">
        <v>6</v>
      </c>
      <c r="BB12" s="10"/>
      <c r="BC12" s="11">
        <v>25</v>
      </c>
      <c r="BD12" s="172"/>
      <c r="BE12" s="179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20</v>
      </c>
      <c r="X13" s="10"/>
      <c r="Y13" s="10"/>
      <c r="Z13" s="10"/>
      <c r="AA13" s="11"/>
      <c r="AB13" s="43">
        <v>1</v>
      </c>
      <c r="AC13" s="44">
        <v>1</v>
      </c>
      <c r="AD13" s="44"/>
      <c r="AE13" s="44">
        <v>1</v>
      </c>
      <c r="AF13" s="45">
        <v>1</v>
      </c>
      <c r="AG13" s="9">
        <v>3</v>
      </c>
      <c r="AH13" s="10"/>
      <c r="AI13" s="10"/>
      <c r="AJ13" s="10"/>
      <c r="AK13" s="11"/>
      <c r="AL13" s="43">
        <v>1</v>
      </c>
      <c r="AM13" s="44"/>
      <c r="AN13" s="44">
        <v>1</v>
      </c>
      <c r="AO13" s="44">
        <v>1</v>
      </c>
      <c r="AP13" s="45">
        <v>2</v>
      </c>
      <c r="AQ13" s="106">
        <v>0.5</v>
      </c>
      <c r="AR13" s="110"/>
      <c r="AS13" s="110">
        <v>0.15</v>
      </c>
      <c r="AT13" s="110"/>
      <c r="AU13" s="111">
        <v>1</v>
      </c>
      <c r="AV13" s="6">
        <v>3</v>
      </c>
      <c r="AW13" s="7">
        <v>3</v>
      </c>
      <c r="AX13" s="7">
        <v>3</v>
      </c>
      <c r="AY13" s="10"/>
      <c r="AZ13" s="11"/>
      <c r="BA13" s="9">
        <v>12</v>
      </c>
      <c r="BB13" s="10"/>
      <c r="BC13" s="11">
        <v>10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20</v>
      </c>
      <c r="X14" s="10"/>
      <c r="Y14" s="10"/>
      <c r="Z14" s="10"/>
      <c r="AA14" s="11"/>
      <c r="AB14" s="43">
        <v>1</v>
      </c>
      <c r="AC14" s="44"/>
      <c r="AD14" s="44"/>
      <c r="AE14" s="44">
        <v>2</v>
      </c>
      <c r="AF14" s="45"/>
      <c r="AG14" s="9">
        <v>4</v>
      </c>
      <c r="AH14" s="10"/>
      <c r="AI14" s="10"/>
      <c r="AJ14" s="10"/>
      <c r="AK14" s="11"/>
      <c r="AL14" s="43">
        <v>1</v>
      </c>
      <c r="AM14" s="44"/>
      <c r="AN14" s="44"/>
      <c r="AO14" s="44">
        <v>3</v>
      </c>
      <c r="AP14" s="45">
        <v>2</v>
      </c>
      <c r="AQ14" s="106">
        <v>0.5</v>
      </c>
      <c r="AR14" s="110"/>
      <c r="AS14" s="110"/>
      <c r="AT14" s="110">
        <v>0.5</v>
      </c>
      <c r="AU14" s="111">
        <v>2</v>
      </c>
      <c r="AV14" s="6">
        <v>3</v>
      </c>
      <c r="AW14" s="7">
        <v>3</v>
      </c>
      <c r="AX14" s="7">
        <v>3</v>
      </c>
      <c r="AY14" s="10"/>
      <c r="AZ14" s="11"/>
      <c r="BA14" s="9">
        <v>6</v>
      </c>
      <c r="BB14" s="10"/>
      <c r="BC14" s="11">
        <v>25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23</v>
      </c>
      <c r="X15" s="10"/>
      <c r="Y15" s="10"/>
      <c r="Z15" s="10"/>
      <c r="AA15" s="11"/>
      <c r="AB15" s="43"/>
      <c r="AC15" s="44"/>
      <c r="AD15" s="44">
        <v>1</v>
      </c>
      <c r="AE15" s="44"/>
      <c r="AF15" s="45">
        <v>1</v>
      </c>
      <c r="AG15" s="9">
        <v>4</v>
      </c>
      <c r="AH15" s="10"/>
      <c r="AI15" s="10"/>
      <c r="AJ15" s="10"/>
      <c r="AK15" s="11"/>
      <c r="AL15" s="43">
        <v>1</v>
      </c>
      <c r="AM15" s="44">
        <v>1</v>
      </c>
      <c r="AN15" s="44"/>
      <c r="AO15" s="44">
        <v>1</v>
      </c>
      <c r="AP15" s="45">
        <v>3</v>
      </c>
      <c r="AQ15" s="106">
        <v>0.5</v>
      </c>
      <c r="AR15" s="110"/>
      <c r="AS15" s="110"/>
      <c r="AT15" s="110">
        <v>0.5</v>
      </c>
      <c r="AU15" s="111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6</v>
      </c>
      <c r="BB15" s="10"/>
      <c r="BC15" s="11">
        <v>25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20</v>
      </c>
      <c r="X16" s="10"/>
      <c r="Y16" s="10"/>
      <c r="Z16" s="10"/>
      <c r="AA16" s="11"/>
      <c r="AB16" s="43">
        <v>2</v>
      </c>
      <c r="AC16" s="44"/>
      <c r="AD16" s="44"/>
      <c r="AE16" s="44">
        <v>1</v>
      </c>
      <c r="AF16" s="45"/>
      <c r="AG16" s="9">
        <v>4</v>
      </c>
      <c r="AH16" s="10"/>
      <c r="AI16" s="10"/>
      <c r="AJ16" s="10"/>
      <c r="AK16" s="11"/>
      <c r="AL16" s="43">
        <v>1</v>
      </c>
      <c r="AM16" s="44"/>
      <c r="AN16" s="44"/>
      <c r="AO16" s="44">
        <v>2</v>
      </c>
      <c r="AP16" s="45">
        <v>2</v>
      </c>
      <c r="AQ16" s="106">
        <v>0.5</v>
      </c>
      <c r="AR16" s="110"/>
      <c r="AS16" s="110"/>
      <c r="AT16" s="110">
        <v>0.5</v>
      </c>
      <c r="AU16" s="111">
        <v>2</v>
      </c>
      <c r="AV16" s="6">
        <v>3</v>
      </c>
      <c r="AW16" s="7">
        <v>3</v>
      </c>
      <c r="AX16" s="7">
        <v>3</v>
      </c>
      <c r="AY16" s="10"/>
      <c r="AZ16" s="11"/>
      <c r="BA16" s="9">
        <v>6</v>
      </c>
      <c r="BB16" s="10"/>
      <c r="BC16" s="11">
        <v>25</v>
      </c>
      <c r="BD16" s="18"/>
      <c r="BE16" s="12"/>
    </row>
    <row r="17" spans="1:57" ht="31.9" customHeight="1" x14ac:dyDescent="0.2">
      <c r="A17" s="20">
        <v>10</v>
      </c>
      <c r="B17" s="16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/>
      <c r="AD17" s="44"/>
      <c r="AE17" s="44">
        <v>1</v>
      </c>
      <c r="AF17" s="45"/>
      <c r="AG17" s="9">
        <v>5</v>
      </c>
      <c r="AH17" s="10"/>
      <c r="AI17" s="10"/>
      <c r="AJ17" s="10"/>
      <c r="AK17" s="11"/>
      <c r="AL17" s="43">
        <v>1</v>
      </c>
      <c r="AM17" s="44"/>
      <c r="AN17" s="44"/>
      <c r="AO17" s="44">
        <v>2</v>
      </c>
      <c r="AP17" s="45">
        <v>3</v>
      </c>
      <c r="AQ17" s="106">
        <v>0.5</v>
      </c>
      <c r="AR17" s="110"/>
      <c r="AS17" s="110"/>
      <c r="AT17" s="110">
        <v>1</v>
      </c>
      <c r="AU17" s="111">
        <v>2</v>
      </c>
      <c r="AV17" s="6">
        <v>3</v>
      </c>
      <c r="AW17" s="7">
        <v>3</v>
      </c>
      <c r="AX17" s="7">
        <v>3</v>
      </c>
      <c r="AY17" s="10"/>
      <c r="AZ17" s="11"/>
      <c r="BA17" s="9">
        <v>6</v>
      </c>
      <c r="BB17" s="10"/>
      <c r="BC17" s="11">
        <v>30</v>
      </c>
      <c r="BD17" s="18"/>
      <c r="BE17" s="12"/>
    </row>
    <row r="18" spans="1:57" ht="31.9" customHeight="1" x14ac:dyDescent="0.2">
      <c r="A18" s="20">
        <v>11</v>
      </c>
      <c r="B18" s="16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20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/>
      <c r="AG18" s="9">
        <v>5</v>
      </c>
      <c r="AH18" s="10"/>
      <c r="AI18" s="10"/>
      <c r="AJ18" s="10"/>
      <c r="AK18" s="11"/>
      <c r="AL18" s="43">
        <v>1</v>
      </c>
      <c r="AM18" s="44">
        <v>1</v>
      </c>
      <c r="AN18" s="44"/>
      <c r="AO18" s="44">
        <v>1</v>
      </c>
      <c r="AP18" s="45">
        <v>2</v>
      </c>
      <c r="AQ18" s="106">
        <v>0.5</v>
      </c>
      <c r="AR18" s="110">
        <v>0.5</v>
      </c>
      <c r="AS18" s="110"/>
      <c r="AT18" s="110">
        <v>0.5</v>
      </c>
      <c r="AU18" s="111">
        <v>2</v>
      </c>
      <c r="AV18" s="6">
        <v>3</v>
      </c>
      <c r="AW18" s="7">
        <v>3</v>
      </c>
      <c r="AX18" s="7">
        <v>3</v>
      </c>
      <c r="AY18" s="10"/>
      <c r="AZ18" s="11"/>
      <c r="BA18" s="9">
        <v>12</v>
      </c>
      <c r="BB18" s="10"/>
      <c r="BC18" s="11">
        <v>25</v>
      </c>
      <c r="BD18" s="18"/>
      <c r="BE18" s="12"/>
    </row>
    <row r="19" spans="1:57" ht="31.9" customHeight="1" x14ac:dyDescent="0.2">
      <c r="A19" s="20">
        <v>12</v>
      </c>
      <c r="B19" s="16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21</v>
      </c>
      <c r="X19" s="10"/>
      <c r="Y19" s="10"/>
      <c r="Z19" s="10"/>
      <c r="AA19" s="11"/>
      <c r="AB19" s="43"/>
      <c r="AC19" s="44"/>
      <c r="AD19" s="44"/>
      <c r="AE19" s="44">
        <v>1</v>
      </c>
      <c r="AF19" s="45">
        <v>1</v>
      </c>
      <c r="AG19" s="9"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1</v>
      </c>
      <c r="AP19" s="45">
        <v>2</v>
      </c>
      <c r="AQ19" s="106">
        <v>0.5</v>
      </c>
      <c r="AR19" s="110"/>
      <c r="AS19" s="110">
        <f>4/20</f>
        <v>0.2</v>
      </c>
      <c r="AT19" s="110"/>
      <c r="AU19" s="111">
        <v>1.5</v>
      </c>
      <c r="AV19" s="6">
        <v>3</v>
      </c>
      <c r="AW19" s="7">
        <v>3</v>
      </c>
      <c r="AX19" s="7">
        <v>3</v>
      </c>
      <c r="AY19" s="10"/>
      <c r="AZ19" s="11"/>
      <c r="BA19" s="9">
        <v>12</v>
      </c>
      <c r="BB19" s="10"/>
      <c r="BC19" s="11">
        <v>15</v>
      </c>
      <c r="BD19" s="18"/>
      <c r="BE19" s="12"/>
    </row>
    <row r="20" spans="1:57" ht="31.9" customHeight="1" x14ac:dyDescent="0.2">
      <c r="A20" s="20">
        <v>13</v>
      </c>
      <c r="B20" s="16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23</v>
      </c>
      <c r="X20" s="10"/>
      <c r="Y20" s="10"/>
      <c r="Z20" s="10"/>
      <c r="AA20" s="11"/>
      <c r="AB20" s="43">
        <v>1</v>
      </c>
      <c r="AC20" s="44"/>
      <c r="AD20" s="44">
        <v>1</v>
      </c>
      <c r="AE20" s="44">
        <v>1</v>
      </c>
      <c r="AF20" s="45"/>
      <c r="AG20" s="9">
        <v>4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>
        <v>2</v>
      </c>
      <c r="AP20" s="45">
        <v>2</v>
      </c>
      <c r="AQ20" s="106">
        <v>0.5</v>
      </c>
      <c r="AR20" s="110"/>
      <c r="AS20" s="110"/>
      <c r="AT20" s="110">
        <v>0.5</v>
      </c>
      <c r="AU20" s="111">
        <v>1.5</v>
      </c>
      <c r="AV20" s="6">
        <v>3</v>
      </c>
      <c r="AW20" s="7">
        <v>3</v>
      </c>
      <c r="AX20" s="7">
        <v>3</v>
      </c>
      <c r="AY20" s="10"/>
      <c r="AZ20" s="11"/>
      <c r="BA20" s="9">
        <v>6</v>
      </c>
      <c r="BB20" s="10"/>
      <c r="BC20" s="11">
        <v>20</v>
      </c>
      <c r="BD20" s="18"/>
      <c r="BE20" s="12"/>
    </row>
    <row r="21" spans="1:57" ht="31.9" customHeight="1" x14ac:dyDescent="0.2">
      <c r="A21" s="20">
        <v>14</v>
      </c>
      <c r="B21" s="16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22</v>
      </c>
      <c r="X21" s="10"/>
      <c r="Y21" s="10"/>
      <c r="Z21" s="10"/>
      <c r="AA21" s="11"/>
      <c r="AB21" s="43"/>
      <c r="AC21" s="44">
        <v>1</v>
      </c>
      <c r="AD21" s="44"/>
      <c r="AE21" s="44"/>
      <c r="AF21" s="45">
        <v>1</v>
      </c>
      <c r="AG21" s="9">
        <v>3</v>
      </c>
      <c r="AH21" s="10"/>
      <c r="AI21" s="10"/>
      <c r="AJ21" s="10"/>
      <c r="AK21" s="11"/>
      <c r="AL21" s="43">
        <v>2</v>
      </c>
      <c r="AM21" s="44"/>
      <c r="AN21" s="44"/>
      <c r="AO21" s="44"/>
      <c r="AP21" s="45">
        <v>2</v>
      </c>
      <c r="AQ21" s="106">
        <v>0.5</v>
      </c>
      <c r="AR21" s="110"/>
      <c r="AS21" s="110"/>
      <c r="AT21" s="110"/>
      <c r="AU21" s="111">
        <v>2</v>
      </c>
      <c r="AV21" s="6">
        <v>3</v>
      </c>
      <c r="AW21" s="7">
        <v>3</v>
      </c>
      <c r="AX21" s="7">
        <v>3</v>
      </c>
      <c r="AY21" s="10"/>
      <c r="AZ21" s="11"/>
      <c r="BA21" s="9">
        <v>6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6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22</v>
      </c>
      <c r="X22" s="10"/>
      <c r="Y22" s="10"/>
      <c r="Z22" s="10"/>
      <c r="AA22" s="11"/>
      <c r="AB22" s="43"/>
      <c r="AC22" s="44"/>
      <c r="AD22" s="44"/>
      <c r="AE22" s="44"/>
      <c r="AF22" s="45"/>
      <c r="AG22" s="9">
        <v>4</v>
      </c>
      <c r="AH22" s="10"/>
      <c r="AI22" s="10"/>
      <c r="AJ22" s="10"/>
      <c r="AK22" s="11"/>
      <c r="AL22" s="43">
        <v>1</v>
      </c>
      <c r="AM22" s="44"/>
      <c r="AN22" s="44"/>
      <c r="AO22" s="44">
        <v>1</v>
      </c>
      <c r="AP22" s="45">
        <v>2</v>
      </c>
      <c r="AQ22" s="106">
        <v>0.5</v>
      </c>
      <c r="AR22" s="110"/>
      <c r="AS22" s="110"/>
      <c r="AT22" s="110">
        <v>1</v>
      </c>
      <c r="AU22" s="111">
        <v>2</v>
      </c>
      <c r="AV22" s="6">
        <v>3</v>
      </c>
      <c r="AW22" s="7">
        <v>3</v>
      </c>
      <c r="AX22" s="7">
        <v>3</v>
      </c>
      <c r="AY22" s="10"/>
      <c r="AZ22" s="11"/>
      <c r="BA22" s="9">
        <v>6</v>
      </c>
      <c r="BB22" s="10"/>
      <c r="BC22" s="11">
        <v>30</v>
      </c>
      <c r="BD22" s="18"/>
      <c r="BE22" s="12"/>
    </row>
    <row r="23" spans="1:57" ht="31.9" customHeight="1" x14ac:dyDescent="0.2">
      <c r="A23" s="20">
        <v>16</v>
      </c>
      <c r="B23" s="16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21</v>
      </c>
      <c r="X23" s="10"/>
      <c r="Y23" s="10"/>
      <c r="Z23" s="10"/>
      <c r="AA23" s="11"/>
      <c r="AB23" s="43">
        <v>1</v>
      </c>
      <c r="AC23" s="44"/>
      <c r="AD23" s="44"/>
      <c r="AE23" s="44">
        <v>1</v>
      </c>
      <c r="AF23" s="45"/>
      <c r="AG23" s="9">
        <v>4</v>
      </c>
      <c r="AH23" s="10"/>
      <c r="AI23" s="10"/>
      <c r="AJ23" s="10"/>
      <c r="AK23" s="11"/>
      <c r="AL23" s="43">
        <v>1</v>
      </c>
      <c r="AM23" s="44">
        <v>1</v>
      </c>
      <c r="AN23" s="44"/>
      <c r="AO23" s="44">
        <v>2</v>
      </c>
      <c r="AP23" s="45">
        <v>1</v>
      </c>
      <c r="AQ23" s="106">
        <v>1</v>
      </c>
      <c r="AR23" s="110">
        <v>0.5</v>
      </c>
      <c r="AS23" s="110"/>
      <c r="AT23" s="110">
        <v>0.5</v>
      </c>
      <c r="AU23" s="111">
        <v>0.5</v>
      </c>
      <c r="AV23" s="6">
        <v>3</v>
      </c>
      <c r="AW23" s="7">
        <v>3</v>
      </c>
      <c r="AX23" s="7">
        <v>3</v>
      </c>
      <c r="AY23" s="10"/>
      <c r="AZ23" s="11"/>
      <c r="BA23" s="9">
        <v>18</v>
      </c>
      <c r="BB23" s="10"/>
      <c r="BC23" s="11">
        <v>10</v>
      </c>
      <c r="BD23" s="18"/>
      <c r="BE23" s="12"/>
    </row>
    <row r="24" spans="1:57" ht="31.9" customHeight="1" x14ac:dyDescent="0.2">
      <c r="A24" s="20">
        <v>17</v>
      </c>
      <c r="B24" s="16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22</v>
      </c>
      <c r="X24" s="10"/>
      <c r="Y24" s="10"/>
      <c r="Z24" s="10"/>
      <c r="AA24" s="11"/>
      <c r="AB24" s="43"/>
      <c r="AC24" s="44"/>
      <c r="AD24" s="44"/>
      <c r="AE24" s="44">
        <v>2</v>
      </c>
      <c r="AF24" s="45"/>
      <c r="AG24" s="9">
        <v>2</v>
      </c>
      <c r="AH24" s="10"/>
      <c r="AI24" s="10"/>
      <c r="AJ24" s="10"/>
      <c r="AK24" s="11"/>
      <c r="AL24" s="43"/>
      <c r="AM24" s="44"/>
      <c r="AN24" s="44">
        <v>1</v>
      </c>
      <c r="AO24" s="44">
        <v>2</v>
      </c>
      <c r="AP24" s="45">
        <v>1</v>
      </c>
      <c r="AQ24" s="106"/>
      <c r="AR24" s="110"/>
      <c r="AS24" s="110">
        <v>0.5</v>
      </c>
      <c r="AT24" s="110"/>
      <c r="AU24" s="111">
        <v>1</v>
      </c>
      <c r="AV24" s="6">
        <v>3</v>
      </c>
      <c r="AW24" s="7">
        <v>3</v>
      </c>
      <c r="AX24" s="7">
        <v>3</v>
      </c>
      <c r="AY24" s="10"/>
      <c r="AZ24" s="11"/>
      <c r="BA24" s="9">
        <v>6</v>
      </c>
      <c r="BB24" s="10"/>
      <c r="BC24" s="11">
        <v>10</v>
      </c>
      <c r="BD24" s="18"/>
      <c r="BE24" s="12"/>
    </row>
    <row r="25" spans="1:57" ht="31.9" customHeight="1" x14ac:dyDescent="0.2">
      <c r="A25" s="20">
        <v>18</v>
      </c>
      <c r="B25" s="16" t="s">
        <v>48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24</v>
      </c>
      <c r="X25" s="10"/>
      <c r="Y25" s="10"/>
      <c r="Z25" s="10"/>
      <c r="AA25" s="11"/>
      <c r="AB25" s="43">
        <v>1</v>
      </c>
      <c r="AC25" s="44">
        <v>1</v>
      </c>
      <c r="AD25" s="44"/>
      <c r="AE25" s="44">
        <v>1</v>
      </c>
      <c r="AF25" s="45">
        <v>1</v>
      </c>
      <c r="AG25" s="9">
        <v>4</v>
      </c>
      <c r="AH25" s="10"/>
      <c r="AI25" s="10"/>
      <c r="AJ25" s="10"/>
      <c r="AK25" s="11"/>
      <c r="AL25" s="43">
        <v>2</v>
      </c>
      <c r="AM25" s="44"/>
      <c r="AN25" s="44"/>
      <c r="AO25" s="44">
        <v>2</v>
      </c>
      <c r="AP25" s="45">
        <v>3</v>
      </c>
      <c r="AQ25" s="106">
        <v>0.5</v>
      </c>
      <c r="AR25" s="110"/>
      <c r="AS25" s="110"/>
      <c r="AT25" s="110">
        <v>0.5</v>
      </c>
      <c r="AU25" s="111">
        <v>1.5</v>
      </c>
      <c r="AV25" s="6">
        <v>3</v>
      </c>
      <c r="AW25" s="7">
        <v>3</v>
      </c>
      <c r="AX25" s="7">
        <v>3</v>
      </c>
      <c r="AY25" s="10"/>
      <c r="AZ25" s="11"/>
      <c r="BA25" s="9">
        <v>6</v>
      </c>
      <c r="BB25" s="10"/>
      <c r="BC25" s="11">
        <v>20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2"/>
      <c r="AR26" s="113"/>
      <c r="AS26" s="113"/>
      <c r="AT26" s="113"/>
      <c r="AU26" s="114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9"/>
      <c r="AH27" s="53"/>
      <c r="AI27" s="53"/>
      <c r="AJ27" s="53"/>
      <c r="AK27" s="54"/>
      <c r="AL27" s="67"/>
      <c r="AM27" s="68"/>
      <c r="AN27" s="68"/>
      <c r="AO27" s="68"/>
      <c r="AP27" s="69"/>
      <c r="AQ27" s="112"/>
      <c r="AR27" s="113"/>
      <c r="AS27" s="113"/>
      <c r="AT27" s="113"/>
      <c r="AU27" s="114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393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10</v>
      </c>
      <c r="AC28" s="65">
        <f t="shared" si="3"/>
        <v>3</v>
      </c>
      <c r="AD28" s="65">
        <f t="shared" si="3"/>
        <v>2</v>
      </c>
      <c r="AE28" s="65">
        <f t="shared" si="3"/>
        <v>14</v>
      </c>
      <c r="AF28" s="66">
        <f t="shared" si="3"/>
        <v>7</v>
      </c>
      <c r="AG28" s="29">
        <f t="shared" si="3"/>
        <v>70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19</v>
      </c>
      <c r="AM28" s="65">
        <f t="shared" si="4"/>
        <v>3</v>
      </c>
      <c r="AN28" s="65">
        <f t="shared" si="4"/>
        <v>6</v>
      </c>
      <c r="AO28" s="65">
        <f t="shared" si="4"/>
        <v>26</v>
      </c>
      <c r="AP28" s="66">
        <f t="shared" si="4"/>
        <v>38</v>
      </c>
      <c r="AQ28" s="119">
        <f t="shared" si="4"/>
        <v>9</v>
      </c>
      <c r="AR28" s="115">
        <f t="shared" si="4"/>
        <v>1</v>
      </c>
      <c r="AS28" s="115">
        <f t="shared" si="4"/>
        <v>1.1499999999999999</v>
      </c>
      <c r="AT28" s="115">
        <f t="shared" si="4"/>
        <v>7</v>
      </c>
      <c r="AU28" s="120">
        <f t="shared" si="4"/>
        <v>29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150</v>
      </c>
      <c r="BB28" s="47">
        <f t="shared" si="4"/>
        <v>0</v>
      </c>
      <c r="BC28" s="49">
        <f t="shared" si="4"/>
        <v>360</v>
      </c>
      <c r="BD28" s="19">
        <f t="shared" si="4"/>
        <v>0</v>
      </c>
      <c r="BE28" s="2">
        <f t="shared" si="4"/>
        <v>0</v>
      </c>
    </row>
    <row r="30" spans="1:57" x14ac:dyDescent="0.25">
      <c r="R30" s="118"/>
      <c r="S30" s="118"/>
      <c r="T30" s="118"/>
      <c r="U30" s="118"/>
      <c r="V30" s="118"/>
      <c r="AQ30" s="124">
        <v>9</v>
      </c>
      <c r="AR30" s="124">
        <v>1</v>
      </c>
      <c r="AS30" s="124" t="s">
        <v>65</v>
      </c>
      <c r="AT30" s="124">
        <v>7</v>
      </c>
      <c r="AU30" s="124">
        <v>29</v>
      </c>
    </row>
    <row r="31" spans="1:57" x14ac:dyDescent="0.25">
      <c r="AQ31" s="123"/>
      <c r="AR31" s="123"/>
      <c r="AS31" s="123"/>
      <c r="AT31" s="123"/>
      <c r="AU31" s="123"/>
    </row>
    <row r="32" spans="1:57" x14ac:dyDescent="0.25">
      <c r="AQ32" s="123"/>
      <c r="AR32" s="123"/>
      <c r="AS32" s="123"/>
      <c r="AT32" s="123"/>
      <c r="AU32" s="123"/>
    </row>
    <row r="33" spans="43:47" x14ac:dyDescent="0.25">
      <c r="AQ33" s="123"/>
      <c r="AR33" s="123"/>
      <c r="AS33" s="123">
        <f>23/20</f>
        <v>1.1499999999999999</v>
      </c>
      <c r="AT33" s="123"/>
      <c r="AU33" s="123"/>
    </row>
  </sheetData>
  <mergeCells count="21">
    <mergeCell ref="BE10:BE12"/>
    <mergeCell ref="BD8:BD9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33"/>
  <sheetViews>
    <sheetView tabSelected="1" zoomScale="90" zoomScaleNormal="90" workbookViewId="0">
      <pane xSplit="2" ySplit="7" topLeftCell="AH8" activePane="bottomRight" state="frozen"/>
      <selection activeCell="C3" sqref="C3"/>
      <selection pane="topRight" activeCell="C3" sqref="C3"/>
      <selection pane="bottomLeft" activeCell="C3" sqref="C3"/>
      <selection pane="bottomRight" activeCell="AT26" sqref="AT26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28515625" style="28" bestFit="1" customWidth="1"/>
    <col min="44" max="44" width="8.85546875" style="28" customWidth="1"/>
    <col min="45" max="45" width="10.7109375" style="28" customWidth="1"/>
    <col min="46" max="46" width="9.28515625" style="28" bestFit="1" customWidth="1"/>
    <col min="47" max="47" width="11.42578125" style="28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127">
        <v>2</v>
      </c>
      <c r="AQ1" s="127">
        <v>3</v>
      </c>
      <c r="AR1" s="127">
        <v>4</v>
      </c>
      <c r="AS1" s="127">
        <v>5</v>
      </c>
      <c r="AT1" s="127">
        <v>6</v>
      </c>
      <c r="AU1" s="127">
        <v>7</v>
      </c>
      <c r="AV1" s="127">
        <v>8</v>
      </c>
      <c r="AW1" s="127">
        <v>9</v>
      </c>
      <c r="AX1" s="127">
        <v>10</v>
      </c>
      <c r="AY1" s="127">
        <v>11</v>
      </c>
      <c r="AZ1" s="63"/>
      <c r="BA1" s="63"/>
      <c r="BB1" s="63"/>
      <c r="BC1" s="63"/>
      <c r="BD1" s="63"/>
      <c r="BE1" s="63"/>
    </row>
    <row r="2" spans="1:57" ht="19.5" x14ac:dyDescent="0.25">
      <c r="B2" s="89" t="s">
        <v>41</v>
      </c>
      <c r="AP2" s="128">
        <f>2/12</f>
        <v>0.16666666666666666</v>
      </c>
      <c r="AQ2" s="128">
        <f>3/12</f>
        <v>0.25</v>
      </c>
      <c r="AR2" s="128">
        <f>4/12</f>
        <v>0.33333333333333331</v>
      </c>
      <c r="AS2" s="128">
        <f>5/12</f>
        <v>0.41666666666666669</v>
      </c>
      <c r="AT2" s="128">
        <f>6/12</f>
        <v>0.5</v>
      </c>
      <c r="AU2" s="128">
        <f>7/12</f>
        <v>0.58333333333333337</v>
      </c>
      <c r="AV2" s="128">
        <f>8/12</f>
        <v>0.66666666666666663</v>
      </c>
      <c r="AW2" s="128">
        <f>9/12</f>
        <v>0.75</v>
      </c>
      <c r="AX2" s="128">
        <f>10/12</f>
        <v>0.83333333333333337</v>
      </c>
      <c r="AY2" s="128">
        <f>11/12</f>
        <v>0.91666666666666663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33"/>
      <c r="B4" s="133"/>
    </row>
    <row r="5" spans="1:57" ht="57.75" customHeight="1" thickBot="1" x14ac:dyDescent="0.25">
      <c r="C5" s="156" t="s">
        <v>1</v>
      </c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3" t="s">
        <v>22</v>
      </c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5"/>
      <c r="BD5" s="134" t="s">
        <v>6</v>
      </c>
      <c r="BE5" s="134" t="s">
        <v>7</v>
      </c>
    </row>
    <row r="6" spans="1:57" ht="69.75" customHeight="1" thickBot="1" x14ac:dyDescent="0.25">
      <c r="A6" s="137" t="s">
        <v>24</v>
      </c>
      <c r="B6" s="137" t="s">
        <v>8</v>
      </c>
      <c r="C6" s="158" t="s">
        <v>9</v>
      </c>
      <c r="D6" s="159"/>
      <c r="E6" s="159"/>
      <c r="F6" s="159"/>
      <c r="G6" s="160"/>
      <c r="H6" s="158" t="s">
        <v>15</v>
      </c>
      <c r="I6" s="159"/>
      <c r="J6" s="159"/>
      <c r="K6" s="159"/>
      <c r="L6" s="160"/>
      <c r="M6" s="141" t="s">
        <v>16</v>
      </c>
      <c r="N6" s="142"/>
      <c r="O6" s="142"/>
      <c r="P6" s="142"/>
      <c r="Q6" s="143"/>
      <c r="R6" s="141" t="s">
        <v>25</v>
      </c>
      <c r="S6" s="142"/>
      <c r="T6" s="142"/>
      <c r="U6" s="142"/>
      <c r="V6" s="143"/>
      <c r="W6" s="144" t="s">
        <v>9</v>
      </c>
      <c r="X6" s="145"/>
      <c r="Y6" s="145"/>
      <c r="Z6" s="145"/>
      <c r="AA6" s="146"/>
      <c r="AB6" s="164" t="s">
        <v>27</v>
      </c>
      <c r="AC6" s="165"/>
      <c r="AD6" s="165"/>
      <c r="AE6" s="165"/>
      <c r="AF6" s="166"/>
      <c r="AG6" s="147" t="s">
        <v>15</v>
      </c>
      <c r="AH6" s="148"/>
      <c r="AI6" s="148"/>
      <c r="AJ6" s="148"/>
      <c r="AK6" s="149"/>
      <c r="AL6" s="161" t="s">
        <v>28</v>
      </c>
      <c r="AM6" s="162"/>
      <c r="AN6" s="162"/>
      <c r="AO6" s="162"/>
      <c r="AP6" s="163"/>
      <c r="AQ6" s="167" t="s">
        <v>25</v>
      </c>
      <c r="AR6" s="168"/>
      <c r="AS6" s="168"/>
      <c r="AT6" s="168"/>
      <c r="AU6" s="169"/>
      <c r="AV6" s="150" t="s">
        <v>16</v>
      </c>
      <c r="AW6" s="151"/>
      <c r="AX6" s="151"/>
      <c r="AY6" s="151"/>
      <c r="AZ6" s="152"/>
      <c r="BA6" s="173" t="s">
        <v>26</v>
      </c>
      <c r="BB6" s="174"/>
      <c r="BC6" s="175"/>
      <c r="BD6" s="135"/>
      <c r="BE6" s="135"/>
    </row>
    <row r="7" spans="1:57" ht="222.75" customHeight="1" thickBot="1" x14ac:dyDescent="0.25">
      <c r="A7" s="138"/>
      <c r="B7" s="138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6"/>
      <c r="BE7" s="136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20</v>
      </c>
      <c r="X8" s="7"/>
      <c r="Y8" s="7"/>
      <c r="Z8" s="7"/>
      <c r="AA8" s="8"/>
      <c r="AB8" s="40">
        <v>1</v>
      </c>
      <c r="AC8" s="41"/>
      <c r="AD8" s="41"/>
      <c r="AE8" s="41">
        <v>1</v>
      </c>
      <c r="AF8" s="42">
        <v>1</v>
      </c>
      <c r="AG8" s="6">
        <v>4</v>
      </c>
      <c r="AH8" s="7"/>
      <c r="AI8" s="7"/>
      <c r="AJ8" s="7"/>
      <c r="AK8" s="8"/>
      <c r="AL8" s="40">
        <v>1</v>
      </c>
      <c r="AM8" s="41">
        <v>1</v>
      </c>
      <c r="AN8" s="41">
        <v>1</v>
      </c>
      <c r="AO8" s="41">
        <v>1</v>
      </c>
      <c r="AP8" s="42">
        <v>2</v>
      </c>
      <c r="AQ8" s="107">
        <v>1</v>
      </c>
      <c r="AR8" s="108">
        <v>0.5</v>
      </c>
      <c r="AS8" s="108">
        <v>0.3</v>
      </c>
      <c r="AT8" s="108"/>
      <c r="AU8" s="109">
        <v>0.5</v>
      </c>
      <c r="AV8" s="6">
        <v>3</v>
      </c>
      <c r="AW8" s="7">
        <v>3</v>
      </c>
      <c r="AX8" s="7">
        <v>3</v>
      </c>
      <c r="AY8" s="7"/>
      <c r="AZ8" s="8"/>
      <c r="BA8" s="6">
        <v>30</v>
      </c>
      <c r="BB8" s="7"/>
      <c r="BC8" s="8">
        <v>5</v>
      </c>
      <c r="BD8" s="17"/>
      <c r="BE8" s="13"/>
    </row>
    <row r="9" spans="1:57" ht="31.9" customHeight="1" x14ac:dyDescent="0.2">
      <c r="A9" s="20">
        <v>2</v>
      </c>
      <c r="B9" s="16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15</v>
      </c>
      <c r="X9" s="10"/>
      <c r="Y9" s="10"/>
      <c r="Z9" s="10"/>
      <c r="AA9" s="11"/>
      <c r="AB9" s="43">
        <v>1</v>
      </c>
      <c r="AC9" s="44"/>
      <c r="AD9" s="44"/>
      <c r="AE9" s="44"/>
      <c r="AF9" s="45">
        <v>1</v>
      </c>
      <c r="AG9" s="9">
        <v>5</v>
      </c>
      <c r="AH9" s="10"/>
      <c r="AI9" s="10"/>
      <c r="AJ9" s="10"/>
      <c r="AK9" s="11"/>
      <c r="AL9" s="43">
        <v>2</v>
      </c>
      <c r="AM9" s="44"/>
      <c r="AN9" s="44">
        <v>1</v>
      </c>
      <c r="AO9" s="44">
        <v>1</v>
      </c>
      <c r="AP9" s="45">
        <v>3</v>
      </c>
      <c r="AQ9" s="106">
        <v>0.5</v>
      </c>
      <c r="AR9" s="110"/>
      <c r="AS9" s="110">
        <v>0.15</v>
      </c>
      <c r="AT9" s="110">
        <v>1</v>
      </c>
      <c r="AU9" s="109">
        <v>1.5</v>
      </c>
      <c r="AV9" s="6">
        <v>3</v>
      </c>
      <c r="AW9" s="7">
        <v>3</v>
      </c>
      <c r="AX9" s="7">
        <v>3</v>
      </c>
      <c r="AY9" s="10"/>
      <c r="AZ9" s="11"/>
      <c r="BA9" s="9">
        <v>12</v>
      </c>
      <c r="BB9" s="10"/>
      <c r="BC9" s="11">
        <v>25</v>
      </c>
      <c r="BD9" s="70"/>
      <c r="BE9" s="12"/>
    </row>
    <row r="10" spans="1:57" ht="31.9" customHeight="1" x14ac:dyDescent="0.2">
      <c r="A10" s="20">
        <v>3</v>
      </c>
      <c r="B10" s="16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17</v>
      </c>
      <c r="X10" s="10"/>
      <c r="Y10" s="10"/>
      <c r="Z10" s="10"/>
      <c r="AA10" s="11"/>
      <c r="AB10" s="43">
        <v>1</v>
      </c>
      <c r="AC10" s="44"/>
      <c r="AD10" s="44"/>
      <c r="AE10" s="44"/>
      <c r="AF10" s="45"/>
      <c r="AG10" s="9">
        <v>4</v>
      </c>
      <c r="AH10" s="10"/>
      <c r="AI10" s="10"/>
      <c r="AJ10" s="10"/>
      <c r="AK10" s="11"/>
      <c r="AL10" s="43">
        <v>2</v>
      </c>
      <c r="AM10" s="44"/>
      <c r="AN10" s="44">
        <v>1</v>
      </c>
      <c r="AO10" s="44"/>
      <c r="AP10" s="45">
        <v>2</v>
      </c>
      <c r="AQ10" s="106">
        <v>0.5</v>
      </c>
      <c r="AR10" s="110"/>
      <c r="AS10" s="110">
        <v>0.3</v>
      </c>
      <c r="AT10" s="110"/>
      <c r="AU10" s="109">
        <v>2</v>
      </c>
      <c r="AV10" s="6">
        <v>3</v>
      </c>
      <c r="AW10" s="7">
        <v>3</v>
      </c>
      <c r="AX10" s="7">
        <v>3</v>
      </c>
      <c r="AY10" s="10"/>
      <c r="AZ10" s="11"/>
      <c r="BA10" s="9">
        <v>18</v>
      </c>
      <c r="BB10" s="10"/>
      <c r="BC10" s="11">
        <v>20</v>
      </c>
      <c r="BD10" s="170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18</v>
      </c>
      <c r="X11" s="10"/>
      <c r="Y11" s="10"/>
      <c r="Z11" s="10"/>
      <c r="AA11" s="11"/>
      <c r="AB11" s="43"/>
      <c r="AC11" s="44"/>
      <c r="AD11" s="44">
        <v>1</v>
      </c>
      <c r="AE11" s="44"/>
      <c r="AF11" s="45">
        <v>1</v>
      </c>
      <c r="AG11" s="9">
        <v>6</v>
      </c>
      <c r="AH11" s="10"/>
      <c r="AI11" s="10"/>
      <c r="AJ11" s="10"/>
      <c r="AK11" s="11"/>
      <c r="AL11" s="43">
        <v>2</v>
      </c>
      <c r="AM11" s="44"/>
      <c r="AN11" s="44">
        <v>2</v>
      </c>
      <c r="AO11" s="44">
        <v>1</v>
      </c>
      <c r="AP11" s="45">
        <v>3</v>
      </c>
      <c r="AQ11" s="106">
        <v>1.5</v>
      </c>
      <c r="AR11" s="110"/>
      <c r="AS11" s="110">
        <v>0.3</v>
      </c>
      <c r="AT11" s="110">
        <v>1</v>
      </c>
      <c r="AU11" s="109">
        <v>1.5</v>
      </c>
      <c r="AV11" s="6">
        <v>3</v>
      </c>
      <c r="AW11" s="7">
        <v>3</v>
      </c>
      <c r="AX11" s="7">
        <v>3</v>
      </c>
      <c r="AY11" s="10"/>
      <c r="AZ11" s="11"/>
      <c r="BA11" s="9">
        <v>30</v>
      </c>
      <c r="BB11" s="10"/>
      <c r="BC11" s="11">
        <v>25</v>
      </c>
      <c r="BD11" s="171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15</v>
      </c>
      <c r="X12" s="10"/>
      <c r="Y12" s="10"/>
      <c r="Z12" s="10"/>
      <c r="AA12" s="11"/>
      <c r="AB12" s="43"/>
      <c r="AC12" s="44"/>
      <c r="AD12" s="44"/>
      <c r="AE12" s="44"/>
      <c r="AF12" s="45"/>
      <c r="AG12" s="9">
        <v>5</v>
      </c>
      <c r="AH12" s="10"/>
      <c r="AI12" s="10"/>
      <c r="AJ12" s="10"/>
      <c r="AK12" s="11"/>
      <c r="AL12" s="43">
        <v>1</v>
      </c>
      <c r="AM12" s="44">
        <v>1</v>
      </c>
      <c r="AN12" s="44">
        <v>1</v>
      </c>
      <c r="AO12" s="44"/>
      <c r="AP12" s="45">
        <v>2</v>
      </c>
      <c r="AQ12" s="106">
        <v>0.5</v>
      </c>
      <c r="AR12" s="110">
        <v>0.5</v>
      </c>
      <c r="AS12" s="110">
        <v>0.15</v>
      </c>
      <c r="AT12" s="110"/>
      <c r="AU12" s="109">
        <v>2</v>
      </c>
      <c r="AV12" s="6">
        <v>3</v>
      </c>
      <c r="AW12" s="7">
        <v>3</v>
      </c>
      <c r="AX12" s="7">
        <v>3</v>
      </c>
      <c r="AY12" s="10"/>
      <c r="AZ12" s="11"/>
      <c r="BA12" s="9">
        <v>18</v>
      </c>
      <c r="BB12" s="10"/>
      <c r="BC12" s="11">
        <v>20</v>
      </c>
      <c r="BD12" s="172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21</v>
      </c>
      <c r="X13" s="10"/>
      <c r="Y13" s="10"/>
      <c r="Z13" s="10"/>
      <c r="AA13" s="11"/>
      <c r="AB13" s="43">
        <v>1</v>
      </c>
      <c r="AC13" s="44"/>
      <c r="AD13" s="44"/>
      <c r="AE13" s="44"/>
      <c r="AF13" s="45">
        <v>1</v>
      </c>
      <c r="AG13" s="9">
        <v>4</v>
      </c>
      <c r="AH13" s="10"/>
      <c r="AI13" s="10"/>
      <c r="AJ13" s="10"/>
      <c r="AK13" s="11"/>
      <c r="AL13" s="43">
        <v>2</v>
      </c>
      <c r="AM13" s="44"/>
      <c r="AN13" s="44">
        <v>1</v>
      </c>
      <c r="AO13" s="44"/>
      <c r="AP13" s="45">
        <v>3</v>
      </c>
      <c r="AQ13" s="106">
        <v>0.5</v>
      </c>
      <c r="AR13" s="110"/>
      <c r="AS13" s="110">
        <v>0.15</v>
      </c>
      <c r="AT13" s="110"/>
      <c r="AU13" s="109">
        <v>1.5</v>
      </c>
      <c r="AV13" s="6">
        <v>3</v>
      </c>
      <c r="AW13" s="7">
        <v>3</v>
      </c>
      <c r="AX13" s="7">
        <v>3</v>
      </c>
      <c r="AY13" s="10"/>
      <c r="AZ13" s="11"/>
      <c r="BA13" s="9">
        <v>12</v>
      </c>
      <c r="BB13" s="10"/>
      <c r="BC13" s="11">
        <v>15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17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v>4</v>
      </c>
      <c r="AH14" s="10"/>
      <c r="AI14" s="10"/>
      <c r="AJ14" s="10"/>
      <c r="AK14" s="11"/>
      <c r="AL14" s="43">
        <v>1</v>
      </c>
      <c r="AM14" s="44"/>
      <c r="AN14" s="44">
        <v>1</v>
      </c>
      <c r="AO14" s="44"/>
      <c r="AP14" s="45">
        <v>2</v>
      </c>
      <c r="AQ14" s="106">
        <v>0.5</v>
      </c>
      <c r="AR14" s="110"/>
      <c r="AS14" s="110">
        <v>0.3</v>
      </c>
      <c r="AT14" s="110"/>
      <c r="AU14" s="109">
        <v>2</v>
      </c>
      <c r="AV14" s="6">
        <v>3</v>
      </c>
      <c r="AW14" s="7">
        <v>3</v>
      </c>
      <c r="AX14" s="7">
        <v>3</v>
      </c>
      <c r="AY14" s="10"/>
      <c r="AZ14" s="11"/>
      <c r="BA14" s="9">
        <v>18</v>
      </c>
      <c r="BB14" s="10"/>
      <c r="BC14" s="11">
        <v>20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19</v>
      </c>
      <c r="X15" s="10"/>
      <c r="Y15" s="10"/>
      <c r="Z15" s="10"/>
      <c r="AA15" s="11"/>
      <c r="AB15" s="43"/>
      <c r="AC15" s="44"/>
      <c r="AD15" s="44"/>
      <c r="AE15" s="44"/>
      <c r="AF15" s="45">
        <v>1</v>
      </c>
      <c r="AG15" s="9">
        <v>5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>
        <v>1</v>
      </c>
      <c r="AP15" s="45">
        <v>3</v>
      </c>
      <c r="AQ15" s="106">
        <v>0.5</v>
      </c>
      <c r="AR15" s="110"/>
      <c r="AS15" s="110">
        <v>0.15</v>
      </c>
      <c r="AT15" s="110">
        <v>0.5</v>
      </c>
      <c r="AU15" s="109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12</v>
      </c>
      <c r="BB15" s="10"/>
      <c r="BC15" s="11">
        <v>25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17</v>
      </c>
      <c r="X16" s="10"/>
      <c r="Y16" s="10"/>
      <c r="Z16" s="10"/>
      <c r="AA16" s="11"/>
      <c r="AB16" s="43">
        <v>1</v>
      </c>
      <c r="AC16" s="44"/>
      <c r="AD16" s="44"/>
      <c r="AE16" s="44">
        <v>1</v>
      </c>
      <c r="AF16" s="45">
        <v>1</v>
      </c>
      <c r="AG16" s="9">
        <v>4</v>
      </c>
      <c r="AH16" s="10"/>
      <c r="AI16" s="10"/>
      <c r="AJ16" s="10"/>
      <c r="AK16" s="11"/>
      <c r="AL16" s="43">
        <v>1</v>
      </c>
      <c r="AM16" s="44"/>
      <c r="AN16" s="44">
        <v>2</v>
      </c>
      <c r="AO16" s="44"/>
      <c r="AP16" s="45">
        <v>3</v>
      </c>
      <c r="AQ16" s="106">
        <v>0.5</v>
      </c>
      <c r="AR16" s="110"/>
      <c r="AS16" s="110">
        <v>0.15</v>
      </c>
      <c r="AT16" s="110"/>
      <c r="AU16" s="109">
        <v>1.5</v>
      </c>
      <c r="AV16" s="6">
        <v>3</v>
      </c>
      <c r="AW16" s="7">
        <v>3</v>
      </c>
      <c r="AX16" s="7">
        <v>3</v>
      </c>
      <c r="AY16" s="10"/>
      <c r="AZ16" s="11"/>
      <c r="BA16" s="9">
        <v>12</v>
      </c>
      <c r="BB16" s="10"/>
      <c r="BC16" s="11">
        <v>15</v>
      </c>
      <c r="BD16" s="18"/>
      <c r="BE16" s="12"/>
    </row>
    <row r="17" spans="1:57" ht="31.9" customHeight="1" x14ac:dyDescent="0.2">
      <c r="A17" s="20">
        <v>10</v>
      </c>
      <c r="B17" s="16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>
        <v>1</v>
      </c>
      <c r="AD17" s="44"/>
      <c r="AE17" s="44">
        <v>1</v>
      </c>
      <c r="AF17" s="45"/>
      <c r="AG17" s="9">
        <v>4</v>
      </c>
      <c r="AH17" s="10"/>
      <c r="AI17" s="10"/>
      <c r="AJ17" s="10"/>
      <c r="AK17" s="11"/>
      <c r="AL17" s="43">
        <v>1</v>
      </c>
      <c r="AM17" s="44">
        <v>1</v>
      </c>
      <c r="AN17" s="44">
        <v>1</v>
      </c>
      <c r="AO17" s="44">
        <v>2</v>
      </c>
      <c r="AP17" s="45">
        <v>1</v>
      </c>
      <c r="AQ17" s="106">
        <v>0.5</v>
      </c>
      <c r="AR17" s="110"/>
      <c r="AS17" s="110">
        <v>0.15</v>
      </c>
      <c r="AT17" s="110">
        <v>1</v>
      </c>
      <c r="AU17" s="109">
        <v>0.5</v>
      </c>
      <c r="AV17" s="6">
        <v>3</v>
      </c>
      <c r="AW17" s="7">
        <v>3</v>
      </c>
      <c r="AX17" s="7">
        <v>3</v>
      </c>
      <c r="AY17" s="10"/>
      <c r="AZ17" s="11"/>
      <c r="BA17" s="9">
        <v>12</v>
      </c>
      <c r="BB17" s="10"/>
      <c r="BC17" s="11">
        <v>15</v>
      </c>
      <c r="BD17" s="18"/>
      <c r="BE17" s="12"/>
    </row>
    <row r="18" spans="1:57" ht="31.9" customHeight="1" x14ac:dyDescent="0.2">
      <c r="A18" s="20">
        <v>11</v>
      </c>
      <c r="B18" s="16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19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>
        <v>1</v>
      </c>
      <c r="AG18" s="9">
        <v>4</v>
      </c>
      <c r="AH18" s="10"/>
      <c r="AI18" s="10"/>
      <c r="AJ18" s="10"/>
      <c r="AK18" s="11"/>
      <c r="AL18" s="43">
        <v>2</v>
      </c>
      <c r="AM18" s="44">
        <v>1</v>
      </c>
      <c r="AN18" s="44"/>
      <c r="AO18" s="44"/>
      <c r="AP18" s="45">
        <v>2</v>
      </c>
      <c r="AQ18" s="106">
        <v>0.5</v>
      </c>
      <c r="AR18" s="110">
        <v>0.5</v>
      </c>
      <c r="AS18" s="110"/>
      <c r="AT18" s="110"/>
      <c r="AU18" s="109">
        <v>1.5</v>
      </c>
      <c r="AV18" s="6">
        <v>3</v>
      </c>
      <c r="AW18" s="7">
        <v>3</v>
      </c>
      <c r="AX18" s="7">
        <v>3</v>
      </c>
      <c r="AY18" s="10"/>
      <c r="AZ18" s="11"/>
      <c r="BA18" s="9">
        <v>12</v>
      </c>
      <c r="BB18" s="10"/>
      <c r="BC18" s="11">
        <v>15</v>
      </c>
      <c r="BD18" s="18"/>
      <c r="BE18" s="12"/>
    </row>
    <row r="19" spans="1:57" ht="31.9" customHeight="1" x14ac:dyDescent="0.2">
      <c r="A19" s="20">
        <v>12</v>
      </c>
      <c r="B19" s="16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15</v>
      </c>
      <c r="X19" s="10"/>
      <c r="Y19" s="10"/>
      <c r="Z19" s="10"/>
      <c r="AA19" s="11"/>
      <c r="AB19" s="43"/>
      <c r="AC19" s="44"/>
      <c r="AD19" s="44"/>
      <c r="AE19" s="44"/>
      <c r="AF19" s="45">
        <v>2</v>
      </c>
      <c r="AG19" s="9"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/>
      <c r="AP19" s="45">
        <v>4</v>
      </c>
      <c r="AQ19" s="106">
        <v>0.5</v>
      </c>
      <c r="AR19" s="110"/>
      <c r="AS19" s="110">
        <f>8/20</f>
        <v>0.4</v>
      </c>
      <c r="AT19" s="110"/>
      <c r="AU19" s="109">
        <v>2</v>
      </c>
      <c r="AV19" s="6">
        <v>3</v>
      </c>
      <c r="AW19" s="7">
        <v>3</v>
      </c>
      <c r="AX19" s="7">
        <v>3</v>
      </c>
      <c r="AY19" s="10"/>
      <c r="AZ19" s="11"/>
      <c r="BA19" s="9">
        <v>18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6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17</v>
      </c>
      <c r="X20" s="10"/>
      <c r="Y20" s="10"/>
      <c r="Z20" s="10"/>
      <c r="AA20" s="11"/>
      <c r="AB20" s="43">
        <v>1</v>
      </c>
      <c r="AC20" s="44"/>
      <c r="AD20" s="44"/>
      <c r="AE20" s="44"/>
      <c r="AF20" s="45"/>
      <c r="AG20" s="9">
        <v>3</v>
      </c>
      <c r="AH20" s="10"/>
      <c r="AI20" s="10"/>
      <c r="AJ20" s="10"/>
      <c r="AK20" s="11"/>
      <c r="AL20" s="43">
        <v>2</v>
      </c>
      <c r="AM20" s="44"/>
      <c r="AN20" s="44">
        <v>1</v>
      </c>
      <c r="AO20" s="44"/>
      <c r="AP20" s="45">
        <v>1</v>
      </c>
      <c r="AQ20" s="106">
        <v>0.5</v>
      </c>
      <c r="AR20" s="110"/>
      <c r="AS20" s="110">
        <v>0.15</v>
      </c>
      <c r="AT20" s="110"/>
      <c r="AU20" s="109">
        <v>0.5</v>
      </c>
      <c r="AV20" s="6">
        <v>3</v>
      </c>
      <c r="AW20" s="7">
        <v>3</v>
      </c>
      <c r="AX20" s="7">
        <v>3</v>
      </c>
      <c r="AY20" s="10"/>
      <c r="AZ20" s="11"/>
      <c r="BA20" s="9">
        <v>12</v>
      </c>
      <c r="BB20" s="10"/>
      <c r="BC20" s="11">
        <v>5</v>
      </c>
      <c r="BD20" s="18"/>
      <c r="BE20" s="12"/>
    </row>
    <row r="21" spans="1:57" ht="31.9" customHeight="1" x14ac:dyDescent="0.2">
      <c r="A21" s="20">
        <v>14</v>
      </c>
      <c r="B21" s="16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18</v>
      </c>
      <c r="X21" s="10"/>
      <c r="Y21" s="10"/>
      <c r="Z21" s="10"/>
      <c r="AA21" s="11"/>
      <c r="AB21" s="43">
        <v>1</v>
      </c>
      <c r="AC21" s="44"/>
      <c r="AD21" s="44"/>
      <c r="AE21" s="44">
        <v>1</v>
      </c>
      <c r="AF21" s="45"/>
      <c r="AG21" s="9">
        <v>6</v>
      </c>
      <c r="AH21" s="10"/>
      <c r="AI21" s="10"/>
      <c r="AJ21" s="10"/>
      <c r="AK21" s="11"/>
      <c r="AL21" s="43">
        <v>2</v>
      </c>
      <c r="AM21" s="44">
        <v>1</v>
      </c>
      <c r="AN21" s="44">
        <v>1</v>
      </c>
      <c r="AO21" s="44">
        <v>1</v>
      </c>
      <c r="AP21" s="45">
        <v>3</v>
      </c>
      <c r="AQ21" s="106">
        <v>0.67</v>
      </c>
      <c r="AR21" s="110">
        <f>1/6</f>
        <v>0.16666666666666666</v>
      </c>
      <c r="AS21" s="110">
        <v>0.15</v>
      </c>
      <c r="AT21" s="110"/>
      <c r="AU21" s="109">
        <v>2</v>
      </c>
      <c r="AV21" s="6">
        <v>3</v>
      </c>
      <c r="AW21" s="7">
        <v>3</v>
      </c>
      <c r="AX21" s="7">
        <v>3</v>
      </c>
      <c r="AY21" s="10"/>
      <c r="AZ21" s="11"/>
      <c r="BA21" s="9">
        <v>14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6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17</v>
      </c>
      <c r="X22" s="10"/>
      <c r="Y22" s="10"/>
      <c r="Z22" s="10"/>
      <c r="AA22" s="11"/>
      <c r="AB22" s="43"/>
      <c r="AC22" s="44">
        <v>1</v>
      </c>
      <c r="AD22" s="44"/>
      <c r="AE22" s="44"/>
      <c r="AF22" s="45"/>
      <c r="AG22" s="9">
        <v>5</v>
      </c>
      <c r="AH22" s="10"/>
      <c r="AI22" s="10"/>
      <c r="AJ22" s="10"/>
      <c r="AK22" s="11"/>
      <c r="AL22" s="43">
        <v>1</v>
      </c>
      <c r="AM22" s="44">
        <v>1</v>
      </c>
      <c r="AN22" s="44">
        <v>1</v>
      </c>
      <c r="AO22" s="44"/>
      <c r="AP22" s="45">
        <v>2</v>
      </c>
      <c r="AQ22" s="106">
        <v>0.5</v>
      </c>
      <c r="AR22" s="110"/>
      <c r="AS22" s="110">
        <v>0.15</v>
      </c>
      <c r="AT22" s="110"/>
      <c r="AU22" s="109">
        <v>2</v>
      </c>
      <c r="AV22" s="6">
        <v>3</v>
      </c>
      <c r="AW22" s="7">
        <v>3</v>
      </c>
      <c r="AX22" s="7">
        <v>3</v>
      </c>
      <c r="AY22" s="10"/>
      <c r="AZ22" s="11"/>
      <c r="BA22" s="9">
        <v>12</v>
      </c>
      <c r="BB22" s="10"/>
      <c r="BC22" s="11">
        <v>20</v>
      </c>
      <c r="BD22" s="18"/>
      <c r="BE22" s="12"/>
    </row>
    <row r="23" spans="1:57" ht="31.9" customHeight="1" x14ac:dyDescent="0.2">
      <c r="A23" s="20">
        <v>16</v>
      </c>
      <c r="B23" s="16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17</v>
      </c>
      <c r="X23" s="10"/>
      <c r="Y23" s="10"/>
      <c r="Z23" s="10"/>
      <c r="AA23" s="11"/>
      <c r="AB23" s="43"/>
      <c r="AC23" s="44"/>
      <c r="AD23" s="44"/>
      <c r="AE23" s="44"/>
      <c r="AF23" s="45"/>
      <c r="AG23" s="9">
        <v>3</v>
      </c>
      <c r="AH23" s="10"/>
      <c r="AI23" s="10"/>
      <c r="AJ23" s="10"/>
      <c r="AK23" s="11"/>
      <c r="AL23" s="43">
        <v>1</v>
      </c>
      <c r="AM23" s="44"/>
      <c r="AN23" s="44">
        <v>1</v>
      </c>
      <c r="AO23" s="44"/>
      <c r="AP23" s="45">
        <v>1</v>
      </c>
      <c r="AQ23" s="106">
        <v>0.5</v>
      </c>
      <c r="AR23" s="110"/>
      <c r="AS23" s="110">
        <v>0.3</v>
      </c>
      <c r="AT23" s="110"/>
      <c r="AU23" s="111">
        <v>1</v>
      </c>
      <c r="AV23" s="6">
        <v>3</v>
      </c>
      <c r="AW23" s="7">
        <v>3</v>
      </c>
      <c r="AX23" s="7">
        <v>3</v>
      </c>
      <c r="AY23" s="10"/>
      <c r="AZ23" s="11"/>
      <c r="BA23" s="9">
        <v>18</v>
      </c>
      <c r="BB23" s="10"/>
      <c r="BC23" s="11">
        <v>10</v>
      </c>
      <c r="BD23" s="18"/>
      <c r="BE23" s="12"/>
    </row>
    <row r="24" spans="1:57" ht="31.9" customHeight="1" x14ac:dyDescent="0.2">
      <c r="A24" s="20">
        <v>17</v>
      </c>
      <c r="B24" s="16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18</v>
      </c>
      <c r="X24" s="10"/>
      <c r="Y24" s="10"/>
      <c r="Z24" s="10"/>
      <c r="AA24" s="11"/>
      <c r="AB24" s="43"/>
      <c r="AC24" s="44"/>
      <c r="AD24" s="44">
        <v>1</v>
      </c>
      <c r="AE24" s="44">
        <v>1</v>
      </c>
      <c r="AF24" s="45"/>
      <c r="AG24" s="9">
        <v>5</v>
      </c>
      <c r="AH24" s="10"/>
      <c r="AI24" s="10"/>
      <c r="AJ24" s="10"/>
      <c r="AK24" s="11"/>
      <c r="AL24" s="43">
        <v>1</v>
      </c>
      <c r="AM24" s="44">
        <v>1</v>
      </c>
      <c r="AN24" s="44">
        <v>1</v>
      </c>
      <c r="AO24" s="44">
        <v>1</v>
      </c>
      <c r="AP24" s="45">
        <v>1</v>
      </c>
      <c r="AQ24" s="106">
        <v>0.5</v>
      </c>
      <c r="AR24" s="110">
        <v>0.5</v>
      </c>
      <c r="AS24" s="110">
        <v>0.15</v>
      </c>
      <c r="AT24" s="110">
        <v>0.4</v>
      </c>
      <c r="AU24" s="111">
        <v>1</v>
      </c>
      <c r="AV24" s="6">
        <v>3</v>
      </c>
      <c r="AW24" s="7">
        <v>3</v>
      </c>
      <c r="AX24" s="7">
        <v>3</v>
      </c>
      <c r="AY24" s="10"/>
      <c r="AZ24" s="11"/>
      <c r="BA24" s="9">
        <v>18</v>
      </c>
      <c r="BB24" s="10"/>
      <c r="BC24" s="11">
        <v>14</v>
      </c>
      <c r="BD24" s="18"/>
      <c r="BE24" s="12"/>
    </row>
    <row r="25" spans="1:57" ht="31.9" customHeight="1" x14ac:dyDescent="0.2">
      <c r="A25" s="20">
        <v>18</v>
      </c>
      <c r="B25" s="16" t="s">
        <v>48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20</v>
      </c>
      <c r="X25" s="10"/>
      <c r="Y25" s="10"/>
      <c r="Z25" s="10"/>
      <c r="AA25" s="11"/>
      <c r="AB25" s="43"/>
      <c r="AC25" s="44"/>
      <c r="AD25" s="44"/>
      <c r="AE25" s="44"/>
      <c r="AF25" s="45">
        <v>2</v>
      </c>
      <c r="AG25" s="9">
        <v>3</v>
      </c>
      <c r="AH25" s="10"/>
      <c r="AI25" s="10"/>
      <c r="AJ25" s="10"/>
      <c r="AK25" s="11"/>
      <c r="AL25" s="43">
        <v>1</v>
      </c>
      <c r="AM25" s="44"/>
      <c r="AN25" s="44">
        <v>1</v>
      </c>
      <c r="AO25" s="44"/>
      <c r="AP25" s="45">
        <v>3</v>
      </c>
      <c r="AQ25" s="106">
        <v>0.5</v>
      </c>
      <c r="AR25" s="110"/>
      <c r="AS25" s="110">
        <v>0.15</v>
      </c>
      <c r="AT25" s="110"/>
      <c r="AU25" s="111">
        <v>0.5</v>
      </c>
      <c r="AV25" s="6">
        <v>3</v>
      </c>
      <c r="AW25" s="7">
        <v>3</v>
      </c>
      <c r="AX25" s="7">
        <v>3</v>
      </c>
      <c r="AY25" s="10"/>
      <c r="AZ25" s="11"/>
      <c r="BA25" s="9">
        <v>12</v>
      </c>
      <c r="BB25" s="10"/>
      <c r="BC25" s="11">
        <v>5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2"/>
      <c r="AR26" s="113"/>
      <c r="AS26" s="113"/>
      <c r="AT26" s="113"/>
      <c r="AU26" s="114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112"/>
      <c r="AR27" s="113"/>
      <c r="AS27" s="113"/>
      <c r="AT27" s="113"/>
      <c r="AU27" s="114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324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8</v>
      </c>
      <c r="AC28" s="65">
        <f t="shared" si="3"/>
        <v>2</v>
      </c>
      <c r="AD28" s="65">
        <f t="shared" si="3"/>
        <v>2</v>
      </c>
      <c r="AE28" s="65">
        <f t="shared" si="3"/>
        <v>5</v>
      </c>
      <c r="AF28" s="66">
        <f t="shared" si="3"/>
        <v>11</v>
      </c>
      <c r="AG28" s="29">
        <f t="shared" si="3"/>
        <v>78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25</v>
      </c>
      <c r="AM28" s="65">
        <f t="shared" si="4"/>
        <v>7</v>
      </c>
      <c r="AN28" s="65">
        <f t="shared" si="4"/>
        <v>19</v>
      </c>
      <c r="AO28" s="65">
        <f t="shared" si="4"/>
        <v>8</v>
      </c>
      <c r="AP28" s="66">
        <f t="shared" si="4"/>
        <v>41</v>
      </c>
      <c r="AQ28" s="119">
        <f t="shared" si="4"/>
        <v>10.67</v>
      </c>
      <c r="AR28" s="115">
        <f t="shared" si="4"/>
        <v>2.166666666666667</v>
      </c>
      <c r="AS28" s="115">
        <f t="shared" si="4"/>
        <v>3.5499999999999989</v>
      </c>
      <c r="AT28" s="115">
        <f t="shared" si="4"/>
        <v>3.9</v>
      </c>
      <c r="AU28" s="120">
        <f t="shared" si="4"/>
        <v>25.5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290</v>
      </c>
      <c r="BB28" s="47">
        <f t="shared" si="4"/>
        <v>0</v>
      </c>
      <c r="BC28" s="49">
        <f t="shared" si="4"/>
        <v>294</v>
      </c>
      <c r="BD28" s="19">
        <f t="shared" si="4"/>
        <v>0</v>
      </c>
      <c r="BE28" s="2">
        <f t="shared" si="4"/>
        <v>0</v>
      </c>
    </row>
    <row r="29" spans="1:57" ht="9" customHeight="1" x14ac:dyDescent="0.25"/>
    <row r="30" spans="1:57" x14ac:dyDescent="0.25">
      <c r="AQ30" s="129" t="s">
        <v>66</v>
      </c>
      <c r="AR30" s="129" t="s">
        <v>67</v>
      </c>
      <c r="AS30" s="129" t="s">
        <v>68</v>
      </c>
      <c r="AT30" s="129" t="s">
        <v>69</v>
      </c>
      <c r="AU30" s="129" t="s">
        <v>70</v>
      </c>
    </row>
    <row r="33" spans="44:46" x14ac:dyDescent="0.25">
      <c r="AR33" s="28">
        <f>13/6</f>
        <v>2.1666666666666665</v>
      </c>
      <c r="AS33" s="28">
        <f>11/20</f>
        <v>0.55000000000000004</v>
      </c>
      <c r="AT33" s="28">
        <f>9</f>
        <v>9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8"/>
  <sheetViews>
    <sheetView zoomScale="90" zoomScaleNormal="90" workbookViewId="0">
      <pane xSplit="2" ySplit="7" topLeftCell="O17" activePane="bottomRight" state="frozen"/>
      <selection activeCell="C3" sqref="C3"/>
      <selection pane="topRight" activeCell="C3" sqref="C3"/>
      <selection pane="bottomLeft" activeCell="C3" sqref="C3"/>
      <selection pane="bottomRight" activeCell="AG17" sqref="AG17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33"/>
      <c r="B4" s="133"/>
    </row>
    <row r="5" spans="1:57" ht="57.75" customHeight="1" thickBot="1" x14ac:dyDescent="0.25">
      <c r="C5" s="156" t="s">
        <v>1</v>
      </c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3" t="s">
        <v>22</v>
      </c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5"/>
      <c r="BD5" s="134" t="s">
        <v>6</v>
      </c>
      <c r="BE5" s="134" t="s">
        <v>7</v>
      </c>
    </row>
    <row r="6" spans="1:57" ht="69.75" customHeight="1" thickBot="1" x14ac:dyDescent="0.25">
      <c r="A6" s="137" t="s">
        <v>24</v>
      </c>
      <c r="B6" s="137" t="s">
        <v>8</v>
      </c>
      <c r="C6" s="158" t="s">
        <v>9</v>
      </c>
      <c r="D6" s="159"/>
      <c r="E6" s="159"/>
      <c r="F6" s="159"/>
      <c r="G6" s="160"/>
      <c r="H6" s="158" t="s">
        <v>15</v>
      </c>
      <c r="I6" s="159"/>
      <c r="J6" s="159"/>
      <c r="K6" s="159"/>
      <c r="L6" s="160"/>
      <c r="M6" s="141" t="s">
        <v>16</v>
      </c>
      <c r="N6" s="142"/>
      <c r="O6" s="142"/>
      <c r="P6" s="142"/>
      <c r="Q6" s="143"/>
      <c r="R6" s="141" t="s">
        <v>25</v>
      </c>
      <c r="S6" s="142"/>
      <c r="T6" s="142"/>
      <c r="U6" s="142"/>
      <c r="V6" s="143"/>
      <c r="W6" s="144" t="s">
        <v>9</v>
      </c>
      <c r="X6" s="145"/>
      <c r="Y6" s="145"/>
      <c r="Z6" s="145"/>
      <c r="AA6" s="146"/>
      <c r="AB6" s="164" t="s">
        <v>27</v>
      </c>
      <c r="AC6" s="165"/>
      <c r="AD6" s="165"/>
      <c r="AE6" s="165"/>
      <c r="AF6" s="166"/>
      <c r="AG6" s="147" t="s">
        <v>15</v>
      </c>
      <c r="AH6" s="148"/>
      <c r="AI6" s="148"/>
      <c r="AJ6" s="148"/>
      <c r="AK6" s="149"/>
      <c r="AL6" s="161" t="s">
        <v>28</v>
      </c>
      <c r="AM6" s="162"/>
      <c r="AN6" s="162"/>
      <c r="AO6" s="162"/>
      <c r="AP6" s="163"/>
      <c r="AQ6" s="168" t="s">
        <v>25</v>
      </c>
      <c r="AR6" s="168"/>
      <c r="AS6" s="168"/>
      <c r="AT6" s="168"/>
      <c r="AU6" s="169"/>
      <c r="AV6" s="150" t="s">
        <v>16</v>
      </c>
      <c r="AW6" s="151"/>
      <c r="AX6" s="151"/>
      <c r="AY6" s="151"/>
      <c r="AZ6" s="152"/>
      <c r="BA6" s="173" t="s">
        <v>26</v>
      </c>
      <c r="BB6" s="174"/>
      <c r="BC6" s="175"/>
      <c r="BD6" s="135"/>
      <c r="BE6" s="135"/>
    </row>
    <row r="7" spans="1:57" ht="222.75" customHeight="1" thickBot="1" x14ac:dyDescent="0.25">
      <c r="A7" s="138"/>
      <c r="B7" s="138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90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6"/>
      <c r="BE7" s="136"/>
    </row>
    <row r="8" spans="1:57" ht="31.9" customHeight="1" x14ac:dyDescent="0.2">
      <c r="A8" s="20">
        <v>1</v>
      </c>
      <c r="B8" s="16"/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 t="e">
        <f>'JEUDI 22 JANV'!W8+'VEND 23 JANV'!W8+'SAM 24 JANV'!W8+'LUND 26 JANV'!W8+'MAR 27 JANV'!W8+#REF!</f>
        <v>#REF!</v>
      </c>
      <c r="X8" s="7" t="e">
        <f>'JEUDI 22 JANV'!X8+'VEND 23 JANV'!X8+'SAM 24 JANV'!X8+'LUND 26 JANV'!X8+'MAR 27 JANV'!X8+#REF!</f>
        <v>#REF!</v>
      </c>
      <c r="Y8" s="7" t="e">
        <f>'JEUDI 22 JANV'!Y8+'VEND 23 JANV'!Y8+'SAM 24 JANV'!Y8+'LUND 26 JANV'!Y8+'MAR 27 JANV'!Y8+#REF!</f>
        <v>#REF!</v>
      </c>
      <c r="Z8" s="7" t="e">
        <f>'JEUDI 22 JANV'!Z8+'VEND 23 JANV'!Z8+'SAM 24 JANV'!Z8+'LUND 26 JANV'!Z8+'MAR 27 JANV'!Z8+#REF!</f>
        <v>#REF!</v>
      </c>
      <c r="AA8" s="8" t="e">
        <f>'JEUDI 22 JANV'!AA8+'VEND 23 JANV'!AA8+'SAM 24 JANV'!AA8+'LUND 26 JANV'!AA8+'MAR 27 JANV'!AA8+#REF!</f>
        <v>#REF!</v>
      </c>
      <c r="AB8" s="10" t="e">
        <f>'JEUDI 22 JANV'!AB8+'VEND 23 JANV'!AB8+'SAM 24 JANV'!AB8+'LUND 26 JANV'!AB8+'MAR 27 JANV'!AB8+#REF!</f>
        <v>#REF!</v>
      </c>
      <c r="AC8" s="10" t="e">
        <f>'JEUDI 22 JANV'!AC8+'VEND 23 JANV'!AC8+'SAM 24 JANV'!AC8+'LUND 26 JANV'!AC8+'MAR 27 JANV'!AC8+#REF!</f>
        <v>#REF!</v>
      </c>
      <c r="AD8" s="10" t="e">
        <f>'JEUDI 22 JANV'!AD8+'VEND 23 JANV'!AD8+'SAM 24 JANV'!AD8+'LUND 26 JANV'!AD8+'MAR 27 JANV'!AD8+#REF!</f>
        <v>#REF!</v>
      </c>
      <c r="AE8" s="10" t="e">
        <f>'JEUDI 22 JANV'!AE8+'VEND 23 JANV'!AE8+'SAM 24 JANV'!AE8+'LUND 26 JANV'!AE8+'MAR 27 JANV'!AE8+#REF!</f>
        <v>#REF!</v>
      </c>
      <c r="AF8" s="10" t="e">
        <f>'JEUDI 22 JANV'!AF8+'VEND 23 JANV'!AF8+'SAM 24 JANV'!AF8+'LUND 26 JANV'!AF8+'MAR 27 JANV'!AF8+#REF!</f>
        <v>#REF!</v>
      </c>
      <c r="AG8" s="6" t="e">
        <f>'JEUDI 22 JANV'!AG8+'VEND 23 JANV'!AG8+'SAM 24 JANV'!AG8+'LUND 26 JANV'!AG8+'MAR 27 JANV'!AG8+#REF!</f>
        <v>#REF!</v>
      </c>
      <c r="AH8" s="7" t="e">
        <f>'JEUDI 22 JANV'!AH8+'VEND 23 JANV'!AH8+'SAM 24 JANV'!AH8+'LUND 26 JANV'!AH8+'MAR 27 JANV'!AH8+#REF!</f>
        <v>#REF!</v>
      </c>
      <c r="AI8" s="7" t="e">
        <f>'JEUDI 22 JANV'!AI8+'VEND 23 JANV'!AI8+'SAM 24 JANV'!AI8+'LUND 26 JANV'!AI8+'MAR 27 JANV'!AI8+#REF!</f>
        <v>#REF!</v>
      </c>
      <c r="AJ8" s="7" t="e">
        <f>'JEUDI 22 JANV'!AJ8+'VEND 23 JANV'!AJ8+'SAM 24 JANV'!AJ8+'LUND 26 JANV'!AJ8+'MAR 27 JANV'!AJ8+#REF!</f>
        <v>#REF!</v>
      </c>
      <c r="AK8" s="8" t="e">
        <f>'JEUDI 22 JANV'!AK8+'VEND 23 JANV'!AK8+'SAM 24 JANV'!AK8+'LUND 26 JANV'!AK8+'MAR 27 JANV'!AK8+#REF!</f>
        <v>#REF!</v>
      </c>
      <c r="AL8" s="9" t="e">
        <f>'JEUDI 22 JANV'!AL8+'VEND 23 JANV'!AL8+'SAM 24 JANV'!AL8+'LUND 26 JANV'!AL8+'MAR 27 JANV'!AL8+#REF!</f>
        <v>#REF!</v>
      </c>
      <c r="AM8" s="10" t="e">
        <f>'JEUDI 22 JANV'!AM8+'VEND 23 JANV'!AM8+'SAM 24 JANV'!AM8+'LUND 26 JANV'!AM8+'MAR 27 JANV'!AM8+#REF!</f>
        <v>#REF!</v>
      </c>
      <c r="AN8" s="10" t="e">
        <f>'JEUDI 22 JANV'!AN8+'VEND 23 JANV'!AN8+'SAM 24 JANV'!AN8+'LUND 26 JANV'!AN8+'MAR 27 JANV'!AN8+#REF!</f>
        <v>#REF!</v>
      </c>
      <c r="AO8" s="10" t="e">
        <f>'JEUDI 22 JANV'!AO8+'VEND 23 JANV'!AO8+'SAM 24 JANV'!AO8+'LUND 26 JANV'!AO8+'MAR 27 JANV'!AO8+#REF!</f>
        <v>#REF!</v>
      </c>
      <c r="AP8" s="11" t="e">
        <f>'JEUDI 22 JANV'!AP8+'VEND 23 JANV'!AP8+'SAM 24 JANV'!AP8+'LUND 26 JANV'!AP8+'MAR 27 JANV'!AP8+#REF!</f>
        <v>#REF!</v>
      </c>
      <c r="AQ8" s="91" t="e">
        <f>'JEUDI 22 JANV'!AQ8+'VEND 23 JANV'!AQ8+'SAM 24 JANV'!AQ8+'LUND 26 JANV'!AQ8+'MAR 27 JANV'!AQ8+#REF!</f>
        <v>#REF!</v>
      </c>
      <c r="AR8" s="10" t="e">
        <f>'JEUDI 22 JANV'!AR8+'VEND 23 JANV'!AR8+'SAM 24 JANV'!AR8+'LUND 26 JANV'!AR8+'MAR 27 JANV'!AR8+#REF!</f>
        <v>#REF!</v>
      </c>
      <c r="AS8" s="10" t="e">
        <f>'JEUDI 22 JANV'!AS8+'VEND 23 JANV'!AS8+'SAM 24 JANV'!AS8+'LUND 26 JANV'!AS8+'MAR 27 JANV'!AS8+#REF!</f>
        <v>#REF!</v>
      </c>
      <c r="AT8" s="10" t="e">
        <f>'JEUDI 22 JANV'!AT8+'VEND 23 JANV'!AT8+'SAM 24 JANV'!AT8+'LUND 26 JANV'!AT8+'MAR 27 JANV'!AT8+#REF!</f>
        <v>#REF!</v>
      </c>
      <c r="AU8" s="10" t="e">
        <f>'JEUDI 22 JANV'!AU8+'VEND 23 JANV'!AU8+'SAM 24 JANV'!AU8+'LUND 26 JANV'!AU8+'MAR 27 JANV'!AU8+#REF!</f>
        <v>#REF!</v>
      </c>
      <c r="AV8" s="6" t="e">
        <f>'JEUDI 22 JANV'!AV8+'VEND 23 JANV'!AV8+'SAM 24 JANV'!AV8+'LUND 26 JANV'!AV8+'MAR 27 JANV'!AV8+#REF!</f>
        <v>#REF!</v>
      </c>
      <c r="AW8" s="7" t="e">
        <f>'JEUDI 22 JANV'!AW8+'VEND 23 JANV'!AW8+'SAM 24 JANV'!AW8+'LUND 26 JANV'!AW8+'MAR 27 JANV'!AW8+#REF!</f>
        <v>#REF!</v>
      </c>
      <c r="AX8" s="7" t="e">
        <f>'JEUDI 22 JANV'!AX8+'VEND 23 JANV'!AX8+'SAM 24 JANV'!AX8+'LUND 26 JANV'!AX8+'MAR 27 JANV'!AX8+#REF!</f>
        <v>#REF!</v>
      </c>
      <c r="AY8" s="7" t="e">
        <f>'JEUDI 22 JANV'!AY8+'VEND 23 JANV'!AY8+'SAM 24 JANV'!AY8+'LUND 26 JANV'!AY8+'MAR 27 JANV'!AY8+#REF!</f>
        <v>#REF!</v>
      </c>
      <c r="AZ8" s="8" t="e">
        <f>'JEUDI 22 JANV'!AZ8+'VEND 23 JANV'!AZ8+'SAM 24 JANV'!AZ8+'LUND 26 JANV'!AZ8+'MAR 27 JANV'!AZ8+#REF!</f>
        <v>#REF!</v>
      </c>
      <c r="BA8" s="6" t="e">
        <f>'JEUDI 22 JANV'!BA8+'VEND 23 JANV'!BA8+'SAM 24 JANV'!BA8+'LUND 26 JANV'!BA8+'MAR 27 JANV'!BA8+#REF!</f>
        <v>#REF!</v>
      </c>
      <c r="BB8" s="7" t="e">
        <f>'JEUDI 22 JANV'!BB8+'VEND 23 JANV'!BB8+'SAM 24 JANV'!BB8+'LUND 26 JANV'!BB8+'MAR 27 JANV'!BB8+#REF!</f>
        <v>#REF!</v>
      </c>
      <c r="BC8" s="8" t="e">
        <f>'JEUDI 22 JANV'!BC8+'VEND 23 JANV'!BC8+'SAM 24 JANV'!BC8+'LUND 26 JANV'!BC8+'MAR 27 JANV'!BC8+#REF!</f>
        <v>#REF!</v>
      </c>
      <c r="BD8" s="17"/>
      <c r="BE8" s="13"/>
    </row>
    <row r="9" spans="1:57" ht="31.9" customHeight="1" x14ac:dyDescent="0.2">
      <c r="A9" s="20">
        <v>2</v>
      </c>
      <c r="B9" s="16"/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6" t="e">
        <f>'JEUDI 22 JANV'!W9+'VEND 23 JANV'!W9+'SAM 24 JANV'!W9+'LUND 26 JANV'!W9+'MAR 27 JANV'!W9+#REF!</f>
        <v>#REF!</v>
      </c>
      <c r="X9" s="7" t="e">
        <f>'JEUDI 22 JANV'!X9+'VEND 23 JANV'!X9+'SAM 24 JANV'!X9+'LUND 26 JANV'!X9+'MAR 27 JANV'!X9+#REF!</f>
        <v>#REF!</v>
      </c>
      <c r="Y9" s="7" t="e">
        <f>'JEUDI 22 JANV'!Y9+'VEND 23 JANV'!Y9+'SAM 24 JANV'!Y9+'LUND 26 JANV'!Y9+'MAR 27 JANV'!Y9+#REF!</f>
        <v>#REF!</v>
      </c>
      <c r="Z9" s="7" t="e">
        <f>'JEUDI 22 JANV'!Z9+'VEND 23 JANV'!Z9+'SAM 24 JANV'!Z9+'LUND 26 JANV'!Z9+'MAR 27 JANV'!Z9+#REF!</f>
        <v>#REF!</v>
      </c>
      <c r="AA9" s="8" t="e">
        <f>'JEUDI 22 JANV'!AA9+'VEND 23 JANV'!AA9+'SAM 24 JANV'!AA9+'LUND 26 JANV'!AA9+'MAR 27 JANV'!AA9+#REF!</f>
        <v>#REF!</v>
      </c>
      <c r="AB9" s="10" t="e">
        <f>'JEUDI 22 JANV'!AB9+'VEND 23 JANV'!AB9+'SAM 24 JANV'!AB9+'LUND 26 JANV'!AB9+'MAR 27 JANV'!AB9+#REF!</f>
        <v>#REF!</v>
      </c>
      <c r="AC9" s="10" t="e">
        <f>'JEUDI 22 JANV'!AC9+'VEND 23 JANV'!AC9+'SAM 24 JANV'!AC9+'LUND 26 JANV'!AC9+'MAR 27 JANV'!AC9+#REF!</f>
        <v>#REF!</v>
      </c>
      <c r="AD9" s="10" t="e">
        <f>'JEUDI 22 JANV'!AD9+'VEND 23 JANV'!AD9+'SAM 24 JANV'!AD9+'LUND 26 JANV'!AD9+'MAR 27 JANV'!AD9+#REF!</f>
        <v>#REF!</v>
      </c>
      <c r="AE9" s="10" t="e">
        <f>'JEUDI 22 JANV'!AE9+'VEND 23 JANV'!AE9+'SAM 24 JANV'!AE9+'LUND 26 JANV'!AE9+'MAR 27 JANV'!AE9+#REF!</f>
        <v>#REF!</v>
      </c>
      <c r="AF9" s="10" t="e">
        <f>'JEUDI 22 JANV'!AF9+'VEND 23 JANV'!AF9+'SAM 24 JANV'!AF9+'LUND 26 JANV'!AF9+'MAR 27 JANV'!AF9+#REF!</f>
        <v>#REF!</v>
      </c>
      <c r="AG9" s="6" t="e">
        <f>'JEUDI 22 JANV'!AG9+'VEND 23 JANV'!AG9+'SAM 24 JANV'!AG9+'LUND 26 JANV'!AG9+'MAR 27 JANV'!AG9+#REF!</f>
        <v>#REF!</v>
      </c>
      <c r="AH9" s="7" t="e">
        <f>'JEUDI 22 JANV'!AH9+'VEND 23 JANV'!AH9+'SAM 24 JANV'!AH9+'LUND 26 JANV'!AH9+'MAR 27 JANV'!AH9+#REF!</f>
        <v>#REF!</v>
      </c>
      <c r="AI9" s="7" t="e">
        <f>'JEUDI 22 JANV'!AI9+'VEND 23 JANV'!AI9+'SAM 24 JANV'!AI9+'LUND 26 JANV'!AI9+'MAR 27 JANV'!AI9+#REF!</f>
        <v>#REF!</v>
      </c>
      <c r="AJ9" s="7" t="e">
        <f>'JEUDI 22 JANV'!AJ9+'VEND 23 JANV'!AJ9+'SAM 24 JANV'!AJ9+'LUND 26 JANV'!AJ9+'MAR 27 JANV'!AJ9+#REF!</f>
        <v>#REF!</v>
      </c>
      <c r="AK9" s="8" t="e">
        <f>'JEUDI 22 JANV'!AK9+'VEND 23 JANV'!AK9+'SAM 24 JANV'!AK9+'LUND 26 JANV'!AK9+'MAR 27 JANV'!AK9+#REF!</f>
        <v>#REF!</v>
      </c>
      <c r="AL9" s="9" t="e">
        <f>'JEUDI 22 JANV'!AL9+'VEND 23 JANV'!AL9+'SAM 24 JANV'!AL9+'LUND 26 JANV'!AL9+'MAR 27 JANV'!AL9+#REF!</f>
        <v>#REF!</v>
      </c>
      <c r="AM9" s="10" t="e">
        <f>'JEUDI 22 JANV'!AM9+'VEND 23 JANV'!AM9+'SAM 24 JANV'!AM9+'LUND 26 JANV'!AM9+'MAR 27 JANV'!AM9+#REF!</f>
        <v>#REF!</v>
      </c>
      <c r="AN9" s="10" t="e">
        <f>'JEUDI 22 JANV'!AN9+'VEND 23 JANV'!AN9+'SAM 24 JANV'!AN9+'LUND 26 JANV'!AN9+'MAR 27 JANV'!AN9+#REF!</f>
        <v>#REF!</v>
      </c>
      <c r="AO9" s="10" t="e">
        <f>'JEUDI 22 JANV'!AO9+'VEND 23 JANV'!AO9+'SAM 24 JANV'!AO9+'LUND 26 JANV'!AO9+'MAR 27 JANV'!AO9+#REF!</f>
        <v>#REF!</v>
      </c>
      <c r="AP9" s="11" t="e">
        <f>'JEUDI 22 JANV'!AP9+'VEND 23 JANV'!AP9+'SAM 24 JANV'!AP9+'LUND 26 JANV'!AP9+'MAR 27 JANV'!AP9+#REF!</f>
        <v>#REF!</v>
      </c>
      <c r="AQ9" s="91" t="e">
        <f>'JEUDI 22 JANV'!AQ9+'VEND 23 JANV'!AQ9+'SAM 24 JANV'!AQ9+'LUND 26 JANV'!AQ9+'MAR 27 JANV'!AQ9+#REF!</f>
        <v>#REF!</v>
      </c>
      <c r="AR9" s="10" t="e">
        <f>'JEUDI 22 JANV'!AR9+'VEND 23 JANV'!AR9+'SAM 24 JANV'!AR9+'LUND 26 JANV'!AR9+'MAR 27 JANV'!AR9+#REF!</f>
        <v>#REF!</v>
      </c>
      <c r="AS9" s="10" t="e">
        <f>'JEUDI 22 JANV'!AS9+'VEND 23 JANV'!AS9+'SAM 24 JANV'!AS9+'LUND 26 JANV'!AS9+'MAR 27 JANV'!AS9+#REF!</f>
        <v>#REF!</v>
      </c>
      <c r="AT9" s="10" t="e">
        <f>'JEUDI 22 JANV'!AT9+'VEND 23 JANV'!AT9+'SAM 24 JANV'!AT9+'LUND 26 JANV'!AT9+'MAR 27 JANV'!AT9+#REF!</f>
        <v>#REF!</v>
      </c>
      <c r="AU9" s="10" t="e">
        <f>'JEUDI 22 JANV'!AU9+'VEND 23 JANV'!AU9+'SAM 24 JANV'!AU9+'LUND 26 JANV'!AU9+'MAR 27 JANV'!AU9+#REF!</f>
        <v>#REF!</v>
      </c>
      <c r="AV9" s="6" t="e">
        <f>'JEUDI 22 JANV'!AV9+'VEND 23 JANV'!AV9+'SAM 24 JANV'!AV9+'LUND 26 JANV'!AV9+'MAR 27 JANV'!AV9+#REF!</f>
        <v>#REF!</v>
      </c>
      <c r="AW9" s="7" t="e">
        <f>'JEUDI 22 JANV'!AW9+'VEND 23 JANV'!AW9+'SAM 24 JANV'!AW9+'LUND 26 JANV'!AW9+'MAR 27 JANV'!AW9+#REF!</f>
        <v>#REF!</v>
      </c>
      <c r="AX9" s="7" t="e">
        <f>'JEUDI 22 JANV'!AX9+'VEND 23 JANV'!AX9+'SAM 24 JANV'!AX9+'LUND 26 JANV'!AX9+'MAR 27 JANV'!AX9+#REF!</f>
        <v>#REF!</v>
      </c>
      <c r="AY9" s="7" t="e">
        <f>'JEUDI 22 JANV'!AY9+'VEND 23 JANV'!AY9+'SAM 24 JANV'!AY9+'LUND 26 JANV'!AY9+'MAR 27 JANV'!AY9+#REF!</f>
        <v>#REF!</v>
      </c>
      <c r="AZ9" s="8" t="e">
        <f>'JEUDI 22 JANV'!AZ9+'VEND 23 JANV'!AZ9+'SAM 24 JANV'!AZ9+'LUND 26 JANV'!AZ9+'MAR 27 JANV'!AZ9+#REF!</f>
        <v>#REF!</v>
      </c>
      <c r="BA9" s="6" t="e">
        <f>'JEUDI 22 JANV'!BA9+'VEND 23 JANV'!BA9+'SAM 24 JANV'!BA9+'LUND 26 JANV'!BA9+'MAR 27 JANV'!BA9+#REF!</f>
        <v>#REF!</v>
      </c>
      <c r="BB9" s="7" t="e">
        <f>'JEUDI 22 JANV'!BB9+'VEND 23 JANV'!BB9+'SAM 24 JANV'!BB9+'LUND 26 JANV'!BB9+'MAR 27 JANV'!BB9+#REF!</f>
        <v>#REF!</v>
      </c>
      <c r="BC9" s="8" t="e">
        <f>'JEUDI 22 JANV'!BC9+'VEND 23 JANV'!BC9+'SAM 24 JANV'!BC9+'LUND 26 JANV'!BC9+'MAR 27 JANV'!BC9+#REF!</f>
        <v>#REF!</v>
      </c>
      <c r="BD9" s="70"/>
      <c r="BE9" s="12"/>
    </row>
    <row r="10" spans="1:57" ht="31.9" customHeight="1" x14ac:dyDescent="0.2">
      <c r="A10" s="20">
        <v>3</v>
      </c>
      <c r="B10" s="16"/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6" t="e">
        <f>'JEUDI 22 JANV'!W10+'VEND 23 JANV'!W10+'SAM 24 JANV'!W10+'LUND 26 JANV'!W10+'MAR 27 JANV'!W10+#REF!</f>
        <v>#REF!</v>
      </c>
      <c r="X10" s="7" t="e">
        <f>'JEUDI 22 JANV'!X10+'VEND 23 JANV'!X10+'SAM 24 JANV'!X10+'LUND 26 JANV'!X10+'MAR 27 JANV'!X10+#REF!</f>
        <v>#REF!</v>
      </c>
      <c r="Y10" s="7" t="e">
        <f>'JEUDI 22 JANV'!Y10+'VEND 23 JANV'!Y10+'SAM 24 JANV'!Y10+'LUND 26 JANV'!Y10+'MAR 27 JANV'!Y10+#REF!</f>
        <v>#REF!</v>
      </c>
      <c r="Z10" s="7" t="e">
        <f>'JEUDI 22 JANV'!Z10+'VEND 23 JANV'!Z10+'SAM 24 JANV'!Z10+'LUND 26 JANV'!Z10+'MAR 27 JANV'!Z10+#REF!</f>
        <v>#REF!</v>
      </c>
      <c r="AA10" s="8" t="e">
        <f>'JEUDI 22 JANV'!AA10+'VEND 23 JANV'!AA10+'SAM 24 JANV'!AA10+'LUND 26 JANV'!AA10+'MAR 27 JANV'!AA10+#REF!</f>
        <v>#REF!</v>
      </c>
      <c r="AB10" s="10" t="e">
        <f>'JEUDI 22 JANV'!AB10+'VEND 23 JANV'!AB10+'SAM 24 JANV'!AB10+'LUND 26 JANV'!AB10+'MAR 27 JANV'!AB10+#REF!</f>
        <v>#REF!</v>
      </c>
      <c r="AC10" s="10" t="e">
        <f>'JEUDI 22 JANV'!AC10+'VEND 23 JANV'!AC10+'SAM 24 JANV'!AC10+'LUND 26 JANV'!AC10+'MAR 27 JANV'!AC10+#REF!</f>
        <v>#REF!</v>
      </c>
      <c r="AD10" s="10" t="e">
        <f>'JEUDI 22 JANV'!AD10+'VEND 23 JANV'!AD10+'SAM 24 JANV'!AD10+'LUND 26 JANV'!AD10+'MAR 27 JANV'!AD10+#REF!</f>
        <v>#REF!</v>
      </c>
      <c r="AE10" s="10" t="e">
        <f>'JEUDI 22 JANV'!AE10+'VEND 23 JANV'!AE10+'SAM 24 JANV'!AE10+'LUND 26 JANV'!AE10+'MAR 27 JANV'!AE10+#REF!</f>
        <v>#REF!</v>
      </c>
      <c r="AF10" s="10" t="e">
        <f>'JEUDI 22 JANV'!AF10+'VEND 23 JANV'!AF10+'SAM 24 JANV'!AF10+'LUND 26 JANV'!AF10+'MAR 27 JANV'!AF10+#REF!</f>
        <v>#REF!</v>
      </c>
      <c r="AG10" s="6" t="e">
        <f>'JEUDI 22 JANV'!AG10+'VEND 23 JANV'!AG10+'SAM 24 JANV'!AG10+'LUND 26 JANV'!AG10+'MAR 27 JANV'!AG10+#REF!</f>
        <v>#REF!</v>
      </c>
      <c r="AH10" s="7" t="e">
        <f>'JEUDI 22 JANV'!AH10+'VEND 23 JANV'!AH10+'SAM 24 JANV'!AH10+'LUND 26 JANV'!AH10+'MAR 27 JANV'!AH10+#REF!</f>
        <v>#REF!</v>
      </c>
      <c r="AI10" s="7" t="e">
        <f>'JEUDI 22 JANV'!AI10+'VEND 23 JANV'!AI10+'SAM 24 JANV'!AI10+'LUND 26 JANV'!AI10+'MAR 27 JANV'!AI10+#REF!</f>
        <v>#REF!</v>
      </c>
      <c r="AJ10" s="7" t="e">
        <f>'JEUDI 22 JANV'!AJ10+'VEND 23 JANV'!AJ10+'SAM 24 JANV'!AJ10+'LUND 26 JANV'!AJ10+'MAR 27 JANV'!AJ10+#REF!</f>
        <v>#REF!</v>
      </c>
      <c r="AK10" s="8" t="e">
        <f>'JEUDI 22 JANV'!AK10+'VEND 23 JANV'!AK10+'SAM 24 JANV'!AK10+'LUND 26 JANV'!AK10+'MAR 27 JANV'!AK10+#REF!</f>
        <v>#REF!</v>
      </c>
      <c r="AL10" s="9" t="e">
        <f>'JEUDI 22 JANV'!AL10+'VEND 23 JANV'!AL10+'SAM 24 JANV'!AL10+'LUND 26 JANV'!AL10+'MAR 27 JANV'!AL10+#REF!</f>
        <v>#REF!</v>
      </c>
      <c r="AM10" s="10" t="e">
        <f>'JEUDI 22 JANV'!AM10+'VEND 23 JANV'!AM10+'SAM 24 JANV'!AM10+'LUND 26 JANV'!AM10+'MAR 27 JANV'!AM10+#REF!</f>
        <v>#REF!</v>
      </c>
      <c r="AN10" s="10" t="e">
        <f>'JEUDI 22 JANV'!AN10+'VEND 23 JANV'!AN10+'SAM 24 JANV'!AN10+'LUND 26 JANV'!AN10+'MAR 27 JANV'!AN10+#REF!</f>
        <v>#REF!</v>
      </c>
      <c r="AO10" s="10" t="e">
        <f>'JEUDI 22 JANV'!AO10+'VEND 23 JANV'!AO10+'SAM 24 JANV'!AO10+'LUND 26 JANV'!AO10+'MAR 27 JANV'!AO10+#REF!</f>
        <v>#REF!</v>
      </c>
      <c r="AP10" s="11" t="e">
        <f>'JEUDI 22 JANV'!AP10+'VEND 23 JANV'!AP10+'SAM 24 JANV'!AP10+'LUND 26 JANV'!AP10+'MAR 27 JANV'!AP10+#REF!</f>
        <v>#REF!</v>
      </c>
      <c r="AQ10" s="91" t="e">
        <f>'JEUDI 22 JANV'!AQ10+'VEND 23 JANV'!AQ10+'SAM 24 JANV'!AQ10+'LUND 26 JANV'!AQ10+'MAR 27 JANV'!AQ10+#REF!</f>
        <v>#REF!</v>
      </c>
      <c r="AR10" s="10" t="e">
        <f>'JEUDI 22 JANV'!AR10+'VEND 23 JANV'!AR10+'SAM 24 JANV'!AR10+'LUND 26 JANV'!AR10+'MAR 27 JANV'!AR10+#REF!</f>
        <v>#REF!</v>
      </c>
      <c r="AS10" s="10" t="e">
        <f>'JEUDI 22 JANV'!AS10+'VEND 23 JANV'!AS10+'SAM 24 JANV'!AS10+'LUND 26 JANV'!AS10+'MAR 27 JANV'!AS10+#REF!</f>
        <v>#REF!</v>
      </c>
      <c r="AT10" s="10" t="e">
        <f>'JEUDI 22 JANV'!AT10+'VEND 23 JANV'!AT10+'SAM 24 JANV'!AT10+'LUND 26 JANV'!AT10+'MAR 27 JANV'!AT10+#REF!</f>
        <v>#REF!</v>
      </c>
      <c r="AU10" s="10" t="e">
        <f>'JEUDI 22 JANV'!AU10+'VEND 23 JANV'!AU10+'SAM 24 JANV'!AU10+'LUND 26 JANV'!AU10+'MAR 27 JANV'!AU10+#REF!</f>
        <v>#REF!</v>
      </c>
      <c r="AV10" s="6" t="e">
        <f>'JEUDI 22 JANV'!AV10+'VEND 23 JANV'!AV10+'SAM 24 JANV'!AV10+'LUND 26 JANV'!AV10+'MAR 27 JANV'!AV10+#REF!</f>
        <v>#REF!</v>
      </c>
      <c r="AW10" s="7" t="e">
        <f>'JEUDI 22 JANV'!AW10+'VEND 23 JANV'!AW10+'SAM 24 JANV'!AW10+'LUND 26 JANV'!AW10+'MAR 27 JANV'!AW10+#REF!</f>
        <v>#REF!</v>
      </c>
      <c r="AX10" s="7" t="e">
        <f>'JEUDI 22 JANV'!AX10+'VEND 23 JANV'!AX10+'SAM 24 JANV'!AX10+'LUND 26 JANV'!AX10+'MAR 27 JANV'!AX10+#REF!</f>
        <v>#REF!</v>
      </c>
      <c r="AY10" s="7" t="e">
        <f>'JEUDI 22 JANV'!AY10+'VEND 23 JANV'!AY10+'SAM 24 JANV'!AY10+'LUND 26 JANV'!AY10+'MAR 27 JANV'!AY10+#REF!</f>
        <v>#REF!</v>
      </c>
      <c r="AZ10" s="8" t="e">
        <f>'JEUDI 22 JANV'!AZ10+'VEND 23 JANV'!AZ10+'SAM 24 JANV'!AZ10+'LUND 26 JANV'!AZ10+'MAR 27 JANV'!AZ10+#REF!</f>
        <v>#REF!</v>
      </c>
      <c r="BA10" s="6" t="e">
        <f>'JEUDI 22 JANV'!BA10+'VEND 23 JANV'!BA10+'SAM 24 JANV'!BA10+'LUND 26 JANV'!BA10+'MAR 27 JANV'!BA10+#REF!</f>
        <v>#REF!</v>
      </c>
      <c r="BB10" s="7" t="e">
        <f>'JEUDI 22 JANV'!BB10+'VEND 23 JANV'!BB10+'SAM 24 JANV'!BB10+'LUND 26 JANV'!BB10+'MAR 27 JANV'!BB10+#REF!</f>
        <v>#REF!</v>
      </c>
      <c r="BC10" s="8" t="e">
        <f>'JEUDI 22 JANV'!BC10+'VEND 23 JANV'!BC10+'SAM 24 JANV'!BC10+'LUND 26 JANV'!BC10+'MAR 27 JANV'!BC10+#REF!</f>
        <v>#REF!</v>
      </c>
      <c r="BD10" s="170"/>
      <c r="BE10" s="12"/>
    </row>
    <row r="11" spans="1:57" ht="31.9" customHeight="1" x14ac:dyDescent="0.2">
      <c r="A11" s="20">
        <v>4</v>
      </c>
      <c r="B11" s="16"/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6" t="e">
        <f>'JEUDI 22 JANV'!W11+'VEND 23 JANV'!W11+'SAM 24 JANV'!W11+'LUND 26 JANV'!W11+'MAR 27 JANV'!W11+#REF!</f>
        <v>#REF!</v>
      </c>
      <c r="X11" s="7" t="e">
        <f>'JEUDI 22 JANV'!X11+'VEND 23 JANV'!X11+'SAM 24 JANV'!X11+'LUND 26 JANV'!X11+'MAR 27 JANV'!X11+#REF!</f>
        <v>#REF!</v>
      </c>
      <c r="Y11" s="7" t="e">
        <f>'JEUDI 22 JANV'!Y11+'VEND 23 JANV'!Y11+'SAM 24 JANV'!Y11+'LUND 26 JANV'!Y11+'MAR 27 JANV'!Y11+#REF!</f>
        <v>#REF!</v>
      </c>
      <c r="Z11" s="7" t="e">
        <f>'JEUDI 22 JANV'!Z11+'VEND 23 JANV'!Z11+'SAM 24 JANV'!Z11+'LUND 26 JANV'!Z11+'MAR 27 JANV'!Z11+#REF!</f>
        <v>#REF!</v>
      </c>
      <c r="AA11" s="8" t="e">
        <f>'JEUDI 22 JANV'!AA11+'VEND 23 JANV'!AA11+'SAM 24 JANV'!AA11+'LUND 26 JANV'!AA11+'MAR 27 JANV'!AA11+#REF!</f>
        <v>#REF!</v>
      </c>
      <c r="AB11" s="10" t="e">
        <f>'JEUDI 22 JANV'!AB11+'VEND 23 JANV'!AB11+'SAM 24 JANV'!AB11+'LUND 26 JANV'!AB11+'MAR 27 JANV'!AB11+#REF!</f>
        <v>#REF!</v>
      </c>
      <c r="AC11" s="10" t="e">
        <f>'JEUDI 22 JANV'!AC11+'VEND 23 JANV'!AC11+'SAM 24 JANV'!AC11+'LUND 26 JANV'!AC11+'MAR 27 JANV'!AC11+#REF!</f>
        <v>#REF!</v>
      </c>
      <c r="AD11" s="10" t="e">
        <f>'JEUDI 22 JANV'!AD11+'VEND 23 JANV'!AD11+'SAM 24 JANV'!AD11+'LUND 26 JANV'!AD11+'MAR 27 JANV'!AD11+#REF!</f>
        <v>#REF!</v>
      </c>
      <c r="AE11" s="10" t="e">
        <f>'JEUDI 22 JANV'!AE11+'VEND 23 JANV'!AE11+'SAM 24 JANV'!AE11+'LUND 26 JANV'!AE11+'MAR 27 JANV'!AE11+#REF!</f>
        <v>#REF!</v>
      </c>
      <c r="AF11" s="10" t="e">
        <f>'JEUDI 22 JANV'!AF11+'VEND 23 JANV'!AF11+'SAM 24 JANV'!AF11+'LUND 26 JANV'!AF11+'MAR 27 JANV'!AF11+#REF!</f>
        <v>#REF!</v>
      </c>
      <c r="AG11" s="6" t="e">
        <f>'JEUDI 22 JANV'!AG11+'VEND 23 JANV'!AG11+'SAM 24 JANV'!AG11+'LUND 26 JANV'!AG11+'MAR 27 JANV'!AG11+#REF!</f>
        <v>#REF!</v>
      </c>
      <c r="AH11" s="7" t="e">
        <f>'JEUDI 22 JANV'!AH11+'VEND 23 JANV'!AH11+'SAM 24 JANV'!AH11+'LUND 26 JANV'!AH11+'MAR 27 JANV'!AH11+#REF!</f>
        <v>#REF!</v>
      </c>
      <c r="AI11" s="7" t="e">
        <f>'JEUDI 22 JANV'!AI11+'VEND 23 JANV'!AI11+'SAM 24 JANV'!AI11+'LUND 26 JANV'!AI11+'MAR 27 JANV'!AI11+#REF!</f>
        <v>#REF!</v>
      </c>
      <c r="AJ11" s="7" t="e">
        <f>'JEUDI 22 JANV'!AJ11+'VEND 23 JANV'!AJ11+'SAM 24 JANV'!AJ11+'LUND 26 JANV'!AJ11+'MAR 27 JANV'!AJ11+#REF!</f>
        <v>#REF!</v>
      </c>
      <c r="AK11" s="8" t="e">
        <f>'JEUDI 22 JANV'!AK11+'VEND 23 JANV'!AK11+'SAM 24 JANV'!AK11+'LUND 26 JANV'!AK11+'MAR 27 JANV'!AK11+#REF!</f>
        <v>#REF!</v>
      </c>
      <c r="AL11" s="9" t="e">
        <f>'JEUDI 22 JANV'!AL11+'VEND 23 JANV'!AL11+'SAM 24 JANV'!AL11+'LUND 26 JANV'!AL11+'MAR 27 JANV'!AL11+#REF!</f>
        <v>#REF!</v>
      </c>
      <c r="AM11" s="10" t="e">
        <f>'JEUDI 22 JANV'!AM11+'VEND 23 JANV'!AM11+'SAM 24 JANV'!AM11+'LUND 26 JANV'!AM11+'MAR 27 JANV'!AM11+#REF!</f>
        <v>#REF!</v>
      </c>
      <c r="AN11" s="10" t="e">
        <f>'JEUDI 22 JANV'!AN11+'VEND 23 JANV'!AN11+'SAM 24 JANV'!AN11+'LUND 26 JANV'!AN11+'MAR 27 JANV'!AN11+#REF!</f>
        <v>#REF!</v>
      </c>
      <c r="AO11" s="10" t="e">
        <f>'JEUDI 22 JANV'!AO11+'VEND 23 JANV'!AO11+'SAM 24 JANV'!AO11+'LUND 26 JANV'!AO11+'MAR 27 JANV'!AO11+#REF!</f>
        <v>#REF!</v>
      </c>
      <c r="AP11" s="11" t="e">
        <f>'JEUDI 22 JANV'!AP11+'VEND 23 JANV'!AP11+'SAM 24 JANV'!AP11+'LUND 26 JANV'!AP11+'MAR 27 JANV'!AP11+#REF!</f>
        <v>#REF!</v>
      </c>
      <c r="AQ11" s="91" t="e">
        <f>'JEUDI 22 JANV'!AQ11+'VEND 23 JANV'!AQ11+'SAM 24 JANV'!AQ11+'LUND 26 JANV'!AQ11+'MAR 27 JANV'!AQ11+#REF!</f>
        <v>#REF!</v>
      </c>
      <c r="AR11" s="10" t="e">
        <f>'JEUDI 22 JANV'!AR11+'VEND 23 JANV'!AR11+'SAM 24 JANV'!AR11+'LUND 26 JANV'!AR11+'MAR 27 JANV'!AR11+#REF!</f>
        <v>#REF!</v>
      </c>
      <c r="AS11" s="10" t="e">
        <f>'JEUDI 22 JANV'!AS11+'VEND 23 JANV'!AS11+'SAM 24 JANV'!AS11+'LUND 26 JANV'!AS11+'MAR 27 JANV'!AS11+#REF!</f>
        <v>#REF!</v>
      </c>
      <c r="AT11" s="10" t="e">
        <f>'JEUDI 22 JANV'!AT11+'VEND 23 JANV'!AT11+'SAM 24 JANV'!AT11+'LUND 26 JANV'!AT11+'MAR 27 JANV'!AT11+#REF!</f>
        <v>#REF!</v>
      </c>
      <c r="AU11" s="10" t="e">
        <f>'JEUDI 22 JANV'!AU11+'VEND 23 JANV'!AU11+'SAM 24 JANV'!AU11+'LUND 26 JANV'!AU11+'MAR 27 JANV'!AU11+#REF!</f>
        <v>#REF!</v>
      </c>
      <c r="AV11" s="6" t="e">
        <f>'JEUDI 22 JANV'!AV11+'VEND 23 JANV'!AV11+'SAM 24 JANV'!AV11+'LUND 26 JANV'!AV11+'MAR 27 JANV'!AV11+#REF!</f>
        <v>#REF!</v>
      </c>
      <c r="AW11" s="7" t="e">
        <f>'JEUDI 22 JANV'!AW11+'VEND 23 JANV'!AW11+'SAM 24 JANV'!AW11+'LUND 26 JANV'!AW11+'MAR 27 JANV'!AW11+#REF!</f>
        <v>#REF!</v>
      </c>
      <c r="AX11" s="7" t="e">
        <f>'JEUDI 22 JANV'!AX11+'VEND 23 JANV'!AX11+'SAM 24 JANV'!AX11+'LUND 26 JANV'!AX11+'MAR 27 JANV'!AX11+#REF!</f>
        <v>#REF!</v>
      </c>
      <c r="AY11" s="7" t="e">
        <f>'JEUDI 22 JANV'!AY11+'VEND 23 JANV'!AY11+'SAM 24 JANV'!AY11+'LUND 26 JANV'!AY11+'MAR 27 JANV'!AY11+#REF!</f>
        <v>#REF!</v>
      </c>
      <c r="AZ11" s="8" t="e">
        <f>'JEUDI 22 JANV'!AZ11+'VEND 23 JANV'!AZ11+'SAM 24 JANV'!AZ11+'LUND 26 JANV'!AZ11+'MAR 27 JANV'!AZ11+#REF!</f>
        <v>#REF!</v>
      </c>
      <c r="BA11" s="6" t="e">
        <f>'JEUDI 22 JANV'!BA11+'VEND 23 JANV'!BA11+'SAM 24 JANV'!BA11+'LUND 26 JANV'!BA11+'MAR 27 JANV'!BA11+#REF!</f>
        <v>#REF!</v>
      </c>
      <c r="BB11" s="7" t="e">
        <f>'JEUDI 22 JANV'!BB11+'VEND 23 JANV'!BB11+'SAM 24 JANV'!BB11+'LUND 26 JANV'!BB11+'MAR 27 JANV'!BB11+#REF!</f>
        <v>#REF!</v>
      </c>
      <c r="BC11" s="8" t="e">
        <f>'JEUDI 22 JANV'!BC11+'VEND 23 JANV'!BC11+'SAM 24 JANV'!BC11+'LUND 26 JANV'!BC11+'MAR 27 JANV'!BC11+#REF!</f>
        <v>#REF!</v>
      </c>
      <c r="BD11" s="171"/>
      <c r="BE11" s="12"/>
    </row>
    <row r="12" spans="1:57" ht="31.9" customHeight="1" x14ac:dyDescent="0.2">
      <c r="A12" s="20">
        <v>5</v>
      </c>
      <c r="B12" s="16"/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6" t="e">
        <f>'JEUDI 22 JANV'!W12+'VEND 23 JANV'!W12+'SAM 24 JANV'!W12+'LUND 26 JANV'!W12+'MAR 27 JANV'!W12+#REF!</f>
        <v>#REF!</v>
      </c>
      <c r="X12" s="7" t="e">
        <f>'JEUDI 22 JANV'!X12+'VEND 23 JANV'!X12+'SAM 24 JANV'!X12+'LUND 26 JANV'!X12+'MAR 27 JANV'!X12+#REF!</f>
        <v>#REF!</v>
      </c>
      <c r="Y12" s="7" t="e">
        <f>'JEUDI 22 JANV'!Y12+'VEND 23 JANV'!Y12+'SAM 24 JANV'!Y12+'LUND 26 JANV'!Y12+'MAR 27 JANV'!Y12+#REF!</f>
        <v>#REF!</v>
      </c>
      <c r="Z12" s="7" t="e">
        <f>'JEUDI 22 JANV'!Z12+'VEND 23 JANV'!Z12+'SAM 24 JANV'!Z12+'LUND 26 JANV'!Z12+'MAR 27 JANV'!Z12+#REF!</f>
        <v>#REF!</v>
      </c>
      <c r="AA12" s="8" t="e">
        <f>'JEUDI 22 JANV'!AA12+'VEND 23 JANV'!AA12+'SAM 24 JANV'!AA12+'LUND 26 JANV'!AA12+'MAR 27 JANV'!AA12+#REF!</f>
        <v>#REF!</v>
      </c>
      <c r="AB12" s="10" t="e">
        <f>'JEUDI 22 JANV'!AB12+'VEND 23 JANV'!AB12+'SAM 24 JANV'!AB12+'LUND 26 JANV'!AB12+'MAR 27 JANV'!AB12+#REF!</f>
        <v>#REF!</v>
      </c>
      <c r="AC12" s="10" t="e">
        <f>'JEUDI 22 JANV'!AC12+'VEND 23 JANV'!AC12+'SAM 24 JANV'!AC12+'LUND 26 JANV'!AC12+'MAR 27 JANV'!AC12+#REF!</f>
        <v>#REF!</v>
      </c>
      <c r="AD12" s="10" t="e">
        <f>'JEUDI 22 JANV'!AD12+'VEND 23 JANV'!AD12+'SAM 24 JANV'!AD12+'LUND 26 JANV'!AD12+'MAR 27 JANV'!AD12+#REF!</f>
        <v>#REF!</v>
      </c>
      <c r="AE12" s="10" t="e">
        <f>'JEUDI 22 JANV'!AE12+'VEND 23 JANV'!AE12+'SAM 24 JANV'!AE12+'LUND 26 JANV'!AE12+'MAR 27 JANV'!AE12+#REF!</f>
        <v>#REF!</v>
      </c>
      <c r="AF12" s="10" t="e">
        <f>'JEUDI 22 JANV'!AF12+'VEND 23 JANV'!AF12+'SAM 24 JANV'!AF12+'LUND 26 JANV'!AF12+'MAR 27 JANV'!AF12+#REF!</f>
        <v>#REF!</v>
      </c>
      <c r="AG12" s="6" t="e">
        <f>'JEUDI 22 JANV'!AG12+'VEND 23 JANV'!AG12+'SAM 24 JANV'!AG12+'LUND 26 JANV'!AG12+'MAR 27 JANV'!AG12+#REF!</f>
        <v>#REF!</v>
      </c>
      <c r="AH12" s="7" t="e">
        <f>'JEUDI 22 JANV'!AH12+'VEND 23 JANV'!AH12+'SAM 24 JANV'!AH12+'LUND 26 JANV'!AH12+'MAR 27 JANV'!AH12+#REF!</f>
        <v>#REF!</v>
      </c>
      <c r="AI12" s="7" t="e">
        <f>'JEUDI 22 JANV'!AI12+'VEND 23 JANV'!AI12+'SAM 24 JANV'!AI12+'LUND 26 JANV'!AI12+'MAR 27 JANV'!AI12+#REF!</f>
        <v>#REF!</v>
      </c>
      <c r="AJ12" s="7" t="e">
        <f>'JEUDI 22 JANV'!AJ12+'VEND 23 JANV'!AJ12+'SAM 24 JANV'!AJ12+'LUND 26 JANV'!AJ12+'MAR 27 JANV'!AJ12+#REF!</f>
        <v>#REF!</v>
      </c>
      <c r="AK12" s="8" t="e">
        <f>'JEUDI 22 JANV'!AK12+'VEND 23 JANV'!AK12+'SAM 24 JANV'!AK12+'LUND 26 JANV'!AK12+'MAR 27 JANV'!AK12+#REF!</f>
        <v>#REF!</v>
      </c>
      <c r="AL12" s="9" t="e">
        <f>'JEUDI 22 JANV'!AL12+'VEND 23 JANV'!AL12+'SAM 24 JANV'!AL12+'LUND 26 JANV'!AL12+'MAR 27 JANV'!AL12+#REF!</f>
        <v>#REF!</v>
      </c>
      <c r="AM12" s="10" t="e">
        <f>'JEUDI 22 JANV'!AM12+'VEND 23 JANV'!AM12+'SAM 24 JANV'!AM12+'LUND 26 JANV'!AM12+'MAR 27 JANV'!AM12+#REF!</f>
        <v>#REF!</v>
      </c>
      <c r="AN12" s="10" t="e">
        <f>'JEUDI 22 JANV'!AN12+'VEND 23 JANV'!AN12+'SAM 24 JANV'!AN12+'LUND 26 JANV'!AN12+'MAR 27 JANV'!AN12+#REF!</f>
        <v>#REF!</v>
      </c>
      <c r="AO12" s="10" t="e">
        <f>'JEUDI 22 JANV'!AO12+'VEND 23 JANV'!AO12+'SAM 24 JANV'!AO12+'LUND 26 JANV'!AO12+'MAR 27 JANV'!AO12+#REF!</f>
        <v>#REF!</v>
      </c>
      <c r="AP12" s="11" t="e">
        <f>'JEUDI 22 JANV'!AP12+'VEND 23 JANV'!AP12+'SAM 24 JANV'!AP12+'LUND 26 JANV'!AP12+'MAR 27 JANV'!AP12+#REF!</f>
        <v>#REF!</v>
      </c>
      <c r="AQ12" s="91" t="e">
        <f>'JEUDI 22 JANV'!AQ12+'VEND 23 JANV'!AQ12+'SAM 24 JANV'!AQ12+'LUND 26 JANV'!AQ12+'MAR 27 JANV'!AQ12+#REF!</f>
        <v>#REF!</v>
      </c>
      <c r="AR12" s="10" t="e">
        <f>'JEUDI 22 JANV'!AR12+'VEND 23 JANV'!AR12+'SAM 24 JANV'!AR12+'LUND 26 JANV'!AR12+'MAR 27 JANV'!AR12+#REF!</f>
        <v>#REF!</v>
      </c>
      <c r="AS12" s="10" t="e">
        <f>'JEUDI 22 JANV'!AS12+'VEND 23 JANV'!AS12+'SAM 24 JANV'!AS12+'LUND 26 JANV'!AS12+'MAR 27 JANV'!AS12+#REF!</f>
        <v>#REF!</v>
      </c>
      <c r="AT12" s="10" t="e">
        <f>'JEUDI 22 JANV'!AT12+'VEND 23 JANV'!AT12+'SAM 24 JANV'!AT12+'LUND 26 JANV'!AT12+'MAR 27 JANV'!AT12+#REF!</f>
        <v>#REF!</v>
      </c>
      <c r="AU12" s="10" t="e">
        <f>'JEUDI 22 JANV'!AU12+'VEND 23 JANV'!AU12+'SAM 24 JANV'!AU12+'LUND 26 JANV'!AU12+'MAR 27 JANV'!AU12+#REF!</f>
        <v>#REF!</v>
      </c>
      <c r="AV12" s="6" t="e">
        <f>'JEUDI 22 JANV'!AV12+'VEND 23 JANV'!AV12+'SAM 24 JANV'!AV12+'LUND 26 JANV'!AV12+'MAR 27 JANV'!AV12+#REF!</f>
        <v>#REF!</v>
      </c>
      <c r="AW12" s="7" t="e">
        <f>'JEUDI 22 JANV'!AW12+'VEND 23 JANV'!AW12+'SAM 24 JANV'!AW12+'LUND 26 JANV'!AW12+'MAR 27 JANV'!AW12+#REF!</f>
        <v>#REF!</v>
      </c>
      <c r="AX12" s="7" t="e">
        <f>'JEUDI 22 JANV'!AX12+'VEND 23 JANV'!AX12+'SAM 24 JANV'!AX12+'LUND 26 JANV'!AX12+'MAR 27 JANV'!AX12+#REF!</f>
        <v>#REF!</v>
      </c>
      <c r="AY12" s="7" t="e">
        <f>'JEUDI 22 JANV'!AY12+'VEND 23 JANV'!AY12+'SAM 24 JANV'!AY12+'LUND 26 JANV'!AY12+'MAR 27 JANV'!AY12+#REF!</f>
        <v>#REF!</v>
      </c>
      <c r="AZ12" s="8" t="e">
        <f>'JEUDI 22 JANV'!AZ12+'VEND 23 JANV'!AZ12+'SAM 24 JANV'!AZ12+'LUND 26 JANV'!AZ12+'MAR 27 JANV'!AZ12+#REF!</f>
        <v>#REF!</v>
      </c>
      <c r="BA12" s="6" t="e">
        <f>'JEUDI 22 JANV'!BA12+'VEND 23 JANV'!BA12+'SAM 24 JANV'!BA12+'LUND 26 JANV'!BA12+'MAR 27 JANV'!BA12+#REF!</f>
        <v>#REF!</v>
      </c>
      <c r="BB12" s="7" t="e">
        <f>'JEUDI 22 JANV'!BB12+'VEND 23 JANV'!BB12+'SAM 24 JANV'!BB12+'LUND 26 JANV'!BB12+'MAR 27 JANV'!BB12+#REF!</f>
        <v>#REF!</v>
      </c>
      <c r="BC12" s="8" t="e">
        <f>'JEUDI 22 JANV'!BC12+'VEND 23 JANV'!BC12+'SAM 24 JANV'!BC12+'LUND 26 JANV'!BC12+'MAR 27 JANV'!BC12+#REF!</f>
        <v>#REF!</v>
      </c>
      <c r="BD12" s="172"/>
      <c r="BE12" s="12"/>
    </row>
    <row r="13" spans="1:57" ht="31.9" customHeight="1" x14ac:dyDescent="0.2">
      <c r="A13" s="20">
        <v>6</v>
      </c>
      <c r="B13" s="16"/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6" t="e">
        <f>'JEUDI 22 JANV'!W13+'VEND 23 JANV'!W13+'SAM 24 JANV'!W13+'LUND 26 JANV'!W13+'MAR 27 JANV'!W13+#REF!</f>
        <v>#REF!</v>
      </c>
      <c r="X13" s="7" t="e">
        <f>'JEUDI 22 JANV'!X13+'VEND 23 JANV'!X13+'SAM 24 JANV'!X13+'LUND 26 JANV'!X13+'MAR 27 JANV'!X13+#REF!</f>
        <v>#REF!</v>
      </c>
      <c r="Y13" s="7" t="e">
        <f>'JEUDI 22 JANV'!Y13+'VEND 23 JANV'!Y13+'SAM 24 JANV'!Y13+'LUND 26 JANV'!Y13+'MAR 27 JANV'!Y13+#REF!</f>
        <v>#REF!</v>
      </c>
      <c r="Z13" s="7" t="e">
        <f>'JEUDI 22 JANV'!Z13+'VEND 23 JANV'!Z13+'SAM 24 JANV'!Z13+'LUND 26 JANV'!Z13+'MAR 27 JANV'!Z13+#REF!</f>
        <v>#REF!</v>
      </c>
      <c r="AA13" s="8" t="e">
        <f>'JEUDI 22 JANV'!AA13+'VEND 23 JANV'!AA13+'SAM 24 JANV'!AA13+'LUND 26 JANV'!AA13+'MAR 27 JANV'!AA13+#REF!</f>
        <v>#REF!</v>
      </c>
      <c r="AB13" s="10" t="e">
        <f>'JEUDI 22 JANV'!AB13+'VEND 23 JANV'!AB13+'SAM 24 JANV'!AB13+'LUND 26 JANV'!AB13+'MAR 27 JANV'!AB13+#REF!</f>
        <v>#REF!</v>
      </c>
      <c r="AC13" s="10" t="e">
        <f>'JEUDI 22 JANV'!AC13+'VEND 23 JANV'!AC13+'SAM 24 JANV'!AC13+'LUND 26 JANV'!AC13+'MAR 27 JANV'!AC13+#REF!</f>
        <v>#REF!</v>
      </c>
      <c r="AD13" s="10" t="e">
        <f>'JEUDI 22 JANV'!AD13+'VEND 23 JANV'!AD13+'SAM 24 JANV'!AD13+'LUND 26 JANV'!AD13+'MAR 27 JANV'!AD13+#REF!</f>
        <v>#REF!</v>
      </c>
      <c r="AE13" s="10" t="e">
        <f>'JEUDI 22 JANV'!AE13+'VEND 23 JANV'!AE13+'SAM 24 JANV'!AE13+'LUND 26 JANV'!AE13+'MAR 27 JANV'!AE13+#REF!</f>
        <v>#REF!</v>
      </c>
      <c r="AF13" s="10" t="e">
        <f>'JEUDI 22 JANV'!AF13+'VEND 23 JANV'!AF13+'SAM 24 JANV'!AF13+'LUND 26 JANV'!AF13+'MAR 27 JANV'!AF13+#REF!</f>
        <v>#REF!</v>
      </c>
      <c r="AG13" s="6" t="e">
        <f>'JEUDI 22 JANV'!AG13+'VEND 23 JANV'!AG13+'SAM 24 JANV'!AG13+'LUND 26 JANV'!AG13+'MAR 27 JANV'!AG13+#REF!</f>
        <v>#REF!</v>
      </c>
      <c r="AH13" s="7" t="e">
        <f>'JEUDI 22 JANV'!AH13+'VEND 23 JANV'!AH13+'SAM 24 JANV'!AH13+'LUND 26 JANV'!AH13+'MAR 27 JANV'!AH13+#REF!</f>
        <v>#REF!</v>
      </c>
      <c r="AI13" s="7" t="e">
        <f>'JEUDI 22 JANV'!AI13+'VEND 23 JANV'!AI13+'SAM 24 JANV'!AI13+'LUND 26 JANV'!AI13+'MAR 27 JANV'!AI13+#REF!</f>
        <v>#REF!</v>
      </c>
      <c r="AJ13" s="7" t="e">
        <f>'JEUDI 22 JANV'!AJ13+'VEND 23 JANV'!AJ13+'SAM 24 JANV'!AJ13+'LUND 26 JANV'!AJ13+'MAR 27 JANV'!AJ13+#REF!</f>
        <v>#REF!</v>
      </c>
      <c r="AK13" s="8" t="e">
        <f>'JEUDI 22 JANV'!AK13+'VEND 23 JANV'!AK13+'SAM 24 JANV'!AK13+'LUND 26 JANV'!AK13+'MAR 27 JANV'!AK13+#REF!</f>
        <v>#REF!</v>
      </c>
      <c r="AL13" s="9" t="e">
        <f>'JEUDI 22 JANV'!AL13+'VEND 23 JANV'!AL13+'SAM 24 JANV'!AL13+'LUND 26 JANV'!AL13+'MAR 27 JANV'!AL13+#REF!</f>
        <v>#REF!</v>
      </c>
      <c r="AM13" s="10" t="e">
        <f>'JEUDI 22 JANV'!AM13+'VEND 23 JANV'!AM13+'SAM 24 JANV'!AM13+'LUND 26 JANV'!AM13+'MAR 27 JANV'!AM13+#REF!</f>
        <v>#REF!</v>
      </c>
      <c r="AN13" s="10" t="e">
        <f>'JEUDI 22 JANV'!AN13+'VEND 23 JANV'!AN13+'SAM 24 JANV'!AN13+'LUND 26 JANV'!AN13+'MAR 27 JANV'!AN13+#REF!</f>
        <v>#REF!</v>
      </c>
      <c r="AO13" s="10" t="e">
        <f>'JEUDI 22 JANV'!AO13+'VEND 23 JANV'!AO13+'SAM 24 JANV'!AO13+'LUND 26 JANV'!AO13+'MAR 27 JANV'!AO13+#REF!</f>
        <v>#REF!</v>
      </c>
      <c r="AP13" s="11" t="e">
        <f>'JEUDI 22 JANV'!AP13+'VEND 23 JANV'!AP13+'SAM 24 JANV'!AP13+'LUND 26 JANV'!AP13+'MAR 27 JANV'!AP13+#REF!</f>
        <v>#REF!</v>
      </c>
      <c r="AQ13" s="91" t="e">
        <f>'JEUDI 22 JANV'!AQ13+'VEND 23 JANV'!AQ13+'SAM 24 JANV'!AQ13+'LUND 26 JANV'!AQ13+'MAR 27 JANV'!AQ13+#REF!</f>
        <v>#REF!</v>
      </c>
      <c r="AR13" s="10" t="e">
        <f>'JEUDI 22 JANV'!AR13+'VEND 23 JANV'!AR13+'SAM 24 JANV'!AR13+'LUND 26 JANV'!AR13+'MAR 27 JANV'!AR13+#REF!</f>
        <v>#REF!</v>
      </c>
      <c r="AS13" s="10" t="e">
        <f>'JEUDI 22 JANV'!AS13+'VEND 23 JANV'!AS13+'SAM 24 JANV'!AS13+'LUND 26 JANV'!AS13+'MAR 27 JANV'!AS13+#REF!</f>
        <v>#REF!</v>
      </c>
      <c r="AT13" s="10" t="e">
        <f>'JEUDI 22 JANV'!AT13+'VEND 23 JANV'!AT13+'SAM 24 JANV'!AT13+'LUND 26 JANV'!AT13+'MAR 27 JANV'!AT13+#REF!</f>
        <v>#REF!</v>
      </c>
      <c r="AU13" s="10" t="e">
        <f>'JEUDI 22 JANV'!AU13+'VEND 23 JANV'!AU13+'SAM 24 JANV'!AU13+'LUND 26 JANV'!AU13+'MAR 27 JANV'!AU13+#REF!</f>
        <v>#REF!</v>
      </c>
      <c r="AV13" s="6" t="e">
        <f>'JEUDI 22 JANV'!AV13+'VEND 23 JANV'!AV13+'SAM 24 JANV'!AV13+'LUND 26 JANV'!AV13+'MAR 27 JANV'!AV13+#REF!</f>
        <v>#REF!</v>
      </c>
      <c r="AW13" s="7" t="e">
        <f>'JEUDI 22 JANV'!AW13+'VEND 23 JANV'!AW13+'SAM 24 JANV'!AW13+'LUND 26 JANV'!AW13+'MAR 27 JANV'!AW13+#REF!</f>
        <v>#REF!</v>
      </c>
      <c r="AX13" s="7" t="e">
        <f>'JEUDI 22 JANV'!AX13+'VEND 23 JANV'!AX13+'SAM 24 JANV'!AX13+'LUND 26 JANV'!AX13+'MAR 27 JANV'!AX13+#REF!</f>
        <v>#REF!</v>
      </c>
      <c r="AY13" s="7" t="e">
        <f>'JEUDI 22 JANV'!AY13+'VEND 23 JANV'!AY13+'SAM 24 JANV'!AY13+'LUND 26 JANV'!AY13+'MAR 27 JANV'!AY13+#REF!</f>
        <v>#REF!</v>
      </c>
      <c r="AZ13" s="8" t="e">
        <f>'JEUDI 22 JANV'!AZ13+'VEND 23 JANV'!AZ13+'SAM 24 JANV'!AZ13+'LUND 26 JANV'!AZ13+'MAR 27 JANV'!AZ13+#REF!</f>
        <v>#REF!</v>
      </c>
      <c r="BA13" s="6" t="e">
        <f>'JEUDI 22 JANV'!BA13+'VEND 23 JANV'!BA13+'SAM 24 JANV'!BA13+'LUND 26 JANV'!BA13+'MAR 27 JANV'!BA13+#REF!</f>
        <v>#REF!</v>
      </c>
      <c r="BB13" s="7" t="e">
        <f>'JEUDI 22 JANV'!BB13+'VEND 23 JANV'!BB13+'SAM 24 JANV'!BB13+'LUND 26 JANV'!BB13+'MAR 27 JANV'!BB13+#REF!</f>
        <v>#REF!</v>
      </c>
      <c r="BC13" s="8" t="e">
        <f>'JEUDI 22 JANV'!BC13+'VEND 23 JANV'!BC13+'SAM 24 JANV'!BC13+'LUND 26 JANV'!BC13+'MAR 27 JANV'!BC13+#REF!</f>
        <v>#REF!</v>
      </c>
      <c r="BD13" s="18"/>
      <c r="BE13" s="12"/>
    </row>
    <row r="14" spans="1:57" ht="31.9" customHeight="1" x14ac:dyDescent="0.2">
      <c r="A14" s="20">
        <v>7</v>
      </c>
      <c r="B14" s="16"/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6" t="e">
        <f>'JEUDI 22 JANV'!W14+'VEND 23 JANV'!W14+'SAM 24 JANV'!W14+'LUND 26 JANV'!W14+'MAR 27 JANV'!W14+#REF!</f>
        <v>#REF!</v>
      </c>
      <c r="X14" s="7" t="e">
        <f>'JEUDI 22 JANV'!X14+'VEND 23 JANV'!X14+'SAM 24 JANV'!X14+'LUND 26 JANV'!X14+'MAR 27 JANV'!X14+#REF!</f>
        <v>#REF!</v>
      </c>
      <c r="Y14" s="7" t="e">
        <f>'JEUDI 22 JANV'!Y14+'VEND 23 JANV'!Y14+'SAM 24 JANV'!Y14+'LUND 26 JANV'!Y14+'MAR 27 JANV'!Y14+#REF!</f>
        <v>#REF!</v>
      </c>
      <c r="Z14" s="7" t="e">
        <f>'JEUDI 22 JANV'!Z14+'VEND 23 JANV'!Z14+'SAM 24 JANV'!Z14+'LUND 26 JANV'!Z14+'MAR 27 JANV'!Z14+#REF!</f>
        <v>#REF!</v>
      </c>
      <c r="AA14" s="8" t="e">
        <f>'JEUDI 22 JANV'!AA14+'VEND 23 JANV'!AA14+'SAM 24 JANV'!AA14+'LUND 26 JANV'!AA14+'MAR 27 JANV'!AA14+#REF!</f>
        <v>#REF!</v>
      </c>
      <c r="AB14" s="10" t="e">
        <f>'JEUDI 22 JANV'!AB14+'VEND 23 JANV'!AB14+'SAM 24 JANV'!AB14+'LUND 26 JANV'!AB14+'MAR 27 JANV'!AB14+#REF!</f>
        <v>#REF!</v>
      </c>
      <c r="AC14" s="10" t="e">
        <f>'JEUDI 22 JANV'!AC14+'VEND 23 JANV'!AC14+'SAM 24 JANV'!AC14+'LUND 26 JANV'!AC14+'MAR 27 JANV'!AC14+#REF!</f>
        <v>#REF!</v>
      </c>
      <c r="AD14" s="10" t="e">
        <f>'JEUDI 22 JANV'!AD14+'VEND 23 JANV'!AD14+'SAM 24 JANV'!AD14+'LUND 26 JANV'!AD14+'MAR 27 JANV'!AD14+#REF!</f>
        <v>#REF!</v>
      </c>
      <c r="AE14" s="10" t="e">
        <f>'JEUDI 22 JANV'!AE14+'VEND 23 JANV'!AE14+'SAM 24 JANV'!AE14+'LUND 26 JANV'!AE14+'MAR 27 JANV'!AE14+#REF!</f>
        <v>#REF!</v>
      </c>
      <c r="AF14" s="10" t="e">
        <f>'JEUDI 22 JANV'!AF14+'VEND 23 JANV'!AF14+'SAM 24 JANV'!AF14+'LUND 26 JANV'!AF14+'MAR 27 JANV'!AF14+#REF!</f>
        <v>#REF!</v>
      </c>
      <c r="AG14" s="6" t="e">
        <f>'JEUDI 22 JANV'!AG14+'VEND 23 JANV'!AG14+'SAM 24 JANV'!AG14+'LUND 26 JANV'!AG14+'MAR 27 JANV'!AG14+#REF!</f>
        <v>#REF!</v>
      </c>
      <c r="AH14" s="7" t="e">
        <f>'JEUDI 22 JANV'!AH14+'VEND 23 JANV'!AH14+'SAM 24 JANV'!AH14+'LUND 26 JANV'!AH14+'MAR 27 JANV'!AH14+#REF!</f>
        <v>#REF!</v>
      </c>
      <c r="AI14" s="7" t="e">
        <f>'JEUDI 22 JANV'!AI14+'VEND 23 JANV'!AI14+'SAM 24 JANV'!AI14+'LUND 26 JANV'!AI14+'MAR 27 JANV'!AI14+#REF!</f>
        <v>#REF!</v>
      </c>
      <c r="AJ14" s="7" t="e">
        <f>'JEUDI 22 JANV'!AJ14+'VEND 23 JANV'!AJ14+'SAM 24 JANV'!AJ14+'LUND 26 JANV'!AJ14+'MAR 27 JANV'!AJ14+#REF!</f>
        <v>#REF!</v>
      </c>
      <c r="AK14" s="8" t="e">
        <f>'JEUDI 22 JANV'!AK14+'VEND 23 JANV'!AK14+'SAM 24 JANV'!AK14+'LUND 26 JANV'!AK14+'MAR 27 JANV'!AK14+#REF!</f>
        <v>#REF!</v>
      </c>
      <c r="AL14" s="9" t="e">
        <f>'JEUDI 22 JANV'!AL14+'VEND 23 JANV'!AL14+'SAM 24 JANV'!AL14+'LUND 26 JANV'!AL14+'MAR 27 JANV'!AL14+#REF!</f>
        <v>#REF!</v>
      </c>
      <c r="AM14" s="10" t="e">
        <f>'JEUDI 22 JANV'!AM14+'VEND 23 JANV'!AM14+'SAM 24 JANV'!AM14+'LUND 26 JANV'!AM14+'MAR 27 JANV'!AM14+#REF!</f>
        <v>#REF!</v>
      </c>
      <c r="AN14" s="10" t="e">
        <f>'JEUDI 22 JANV'!AN14+'VEND 23 JANV'!AN14+'SAM 24 JANV'!AN14+'LUND 26 JANV'!AN14+'MAR 27 JANV'!AN14+#REF!</f>
        <v>#REF!</v>
      </c>
      <c r="AO14" s="10" t="e">
        <f>'JEUDI 22 JANV'!AO14+'VEND 23 JANV'!AO14+'SAM 24 JANV'!AO14+'LUND 26 JANV'!AO14+'MAR 27 JANV'!AO14+#REF!</f>
        <v>#REF!</v>
      </c>
      <c r="AP14" s="11" t="e">
        <f>'JEUDI 22 JANV'!AP14+'VEND 23 JANV'!AP14+'SAM 24 JANV'!AP14+'LUND 26 JANV'!AP14+'MAR 27 JANV'!AP14+#REF!</f>
        <v>#REF!</v>
      </c>
      <c r="AQ14" s="91" t="e">
        <f>'JEUDI 22 JANV'!AQ14+'VEND 23 JANV'!AQ14+'SAM 24 JANV'!AQ14+'LUND 26 JANV'!AQ14+'MAR 27 JANV'!AQ14+#REF!</f>
        <v>#REF!</v>
      </c>
      <c r="AR14" s="10" t="e">
        <f>'JEUDI 22 JANV'!AR14+'VEND 23 JANV'!AR14+'SAM 24 JANV'!AR14+'LUND 26 JANV'!AR14+'MAR 27 JANV'!AR14+#REF!</f>
        <v>#REF!</v>
      </c>
      <c r="AS14" s="10" t="e">
        <f>'JEUDI 22 JANV'!AS14+'VEND 23 JANV'!AS14+'SAM 24 JANV'!AS14+'LUND 26 JANV'!AS14+'MAR 27 JANV'!AS14+#REF!</f>
        <v>#REF!</v>
      </c>
      <c r="AT14" s="10" t="e">
        <f>'JEUDI 22 JANV'!AT14+'VEND 23 JANV'!AT14+'SAM 24 JANV'!AT14+'LUND 26 JANV'!AT14+'MAR 27 JANV'!AT14+#REF!</f>
        <v>#REF!</v>
      </c>
      <c r="AU14" s="10" t="e">
        <f>'JEUDI 22 JANV'!AU14+'VEND 23 JANV'!AU14+'SAM 24 JANV'!AU14+'LUND 26 JANV'!AU14+'MAR 27 JANV'!AU14+#REF!</f>
        <v>#REF!</v>
      </c>
      <c r="AV14" s="6" t="e">
        <f>'JEUDI 22 JANV'!AV14+'VEND 23 JANV'!AV14+'SAM 24 JANV'!AV14+'LUND 26 JANV'!AV14+'MAR 27 JANV'!AV14+#REF!</f>
        <v>#REF!</v>
      </c>
      <c r="AW14" s="7" t="e">
        <f>'JEUDI 22 JANV'!AW14+'VEND 23 JANV'!AW14+'SAM 24 JANV'!AW14+'LUND 26 JANV'!AW14+'MAR 27 JANV'!AW14+#REF!</f>
        <v>#REF!</v>
      </c>
      <c r="AX14" s="7" t="e">
        <f>'JEUDI 22 JANV'!AX14+'VEND 23 JANV'!AX14+'SAM 24 JANV'!AX14+'LUND 26 JANV'!AX14+'MAR 27 JANV'!AX14+#REF!</f>
        <v>#REF!</v>
      </c>
      <c r="AY14" s="7" t="e">
        <f>'JEUDI 22 JANV'!AY14+'VEND 23 JANV'!AY14+'SAM 24 JANV'!AY14+'LUND 26 JANV'!AY14+'MAR 27 JANV'!AY14+#REF!</f>
        <v>#REF!</v>
      </c>
      <c r="AZ14" s="8" t="e">
        <f>'JEUDI 22 JANV'!AZ14+'VEND 23 JANV'!AZ14+'SAM 24 JANV'!AZ14+'LUND 26 JANV'!AZ14+'MAR 27 JANV'!AZ14+#REF!</f>
        <v>#REF!</v>
      </c>
      <c r="BA14" s="6" t="e">
        <f>'JEUDI 22 JANV'!BA14+'VEND 23 JANV'!BA14+'SAM 24 JANV'!BA14+'LUND 26 JANV'!BA14+'MAR 27 JANV'!BA14+#REF!</f>
        <v>#REF!</v>
      </c>
      <c r="BB14" s="7" t="e">
        <f>'JEUDI 22 JANV'!BB14+'VEND 23 JANV'!BB14+'SAM 24 JANV'!BB14+'LUND 26 JANV'!BB14+'MAR 27 JANV'!BB14+#REF!</f>
        <v>#REF!</v>
      </c>
      <c r="BC14" s="8" t="e">
        <f>'JEUDI 22 JANV'!BC14+'VEND 23 JANV'!BC14+'SAM 24 JANV'!BC14+'LUND 26 JANV'!BC14+'MAR 27 JANV'!BC14+#REF!</f>
        <v>#REF!</v>
      </c>
      <c r="BD14" s="18"/>
      <c r="BE14" s="12"/>
    </row>
    <row r="15" spans="1:57" ht="31.9" customHeight="1" x14ac:dyDescent="0.2">
      <c r="A15" s="20">
        <v>8</v>
      </c>
      <c r="B15" s="16"/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6" t="e">
        <f>'JEUDI 22 JANV'!W15+'VEND 23 JANV'!W15+'SAM 24 JANV'!W15+'LUND 26 JANV'!W15+'MAR 27 JANV'!W15+#REF!</f>
        <v>#REF!</v>
      </c>
      <c r="X15" s="7" t="e">
        <f>'JEUDI 22 JANV'!X15+'VEND 23 JANV'!X15+'SAM 24 JANV'!X15+'LUND 26 JANV'!X15+'MAR 27 JANV'!X15+#REF!</f>
        <v>#REF!</v>
      </c>
      <c r="Y15" s="7" t="e">
        <f>'JEUDI 22 JANV'!Y15+'VEND 23 JANV'!Y15+'SAM 24 JANV'!Y15+'LUND 26 JANV'!Y15+'MAR 27 JANV'!Y15+#REF!</f>
        <v>#REF!</v>
      </c>
      <c r="Z15" s="7" t="e">
        <f>'JEUDI 22 JANV'!Z15+'VEND 23 JANV'!Z15+'SAM 24 JANV'!Z15+'LUND 26 JANV'!Z15+'MAR 27 JANV'!Z15+#REF!</f>
        <v>#REF!</v>
      </c>
      <c r="AA15" s="8" t="e">
        <f>'JEUDI 22 JANV'!AA15+'VEND 23 JANV'!AA15+'SAM 24 JANV'!AA15+'LUND 26 JANV'!AA15+'MAR 27 JANV'!AA15+#REF!</f>
        <v>#REF!</v>
      </c>
      <c r="AB15" s="10" t="e">
        <f>'JEUDI 22 JANV'!AB15+'VEND 23 JANV'!AB15+'SAM 24 JANV'!AB15+'LUND 26 JANV'!AB15+'MAR 27 JANV'!AB15+#REF!</f>
        <v>#REF!</v>
      </c>
      <c r="AC15" s="10" t="e">
        <f>'JEUDI 22 JANV'!AC15+'VEND 23 JANV'!AC15+'SAM 24 JANV'!AC15+'LUND 26 JANV'!AC15+'MAR 27 JANV'!AC15+#REF!</f>
        <v>#REF!</v>
      </c>
      <c r="AD15" s="10" t="e">
        <f>'JEUDI 22 JANV'!AD15+'VEND 23 JANV'!AD15+'SAM 24 JANV'!AD15+'LUND 26 JANV'!AD15+'MAR 27 JANV'!AD15+#REF!</f>
        <v>#REF!</v>
      </c>
      <c r="AE15" s="10" t="e">
        <f>'JEUDI 22 JANV'!AE15+'VEND 23 JANV'!AE15+'SAM 24 JANV'!AE15+'LUND 26 JANV'!AE15+'MAR 27 JANV'!AE15+#REF!</f>
        <v>#REF!</v>
      </c>
      <c r="AF15" s="10" t="e">
        <f>'JEUDI 22 JANV'!AF15+'VEND 23 JANV'!AF15+'SAM 24 JANV'!AF15+'LUND 26 JANV'!AF15+'MAR 27 JANV'!AF15+#REF!</f>
        <v>#REF!</v>
      </c>
      <c r="AG15" s="6" t="e">
        <f>'JEUDI 22 JANV'!AG15+'VEND 23 JANV'!AG15+'SAM 24 JANV'!AG15+'LUND 26 JANV'!AG15+'MAR 27 JANV'!AG15+#REF!</f>
        <v>#REF!</v>
      </c>
      <c r="AH15" s="7" t="e">
        <f>'JEUDI 22 JANV'!AH15+'VEND 23 JANV'!AH15+'SAM 24 JANV'!AH15+'LUND 26 JANV'!AH15+'MAR 27 JANV'!AH15+#REF!</f>
        <v>#REF!</v>
      </c>
      <c r="AI15" s="7" t="e">
        <f>'JEUDI 22 JANV'!AI15+'VEND 23 JANV'!AI15+'SAM 24 JANV'!AI15+'LUND 26 JANV'!AI15+'MAR 27 JANV'!AI15+#REF!</f>
        <v>#REF!</v>
      </c>
      <c r="AJ15" s="7" t="e">
        <f>'JEUDI 22 JANV'!AJ15+'VEND 23 JANV'!AJ15+'SAM 24 JANV'!AJ15+'LUND 26 JANV'!AJ15+'MAR 27 JANV'!AJ15+#REF!</f>
        <v>#REF!</v>
      </c>
      <c r="AK15" s="8" t="e">
        <f>'JEUDI 22 JANV'!AK15+'VEND 23 JANV'!AK15+'SAM 24 JANV'!AK15+'LUND 26 JANV'!AK15+'MAR 27 JANV'!AK15+#REF!</f>
        <v>#REF!</v>
      </c>
      <c r="AL15" s="9" t="e">
        <f>'JEUDI 22 JANV'!AL15+'VEND 23 JANV'!AL15+'SAM 24 JANV'!AL15+'LUND 26 JANV'!AL15+'MAR 27 JANV'!AL15+#REF!</f>
        <v>#REF!</v>
      </c>
      <c r="AM15" s="10" t="e">
        <f>'JEUDI 22 JANV'!AM15+'VEND 23 JANV'!AM15+'SAM 24 JANV'!AM15+'LUND 26 JANV'!AM15+'MAR 27 JANV'!AM15+#REF!</f>
        <v>#REF!</v>
      </c>
      <c r="AN15" s="10" t="e">
        <f>'JEUDI 22 JANV'!AN15+'VEND 23 JANV'!AN15+'SAM 24 JANV'!AN15+'LUND 26 JANV'!AN15+'MAR 27 JANV'!AN15+#REF!</f>
        <v>#REF!</v>
      </c>
      <c r="AO15" s="10" t="e">
        <f>'JEUDI 22 JANV'!AO15+'VEND 23 JANV'!AO15+'SAM 24 JANV'!AO15+'LUND 26 JANV'!AO15+'MAR 27 JANV'!AO15+#REF!</f>
        <v>#REF!</v>
      </c>
      <c r="AP15" s="11" t="e">
        <f>'JEUDI 22 JANV'!AP15+'VEND 23 JANV'!AP15+'SAM 24 JANV'!AP15+'LUND 26 JANV'!AP15+'MAR 27 JANV'!AP15+#REF!</f>
        <v>#REF!</v>
      </c>
      <c r="AQ15" s="91" t="e">
        <f>'JEUDI 22 JANV'!AQ15+'VEND 23 JANV'!AQ15+'SAM 24 JANV'!AQ15+'LUND 26 JANV'!AQ15+'MAR 27 JANV'!AQ15+#REF!</f>
        <v>#REF!</v>
      </c>
      <c r="AR15" s="10" t="e">
        <f>'JEUDI 22 JANV'!AR15+'VEND 23 JANV'!AR15+'SAM 24 JANV'!AR15+'LUND 26 JANV'!AR15+'MAR 27 JANV'!AR15+#REF!</f>
        <v>#REF!</v>
      </c>
      <c r="AS15" s="10" t="e">
        <f>'JEUDI 22 JANV'!AS15+'VEND 23 JANV'!AS15+'SAM 24 JANV'!AS15+'LUND 26 JANV'!AS15+'MAR 27 JANV'!AS15+#REF!</f>
        <v>#REF!</v>
      </c>
      <c r="AT15" s="10" t="e">
        <f>'JEUDI 22 JANV'!AT15+'VEND 23 JANV'!AT15+'SAM 24 JANV'!AT15+'LUND 26 JANV'!AT15+'MAR 27 JANV'!AT15+#REF!</f>
        <v>#REF!</v>
      </c>
      <c r="AU15" s="10" t="e">
        <f>'JEUDI 22 JANV'!AU15+'VEND 23 JANV'!AU15+'SAM 24 JANV'!AU15+'LUND 26 JANV'!AU15+'MAR 27 JANV'!AU15+#REF!</f>
        <v>#REF!</v>
      </c>
      <c r="AV15" s="6" t="e">
        <f>'JEUDI 22 JANV'!AV15+'VEND 23 JANV'!AV15+'SAM 24 JANV'!AV15+'LUND 26 JANV'!AV15+'MAR 27 JANV'!AV15+#REF!</f>
        <v>#REF!</v>
      </c>
      <c r="AW15" s="7" t="e">
        <f>'JEUDI 22 JANV'!AW15+'VEND 23 JANV'!AW15+'SAM 24 JANV'!AW15+'LUND 26 JANV'!AW15+'MAR 27 JANV'!AW15+#REF!</f>
        <v>#REF!</v>
      </c>
      <c r="AX15" s="7" t="e">
        <f>'JEUDI 22 JANV'!AX15+'VEND 23 JANV'!AX15+'SAM 24 JANV'!AX15+'LUND 26 JANV'!AX15+'MAR 27 JANV'!AX15+#REF!</f>
        <v>#REF!</v>
      </c>
      <c r="AY15" s="7" t="e">
        <f>'JEUDI 22 JANV'!AY15+'VEND 23 JANV'!AY15+'SAM 24 JANV'!AY15+'LUND 26 JANV'!AY15+'MAR 27 JANV'!AY15+#REF!</f>
        <v>#REF!</v>
      </c>
      <c r="AZ15" s="8" t="e">
        <f>'JEUDI 22 JANV'!AZ15+'VEND 23 JANV'!AZ15+'SAM 24 JANV'!AZ15+'LUND 26 JANV'!AZ15+'MAR 27 JANV'!AZ15+#REF!</f>
        <v>#REF!</v>
      </c>
      <c r="BA15" s="6" t="e">
        <f>'JEUDI 22 JANV'!BA15+'VEND 23 JANV'!BA15+'SAM 24 JANV'!BA15+'LUND 26 JANV'!BA15+'MAR 27 JANV'!BA15+#REF!</f>
        <v>#REF!</v>
      </c>
      <c r="BB15" s="7" t="e">
        <f>'JEUDI 22 JANV'!BB15+'VEND 23 JANV'!BB15+'SAM 24 JANV'!BB15+'LUND 26 JANV'!BB15+'MAR 27 JANV'!BB15+#REF!</f>
        <v>#REF!</v>
      </c>
      <c r="BC15" s="8" t="e">
        <f>'JEUDI 22 JANV'!BC15+'VEND 23 JANV'!BC15+'SAM 24 JANV'!BC15+'LUND 26 JANV'!BC15+'MAR 27 JANV'!BC15+#REF!</f>
        <v>#REF!</v>
      </c>
      <c r="BD15" s="18"/>
      <c r="BE15" s="12"/>
    </row>
    <row r="16" spans="1:57" ht="31.9" customHeight="1" x14ac:dyDescent="0.2">
      <c r="A16" s="20">
        <v>9</v>
      </c>
      <c r="B16" s="16"/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6" t="e">
        <f>'JEUDI 22 JANV'!W16+'VEND 23 JANV'!W16+'SAM 24 JANV'!W16+'LUND 26 JANV'!W16+'MAR 27 JANV'!W16+#REF!</f>
        <v>#REF!</v>
      </c>
      <c r="X16" s="7" t="e">
        <f>'JEUDI 22 JANV'!X16+'VEND 23 JANV'!X16+'SAM 24 JANV'!X16+'LUND 26 JANV'!X16+'MAR 27 JANV'!X16+#REF!</f>
        <v>#REF!</v>
      </c>
      <c r="Y16" s="7" t="e">
        <f>'JEUDI 22 JANV'!Y16+'VEND 23 JANV'!Y16+'SAM 24 JANV'!Y16+'LUND 26 JANV'!Y16+'MAR 27 JANV'!Y16+#REF!</f>
        <v>#REF!</v>
      </c>
      <c r="Z16" s="7" t="e">
        <f>'JEUDI 22 JANV'!Z16+'VEND 23 JANV'!Z16+'SAM 24 JANV'!Z16+'LUND 26 JANV'!Z16+'MAR 27 JANV'!Z16+#REF!</f>
        <v>#REF!</v>
      </c>
      <c r="AA16" s="8" t="e">
        <f>'JEUDI 22 JANV'!AA16+'VEND 23 JANV'!AA16+'SAM 24 JANV'!AA16+'LUND 26 JANV'!AA16+'MAR 27 JANV'!AA16+#REF!</f>
        <v>#REF!</v>
      </c>
      <c r="AB16" s="10" t="e">
        <f>'JEUDI 22 JANV'!AB16+'VEND 23 JANV'!AB16+'SAM 24 JANV'!AB16+'LUND 26 JANV'!AB16+'MAR 27 JANV'!AB16+#REF!</f>
        <v>#REF!</v>
      </c>
      <c r="AC16" s="10" t="e">
        <f>'JEUDI 22 JANV'!AC16+'VEND 23 JANV'!AC16+'SAM 24 JANV'!AC16+'LUND 26 JANV'!AC16+'MAR 27 JANV'!AC16+#REF!</f>
        <v>#REF!</v>
      </c>
      <c r="AD16" s="10" t="e">
        <f>'JEUDI 22 JANV'!AD16+'VEND 23 JANV'!AD16+'SAM 24 JANV'!AD16+'LUND 26 JANV'!AD16+'MAR 27 JANV'!AD16+#REF!</f>
        <v>#REF!</v>
      </c>
      <c r="AE16" s="10" t="e">
        <f>'JEUDI 22 JANV'!AE16+'VEND 23 JANV'!AE16+'SAM 24 JANV'!AE16+'LUND 26 JANV'!AE16+'MAR 27 JANV'!AE16+#REF!</f>
        <v>#REF!</v>
      </c>
      <c r="AF16" s="10" t="e">
        <f>'JEUDI 22 JANV'!AF16+'VEND 23 JANV'!AF16+'SAM 24 JANV'!AF16+'LUND 26 JANV'!AF16+'MAR 27 JANV'!AF16+#REF!</f>
        <v>#REF!</v>
      </c>
      <c r="AG16" s="6" t="e">
        <f>'JEUDI 22 JANV'!AG16+'VEND 23 JANV'!AG16+'SAM 24 JANV'!AG16+'LUND 26 JANV'!AG16+'MAR 27 JANV'!AG16+#REF!</f>
        <v>#REF!</v>
      </c>
      <c r="AH16" s="7" t="e">
        <f>'JEUDI 22 JANV'!AH16+'VEND 23 JANV'!AH16+'SAM 24 JANV'!AH16+'LUND 26 JANV'!AH16+'MAR 27 JANV'!AH16+#REF!</f>
        <v>#REF!</v>
      </c>
      <c r="AI16" s="7" t="e">
        <f>'JEUDI 22 JANV'!AI16+'VEND 23 JANV'!AI16+'SAM 24 JANV'!AI16+'LUND 26 JANV'!AI16+'MAR 27 JANV'!AI16+#REF!</f>
        <v>#REF!</v>
      </c>
      <c r="AJ16" s="7" t="e">
        <f>'JEUDI 22 JANV'!AJ16+'VEND 23 JANV'!AJ16+'SAM 24 JANV'!AJ16+'LUND 26 JANV'!AJ16+'MAR 27 JANV'!AJ16+#REF!</f>
        <v>#REF!</v>
      </c>
      <c r="AK16" s="8" t="e">
        <f>'JEUDI 22 JANV'!AK16+'VEND 23 JANV'!AK16+'SAM 24 JANV'!AK16+'LUND 26 JANV'!AK16+'MAR 27 JANV'!AK16+#REF!</f>
        <v>#REF!</v>
      </c>
      <c r="AL16" s="9" t="e">
        <f>'JEUDI 22 JANV'!AL16+'VEND 23 JANV'!AL16+'SAM 24 JANV'!AL16+'LUND 26 JANV'!AL16+'MAR 27 JANV'!AL16+#REF!</f>
        <v>#REF!</v>
      </c>
      <c r="AM16" s="10" t="e">
        <f>'JEUDI 22 JANV'!AM16+'VEND 23 JANV'!AM16+'SAM 24 JANV'!AM16+'LUND 26 JANV'!AM16+'MAR 27 JANV'!AM16+#REF!</f>
        <v>#REF!</v>
      </c>
      <c r="AN16" s="10" t="e">
        <f>'JEUDI 22 JANV'!AN16+'VEND 23 JANV'!AN16+'SAM 24 JANV'!AN16+'LUND 26 JANV'!AN16+'MAR 27 JANV'!AN16+#REF!</f>
        <v>#REF!</v>
      </c>
      <c r="AO16" s="10" t="e">
        <f>'JEUDI 22 JANV'!AO16+'VEND 23 JANV'!AO16+'SAM 24 JANV'!AO16+'LUND 26 JANV'!AO16+'MAR 27 JANV'!AO16+#REF!</f>
        <v>#REF!</v>
      </c>
      <c r="AP16" s="11" t="e">
        <f>'JEUDI 22 JANV'!AP16+'VEND 23 JANV'!AP16+'SAM 24 JANV'!AP16+'LUND 26 JANV'!AP16+'MAR 27 JANV'!AP16+#REF!</f>
        <v>#REF!</v>
      </c>
      <c r="AQ16" s="91" t="e">
        <f>'JEUDI 22 JANV'!AQ16+'VEND 23 JANV'!AQ16+'SAM 24 JANV'!AQ16+'LUND 26 JANV'!AQ16+'MAR 27 JANV'!AQ16+#REF!</f>
        <v>#REF!</v>
      </c>
      <c r="AR16" s="10" t="e">
        <f>'JEUDI 22 JANV'!AR16+'VEND 23 JANV'!AR16+'SAM 24 JANV'!AR16+'LUND 26 JANV'!AR16+'MAR 27 JANV'!AR16+#REF!</f>
        <v>#REF!</v>
      </c>
      <c r="AS16" s="10" t="e">
        <f>'JEUDI 22 JANV'!AS16+'VEND 23 JANV'!AS16+'SAM 24 JANV'!AS16+'LUND 26 JANV'!AS16+'MAR 27 JANV'!AS16+#REF!</f>
        <v>#REF!</v>
      </c>
      <c r="AT16" s="10" t="e">
        <f>'JEUDI 22 JANV'!AT16+'VEND 23 JANV'!AT16+'SAM 24 JANV'!AT16+'LUND 26 JANV'!AT16+'MAR 27 JANV'!AT16+#REF!</f>
        <v>#REF!</v>
      </c>
      <c r="AU16" s="10" t="e">
        <f>'JEUDI 22 JANV'!AU16+'VEND 23 JANV'!AU16+'SAM 24 JANV'!AU16+'LUND 26 JANV'!AU16+'MAR 27 JANV'!AU16+#REF!</f>
        <v>#REF!</v>
      </c>
      <c r="AV16" s="6" t="e">
        <f>'JEUDI 22 JANV'!AV16+'VEND 23 JANV'!AV16+'SAM 24 JANV'!AV16+'LUND 26 JANV'!AV16+'MAR 27 JANV'!AV16+#REF!</f>
        <v>#REF!</v>
      </c>
      <c r="AW16" s="7" t="e">
        <f>'JEUDI 22 JANV'!AW16+'VEND 23 JANV'!AW16+'SAM 24 JANV'!AW16+'LUND 26 JANV'!AW16+'MAR 27 JANV'!AW16+#REF!</f>
        <v>#REF!</v>
      </c>
      <c r="AX16" s="7" t="e">
        <f>'JEUDI 22 JANV'!AX16+'VEND 23 JANV'!AX16+'SAM 24 JANV'!AX16+'LUND 26 JANV'!AX16+'MAR 27 JANV'!AX16+#REF!</f>
        <v>#REF!</v>
      </c>
      <c r="AY16" s="7" t="e">
        <f>'JEUDI 22 JANV'!AY16+'VEND 23 JANV'!AY16+'SAM 24 JANV'!AY16+'LUND 26 JANV'!AY16+'MAR 27 JANV'!AY16+#REF!</f>
        <v>#REF!</v>
      </c>
      <c r="AZ16" s="8" t="e">
        <f>'JEUDI 22 JANV'!AZ16+'VEND 23 JANV'!AZ16+'SAM 24 JANV'!AZ16+'LUND 26 JANV'!AZ16+'MAR 27 JANV'!AZ16+#REF!</f>
        <v>#REF!</v>
      </c>
      <c r="BA16" s="6" t="e">
        <f>'JEUDI 22 JANV'!BA16+'VEND 23 JANV'!BA16+'SAM 24 JANV'!BA16+'LUND 26 JANV'!BA16+'MAR 27 JANV'!BA16+#REF!</f>
        <v>#REF!</v>
      </c>
      <c r="BB16" s="7" t="e">
        <f>'JEUDI 22 JANV'!BB16+'VEND 23 JANV'!BB16+'SAM 24 JANV'!BB16+'LUND 26 JANV'!BB16+'MAR 27 JANV'!BB16+#REF!</f>
        <v>#REF!</v>
      </c>
      <c r="BC16" s="8" t="e">
        <f>'JEUDI 22 JANV'!BC16+'VEND 23 JANV'!BC16+'SAM 24 JANV'!BC16+'LUND 26 JANV'!BC16+'MAR 27 JANV'!BC16+#REF!</f>
        <v>#REF!</v>
      </c>
      <c r="BD16" s="18"/>
      <c r="BE16" s="12"/>
    </row>
    <row r="17" spans="1:57" ht="31.9" customHeight="1" x14ac:dyDescent="0.2">
      <c r="A17" s="20">
        <v>10</v>
      </c>
      <c r="B17" s="16"/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6" t="e">
        <f>'JEUDI 22 JANV'!W17+'VEND 23 JANV'!W17+'SAM 24 JANV'!W17+'LUND 26 JANV'!W17+'MAR 27 JANV'!W17+#REF!</f>
        <v>#REF!</v>
      </c>
      <c r="X17" s="7" t="e">
        <f>'JEUDI 22 JANV'!X17+'VEND 23 JANV'!X17+'SAM 24 JANV'!X17+'LUND 26 JANV'!X17+'MAR 27 JANV'!X17+#REF!</f>
        <v>#REF!</v>
      </c>
      <c r="Y17" s="7" t="e">
        <f>'JEUDI 22 JANV'!Y17+'VEND 23 JANV'!Y17+'SAM 24 JANV'!Y17+'LUND 26 JANV'!Y17+'MAR 27 JANV'!Y17+#REF!</f>
        <v>#REF!</v>
      </c>
      <c r="Z17" s="7" t="e">
        <f>'JEUDI 22 JANV'!Z17+'VEND 23 JANV'!Z17+'SAM 24 JANV'!Z17+'LUND 26 JANV'!Z17+'MAR 27 JANV'!Z17+#REF!</f>
        <v>#REF!</v>
      </c>
      <c r="AA17" s="8" t="e">
        <f>'JEUDI 22 JANV'!AA17+'VEND 23 JANV'!AA17+'SAM 24 JANV'!AA17+'LUND 26 JANV'!AA17+'MAR 27 JANV'!AA17+#REF!</f>
        <v>#REF!</v>
      </c>
      <c r="AB17" s="10" t="e">
        <f>'JEUDI 22 JANV'!AB17+'VEND 23 JANV'!AB17+'SAM 24 JANV'!AB17+'LUND 26 JANV'!AB17+'MAR 27 JANV'!AB17+#REF!</f>
        <v>#REF!</v>
      </c>
      <c r="AC17" s="10" t="e">
        <f>'JEUDI 22 JANV'!AC17+'VEND 23 JANV'!AC17+'SAM 24 JANV'!AC17+'LUND 26 JANV'!AC17+'MAR 27 JANV'!AC17+#REF!</f>
        <v>#REF!</v>
      </c>
      <c r="AD17" s="10" t="e">
        <f>'JEUDI 22 JANV'!AD17+'VEND 23 JANV'!AD17+'SAM 24 JANV'!AD17+'LUND 26 JANV'!AD17+'MAR 27 JANV'!AD17+#REF!</f>
        <v>#REF!</v>
      </c>
      <c r="AE17" s="10" t="e">
        <f>'JEUDI 22 JANV'!AE17+'VEND 23 JANV'!AE17+'SAM 24 JANV'!AE17+'LUND 26 JANV'!AE17+'MAR 27 JANV'!AE17+#REF!</f>
        <v>#REF!</v>
      </c>
      <c r="AF17" s="10" t="e">
        <f>'JEUDI 22 JANV'!AF17+'VEND 23 JANV'!AF17+'SAM 24 JANV'!AF17+'LUND 26 JANV'!AF17+'MAR 27 JANV'!AF17+#REF!</f>
        <v>#REF!</v>
      </c>
      <c r="AG17" s="6" t="e">
        <f>'JEUDI 22 JANV'!AG17+'VEND 23 JANV'!AG17+'SAM 24 JANV'!AG17+'LUND 26 JANV'!AG17+'MAR 27 JANV'!AG17+#REF!</f>
        <v>#REF!</v>
      </c>
      <c r="AH17" s="7" t="e">
        <f>'JEUDI 22 JANV'!AH17+'VEND 23 JANV'!AH17+'SAM 24 JANV'!AH17+'LUND 26 JANV'!AH17+'MAR 27 JANV'!AH17+#REF!</f>
        <v>#REF!</v>
      </c>
      <c r="AI17" s="7" t="e">
        <f>'JEUDI 22 JANV'!AI17+'VEND 23 JANV'!AI17+'SAM 24 JANV'!AI17+'LUND 26 JANV'!AI17+'MAR 27 JANV'!AI17+#REF!</f>
        <v>#REF!</v>
      </c>
      <c r="AJ17" s="7" t="e">
        <f>'JEUDI 22 JANV'!AJ17+'VEND 23 JANV'!AJ17+'SAM 24 JANV'!AJ17+'LUND 26 JANV'!AJ17+'MAR 27 JANV'!AJ17+#REF!</f>
        <v>#REF!</v>
      </c>
      <c r="AK17" s="8" t="e">
        <f>'JEUDI 22 JANV'!AK17+'VEND 23 JANV'!AK17+'SAM 24 JANV'!AK17+'LUND 26 JANV'!AK17+'MAR 27 JANV'!AK17+#REF!</f>
        <v>#REF!</v>
      </c>
      <c r="AL17" s="9" t="e">
        <f>'JEUDI 22 JANV'!AL17+'VEND 23 JANV'!AL17+'SAM 24 JANV'!AL17+'LUND 26 JANV'!AL17+'MAR 27 JANV'!AL17+#REF!</f>
        <v>#REF!</v>
      </c>
      <c r="AM17" s="10" t="e">
        <f>'JEUDI 22 JANV'!AM17+'VEND 23 JANV'!AM17+'SAM 24 JANV'!AM17+'LUND 26 JANV'!AM17+'MAR 27 JANV'!AM17+#REF!</f>
        <v>#REF!</v>
      </c>
      <c r="AN17" s="10" t="e">
        <f>'JEUDI 22 JANV'!AN17+'VEND 23 JANV'!AN17+'SAM 24 JANV'!AN17+'LUND 26 JANV'!AN17+'MAR 27 JANV'!AN17+#REF!</f>
        <v>#REF!</v>
      </c>
      <c r="AO17" s="10" t="e">
        <f>'JEUDI 22 JANV'!AO17+'VEND 23 JANV'!AO17+'SAM 24 JANV'!AO17+'LUND 26 JANV'!AO17+'MAR 27 JANV'!AO17+#REF!</f>
        <v>#REF!</v>
      </c>
      <c r="AP17" s="11" t="e">
        <f>'JEUDI 22 JANV'!AP17+'VEND 23 JANV'!AP17+'SAM 24 JANV'!AP17+'LUND 26 JANV'!AP17+'MAR 27 JANV'!AP17+#REF!</f>
        <v>#REF!</v>
      </c>
      <c r="AQ17" s="91" t="e">
        <f>'JEUDI 22 JANV'!AQ17+'VEND 23 JANV'!AQ17+'SAM 24 JANV'!AQ17+'LUND 26 JANV'!AQ17+'MAR 27 JANV'!AQ17+#REF!</f>
        <v>#REF!</v>
      </c>
      <c r="AR17" s="10" t="e">
        <f>'JEUDI 22 JANV'!AR17+'VEND 23 JANV'!AR17+'SAM 24 JANV'!AR17+'LUND 26 JANV'!AR17+'MAR 27 JANV'!AR17+#REF!</f>
        <v>#REF!</v>
      </c>
      <c r="AS17" s="10" t="e">
        <f>'JEUDI 22 JANV'!AS17+'VEND 23 JANV'!AS17+'SAM 24 JANV'!AS17+'LUND 26 JANV'!AS17+'MAR 27 JANV'!AS17+#REF!</f>
        <v>#REF!</v>
      </c>
      <c r="AT17" s="10" t="e">
        <f>'JEUDI 22 JANV'!AT17+'VEND 23 JANV'!AT17+'SAM 24 JANV'!AT17+'LUND 26 JANV'!AT17+'MAR 27 JANV'!AT17+#REF!</f>
        <v>#REF!</v>
      </c>
      <c r="AU17" s="10" t="e">
        <f>'JEUDI 22 JANV'!AU17+'VEND 23 JANV'!AU17+'SAM 24 JANV'!AU17+'LUND 26 JANV'!AU17+'MAR 27 JANV'!AU17+#REF!</f>
        <v>#REF!</v>
      </c>
      <c r="AV17" s="6" t="e">
        <f>'JEUDI 22 JANV'!AV17+'VEND 23 JANV'!AV17+'SAM 24 JANV'!AV17+'LUND 26 JANV'!AV17+'MAR 27 JANV'!AV17+#REF!</f>
        <v>#REF!</v>
      </c>
      <c r="AW17" s="7" t="e">
        <f>'JEUDI 22 JANV'!AW17+'VEND 23 JANV'!AW17+'SAM 24 JANV'!AW17+'LUND 26 JANV'!AW17+'MAR 27 JANV'!AW17+#REF!</f>
        <v>#REF!</v>
      </c>
      <c r="AX17" s="7" t="e">
        <f>'JEUDI 22 JANV'!AX17+'VEND 23 JANV'!AX17+'SAM 24 JANV'!AX17+'LUND 26 JANV'!AX17+'MAR 27 JANV'!AX17+#REF!</f>
        <v>#REF!</v>
      </c>
      <c r="AY17" s="7" t="e">
        <f>'JEUDI 22 JANV'!AY17+'VEND 23 JANV'!AY17+'SAM 24 JANV'!AY17+'LUND 26 JANV'!AY17+'MAR 27 JANV'!AY17+#REF!</f>
        <v>#REF!</v>
      </c>
      <c r="AZ17" s="8" t="e">
        <f>'JEUDI 22 JANV'!AZ17+'VEND 23 JANV'!AZ17+'SAM 24 JANV'!AZ17+'LUND 26 JANV'!AZ17+'MAR 27 JANV'!AZ17+#REF!</f>
        <v>#REF!</v>
      </c>
      <c r="BA17" s="6" t="e">
        <f>'JEUDI 22 JANV'!BA17+'VEND 23 JANV'!BA17+'SAM 24 JANV'!BA17+'LUND 26 JANV'!BA17+'MAR 27 JANV'!BA17+#REF!</f>
        <v>#REF!</v>
      </c>
      <c r="BB17" s="7" t="e">
        <f>'JEUDI 22 JANV'!BB17+'VEND 23 JANV'!BB17+'SAM 24 JANV'!BB17+'LUND 26 JANV'!BB17+'MAR 27 JANV'!BB17+#REF!</f>
        <v>#REF!</v>
      </c>
      <c r="BC17" s="8" t="e">
        <f>'JEUDI 22 JANV'!BC17+'VEND 23 JANV'!BC17+'SAM 24 JANV'!BC17+'LUND 26 JANV'!BC17+'MAR 27 JANV'!BC17+#REF!</f>
        <v>#REF!</v>
      </c>
      <c r="BD17" s="18"/>
      <c r="BE17" s="12"/>
    </row>
    <row r="18" spans="1:57" ht="31.9" customHeight="1" x14ac:dyDescent="0.2">
      <c r="A18" s="20">
        <v>11</v>
      </c>
      <c r="B18" s="16"/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6" t="e">
        <f>'JEUDI 22 JANV'!W18+'VEND 23 JANV'!W18+'SAM 24 JANV'!W18+'LUND 26 JANV'!W18+'MAR 27 JANV'!W18+#REF!</f>
        <v>#REF!</v>
      </c>
      <c r="X18" s="7" t="e">
        <f>'JEUDI 22 JANV'!X18+'VEND 23 JANV'!X18+'SAM 24 JANV'!X18+'LUND 26 JANV'!X18+'MAR 27 JANV'!X18+#REF!</f>
        <v>#REF!</v>
      </c>
      <c r="Y18" s="7" t="e">
        <f>'JEUDI 22 JANV'!Y18+'VEND 23 JANV'!Y18+'SAM 24 JANV'!Y18+'LUND 26 JANV'!Y18+'MAR 27 JANV'!Y18+#REF!</f>
        <v>#REF!</v>
      </c>
      <c r="Z18" s="7" t="e">
        <f>'JEUDI 22 JANV'!Z18+'VEND 23 JANV'!Z18+'SAM 24 JANV'!Z18+'LUND 26 JANV'!Z18+'MAR 27 JANV'!Z18+#REF!</f>
        <v>#REF!</v>
      </c>
      <c r="AA18" s="8" t="e">
        <f>'JEUDI 22 JANV'!AA18+'VEND 23 JANV'!AA18+'SAM 24 JANV'!AA18+'LUND 26 JANV'!AA18+'MAR 27 JANV'!AA18+#REF!</f>
        <v>#REF!</v>
      </c>
      <c r="AB18" s="10" t="e">
        <f>'JEUDI 22 JANV'!AB18+'VEND 23 JANV'!AB18+'SAM 24 JANV'!AB18+'LUND 26 JANV'!AB18+'MAR 27 JANV'!AB18+#REF!</f>
        <v>#REF!</v>
      </c>
      <c r="AC18" s="10" t="e">
        <f>'JEUDI 22 JANV'!AC18+'VEND 23 JANV'!AC18+'SAM 24 JANV'!AC18+'LUND 26 JANV'!AC18+'MAR 27 JANV'!AC18+#REF!</f>
        <v>#REF!</v>
      </c>
      <c r="AD18" s="10" t="e">
        <f>'JEUDI 22 JANV'!AD18+'VEND 23 JANV'!AD18+'SAM 24 JANV'!AD18+'LUND 26 JANV'!AD18+'MAR 27 JANV'!AD18+#REF!</f>
        <v>#REF!</v>
      </c>
      <c r="AE18" s="10" t="e">
        <f>'JEUDI 22 JANV'!AE18+'VEND 23 JANV'!AE18+'SAM 24 JANV'!AE18+'LUND 26 JANV'!AE18+'MAR 27 JANV'!AE18+#REF!</f>
        <v>#REF!</v>
      </c>
      <c r="AF18" s="10" t="e">
        <f>'JEUDI 22 JANV'!AF18+'VEND 23 JANV'!AF18+'SAM 24 JANV'!AF18+'LUND 26 JANV'!AF18+'MAR 27 JANV'!AF18+#REF!</f>
        <v>#REF!</v>
      </c>
      <c r="AG18" s="6" t="e">
        <f>'JEUDI 22 JANV'!AG18+'VEND 23 JANV'!AG18+'SAM 24 JANV'!AG18+'LUND 26 JANV'!AG18+'MAR 27 JANV'!AG18+#REF!</f>
        <v>#REF!</v>
      </c>
      <c r="AH18" s="7" t="e">
        <f>'JEUDI 22 JANV'!AH18+'VEND 23 JANV'!AH18+'SAM 24 JANV'!AH18+'LUND 26 JANV'!AH18+'MAR 27 JANV'!AH18+#REF!</f>
        <v>#REF!</v>
      </c>
      <c r="AI18" s="7" t="e">
        <f>'JEUDI 22 JANV'!AI18+'VEND 23 JANV'!AI18+'SAM 24 JANV'!AI18+'LUND 26 JANV'!AI18+'MAR 27 JANV'!AI18+#REF!</f>
        <v>#REF!</v>
      </c>
      <c r="AJ18" s="7" t="e">
        <f>'JEUDI 22 JANV'!AJ18+'VEND 23 JANV'!AJ18+'SAM 24 JANV'!AJ18+'LUND 26 JANV'!AJ18+'MAR 27 JANV'!AJ18+#REF!</f>
        <v>#REF!</v>
      </c>
      <c r="AK18" s="8" t="e">
        <f>'JEUDI 22 JANV'!AK18+'VEND 23 JANV'!AK18+'SAM 24 JANV'!AK18+'LUND 26 JANV'!AK18+'MAR 27 JANV'!AK18+#REF!</f>
        <v>#REF!</v>
      </c>
      <c r="AL18" s="9" t="e">
        <f>'JEUDI 22 JANV'!AL18+'VEND 23 JANV'!AL18+'SAM 24 JANV'!AL18+'LUND 26 JANV'!AL18+'MAR 27 JANV'!AL18+#REF!</f>
        <v>#REF!</v>
      </c>
      <c r="AM18" s="10" t="e">
        <f>'JEUDI 22 JANV'!AM18+'VEND 23 JANV'!AM18+'SAM 24 JANV'!AM18+'LUND 26 JANV'!AM18+'MAR 27 JANV'!AM18+#REF!</f>
        <v>#REF!</v>
      </c>
      <c r="AN18" s="10" t="e">
        <f>'JEUDI 22 JANV'!AN18+'VEND 23 JANV'!AN18+'SAM 24 JANV'!AN18+'LUND 26 JANV'!AN18+'MAR 27 JANV'!AN18+#REF!</f>
        <v>#REF!</v>
      </c>
      <c r="AO18" s="10" t="e">
        <f>'JEUDI 22 JANV'!AO18+'VEND 23 JANV'!AO18+'SAM 24 JANV'!AO18+'LUND 26 JANV'!AO18+'MAR 27 JANV'!AO18+#REF!</f>
        <v>#REF!</v>
      </c>
      <c r="AP18" s="11" t="e">
        <f>'JEUDI 22 JANV'!AP18+'VEND 23 JANV'!AP18+'SAM 24 JANV'!AP18+'LUND 26 JANV'!AP18+'MAR 27 JANV'!AP18+#REF!</f>
        <v>#REF!</v>
      </c>
      <c r="AQ18" s="91" t="e">
        <f>'JEUDI 22 JANV'!AQ18+'VEND 23 JANV'!AQ18+'SAM 24 JANV'!AQ18+'LUND 26 JANV'!AQ18+'MAR 27 JANV'!AQ18+#REF!</f>
        <v>#REF!</v>
      </c>
      <c r="AR18" s="10" t="e">
        <f>'JEUDI 22 JANV'!AR18+'VEND 23 JANV'!AR18+'SAM 24 JANV'!AR18+'LUND 26 JANV'!AR18+'MAR 27 JANV'!AR18+#REF!</f>
        <v>#REF!</v>
      </c>
      <c r="AS18" s="10" t="e">
        <f>'JEUDI 22 JANV'!AS18+'VEND 23 JANV'!AS18+'SAM 24 JANV'!AS18+'LUND 26 JANV'!AS18+'MAR 27 JANV'!AS18+#REF!</f>
        <v>#REF!</v>
      </c>
      <c r="AT18" s="10" t="e">
        <f>'JEUDI 22 JANV'!AT18+'VEND 23 JANV'!AT18+'SAM 24 JANV'!AT18+'LUND 26 JANV'!AT18+'MAR 27 JANV'!AT18+#REF!</f>
        <v>#REF!</v>
      </c>
      <c r="AU18" s="10" t="e">
        <f>'JEUDI 22 JANV'!AU18+'VEND 23 JANV'!AU18+'SAM 24 JANV'!AU18+'LUND 26 JANV'!AU18+'MAR 27 JANV'!AU18+#REF!</f>
        <v>#REF!</v>
      </c>
      <c r="AV18" s="6" t="e">
        <f>'JEUDI 22 JANV'!AV18+'VEND 23 JANV'!AV18+'SAM 24 JANV'!AV18+'LUND 26 JANV'!AV18+'MAR 27 JANV'!AV18+#REF!</f>
        <v>#REF!</v>
      </c>
      <c r="AW18" s="7" t="e">
        <f>'JEUDI 22 JANV'!AW18+'VEND 23 JANV'!AW18+'SAM 24 JANV'!AW18+'LUND 26 JANV'!AW18+'MAR 27 JANV'!AW18+#REF!</f>
        <v>#REF!</v>
      </c>
      <c r="AX18" s="7" t="e">
        <f>'JEUDI 22 JANV'!AX18+'VEND 23 JANV'!AX18+'SAM 24 JANV'!AX18+'LUND 26 JANV'!AX18+'MAR 27 JANV'!AX18+#REF!</f>
        <v>#REF!</v>
      </c>
      <c r="AY18" s="7" t="e">
        <f>'JEUDI 22 JANV'!AY18+'VEND 23 JANV'!AY18+'SAM 24 JANV'!AY18+'LUND 26 JANV'!AY18+'MAR 27 JANV'!AY18+#REF!</f>
        <v>#REF!</v>
      </c>
      <c r="AZ18" s="8" t="e">
        <f>'JEUDI 22 JANV'!AZ18+'VEND 23 JANV'!AZ18+'SAM 24 JANV'!AZ18+'LUND 26 JANV'!AZ18+'MAR 27 JANV'!AZ18+#REF!</f>
        <v>#REF!</v>
      </c>
      <c r="BA18" s="6" t="e">
        <f>'JEUDI 22 JANV'!BA18+'VEND 23 JANV'!BA18+'SAM 24 JANV'!BA18+'LUND 26 JANV'!BA18+'MAR 27 JANV'!BA18+#REF!</f>
        <v>#REF!</v>
      </c>
      <c r="BB18" s="7" t="e">
        <f>'JEUDI 22 JANV'!BB18+'VEND 23 JANV'!BB18+'SAM 24 JANV'!BB18+'LUND 26 JANV'!BB18+'MAR 27 JANV'!BB18+#REF!</f>
        <v>#REF!</v>
      </c>
      <c r="BC18" s="8" t="e">
        <f>'JEUDI 22 JANV'!BC18+'VEND 23 JANV'!BC18+'SAM 24 JANV'!BC18+'LUND 26 JANV'!BC18+'MAR 27 JANV'!BC18+#REF!</f>
        <v>#REF!</v>
      </c>
      <c r="BD18" s="18"/>
      <c r="BE18" s="12"/>
    </row>
    <row r="19" spans="1:57" ht="31.9" customHeight="1" x14ac:dyDescent="0.2">
      <c r="A19" s="20">
        <v>12</v>
      </c>
      <c r="B19" s="16"/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6" t="e">
        <f>'JEUDI 22 JANV'!W19+'VEND 23 JANV'!W19+'SAM 24 JANV'!W19+'LUND 26 JANV'!W19+'MAR 27 JANV'!W19+#REF!</f>
        <v>#REF!</v>
      </c>
      <c r="X19" s="7" t="e">
        <f>'JEUDI 22 JANV'!X19+'VEND 23 JANV'!X19+'SAM 24 JANV'!X19+'LUND 26 JANV'!X19+'MAR 27 JANV'!X19+#REF!</f>
        <v>#REF!</v>
      </c>
      <c r="Y19" s="7" t="e">
        <f>'JEUDI 22 JANV'!Y19+'VEND 23 JANV'!Y19+'SAM 24 JANV'!Y19+'LUND 26 JANV'!Y19+'MAR 27 JANV'!Y19+#REF!</f>
        <v>#REF!</v>
      </c>
      <c r="Z19" s="7" t="e">
        <f>'JEUDI 22 JANV'!Z19+'VEND 23 JANV'!Z19+'SAM 24 JANV'!Z19+'LUND 26 JANV'!Z19+'MAR 27 JANV'!Z19+#REF!</f>
        <v>#REF!</v>
      </c>
      <c r="AA19" s="8" t="e">
        <f>'JEUDI 22 JANV'!AA19+'VEND 23 JANV'!AA19+'SAM 24 JANV'!AA19+'LUND 26 JANV'!AA19+'MAR 27 JANV'!AA19+#REF!</f>
        <v>#REF!</v>
      </c>
      <c r="AB19" s="10" t="e">
        <f>'JEUDI 22 JANV'!AB19+'VEND 23 JANV'!AB19+'SAM 24 JANV'!AB19+'LUND 26 JANV'!AB19+'MAR 27 JANV'!AB19+#REF!</f>
        <v>#REF!</v>
      </c>
      <c r="AC19" s="10" t="e">
        <f>'JEUDI 22 JANV'!AC19+'VEND 23 JANV'!AC19+'SAM 24 JANV'!AC19+'LUND 26 JANV'!AC19+'MAR 27 JANV'!AC19+#REF!</f>
        <v>#REF!</v>
      </c>
      <c r="AD19" s="10" t="e">
        <f>'JEUDI 22 JANV'!AD19+'VEND 23 JANV'!AD19+'SAM 24 JANV'!AD19+'LUND 26 JANV'!AD19+'MAR 27 JANV'!AD19+#REF!</f>
        <v>#REF!</v>
      </c>
      <c r="AE19" s="10" t="e">
        <f>'JEUDI 22 JANV'!AE19+'VEND 23 JANV'!AE19+'SAM 24 JANV'!AE19+'LUND 26 JANV'!AE19+'MAR 27 JANV'!AE19+#REF!</f>
        <v>#REF!</v>
      </c>
      <c r="AF19" s="10" t="e">
        <f>'JEUDI 22 JANV'!AF19+'VEND 23 JANV'!AF19+'SAM 24 JANV'!AF19+'LUND 26 JANV'!AF19+'MAR 27 JANV'!AF19+#REF!</f>
        <v>#REF!</v>
      </c>
      <c r="AG19" s="6" t="e">
        <f>'JEUDI 22 JANV'!AG19+'VEND 23 JANV'!AG19+'SAM 24 JANV'!AG19+'LUND 26 JANV'!AG19+'MAR 27 JANV'!AG19+#REF!</f>
        <v>#REF!</v>
      </c>
      <c r="AH19" s="7" t="e">
        <f>'JEUDI 22 JANV'!AH19+'VEND 23 JANV'!AH19+'SAM 24 JANV'!AH19+'LUND 26 JANV'!AH19+'MAR 27 JANV'!AH19+#REF!</f>
        <v>#REF!</v>
      </c>
      <c r="AI19" s="7" t="e">
        <f>'JEUDI 22 JANV'!AI19+'VEND 23 JANV'!AI19+'SAM 24 JANV'!AI19+'LUND 26 JANV'!AI19+'MAR 27 JANV'!AI19+#REF!</f>
        <v>#REF!</v>
      </c>
      <c r="AJ19" s="7" t="e">
        <f>'JEUDI 22 JANV'!AJ19+'VEND 23 JANV'!AJ19+'SAM 24 JANV'!AJ19+'LUND 26 JANV'!AJ19+'MAR 27 JANV'!AJ19+#REF!</f>
        <v>#REF!</v>
      </c>
      <c r="AK19" s="8" t="e">
        <f>'JEUDI 22 JANV'!AK19+'VEND 23 JANV'!AK19+'SAM 24 JANV'!AK19+'LUND 26 JANV'!AK19+'MAR 27 JANV'!AK19+#REF!</f>
        <v>#REF!</v>
      </c>
      <c r="AL19" s="9" t="e">
        <f>'JEUDI 22 JANV'!AL19+'VEND 23 JANV'!AL19+'SAM 24 JANV'!AL19+'LUND 26 JANV'!AL19+'MAR 27 JANV'!AL19+#REF!</f>
        <v>#REF!</v>
      </c>
      <c r="AM19" s="10" t="e">
        <f>'JEUDI 22 JANV'!AM19+'VEND 23 JANV'!AM19+'SAM 24 JANV'!AM19+'LUND 26 JANV'!AM19+'MAR 27 JANV'!AM19+#REF!</f>
        <v>#REF!</v>
      </c>
      <c r="AN19" s="10" t="e">
        <f>'JEUDI 22 JANV'!AN19+'VEND 23 JANV'!AN19+'SAM 24 JANV'!AN19+'LUND 26 JANV'!AN19+'MAR 27 JANV'!AN19+#REF!</f>
        <v>#REF!</v>
      </c>
      <c r="AO19" s="10" t="e">
        <f>'JEUDI 22 JANV'!AO19+'VEND 23 JANV'!AO19+'SAM 24 JANV'!AO19+'LUND 26 JANV'!AO19+'MAR 27 JANV'!AO19+#REF!</f>
        <v>#REF!</v>
      </c>
      <c r="AP19" s="11" t="e">
        <f>'JEUDI 22 JANV'!AP19+'VEND 23 JANV'!AP19+'SAM 24 JANV'!AP19+'LUND 26 JANV'!AP19+'MAR 27 JANV'!AP19+#REF!</f>
        <v>#REF!</v>
      </c>
      <c r="AQ19" s="91" t="e">
        <f>'JEUDI 22 JANV'!AQ19+'VEND 23 JANV'!AQ19+'SAM 24 JANV'!AQ19+'LUND 26 JANV'!AQ19+'MAR 27 JANV'!AQ19+#REF!</f>
        <v>#REF!</v>
      </c>
      <c r="AR19" s="10" t="e">
        <f>'JEUDI 22 JANV'!AR19+'VEND 23 JANV'!AR19+'SAM 24 JANV'!AR19+'LUND 26 JANV'!AR19+'MAR 27 JANV'!AR19+#REF!</f>
        <v>#REF!</v>
      </c>
      <c r="AS19" s="10" t="e">
        <f>'JEUDI 22 JANV'!AS19+'VEND 23 JANV'!AS19+'SAM 24 JANV'!AS19+'LUND 26 JANV'!AS19+'MAR 27 JANV'!AS19+#REF!</f>
        <v>#REF!</v>
      </c>
      <c r="AT19" s="10" t="e">
        <f>'JEUDI 22 JANV'!AT19+'VEND 23 JANV'!AT19+'SAM 24 JANV'!AT19+'LUND 26 JANV'!AT19+'MAR 27 JANV'!AT19+#REF!</f>
        <v>#REF!</v>
      </c>
      <c r="AU19" s="10" t="e">
        <f>'JEUDI 22 JANV'!AU19+'VEND 23 JANV'!AU19+'SAM 24 JANV'!AU19+'LUND 26 JANV'!AU19+'MAR 27 JANV'!AU19+#REF!</f>
        <v>#REF!</v>
      </c>
      <c r="AV19" s="6" t="e">
        <f>'JEUDI 22 JANV'!AV19+'VEND 23 JANV'!AV19+'SAM 24 JANV'!AV19+'LUND 26 JANV'!AV19+'MAR 27 JANV'!AV19+#REF!</f>
        <v>#REF!</v>
      </c>
      <c r="AW19" s="7" t="e">
        <f>'JEUDI 22 JANV'!AW19+'VEND 23 JANV'!AW19+'SAM 24 JANV'!AW19+'LUND 26 JANV'!AW19+'MAR 27 JANV'!AW19+#REF!</f>
        <v>#REF!</v>
      </c>
      <c r="AX19" s="7" t="e">
        <f>'JEUDI 22 JANV'!AX19+'VEND 23 JANV'!AX19+'SAM 24 JANV'!AX19+'LUND 26 JANV'!AX19+'MAR 27 JANV'!AX19+#REF!</f>
        <v>#REF!</v>
      </c>
      <c r="AY19" s="7" t="e">
        <f>'JEUDI 22 JANV'!AY19+'VEND 23 JANV'!AY19+'SAM 24 JANV'!AY19+'LUND 26 JANV'!AY19+'MAR 27 JANV'!AY19+#REF!</f>
        <v>#REF!</v>
      </c>
      <c r="AZ19" s="8" t="e">
        <f>'JEUDI 22 JANV'!AZ19+'VEND 23 JANV'!AZ19+'SAM 24 JANV'!AZ19+'LUND 26 JANV'!AZ19+'MAR 27 JANV'!AZ19+#REF!</f>
        <v>#REF!</v>
      </c>
      <c r="BA19" s="6" t="e">
        <f>'JEUDI 22 JANV'!BA19+'VEND 23 JANV'!BA19+'SAM 24 JANV'!BA19+'LUND 26 JANV'!BA19+'MAR 27 JANV'!BA19+#REF!</f>
        <v>#REF!</v>
      </c>
      <c r="BB19" s="7" t="e">
        <f>'JEUDI 22 JANV'!BB19+'VEND 23 JANV'!BB19+'SAM 24 JANV'!BB19+'LUND 26 JANV'!BB19+'MAR 27 JANV'!BB19+#REF!</f>
        <v>#REF!</v>
      </c>
      <c r="BC19" s="8" t="e">
        <f>'JEUDI 22 JANV'!BC19+'VEND 23 JANV'!BC19+'SAM 24 JANV'!BC19+'LUND 26 JANV'!BC19+'MAR 27 JANV'!BC19+#REF!</f>
        <v>#REF!</v>
      </c>
      <c r="BD19" s="18"/>
      <c r="BE19" s="12"/>
    </row>
    <row r="20" spans="1:57" ht="31.9" customHeight="1" x14ac:dyDescent="0.2">
      <c r="A20" s="20">
        <v>13</v>
      </c>
      <c r="B20" s="16"/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6" t="e">
        <f>'JEUDI 22 JANV'!W20+'VEND 23 JANV'!W20+'SAM 24 JANV'!W20+'LUND 26 JANV'!W20+'MAR 27 JANV'!W20+#REF!</f>
        <v>#REF!</v>
      </c>
      <c r="X20" s="7" t="e">
        <f>'JEUDI 22 JANV'!X20+'VEND 23 JANV'!X20+'SAM 24 JANV'!X20+'LUND 26 JANV'!X20+'MAR 27 JANV'!X20+#REF!</f>
        <v>#REF!</v>
      </c>
      <c r="Y20" s="7" t="e">
        <f>'JEUDI 22 JANV'!Y20+'VEND 23 JANV'!Y20+'SAM 24 JANV'!Y20+'LUND 26 JANV'!Y20+'MAR 27 JANV'!Y20+#REF!</f>
        <v>#REF!</v>
      </c>
      <c r="Z20" s="7" t="e">
        <f>'JEUDI 22 JANV'!Z20+'VEND 23 JANV'!Z20+'SAM 24 JANV'!Z20+'LUND 26 JANV'!Z20+'MAR 27 JANV'!Z20+#REF!</f>
        <v>#REF!</v>
      </c>
      <c r="AA20" s="8" t="e">
        <f>'JEUDI 22 JANV'!AA20+'VEND 23 JANV'!AA20+'SAM 24 JANV'!AA20+'LUND 26 JANV'!AA20+'MAR 27 JANV'!AA20+#REF!</f>
        <v>#REF!</v>
      </c>
      <c r="AB20" s="10" t="e">
        <f>'JEUDI 22 JANV'!AB20+'VEND 23 JANV'!AB20+'SAM 24 JANV'!AB20+'LUND 26 JANV'!AB20+'MAR 27 JANV'!AB20+#REF!</f>
        <v>#REF!</v>
      </c>
      <c r="AC20" s="10" t="e">
        <f>'JEUDI 22 JANV'!AC20+'VEND 23 JANV'!AC20+'SAM 24 JANV'!AC20+'LUND 26 JANV'!AC20+'MAR 27 JANV'!AC20+#REF!</f>
        <v>#REF!</v>
      </c>
      <c r="AD20" s="10" t="e">
        <f>'JEUDI 22 JANV'!AD20+'VEND 23 JANV'!AD20+'SAM 24 JANV'!AD20+'LUND 26 JANV'!AD20+'MAR 27 JANV'!AD20+#REF!</f>
        <v>#REF!</v>
      </c>
      <c r="AE20" s="10" t="e">
        <f>'JEUDI 22 JANV'!AE20+'VEND 23 JANV'!AE20+'SAM 24 JANV'!AE20+'LUND 26 JANV'!AE20+'MAR 27 JANV'!AE20+#REF!</f>
        <v>#REF!</v>
      </c>
      <c r="AF20" s="10" t="e">
        <f>'JEUDI 22 JANV'!AF20+'VEND 23 JANV'!AF20+'SAM 24 JANV'!AF20+'LUND 26 JANV'!AF20+'MAR 27 JANV'!AF20+#REF!</f>
        <v>#REF!</v>
      </c>
      <c r="AG20" s="6" t="e">
        <f>'JEUDI 22 JANV'!AG20+'VEND 23 JANV'!AG20+'SAM 24 JANV'!AG20+'LUND 26 JANV'!AG20+'MAR 27 JANV'!AG20+#REF!</f>
        <v>#REF!</v>
      </c>
      <c r="AH20" s="7" t="e">
        <f>'JEUDI 22 JANV'!AH20+'VEND 23 JANV'!AH20+'SAM 24 JANV'!AH20+'LUND 26 JANV'!AH20+'MAR 27 JANV'!AH20+#REF!</f>
        <v>#REF!</v>
      </c>
      <c r="AI20" s="7" t="e">
        <f>'JEUDI 22 JANV'!AI20+'VEND 23 JANV'!AI20+'SAM 24 JANV'!AI20+'LUND 26 JANV'!AI20+'MAR 27 JANV'!AI20+#REF!</f>
        <v>#REF!</v>
      </c>
      <c r="AJ20" s="7" t="e">
        <f>'JEUDI 22 JANV'!AJ20+'VEND 23 JANV'!AJ20+'SAM 24 JANV'!AJ20+'LUND 26 JANV'!AJ20+'MAR 27 JANV'!AJ20+#REF!</f>
        <v>#REF!</v>
      </c>
      <c r="AK20" s="8" t="e">
        <f>'JEUDI 22 JANV'!AK20+'VEND 23 JANV'!AK20+'SAM 24 JANV'!AK20+'LUND 26 JANV'!AK20+'MAR 27 JANV'!AK20+#REF!</f>
        <v>#REF!</v>
      </c>
      <c r="AL20" s="9" t="e">
        <f>'JEUDI 22 JANV'!AL20+'VEND 23 JANV'!AL20+'SAM 24 JANV'!AL20+'LUND 26 JANV'!AL20+'MAR 27 JANV'!AL20+#REF!</f>
        <v>#REF!</v>
      </c>
      <c r="AM20" s="10" t="e">
        <f>'JEUDI 22 JANV'!AM20+'VEND 23 JANV'!AM20+'SAM 24 JANV'!AM20+'LUND 26 JANV'!AM20+'MAR 27 JANV'!AM20+#REF!</f>
        <v>#REF!</v>
      </c>
      <c r="AN20" s="10" t="e">
        <f>'JEUDI 22 JANV'!AN20+'VEND 23 JANV'!AN20+'SAM 24 JANV'!AN20+'LUND 26 JANV'!AN20+'MAR 27 JANV'!AN20+#REF!</f>
        <v>#REF!</v>
      </c>
      <c r="AO20" s="10" t="e">
        <f>'JEUDI 22 JANV'!AO20+'VEND 23 JANV'!AO20+'SAM 24 JANV'!AO20+'LUND 26 JANV'!AO20+'MAR 27 JANV'!AO20+#REF!</f>
        <v>#REF!</v>
      </c>
      <c r="AP20" s="11" t="e">
        <f>'JEUDI 22 JANV'!AP20+'VEND 23 JANV'!AP20+'SAM 24 JANV'!AP20+'LUND 26 JANV'!AP20+'MAR 27 JANV'!AP20+#REF!</f>
        <v>#REF!</v>
      </c>
      <c r="AQ20" s="91" t="e">
        <f>'JEUDI 22 JANV'!AQ20+'VEND 23 JANV'!AQ20+'SAM 24 JANV'!AQ20+'LUND 26 JANV'!AQ20+'MAR 27 JANV'!AQ20+#REF!</f>
        <v>#REF!</v>
      </c>
      <c r="AR20" s="10" t="e">
        <f>'JEUDI 22 JANV'!AR20+'VEND 23 JANV'!AR20+'SAM 24 JANV'!AR20+'LUND 26 JANV'!AR20+'MAR 27 JANV'!AR20+#REF!</f>
        <v>#REF!</v>
      </c>
      <c r="AS20" s="10" t="e">
        <f>'JEUDI 22 JANV'!AS20+'VEND 23 JANV'!AS20+'SAM 24 JANV'!AS20+'LUND 26 JANV'!AS20+'MAR 27 JANV'!AS20+#REF!</f>
        <v>#REF!</v>
      </c>
      <c r="AT20" s="10" t="e">
        <f>'JEUDI 22 JANV'!AT20+'VEND 23 JANV'!AT20+'SAM 24 JANV'!AT20+'LUND 26 JANV'!AT20+'MAR 27 JANV'!AT20+#REF!</f>
        <v>#REF!</v>
      </c>
      <c r="AU20" s="10" t="e">
        <f>'JEUDI 22 JANV'!AU20+'VEND 23 JANV'!AU20+'SAM 24 JANV'!AU20+'LUND 26 JANV'!AU20+'MAR 27 JANV'!AU20+#REF!</f>
        <v>#REF!</v>
      </c>
      <c r="AV20" s="6" t="e">
        <f>'JEUDI 22 JANV'!AV20+'VEND 23 JANV'!AV20+'SAM 24 JANV'!AV20+'LUND 26 JANV'!AV20+'MAR 27 JANV'!AV20+#REF!</f>
        <v>#REF!</v>
      </c>
      <c r="AW20" s="7" t="e">
        <f>'JEUDI 22 JANV'!AW20+'VEND 23 JANV'!AW20+'SAM 24 JANV'!AW20+'LUND 26 JANV'!AW20+'MAR 27 JANV'!AW20+#REF!</f>
        <v>#REF!</v>
      </c>
      <c r="AX20" s="7" t="e">
        <f>'JEUDI 22 JANV'!AX20+'VEND 23 JANV'!AX20+'SAM 24 JANV'!AX20+'LUND 26 JANV'!AX20+'MAR 27 JANV'!AX20+#REF!</f>
        <v>#REF!</v>
      </c>
      <c r="AY20" s="7" t="e">
        <f>'JEUDI 22 JANV'!AY20+'VEND 23 JANV'!AY20+'SAM 24 JANV'!AY20+'LUND 26 JANV'!AY20+'MAR 27 JANV'!AY20+#REF!</f>
        <v>#REF!</v>
      </c>
      <c r="AZ20" s="8" t="e">
        <f>'JEUDI 22 JANV'!AZ20+'VEND 23 JANV'!AZ20+'SAM 24 JANV'!AZ20+'LUND 26 JANV'!AZ20+'MAR 27 JANV'!AZ20+#REF!</f>
        <v>#REF!</v>
      </c>
      <c r="BA20" s="6" t="e">
        <f>'JEUDI 22 JANV'!BA20+'VEND 23 JANV'!BA20+'SAM 24 JANV'!BA20+'LUND 26 JANV'!BA20+'MAR 27 JANV'!BA20+#REF!</f>
        <v>#REF!</v>
      </c>
      <c r="BB20" s="7" t="e">
        <f>'JEUDI 22 JANV'!BB20+'VEND 23 JANV'!BB20+'SAM 24 JANV'!BB20+'LUND 26 JANV'!BB20+'MAR 27 JANV'!BB20+#REF!</f>
        <v>#REF!</v>
      </c>
      <c r="BC20" s="8" t="e">
        <f>'JEUDI 22 JANV'!BC20+'VEND 23 JANV'!BC20+'SAM 24 JANV'!BC20+'LUND 26 JANV'!BC20+'MAR 27 JANV'!BC20+#REF!</f>
        <v>#REF!</v>
      </c>
      <c r="BD20" s="18"/>
      <c r="BE20" s="12"/>
    </row>
    <row r="21" spans="1:57" ht="31.9" customHeight="1" x14ac:dyDescent="0.2">
      <c r="A21" s="20">
        <v>14</v>
      </c>
      <c r="B21" s="16"/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6" t="e">
        <f>'JEUDI 22 JANV'!W21+'VEND 23 JANV'!W21+'SAM 24 JANV'!W21+'LUND 26 JANV'!W21+'MAR 27 JANV'!W21+#REF!</f>
        <v>#REF!</v>
      </c>
      <c r="X21" s="7" t="e">
        <f>'JEUDI 22 JANV'!X21+'VEND 23 JANV'!X21+'SAM 24 JANV'!X21+'LUND 26 JANV'!X21+'MAR 27 JANV'!X21+#REF!</f>
        <v>#REF!</v>
      </c>
      <c r="Y21" s="7" t="e">
        <f>'JEUDI 22 JANV'!Y21+'VEND 23 JANV'!Y21+'SAM 24 JANV'!Y21+'LUND 26 JANV'!Y21+'MAR 27 JANV'!Y21+#REF!</f>
        <v>#REF!</v>
      </c>
      <c r="Z21" s="7" t="e">
        <f>'JEUDI 22 JANV'!Z21+'VEND 23 JANV'!Z21+'SAM 24 JANV'!Z21+'LUND 26 JANV'!Z21+'MAR 27 JANV'!Z21+#REF!</f>
        <v>#REF!</v>
      </c>
      <c r="AA21" s="8" t="e">
        <f>'JEUDI 22 JANV'!AA21+'VEND 23 JANV'!AA21+'SAM 24 JANV'!AA21+'LUND 26 JANV'!AA21+'MAR 27 JANV'!AA21+#REF!</f>
        <v>#REF!</v>
      </c>
      <c r="AB21" s="10" t="e">
        <f>'JEUDI 22 JANV'!AB21+'VEND 23 JANV'!AB21+'SAM 24 JANV'!AB21+'LUND 26 JANV'!AB21+'MAR 27 JANV'!AB21+#REF!</f>
        <v>#REF!</v>
      </c>
      <c r="AC21" s="10" t="e">
        <f>'JEUDI 22 JANV'!AC21+'VEND 23 JANV'!AC21+'SAM 24 JANV'!AC21+'LUND 26 JANV'!AC21+'MAR 27 JANV'!AC21+#REF!</f>
        <v>#REF!</v>
      </c>
      <c r="AD21" s="10" t="e">
        <f>'JEUDI 22 JANV'!AD21+'VEND 23 JANV'!AD21+'SAM 24 JANV'!AD21+'LUND 26 JANV'!AD21+'MAR 27 JANV'!AD21+#REF!</f>
        <v>#REF!</v>
      </c>
      <c r="AE21" s="10" t="e">
        <f>'JEUDI 22 JANV'!AE21+'VEND 23 JANV'!AE21+'SAM 24 JANV'!AE21+'LUND 26 JANV'!AE21+'MAR 27 JANV'!AE21+#REF!</f>
        <v>#REF!</v>
      </c>
      <c r="AF21" s="10" t="e">
        <f>'JEUDI 22 JANV'!AF21+'VEND 23 JANV'!AF21+'SAM 24 JANV'!AF21+'LUND 26 JANV'!AF21+'MAR 27 JANV'!AF21+#REF!</f>
        <v>#REF!</v>
      </c>
      <c r="AG21" s="6" t="e">
        <f>'JEUDI 22 JANV'!AG21+'VEND 23 JANV'!AG21+'SAM 24 JANV'!AG21+'LUND 26 JANV'!AG21+'MAR 27 JANV'!AG21+#REF!</f>
        <v>#REF!</v>
      </c>
      <c r="AH21" s="7" t="e">
        <f>'JEUDI 22 JANV'!AH21+'VEND 23 JANV'!AH21+'SAM 24 JANV'!AH21+'LUND 26 JANV'!AH21+'MAR 27 JANV'!AH21+#REF!</f>
        <v>#REF!</v>
      </c>
      <c r="AI21" s="7" t="e">
        <f>'JEUDI 22 JANV'!AI21+'VEND 23 JANV'!AI21+'SAM 24 JANV'!AI21+'LUND 26 JANV'!AI21+'MAR 27 JANV'!AI21+#REF!</f>
        <v>#REF!</v>
      </c>
      <c r="AJ21" s="7" t="e">
        <f>'JEUDI 22 JANV'!AJ21+'VEND 23 JANV'!AJ21+'SAM 24 JANV'!AJ21+'LUND 26 JANV'!AJ21+'MAR 27 JANV'!AJ21+#REF!</f>
        <v>#REF!</v>
      </c>
      <c r="AK21" s="8" t="e">
        <f>'JEUDI 22 JANV'!AK21+'VEND 23 JANV'!AK21+'SAM 24 JANV'!AK21+'LUND 26 JANV'!AK21+'MAR 27 JANV'!AK21+#REF!</f>
        <v>#REF!</v>
      </c>
      <c r="AL21" s="9" t="e">
        <f>'JEUDI 22 JANV'!AL21+'VEND 23 JANV'!AL21+'SAM 24 JANV'!AL21+'LUND 26 JANV'!AL21+'MAR 27 JANV'!AL21+#REF!</f>
        <v>#REF!</v>
      </c>
      <c r="AM21" s="10" t="e">
        <f>'JEUDI 22 JANV'!AM21+'VEND 23 JANV'!AM21+'SAM 24 JANV'!AM21+'LUND 26 JANV'!AM21+'MAR 27 JANV'!AM21+#REF!</f>
        <v>#REF!</v>
      </c>
      <c r="AN21" s="10" t="e">
        <f>'JEUDI 22 JANV'!AN21+'VEND 23 JANV'!AN21+'SAM 24 JANV'!AN21+'LUND 26 JANV'!AN21+'MAR 27 JANV'!AN21+#REF!</f>
        <v>#REF!</v>
      </c>
      <c r="AO21" s="10" t="e">
        <f>'JEUDI 22 JANV'!AO21+'VEND 23 JANV'!AO21+'SAM 24 JANV'!AO21+'LUND 26 JANV'!AO21+'MAR 27 JANV'!AO21+#REF!</f>
        <v>#REF!</v>
      </c>
      <c r="AP21" s="11" t="e">
        <f>'JEUDI 22 JANV'!AP21+'VEND 23 JANV'!AP21+'SAM 24 JANV'!AP21+'LUND 26 JANV'!AP21+'MAR 27 JANV'!AP21+#REF!</f>
        <v>#REF!</v>
      </c>
      <c r="AQ21" s="91" t="e">
        <f>'JEUDI 22 JANV'!AQ21+'VEND 23 JANV'!AQ21+'SAM 24 JANV'!AQ21+'LUND 26 JANV'!AQ21+'MAR 27 JANV'!AQ21+#REF!</f>
        <v>#REF!</v>
      </c>
      <c r="AR21" s="10" t="e">
        <f>'JEUDI 22 JANV'!AR21+'VEND 23 JANV'!AR21+'SAM 24 JANV'!AR21+'LUND 26 JANV'!AR21+'MAR 27 JANV'!AR21+#REF!</f>
        <v>#REF!</v>
      </c>
      <c r="AS21" s="10" t="e">
        <f>'JEUDI 22 JANV'!AS21+'VEND 23 JANV'!AS21+'SAM 24 JANV'!AS21+'LUND 26 JANV'!AS21+'MAR 27 JANV'!AS21+#REF!</f>
        <v>#REF!</v>
      </c>
      <c r="AT21" s="10" t="e">
        <f>'JEUDI 22 JANV'!AT21+'VEND 23 JANV'!AT21+'SAM 24 JANV'!AT21+'LUND 26 JANV'!AT21+'MAR 27 JANV'!AT21+#REF!</f>
        <v>#REF!</v>
      </c>
      <c r="AU21" s="10" t="e">
        <f>'JEUDI 22 JANV'!AU21+'VEND 23 JANV'!AU21+'SAM 24 JANV'!AU21+'LUND 26 JANV'!AU21+'MAR 27 JANV'!AU21+#REF!</f>
        <v>#REF!</v>
      </c>
      <c r="AV21" s="6" t="e">
        <f>'JEUDI 22 JANV'!AV21+'VEND 23 JANV'!AV21+'SAM 24 JANV'!AV21+'LUND 26 JANV'!AV21+'MAR 27 JANV'!AV21+#REF!</f>
        <v>#REF!</v>
      </c>
      <c r="AW21" s="7" t="e">
        <f>'JEUDI 22 JANV'!AW21+'VEND 23 JANV'!AW21+'SAM 24 JANV'!AW21+'LUND 26 JANV'!AW21+'MAR 27 JANV'!AW21+#REF!</f>
        <v>#REF!</v>
      </c>
      <c r="AX21" s="7" t="e">
        <f>'JEUDI 22 JANV'!AX21+'VEND 23 JANV'!AX21+'SAM 24 JANV'!AX21+'LUND 26 JANV'!AX21+'MAR 27 JANV'!AX21+#REF!</f>
        <v>#REF!</v>
      </c>
      <c r="AY21" s="7" t="e">
        <f>'JEUDI 22 JANV'!AY21+'VEND 23 JANV'!AY21+'SAM 24 JANV'!AY21+'LUND 26 JANV'!AY21+'MAR 27 JANV'!AY21+#REF!</f>
        <v>#REF!</v>
      </c>
      <c r="AZ21" s="8" t="e">
        <f>'JEUDI 22 JANV'!AZ21+'VEND 23 JANV'!AZ21+'SAM 24 JANV'!AZ21+'LUND 26 JANV'!AZ21+'MAR 27 JANV'!AZ21+#REF!</f>
        <v>#REF!</v>
      </c>
      <c r="BA21" s="6" t="e">
        <f>'JEUDI 22 JANV'!BA21+'VEND 23 JANV'!BA21+'SAM 24 JANV'!BA21+'LUND 26 JANV'!BA21+'MAR 27 JANV'!BA21+#REF!</f>
        <v>#REF!</v>
      </c>
      <c r="BB21" s="7" t="e">
        <f>'JEUDI 22 JANV'!BB21+'VEND 23 JANV'!BB21+'SAM 24 JANV'!BB21+'LUND 26 JANV'!BB21+'MAR 27 JANV'!BB21+#REF!</f>
        <v>#REF!</v>
      </c>
      <c r="BC21" s="8" t="e">
        <f>'JEUDI 22 JANV'!BC21+'VEND 23 JANV'!BC21+'SAM 24 JANV'!BC21+'LUND 26 JANV'!BC21+'MAR 27 JANV'!BC21+#REF!</f>
        <v>#REF!</v>
      </c>
      <c r="BD21" s="18"/>
      <c r="BE21" s="12"/>
    </row>
    <row r="22" spans="1:57" ht="31.9" customHeight="1" x14ac:dyDescent="0.2">
      <c r="A22" s="20">
        <v>15</v>
      </c>
      <c r="B22" s="16"/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6" t="e">
        <f>'JEUDI 22 JANV'!W22+'VEND 23 JANV'!W22+'SAM 24 JANV'!W22+'LUND 26 JANV'!W22+'MAR 27 JANV'!W22+#REF!</f>
        <v>#REF!</v>
      </c>
      <c r="X22" s="7" t="e">
        <f>'JEUDI 22 JANV'!X22+'VEND 23 JANV'!X22+'SAM 24 JANV'!X22+'LUND 26 JANV'!X22+'MAR 27 JANV'!X22+#REF!</f>
        <v>#REF!</v>
      </c>
      <c r="Y22" s="7" t="e">
        <f>'JEUDI 22 JANV'!Y22+'VEND 23 JANV'!Y22+'SAM 24 JANV'!Y22+'LUND 26 JANV'!Y22+'MAR 27 JANV'!Y22+#REF!</f>
        <v>#REF!</v>
      </c>
      <c r="Z22" s="7" t="e">
        <f>'JEUDI 22 JANV'!Z22+'VEND 23 JANV'!Z22+'SAM 24 JANV'!Z22+'LUND 26 JANV'!Z22+'MAR 27 JANV'!Z22+#REF!</f>
        <v>#REF!</v>
      </c>
      <c r="AA22" s="8" t="e">
        <f>'JEUDI 22 JANV'!AA22+'VEND 23 JANV'!AA22+'SAM 24 JANV'!AA22+'LUND 26 JANV'!AA22+'MAR 27 JANV'!AA22+#REF!</f>
        <v>#REF!</v>
      </c>
      <c r="AB22" s="10" t="e">
        <f>'JEUDI 22 JANV'!AB22+'VEND 23 JANV'!AB22+'SAM 24 JANV'!AB22+'LUND 26 JANV'!AB22+'MAR 27 JANV'!AB22+#REF!</f>
        <v>#REF!</v>
      </c>
      <c r="AC22" s="10" t="e">
        <f>'JEUDI 22 JANV'!AC22+'VEND 23 JANV'!AC22+'SAM 24 JANV'!AC22+'LUND 26 JANV'!AC22+'MAR 27 JANV'!AC22+#REF!</f>
        <v>#REF!</v>
      </c>
      <c r="AD22" s="10" t="e">
        <f>'JEUDI 22 JANV'!AD22+'VEND 23 JANV'!AD22+'SAM 24 JANV'!AD22+'LUND 26 JANV'!AD22+'MAR 27 JANV'!AD22+#REF!</f>
        <v>#REF!</v>
      </c>
      <c r="AE22" s="10" t="e">
        <f>'JEUDI 22 JANV'!AE22+'VEND 23 JANV'!AE22+'SAM 24 JANV'!AE22+'LUND 26 JANV'!AE22+'MAR 27 JANV'!AE22+#REF!</f>
        <v>#REF!</v>
      </c>
      <c r="AF22" s="10" t="e">
        <f>'JEUDI 22 JANV'!AF22+'VEND 23 JANV'!AF22+'SAM 24 JANV'!AF22+'LUND 26 JANV'!AF22+'MAR 27 JANV'!AF22+#REF!</f>
        <v>#REF!</v>
      </c>
      <c r="AG22" s="6" t="e">
        <f>'JEUDI 22 JANV'!AG22+'VEND 23 JANV'!AG22+'SAM 24 JANV'!AG22+'LUND 26 JANV'!AG22+'MAR 27 JANV'!AG22+#REF!</f>
        <v>#REF!</v>
      </c>
      <c r="AH22" s="7" t="e">
        <f>'JEUDI 22 JANV'!AH22+'VEND 23 JANV'!AH22+'SAM 24 JANV'!AH22+'LUND 26 JANV'!AH22+'MAR 27 JANV'!AH22+#REF!</f>
        <v>#REF!</v>
      </c>
      <c r="AI22" s="7" t="e">
        <f>'JEUDI 22 JANV'!AI22+'VEND 23 JANV'!AI22+'SAM 24 JANV'!AI22+'LUND 26 JANV'!AI22+'MAR 27 JANV'!AI22+#REF!</f>
        <v>#REF!</v>
      </c>
      <c r="AJ22" s="7" t="e">
        <f>'JEUDI 22 JANV'!AJ22+'VEND 23 JANV'!AJ22+'SAM 24 JANV'!AJ22+'LUND 26 JANV'!AJ22+'MAR 27 JANV'!AJ22+#REF!</f>
        <v>#REF!</v>
      </c>
      <c r="AK22" s="8" t="e">
        <f>'JEUDI 22 JANV'!AK22+'VEND 23 JANV'!AK22+'SAM 24 JANV'!AK22+'LUND 26 JANV'!AK22+'MAR 27 JANV'!AK22+#REF!</f>
        <v>#REF!</v>
      </c>
      <c r="AL22" s="9" t="e">
        <f>'JEUDI 22 JANV'!AL22+'VEND 23 JANV'!AL22+'SAM 24 JANV'!AL22+'LUND 26 JANV'!AL22+'MAR 27 JANV'!AL22+#REF!</f>
        <v>#REF!</v>
      </c>
      <c r="AM22" s="10" t="e">
        <f>'JEUDI 22 JANV'!AM22+'VEND 23 JANV'!AM22+'SAM 24 JANV'!AM22+'LUND 26 JANV'!AM22+'MAR 27 JANV'!AM22+#REF!</f>
        <v>#REF!</v>
      </c>
      <c r="AN22" s="10" t="e">
        <f>'JEUDI 22 JANV'!AN22+'VEND 23 JANV'!AN22+'SAM 24 JANV'!AN22+'LUND 26 JANV'!AN22+'MAR 27 JANV'!AN22+#REF!</f>
        <v>#REF!</v>
      </c>
      <c r="AO22" s="10" t="e">
        <f>'JEUDI 22 JANV'!AO22+'VEND 23 JANV'!AO22+'SAM 24 JANV'!AO22+'LUND 26 JANV'!AO22+'MAR 27 JANV'!AO22+#REF!</f>
        <v>#REF!</v>
      </c>
      <c r="AP22" s="11" t="e">
        <f>'JEUDI 22 JANV'!AP22+'VEND 23 JANV'!AP22+'SAM 24 JANV'!AP22+'LUND 26 JANV'!AP22+'MAR 27 JANV'!AP22+#REF!</f>
        <v>#REF!</v>
      </c>
      <c r="AQ22" s="91" t="e">
        <f>'JEUDI 22 JANV'!AQ22+'VEND 23 JANV'!AQ22+'SAM 24 JANV'!AQ22+'LUND 26 JANV'!AQ22+'MAR 27 JANV'!AQ22+#REF!</f>
        <v>#REF!</v>
      </c>
      <c r="AR22" s="10" t="e">
        <f>'JEUDI 22 JANV'!AR22+'VEND 23 JANV'!AR22+'SAM 24 JANV'!AR22+'LUND 26 JANV'!AR22+'MAR 27 JANV'!AR22+#REF!</f>
        <v>#REF!</v>
      </c>
      <c r="AS22" s="10" t="e">
        <f>'JEUDI 22 JANV'!AS22+'VEND 23 JANV'!AS22+'SAM 24 JANV'!AS22+'LUND 26 JANV'!AS22+'MAR 27 JANV'!AS22+#REF!</f>
        <v>#REF!</v>
      </c>
      <c r="AT22" s="10" t="e">
        <f>'JEUDI 22 JANV'!AT22+'VEND 23 JANV'!AT22+'SAM 24 JANV'!AT22+'LUND 26 JANV'!AT22+'MAR 27 JANV'!AT22+#REF!</f>
        <v>#REF!</v>
      </c>
      <c r="AU22" s="10" t="e">
        <f>'JEUDI 22 JANV'!AU22+'VEND 23 JANV'!AU22+'SAM 24 JANV'!AU22+'LUND 26 JANV'!AU22+'MAR 27 JANV'!AU22+#REF!</f>
        <v>#REF!</v>
      </c>
      <c r="AV22" s="6" t="e">
        <f>'JEUDI 22 JANV'!AV22+'VEND 23 JANV'!AV22+'SAM 24 JANV'!AV22+'LUND 26 JANV'!AV22+'MAR 27 JANV'!AV22+#REF!</f>
        <v>#REF!</v>
      </c>
      <c r="AW22" s="7" t="e">
        <f>'JEUDI 22 JANV'!AW22+'VEND 23 JANV'!AW22+'SAM 24 JANV'!AW22+'LUND 26 JANV'!AW22+'MAR 27 JANV'!AW22+#REF!</f>
        <v>#REF!</v>
      </c>
      <c r="AX22" s="7" t="e">
        <f>'JEUDI 22 JANV'!AX22+'VEND 23 JANV'!AX22+'SAM 24 JANV'!AX22+'LUND 26 JANV'!AX22+'MAR 27 JANV'!AX22+#REF!</f>
        <v>#REF!</v>
      </c>
      <c r="AY22" s="7" t="e">
        <f>'JEUDI 22 JANV'!AY22+'VEND 23 JANV'!AY22+'SAM 24 JANV'!AY22+'LUND 26 JANV'!AY22+'MAR 27 JANV'!AY22+#REF!</f>
        <v>#REF!</v>
      </c>
      <c r="AZ22" s="8" t="e">
        <f>'JEUDI 22 JANV'!AZ22+'VEND 23 JANV'!AZ22+'SAM 24 JANV'!AZ22+'LUND 26 JANV'!AZ22+'MAR 27 JANV'!AZ22+#REF!</f>
        <v>#REF!</v>
      </c>
      <c r="BA22" s="6" t="e">
        <f>'JEUDI 22 JANV'!BA22+'VEND 23 JANV'!BA22+'SAM 24 JANV'!BA22+'LUND 26 JANV'!BA22+'MAR 27 JANV'!BA22+#REF!</f>
        <v>#REF!</v>
      </c>
      <c r="BB22" s="7" t="e">
        <f>'JEUDI 22 JANV'!BB22+'VEND 23 JANV'!BB22+'SAM 24 JANV'!BB22+'LUND 26 JANV'!BB22+'MAR 27 JANV'!BB22+#REF!</f>
        <v>#REF!</v>
      </c>
      <c r="BC22" s="8" t="e">
        <f>'JEUDI 22 JANV'!BC22+'VEND 23 JANV'!BC22+'SAM 24 JANV'!BC22+'LUND 26 JANV'!BC22+'MAR 27 JANV'!BC22+#REF!</f>
        <v>#REF!</v>
      </c>
      <c r="BD22" s="18"/>
      <c r="BE22" s="12"/>
    </row>
    <row r="23" spans="1:57" ht="31.9" customHeight="1" x14ac:dyDescent="0.2">
      <c r="A23" s="20">
        <v>16</v>
      </c>
      <c r="B23" s="16"/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6" t="e">
        <f>'JEUDI 22 JANV'!W23+'VEND 23 JANV'!W23+'SAM 24 JANV'!W23+'LUND 26 JANV'!W23+'MAR 27 JANV'!W23+#REF!</f>
        <v>#REF!</v>
      </c>
      <c r="X23" s="7" t="e">
        <f>'JEUDI 22 JANV'!X23+'VEND 23 JANV'!X23+'SAM 24 JANV'!X23+'LUND 26 JANV'!X23+'MAR 27 JANV'!X23+#REF!</f>
        <v>#REF!</v>
      </c>
      <c r="Y23" s="7" t="e">
        <f>'JEUDI 22 JANV'!Y23+'VEND 23 JANV'!Y23+'SAM 24 JANV'!Y23+'LUND 26 JANV'!Y23+'MAR 27 JANV'!Y23+#REF!</f>
        <v>#REF!</v>
      </c>
      <c r="Z23" s="7" t="e">
        <f>'JEUDI 22 JANV'!Z23+'VEND 23 JANV'!Z23+'SAM 24 JANV'!Z23+'LUND 26 JANV'!Z23+'MAR 27 JANV'!Z23+#REF!</f>
        <v>#REF!</v>
      </c>
      <c r="AA23" s="8" t="e">
        <f>'JEUDI 22 JANV'!AA23+'VEND 23 JANV'!AA23+'SAM 24 JANV'!AA23+'LUND 26 JANV'!AA23+'MAR 27 JANV'!AA23+#REF!</f>
        <v>#REF!</v>
      </c>
      <c r="AB23" s="10" t="e">
        <f>'JEUDI 22 JANV'!AB23+'VEND 23 JANV'!AB23+'SAM 24 JANV'!AB23+'LUND 26 JANV'!AB23+'MAR 27 JANV'!AB23+#REF!</f>
        <v>#REF!</v>
      </c>
      <c r="AC23" s="10" t="e">
        <f>'JEUDI 22 JANV'!AC23+'VEND 23 JANV'!AC23+'SAM 24 JANV'!AC23+'LUND 26 JANV'!AC23+'MAR 27 JANV'!AC23+#REF!</f>
        <v>#REF!</v>
      </c>
      <c r="AD23" s="10" t="e">
        <f>'JEUDI 22 JANV'!AD23+'VEND 23 JANV'!AD23+'SAM 24 JANV'!AD23+'LUND 26 JANV'!AD23+'MAR 27 JANV'!AD23+#REF!</f>
        <v>#REF!</v>
      </c>
      <c r="AE23" s="10" t="e">
        <f>'JEUDI 22 JANV'!AE23+'VEND 23 JANV'!AE23+'SAM 24 JANV'!AE23+'LUND 26 JANV'!AE23+'MAR 27 JANV'!AE23+#REF!</f>
        <v>#REF!</v>
      </c>
      <c r="AF23" s="10" t="e">
        <f>'JEUDI 22 JANV'!AF23+'VEND 23 JANV'!AF23+'SAM 24 JANV'!AF23+'LUND 26 JANV'!AF23+'MAR 27 JANV'!AF23+#REF!</f>
        <v>#REF!</v>
      </c>
      <c r="AG23" s="6" t="e">
        <f>'JEUDI 22 JANV'!AG23+'VEND 23 JANV'!AG23+'SAM 24 JANV'!AG23+'LUND 26 JANV'!AG23+'MAR 27 JANV'!AG23+#REF!</f>
        <v>#REF!</v>
      </c>
      <c r="AH23" s="7" t="e">
        <f>'JEUDI 22 JANV'!AH23+'VEND 23 JANV'!AH23+'SAM 24 JANV'!AH23+'LUND 26 JANV'!AH23+'MAR 27 JANV'!AH23+#REF!</f>
        <v>#REF!</v>
      </c>
      <c r="AI23" s="7" t="e">
        <f>'JEUDI 22 JANV'!AI23+'VEND 23 JANV'!AI23+'SAM 24 JANV'!AI23+'LUND 26 JANV'!AI23+'MAR 27 JANV'!AI23+#REF!</f>
        <v>#REF!</v>
      </c>
      <c r="AJ23" s="7" t="e">
        <f>'JEUDI 22 JANV'!AJ23+'VEND 23 JANV'!AJ23+'SAM 24 JANV'!AJ23+'LUND 26 JANV'!AJ23+'MAR 27 JANV'!AJ23+#REF!</f>
        <v>#REF!</v>
      </c>
      <c r="AK23" s="8" t="e">
        <f>'JEUDI 22 JANV'!AK23+'VEND 23 JANV'!AK23+'SAM 24 JANV'!AK23+'LUND 26 JANV'!AK23+'MAR 27 JANV'!AK23+#REF!</f>
        <v>#REF!</v>
      </c>
      <c r="AL23" s="9" t="e">
        <f>'JEUDI 22 JANV'!AL23+'VEND 23 JANV'!AL23+'SAM 24 JANV'!AL23+'LUND 26 JANV'!AL23+'MAR 27 JANV'!AL23+#REF!</f>
        <v>#REF!</v>
      </c>
      <c r="AM23" s="10" t="e">
        <f>'JEUDI 22 JANV'!AM23+'VEND 23 JANV'!AM23+'SAM 24 JANV'!AM23+'LUND 26 JANV'!AM23+'MAR 27 JANV'!AM23+#REF!</f>
        <v>#REF!</v>
      </c>
      <c r="AN23" s="10" t="e">
        <f>'JEUDI 22 JANV'!AN23+'VEND 23 JANV'!AN23+'SAM 24 JANV'!AN23+'LUND 26 JANV'!AN23+'MAR 27 JANV'!AN23+#REF!</f>
        <v>#REF!</v>
      </c>
      <c r="AO23" s="10" t="e">
        <f>'JEUDI 22 JANV'!AO23+'VEND 23 JANV'!AO23+'SAM 24 JANV'!AO23+'LUND 26 JANV'!AO23+'MAR 27 JANV'!AO23+#REF!</f>
        <v>#REF!</v>
      </c>
      <c r="AP23" s="11" t="e">
        <f>'JEUDI 22 JANV'!AP23+'VEND 23 JANV'!AP23+'SAM 24 JANV'!AP23+'LUND 26 JANV'!AP23+'MAR 27 JANV'!AP23+#REF!</f>
        <v>#REF!</v>
      </c>
      <c r="AQ23" s="91" t="e">
        <f>'JEUDI 22 JANV'!AQ23+'VEND 23 JANV'!AQ23+'SAM 24 JANV'!AQ23+'LUND 26 JANV'!AQ23+'MAR 27 JANV'!AQ23+#REF!</f>
        <v>#REF!</v>
      </c>
      <c r="AR23" s="10" t="e">
        <f>'JEUDI 22 JANV'!AR23+'VEND 23 JANV'!AR23+'SAM 24 JANV'!AR23+'LUND 26 JANV'!AR23+'MAR 27 JANV'!AR23+#REF!</f>
        <v>#REF!</v>
      </c>
      <c r="AS23" s="10" t="e">
        <f>'JEUDI 22 JANV'!AS23+'VEND 23 JANV'!AS23+'SAM 24 JANV'!AS23+'LUND 26 JANV'!AS23+'MAR 27 JANV'!AS23+#REF!</f>
        <v>#REF!</v>
      </c>
      <c r="AT23" s="10" t="e">
        <f>'JEUDI 22 JANV'!AT23+'VEND 23 JANV'!AT23+'SAM 24 JANV'!AT23+'LUND 26 JANV'!AT23+'MAR 27 JANV'!AT23+#REF!</f>
        <v>#REF!</v>
      </c>
      <c r="AU23" s="10" t="e">
        <f>'JEUDI 22 JANV'!AU23+'VEND 23 JANV'!AU23+'SAM 24 JANV'!AU23+'LUND 26 JANV'!AU23+'MAR 27 JANV'!AU23+#REF!</f>
        <v>#REF!</v>
      </c>
      <c r="AV23" s="6" t="e">
        <f>'JEUDI 22 JANV'!AV23+'VEND 23 JANV'!AV23+'SAM 24 JANV'!AV23+'LUND 26 JANV'!AV23+'MAR 27 JANV'!AV23+#REF!</f>
        <v>#REF!</v>
      </c>
      <c r="AW23" s="7" t="e">
        <f>'JEUDI 22 JANV'!AW23+'VEND 23 JANV'!AW23+'SAM 24 JANV'!AW23+'LUND 26 JANV'!AW23+'MAR 27 JANV'!AW23+#REF!</f>
        <v>#REF!</v>
      </c>
      <c r="AX23" s="7" t="e">
        <f>'JEUDI 22 JANV'!AX23+'VEND 23 JANV'!AX23+'SAM 24 JANV'!AX23+'LUND 26 JANV'!AX23+'MAR 27 JANV'!AX23+#REF!</f>
        <v>#REF!</v>
      </c>
      <c r="AY23" s="7" t="e">
        <f>'JEUDI 22 JANV'!AY23+'VEND 23 JANV'!AY23+'SAM 24 JANV'!AY23+'LUND 26 JANV'!AY23+'MAR 27 JANV'!AY23+#REF!</f>
        <v>#REF!</v>
      </c>
      <c r="AZ23" s="8" t="e">
        <f>'JEUDI 22 JANV'!AZ23+'VEND 23 JANV'!AZ23+'SAM 24 JANV'!AZ23+'LUND 26 JANV'!AZ23+'MAR 27 JANV'!AZ23+#REF!</f>
        <v>#REF!</v>
      </c>
      <c r="BA23" s="6" t="e">
        <f>'JEUDI 22 JANV'!BA23+'VEND 23 JANV'!BA23+'SAM 24 JANV'!BA23+'LUND 26 JANV'!BA23+'MAR 27 JANV'!BA23+#REF!</f>
        <v>#REF!</v>
      </c>
      <c r="BB23" s="7" t="e">
        <f>'JEUDI 22 JANV'!BB23+'VEND 23 JANV'!BB23+'SAM 24 JANV'!BB23+'LUND 26 JANV'!BB23+'MAR 27 JANV'!BB23+#REF!</f>
        <v>#REF!</v>
      </c>
      <c r="BC23" s="8" t="e">
        <f>'JEUDI 22 JANV'!BC23+'VEND 23 JANV'!BC23+'SAM 24 JANV'!BC23+'LUND 26 JANV'!BC23+'MAR 27 JANV'!BC23+#REF!</f>
        <v>#REF!</v>
      </c>
      <c r="BD23" s="18"/>
      <c r="BE23" s="12"/>
    </row>
    <row r="24" spans="1:57" ht="31.9" customHeight="1" x14ac:dyDescent="0.2">
      <c r="A24" s="20">
        <v>17</v>
      </c>
      <c r="B24" s="16"/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6" t="e">
        <f>'JEUDI 22 JANV'!W24+'VEND 23 JANV'!W24+'SAM 24 JANV'!W24+'LUND 26 JANV'!W24+'MAR 27 JANV'!W24+#REF!</f>
        <v>#REF!</v>
      </c>
      <c r="X24" s="7" t="e">
        <f>'JEUDI 22 JANV'!X24+'VEND 23 JANV'!X24+'SAM 24 JANV'!X24+'LUND 26 JANV'!X24+'MAR 27 JANV'!X24+#REF!</f>
        <v>#REF!</v>
      </c>
      <c r="Y24" s="7" t="e">
        <f>'JEUDI 22 JANV'!Y24+'VEND 23 JANV'!Y24+'SAM 24 JANV'!Y24+'LUND 26 JANV'!Y24+'MAR 27 JANV'!Y24+#REF!</f>
        <v>#REF!</v>
      </c>
      <c r="Z24" s="7" t="e">
        <f>'JEUDI 22 JANV'!Z24+'VEND 23 JANV'!Z24+'SAM 24 JANV'!Z24+'LUND 26 JANV'!Z24+'MAR 27 JANV'!Z24+#REF!</f>
        <v>#REF!</v>
      </c>
      <c r="AA24" s="8" t="e">
        <f>'JEUDI 22 JANV'!AA24+'VEND 23 JANV'!AA24+'SAM 24 JANV'!AA24+'LUND 26 JANV'!AA24+'MAR 27 JANV'!AA24+#REF!</f>
        <v>#REF!</v>
      </c>
      <c r="AB24" s="10" t="e">
        <f>'JEUDI 22 JANV'!AB24+'VEND 23 JANV'!AB24+'SAM 24 JANV'!AB24+'LUND 26 JANV'!AB24+'MAR 27 JANV'!AB24+#REF!</f>
        <v>#REF!</v>
      </c>
      <c r="AC24" s="10" t="e">
        <f>'JEUDI 22 JANV'!AC24+'VEND 23 JANV'!AC24+'SAM 24 JANV'!AC24+'LUND 26 JANV'!AC24+'MAR 27 JANV'!AC24+#REF!</f>
        <v>#REF!</v>
      </c>
      <c r="AD24" s="10" t="e">
        <f>'JEUDI 22 JANV'!AD24+'VEND 23 JANV'!AD24+'SAM 24 JANV'!AD24+'LUND 26 JANV'!AD24+'MAR 27 JANV'!AD24+#REF!</f>
        <v>#REF!</v>
      </c>
      <c r="AE24" s="10" t="e">
        <f>'JEUDI 22 JANV'!AE24+'VEND 23 JANV'!AE24+'SAM 24 JANV'!AE24+'LUND 26 JANV'!AE24+'MAR 27 JANV'!AE24+#REF!</f>
        <v>#REF!</v>
      </c>
      <c r="AF24" s="10" t="e">
        <f>'JEUDI 22 JANV'!AF24+'VEND 23 JANV'!AF24+'SAM 24 JANV'!AF24+'LUND 26 JANV'!AF24+'MAR 27 JANV'!AF24+#REF!</f>
        <v>#REF!</v>
      </c>
      <c r="AG24" s="6" t="e">
        <f>'JEUDI 22 JANV'!AG24+'VEND 23 JANV'!AG24+'SAM 24 JANV'!AG24+'LUND 26 JANV'!AG24+'MAR 27 JANV'!AG24+#REF!</f>
        <v>#REF!</v>
      </c>
      <c r="AH24" s="7" t="e">
        <f>'JEUDI 22 JANV'!AH24+'VEND 23 JANV'!AH24+'SAM 24 JANV'!AH24+'LUND 26 JANV'!AH24+'MAR 27 JANV'!AH24+#REF!</f>
        <v>#REF!</v>
      </c>
      <c r="AI24" s="7" t="e">
        <f>'JEUDI 22 JANV'!AI24+'VEND 23 JANV'!AI24+'SAM 24 JANV'!AI24+'LUND 26 JANV'!AI24+'MAR 27 JANV'!AI24+#REF!</f>
        <v>#REF!</v>
      </c>
      <c r="AJ24" s="7" t="e">
        <f>'JEUDI 22 JANV'!AJ24+'VEND 23 JANV'!AJ24+'SAM 24 JANV'!AJ24+'LUND 26 JANV'!AJ24+'MAR 27 JANV'!AJ24+#REF!</f>
        <v>#REF!</v>
      </c>
      <c r="AK24" s="8" t="e">
        <f>'JEUDI 22 JANV'!AK24+'VEND 23 JANV'!AK24+'SAM 24 JANV'!AK24+'LUND 26 JANV'!AK24+'MAR 27 JANV'!AK24+#REF!</f>
        <v>#REF!</v>
      </c>
      <c r="AL24" s="9" t="e">
        <f>'JEUDI 22 JANV'!AL24+'VEND 23 JANV'!AL24+'SAM 24 JANV'!AL24+'LUND 26 JANV'!AL24+'MAR 27 JANV'!AL24+#REF!</f>
        <v>#REF!</v>
      </c>
      <c r="AM24" s="10" t="e">
        <f>'JEUDI 22 JANV'!AM24+'VEND 23 JANV'!AM24+'SAM 24 JANV'!AM24+'LUND 26 JANV'!AM24+'MAR 27 JANV'!AM24+#REF!</f>
        <v>#REF!</v>
      </c>
      <c r="AN24" s="10" t="e">
        <f>'JEUDI 22 JANV'!AN24+'VEND 23 JANV'!AN24+'SAM 24 JANV'!AN24+'LUND 26 JANV'!AN24+'MAR 27 JANV'!AN24+#REF!</f>
        <v>#REF!</v>
      </c>
      <c r="AO24" s="10" t="e">
        <f>'JEUDI 22 JANV'!AO24+'VEND 23 JANV'!AO24+'SAM 24 JANV'!AO24+'LUND 26 JANV'!AO24+'MAR 27 JANV'!AO24+#REF!</f>
        <v>#REF!</v>
      </c>
      <c r="AP24" s="11" t="e">
        <f>'JEUDI 22 JANV'!AP24+'VEND 23 JANV'!AP24+'SAM 24 JANV'!AP24+'LUND 26 JANV'!AP24+'MAR 27 JANV'!AP24+#REF!</f>
        <v>#REF!</v>
      </c>
      <c r="AQ24" s="91" t="e">
        <f>'JEUDI 22 JANV'!AQ24+'VEND 23 JANV'!AQ24+'SAM 24 JANV'!AQ24+'LUND 26 JANV'!AQ24+'MAR 27 JANV'!AQ24+#REF!</f>
        <v>#REF!</v>
      </c>
      <c r="AR24" s="10" t="e">
        <f>'JEUDI 22 JANV'!AR24+'VEND 23 JANV'!AR24+'SAM 24 JANV'!AR24+'LUND 26 JANV'!AR24+'MAR 27 JANV'!AR24+#REF!</f>
        <v>#REF!</v>
      </c>
      <c r="AS24" s="10" t="e">
        <f>'JEUDI 22 JANV'!AS24+'VEND 23 JANV'!AS24+'SAM 24 JANV'!AS24+'LUND 26 JANV'!AS24+'MAR 27 JANV'!AS24+#REF!</f>
        <v>#REF!</v>
      </c>
      <c r="AT24" s="10" t="e">
        <f>'JEUDI 22 JANV'!AT24+'VEND 23 JANV'!AT24+'SAM 24 JANV'!AT24+'LUND 26 JANV'!AT24+'MAR 27 JANV'!AT24+#REF!</f>
        <v>#REF!</v>
      </c>
      <c r="AU24" s="10" t="e">
        <f>'JEUDI 22 JANV'!AU24+'VEND 23 JANV'!AU24+'SAM 24 JANV'!AU24+'LUND 26 JANV'!AU24+'MAR 27 JANV'!AU24+#REF!</f>
        <v>#REF!</v>
      </c>
      <c r="AV24" s="6" t="e">
        <f>'JEUDI 22 JANV'!AV24+'VEND 23 JANV'!AV24+'SAM 24 JANV'!AV24+'LUND 26 JANV'!AV24+'MAR 27 JANV'!AV24+#REF!</f>
        <v>#REF!</v>
      </c>
      <c r="AW24" s="7" t="e">
        <f>'JEUDI 22 JANV'!AW24+'VEND 23 JANV'!AW24+'SAM 24 JANV'!AW24+'LUND 26 JANV'!AW24+'MAR 27 JANV'!AW24+#REF!</f>
        <v>#REF!</v>
      </c>
      <c r="AX24" s="7" t="e">
        <f>'JEUDI 22 JANV'!AX24+'VEND 23 JANV'!AX24+'SAM 24 JANV'!AX24+'LUND 26 JANV'!AX24+'MAR 27 JANV'!AX24+#REF!</f>
        <v>#REF!</v>
      </c>
      <c r="AY24" s="7" t="e">
        <f>'JEUDI 22 JANV'!AY24+'VEND 23 JANV'!AY24+'SAM 24 JANV'!AY24+'LUND 26 JANV'!AY24+'MAR 27 JANV'!AY24+#REF!</f>
        <v>#REF!</v>
      </c>
      <c r="AZ24" s="8" t="e">
        <f>'JEUDI 22 JANV'!AZ24+'VEND 23 JANV'!AZ24+'SAM 24 JANV'!AZ24+'LUND 26 JANV'!AZ24+'MAR 27 JANV'!AZ24+#REF!</f>
        <v>#REF!</v>
      </c>
      <c r="BA24" s="6" t="e">
        <f>'JEUDI 22 JANV'!BA24+'VEND 23 JANV'!BA24+'SAM 24 JANV'!BA24+'LUND 26 JANV'!BA24+'MAR 27 JANV'!BA24+#REF!</f>
        <v>#REF!</v>
      </c>
      <c r="BB24" s="7" t="e">
        <f>'JEUDI 22 JANV'!BB24+'VEND 23 JANV'!BB24+'SAM 24 JANV'!BB24+'LUND 26 JANV'!BB24+'MAR 27 JANV'!BB24+#REF!</f>
        <v>#REF!</v>
      </c>
      <c r="BC24" s="8" t="e">
        <f>'JEUDI 22 JANV'!BC24+'VEND 23 JANV'!BC24+'SAM 24 JANV'!BC24+'LUND 26 JANV'!BC24+'MAR 27 JANV'!BC24+#REF!</f>
        <v>#REF!</v>
      </c>
      <c r="BD24" s="18"/>
      <c r="BE24" s="12"/>
    </row>
    <row r="25" spans="1:57" ht="31.9" customHeight="1" x14ac:dyDescent="0.2">
      <c r="A25" s="20">
        <v>18</v>
      </c>
      <c r="B25" s="16"/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6" t="e">
        <f>'JEUDI 22 JANV'!W25+'VEND 23 JANV'!W25+'SAM 24 JANV'!W25+'LUND 26 JANV'!W25+'MAR 27 JANV'!W25+#REF!</f>
        <v>#REF!</v>
      </c>
      <c r="X25" s="7" t="e">
        <f>'JEUDI 22 JANV'!X25+'VEND 23 JANV'!X25+'SAM 24 JANV'!X25+'LUND 26 JANV'!X25+'MAR 27 JANV'!X25+#REF!</f>
        <v>#REF!</v>
      </c>
      <c r="Y25" s="7" t="e">
        <f>'JEUDI 22 JANV'!Y25+'VEND 23 JANV'!Y25+'SAM 24 JANV'!Y25+'LUND 26 JANV'!Y25+'MAR 27 JANV'!Y25+#REF!</f>
        <v>#REF!</v>
      </c>
      <c r="Z25" s="7" t="e">
        <f>'JEUDI 22 JANV'!Z25+'VEND 23 JANV'!Z25+'SAM 24 JANV'!Z25+'LUND 26 JANV'!Z25+'MAR 27 JANV'!Z25+#REF!</f>
        <v>#REF!</v>
      </c>
      <c r="AA25" s="8" t="e">
        <f>'JEUDI 22 JANV'!AA25+'VEND 23 JANV'!AA25+'SAM 24 JANV'!AA25+'LUND 26 JANV'!AA25+'MAR 27 JANV'!AA25+#REF!</f>
        <v>#REF!</v>
      </c>
      <c r="AB25" s="10" t="e">
        <f>'JEUDI 22 JANV'!AB25+'VEND 23 JANV'!AB25+'SAM 24 JANV'!AB25+'LUND 26 JANV'!AB25+'MAR 27 JANV'!AB25+#REF!</f>
        <v>#REF!</v>
      </c>
      <c r="AC25" s="10" t="e">
        <f>'JEUDI 22 JANV'!AC25+'VEND 23 JANV'!AC25+'SAM 24 JANV'!AC25+'LUND 26 JANV'!AC25+'MAR 27 JANV'!AC25+#REF!</f>
        <v>#REF!</v>
      </c>
      <c r="AD25" s="10" t="e">
        <f>'JEUDI 22 JANV'!AD25+'VEND 23 JANV'!AD25+'SAM 24 JANV'!AD25+'LUND 26 JANV'!AD25+'MAR 27 JANV'!AD25+#REF!</f>
        <v>#REF!</v>
      </c>
      <c r="AE25" s="10" t="e">
        <f>'JEUDI 22 JANV'!AE25+'VEND 23 JANV'!AE25+'SAM 24 JANV'!AE25+'LUND 26 JANV'!AE25+'MAR 27 JANV'!AE25+#REF!</f>
        <v>#REF!</v>
      </c>
      <c r="AF25" s="10" t="e">
        <f>'JEUDI 22 JANV'!AF25+'VEND 23 JANV'!AF25+'SAM 24 JANV'!AF25+'LUND 26 JANV'!AF25+'MAR 27 JANV'!AF25+#REF!</f>
        <v>#REF!</v>
      </c>
      <c r="AG25" s="6" t="e">
        <f>'JEUDI 22 JANV'!AG25+'VEND 23 JANV'!AG25+'SAM 24 JANV'!AG25+'LUND 26 JANV'!AG25+'MAR 27 JANV'!AG25+#REF!</f>
        <v>#REF!</v>
      </c>
      <c r="AH25" s="7" t="e">
        <f>'JEUDI 22 JANV'!AH25+'VEND 23 JANV'!AH25+'SAM 24 JANV'!AH25+'LUND 26 JANV'!AH25+'MAR 27 JANV'!AH25+#REF!</f>
        <v>#REF!</v>
      </c>
      <c r="AI25" s="7" t="e">
        <f>'JEUDI 22 JANV'!AI25+'VEND 23 JANV'!AI25+'SAM 24 JANV'!AI25+'LUND 26 JANV'!AI25+'MAR 27 JANV'!AI25+#REF!</f>
        <v>#REF!</v>
      </c>
      <c r="AJ25" s="7" t="e">
        <f>'JEUDI 22 JANV'!AJ25+'VEND 23 JANV'!AJ25+'SAM 24 JANV'!AJ25+'LUND 26 JANV'!AJ25+'MAR 27 JANV'!AJ25+#REF!</f>
        <v>#REF!</v>
      </c>
      <c r="AK25" s="8" t="e">
        <f>'JEUDI 22 JANV'!AK25+'VEND 23 JANV'!AK25+'SAM 24 JANV'!AK25+'LUND 26 JANV'!AK25+'MAR 27 JANV'!AK25+#REF!</f>
        <v>#REF!</v>
      </c>
      <c r="AL25" s="9" t="e">
        <f>'JEUDI 22 JANV'!AL25+'VEND 23 JANV'!AL25+'SAM 24 JANV'!AL25+'LUND 26 JANV'!AL25+'MAR 27 JANV'!AL25+#REF!</f>
        <v>#REF!</v>
      </c>
      <c r="AM25" s="10" t="e">
        <f>'JEUDI 22 JANV'!AM25+'VEND 23 JANV'!AM25+'SAM 24 JANV'!AM25+'LUND 26 JANV'!AM25+'MAR 27 JANV'!AM25+#REF!</f>
        <v>#REF!</v>
      </c>
      <c r="AN25" s="10" t="e">
        <f>'JEUDI 22 JANV'!AN25+'VEND 23 JANV'!AN25+'SAM 24 JANV'!AN25+'LUND 26 JANV'!AN25+'MAR 27 JANV'!AN25+#REF!</f>
        <v>#REF!</v>
      </c>
      <c r="AO25" s="10" t="e">
        <f>'JEUDI 22 JANV'!AO25+'VEND 23 JANV'!AO25+'SAM 24 JANV'!AO25+'LUND 26 JANV'!AO25+'MAR 27 JANV'!AO25+#REF!</f>
        <v>#REF!</v>
      </c>
      <c r="AP25" s="11" t="e">
        <f>'JEUDI 22 JANV'!AP25+'VEND 23 JANV'!AP25+'SAM 24 JANV'!AP25+'LUND 26 JANV'!AP25+'MAR 27 JANV'!AP25+#REF!</f>
        <v>#REF!</v>
      </c>
      <c r="AQ25" s="91" t="e">
        <f>'JEUDI 22 JANV'!AQ25+'VEND 23 JANV'!AQ25+'SAM 24 JANV'!AQ25+'LUND 26 JANV'!AQ25+'MAR 27 JANV'!AQ25+#REF!</f>
        <v>#REF!</v>
      </c>
      <c r="AR25" s="10" t="e">
        <f>'JEUDI 22 JANV'!AR25+'VEND 23 JANV'!AR25+'SAM 24 JANV'!AR25+'LUND 26 JANV'!AR25+'MAR 27 JANV'!AR25+#REF!</f>
        <v>#REF!</v>
      </c>
      <c r="AS25" s="10" t="e">
        <f>'JEUDI 22 JANV'!AS25+'VEND 23 JANV'!AS25+'SAM 24 JANV'!AS25+'LUND 26 JANV'!AS25+'MAR 27 JANV'!AS25+#REF!</f>
        <v>#REF!</v>
      </c>
      <c r="AT25" s="10" t="e">
        <f>'JEUDI 22 JANV'!AT25+'VEND 23 JANV'!AT25+'SAM 24 JANV'!AT25+'LUND 26 JANV'!AT25+'MAR 27 JANV'!AT25+#REF!</f>
        <v>#REF!</v>
      </c>
      <c r="AU25" s="10" t="e">
        <f>'JEUDI 22 JANV'!AU25+'VEND 23 JANV'!AU25+'SAM 24 JANV'!AU25+'LUND 26 JANV'!AU25+'MAR 27 JANV'!AU25+#REF!</f>
        <v>#REF!</v>
      </c>
      <c r="AV25" s="6" t="e">
        <f>'JEUDI 22 JANV'!AV25+'VEND 23 JANV'!AV25+'SAM 24 JANV'!AV25+'LUND 26 JANV'!AV25+'MAR 27 JANV'!AV25+#REF!</f>
        <v>#REF!</v>
      </c>
      <c r="AW25" s="7" t="e">
        <f>'JEUDI 22 JANV'!AW25+'VEND 23 JANV'!AW25+'SAM 24 JANV'!AW25+'LUND 26 JANV'!AW25+'MAR 27 JANV'!AW25+#REF!</f>
        <v>#REF!</v>
      </c>
      <c r="AX25" s="7" t="e">
        <f>'JEUDI 22 JANV'!AX25+'VEND 23 JANV'!AX25+'SAM 24 JANV'!AX25+'LUND 26 JANV'!AX25+'MAR 27 JANV'!AX25+#REF!</f>
        <v>#REF!</v>
      </c>
      <c r="AY25" s="7" t="e">
        <f>'JEUDI 22 JANV'!AY25+'VEND 23 JANV'!AY25+'SAM 24 JANV'!AY25+'LUND 26 JANV'!AY25+'MAR 27 JANV'!AY25+#REF!</f>
        <v>#REF!</v>
      </c>
      <c r="AZ25" s="8" t="e">
        <f>'JEUDI 22 JANV'!AZ25+'VEND 23 JANV'!AZ25+'SAM 24 JANV'!AZ25+'LUND 26 JANV'!AZ25+'MAR 27 JANV'!AZ25+#REF!</f>
        <v>#REF!</v>
      </c>
      <c r="BA25" s="6" t="e">
        <f>'JEUDI 22 JANV'!BA25+'VEND 23 JANV'!BA25+'SAM 24 JANV'!BA25+'LUND 26 JANV'!BA25+'MAR 27 JANV'!BA25+#REF!</f>
        <v>#REF!</v>
      </c>
      <c r="BB25" s="7" t="e">
        <f>'JEUDI 22 JANV'!BB25+'VEND 23 JANV'!BB25+'SAM 24 JANV'!BB25+'LUND 26 JANV'!BB25+'MAR 27 JANV'!BB25+#REF!</f>
        <v>#REF!</v>
      </c>
      <c r="BC25" s="8" t="e">
        <f>'JEUDI 22 JANV'!BC25+'VEND 23 JANV'!BC25+'SAM 24 JANV'!BC25+'LUND 26 JANV'!BC25+'MAR 27 JANV'!BC25+#REF!</f>
        <v>#REF!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6" t="e">
        <f>'JEUDI 22 JANV'!W26+'VEND 23 JANV'!W26+'SAM 24 JANV'!W26+'LUND 26 JANV'!W26+'MAR 27 JANV'!W26+#REF!</f>
        <v>#REF!</v>
      </c>
      <c r="X26" s="7" t="e">
        <f>'JEUDI 22 JANV'!X26+'VEND 23 JANV'!X26+'SAM 24 JANV'!X26+'LUND 26 JANV'!X26+'MAR 27 JANV'!X26+#REF!</f>
        <v>#REF!</v>
      </c>
      <c r="Y26" s="7" t="e">
        <f>'JEUDI 22 JANV'!Y26+'VEND 23 JANV'!Y26+'SAM 24 JANV'!Y26+'LUND 26 JANV'!Y26+'MAR 27 JANV'!Y26+#REF!</f>
        <v>#REF!</v>
      </c>
      <c r="Z26" s="7" t="e">
        <f>'JEUDI 22 JANV'!Z26+'VEND 23 JANV'!Z26+'SAM 24 JANV'!Z26+'LUND 26 JANV'!Z26+'MAR 27 JANV'!Z26+#REF!</f>
        <v>#REF!</v>
      </c>
      <c r="AA26" s="8" t="e">
        <f>'JEUDI 22 JANV'!AA26+'VEND 23 JANV'!AA26+'SAM 24 JANV'!AA26+'LUND 26 JANV'!AA26+'MAR 27 JANV'!AA26+#REF!</f>
        <v>#REF!</v>
      </c>
      <c r="AB26" s="10" t="e">
        <f>'JEUDI 22 JANV'!AB26+'VEND 23 JANV'!AB26+'SAM 24 JANV'!AB26+'LUND 26 JANV'!AB26+'MAR 27 JANV'!AB26+#REF!</f>
        <v>#REF!</v>
      </c>
      <c r="AC26" s="10" t="e">
        <f>'JEUDI 22 JANV'!AC26+'VEND 23 JANV'!AC26+'SAM 24 JANV'!AC26+'LUND 26 JANV'!AC26+'MAR 27 JANV'!AC26+#REF!</f>
        <v>#REF!</v>
      </c>
      <c r="AD26" s="10" t="e">
        <f>'JEUDI 22 JANV'!AD26+'VEND 23 JANV'!AD26+'SAM 24 JANV'!AD26+'LUND 26 JANV'!AD26+'MAR 27 JANV'!AD26+#REF!</f>
        <v>#REF!</v>
      </c>
      <c r="AE26" s="10" t="e">
        <f>'JEUDI 22 JANV'!AE26+'VEND 23 JANV'!AE26+'SAM 24 JANV'!AE26+'LUND 26 JANV'!AE26+'MAR 27 JANV'!AE26+#REF!</f>
        <v>#REF!</v>
      </c>
      <c r="AF26" s="10" t="e">
        <f>'JEUDI 22 JANV'!AF26+'VEND 23 JANV'!AF26+'SAM 24 JANV'!AF26+'LUND 26 JANV'!AF26+'MAR 27 JANV'!AF26+#REF!</f>
        <v>#REF!</v>
      </c>
      <c r="AG26" s="6" t="e">
        <f>'JEUDI 22 JANV'!AG26+'VEND 23 JANV'!AG26+'SAM 24 JANV'!AG26+'LUND 26 JANV'!AG26+'MAR 27 JANV'!AG26+#REF!</f>
        <v>#REF!</v>
      </c>
      <c r="AH26" s="7" t="e">
        <f>'JEUDI 22 JANV'!AH26+'VEND 23 JANV'!AH26+'SAM 24 JANV'!AH26+'LUND 26 JANV'!AH26+'MAR 27 JANV'!AH26+#REF!</f>
        <v>#REF!</v>
      </c>
      <c r="AI26" s="7" t="e">
        <f>'JEUDI 22 JANV'!AI26+'VEND 23 JANV'!AI26+'SAM 24 JANV'!AI26+'LUND 26 JANV'!AI26+'MAR 27 JANV'!AI26+#REF!</f>
        <v>#REF!</v>
      </c>
      <c r="AJ26" s="7" t="e">
        <f>'JEUDI 22 JANV'!AJ26+'VEND 23 JANV'!AJ26+'SAM 24 JANV'!AJ26+'LUND 26 JANV'!AJ26+'MAR 27 JANV'!AJ26+#REF!</f>
        <v>#REF!</v>
      </c>
      <c r="AK26" s="8" t="e">
        <f>'JEUDI 22 JANV'!AK26+'VEND 23 JANV'!AK26+'SAM 24 JANV'!AK26+'LUND 26 JANV'!AK26+'MAR 27 JANV'!AK26+#REF!</f>
        <v>#REF!</v>
      </c>
      <c r="AL26" s="9" t="e">
        <f>'JEUDI 22 JANV'!AL26+'VEND 23 JANV'!AL26+'SAM 24 JANV'!AL26+'LUND 26 JANV'!AL26+'MAR 27 JANV'!AL26+#REF!</f>
        <v>#REF!</v>
      </c>
      <c r="AM26" s="10" t="e">
        <f>'JEUDI 22 JANV'!AM26+'VEND 23 JANV'!AM26+'SAM 24 JANV'!AM26+'LUND 26 JANV'!AM26+'MAR 27 JANV'!AM26+#REF!</f>
        <v>#REF!</v>
      </c>
      <c r="AN26" s="10" t="e">
        <f>'JEUDI 22 JANV'!AN26+'VEND 23 JANV'!AN26+'SAM 24 JANV'!AN26+'LUND 26 JANV'!AN26+'MAR 27 JANV'!AN26+#REF!</f>
        <v>#REF!</v>
      </c>
      <c r="AO26" s="10" t="e">
        <f>'JEUDI 22 JANV'!AO26+'VEND 23 JANV'!AO26+'SAM 24 JANV'!AO26+'LUND 26 JANV'!AO26+'MAR 27 JANV'!AO26+#REF!</f>
        <v>#REF!</v>
      </c>
      <c r="AP26" s="11" t="e">
        <f>'JEUDI 22 JANV'!AP26+'VEND 23 JANV'!AP26+'SAM 24 JANV'!AP26+'LUND 26 JANV'!AP26+'MAR 27 JANV'!AP26+#REF!</f>
        <v>#REF!</v>
      </c>
      <c r="AQ26" s="91" t="e">
        <f>'JEUDI 22 JANV'!AQ26+'VEND 23 JANV'!AQ26+'SAM 24 JANV'!AQ26+'LUND 26 JANV'!AQ26+'MAR 27 JANV'!AQ26+#REF!</f>
        <v>#REF!</v>
      </c>
      <c r="AR26" s="10" t="e">
        <f>'JEUDI 22 JANV'!AR26+'VEND 23 JANV'!AR26+'SAM 24 JANV'!AR26+'LUND 26 JANV'!AR26+'MAR 27 JANV'!AR26+#REF!</f>
        <v>#REF!</v>
      </c>
      <c r="AS26" s="10" t="e">
        <f>'JEUDI 22 JANV'!AS26+'VEND 23 JANV'!AS26+'SAM 24 JANV'!AS26+'LUND 26 JANV'!AS26+'MAR 27 JANV'!AS26+#REF!</f>
        <v>#REF!</v>
      </c>
      <c r="AT26" s="10" t="e">
        <f>'JEUDI 22 JANV'!AT26+'VEND 23 JANV'!AT26+'SAM 24 JANV'!AT26+'LUND 26 JANV'!AT26+'MAR 27 JANV'!AT26+#REF!</f>
        <v>#REF!</v>
      </c>
      <c r="AU26" s="10" t="e">
        <f>'JEUDI 22 JANV'!AU26+'VEND 23 JANV'!AU26+'SAM 24 JANV'!AU26+'LUND 26 JANV'!AU26+'MAR 27 JANV'!AU26+#REF!</f>
        <v>#REF!</v>
      </c>
      <c r="AV26" s="6" t="e">
        <f>'JEUDI 22 JANV'!AV26+'VEND 23 JANV'!AV26+'SAM 24 JANV'!AV26+'LUND 26 JANV'!AV26+'MAR 27 JANV'!AV26+#REF!</f>
        <v>#REF!</v>
      </c>
      <c r="AW26" s="7" t="e">
        <f>'JEUDI 22 JANV'!AW26+'VEND 23 JANV'!AW26+'SAM 24 JANV'!AW26+'LUND 26 JANV'!AW26+'MAR 27 JANV'!AW26+#REF!</f>
        <v>#REF!</v>
      </c>
      <c r="AX26" s="7" t="e">
        <f>'JEUDI 22 JANV'!AX26+'VEND 23 JANV'!AX26+'SAM 24 JANV'!AX26+'LUND 26 JANV'!AX26+'MAR 27 JANV'!AX26+#REF!</f>
        <v>#REF!</v>
      </c>
      <c r="AY26" s="7" t="e">
        <f>'JEUDI 22 JANV'!AY26+'VEND 23 JANV'!AY26+'SAM 24 JANV'!AY26+'LUND 26 JANV'!AY26+'MAR 27 JANV'!AY26+#REF!</f>
        <v>#REF!</v>
      </c>
      <c r="AZ26" s="8" t="e">
        <f>'JEUDI 22 JANV'!AZ26+'VEND 23 JANV'!AZ26+'SAM 24 JANV'!AZ26+'LUND 26 JANV'!AZ26+'MAR 27 JANV'!AZ26+#REF!</f>
        <v>#REF!</v>
      </c>
      <c r="BA26" s="6" t="e">
        <f>'JEUDI 22 JANV'!BA26+'VEND 23 JANV'!BA26+'SAM 24 JANV'!BA26+'LUND 26 JANV'!BA26+'MAR 27 JANV'!BA26+#REF!</f>
        <v>#REF!</v>
      </c>
      <c r="BB26" s="7" t="e">
        <f>'JEUDI 22 JANV'!BB26+'VEND 23 JANV'!BB26+'SAM 24 JANV'!BB26+'LUND 26 JANV'!BB26+'MAR 27 JANV'!BB26+#REF!</f>
        <v>#REF!</v>
      </c>
      <c r="BC26" s="8" t="e">
        <f>'JEUDI 22 JANV'!BC26+'VEND 23 JANV'!BC26+'SAM 24 JANV'!BC26+'LUND 26 JANV'!BC26+'MAR 27 JANV'!BC26+#REF!</f>
        <v>#REF!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92" t="e">
        <f>'JEUDI 22 JANV'!W27+'VEND 23 JANV'!W27+'SAM 24 JANV'!W27+'LUND 26 JANV'!W27+'MAR 27 JANV'!W27+#REF!</f>
        <v>#REF!</v>
      </c>
      <c r="X27" s="93" t="e">
        <f>'JEUDI 22 JANV'!X27+'VEND 23 JANV'!X27+'SAM 24 JANV'!X27+'LUND 26 JANV'!X27+'MAR 27 JANV'!X27+#REF!</f>
        <v>#REF!</v>
      </c>
      <c r="Y27" s="93" t="e">
        <f>'JEUDI 22 JANV'!Y27+'VEND 23 JANV'!Y27+'SAM 24 JANV'!Y27+'LUND 26 JANV'!Y27+'MAR 27 JANV'!Y27+#REF!</f>
        <v>#REF!</v>
      </c>
      <c r="Z27" s="93" t="e">
        <f>'JEUDI 22 JANV'!Z27+'VEND 23 JANV'!Z27+'SAM 24 JANV'!Z27+'LUND 26 JANV'!Z27+'MAR 27 JANV'!Z27+#REF!</f>
        <v>#REF!</v>
      </c>
      <c r="AA27" s="94" t="e">
        <f>'JEUDI 22 JANV'!AA27+'VEND 23 JANV'!AA27+'SAM 24 JANV'!AA27+'LUND 26 JANV'!AA27+'MAR 27 JANV'!AA27+#REF!</f>
        <v>#REF!</v>
      </c>
      <c r="AB27" s="22" t="e">
        <f>'JEUDI 22 JANV'!AB27+'VEND 23 JANV'!AB27+'SAM 24 JANV'!AB27+'LUND 26 JANV'!AB27+'MAR 27 JANV'!AB27+#REF!</f>
        <v>#REF!</v>
      </c>
      <c r="AC27" s="22" t="e">
        <f>'JEUDI 22 JANV'!AC27+'VEND 23 JANV'!AC27+'SAM 24 JANV'!AC27+'LUND 26 JANV'!AC27+'MAR 27 JANV'!AC27+#REF!</f>
        <v>#REF!</v>
      </c>
      <c r="AD27" s="22" t="e">
        <f>'JEUDI 22 JANV'!AD27+'VEND 23 JANV'!AD27+'SAM 24 JANV'!AD27+'LUND 26 JANV'!AD27+'MAR 27 JANV'!AD27+#REF!</f>
        <v>#REF!</v>
      </c>
      <c r="AE27" s="22" t="e">
        <f>'JEUDI 22 JANV'!AE27+'VEND 23 JANV'!AE27+'SAM 24 JANV'!AE27+'LUND 26 JANV'!AE27+'MAR 27 JANV'!AE27+#REF!</f>
        <v>#REF!</v>
      </c>
      <c r="AF27" s="22" t="e">
        <f>'JEUDI 22 JANV'!AF27+'VEND 23 JANV'!AF27+'SAM 24 JANV'!AF27+'LUND 26 JANV'!AF27+'MAR 27 JANV'!AF27+#REF!</f>
        <v>#REF!</v>
      </c>
      <c r="AG27" s="92" t="e">
        <f>'JEUDI 22 JANV'!AG27+'VEND 23 JANV'!AG27+'SAM 24 JANV'!AG27+'LUND 26 JANV'!AG27+'MAR 27 JANV'!AG27+#REF!</f>
        <v>#REF!</v>
      </c>
      <c r="AH27" s="93" t="e">
        <f>'JEUDI 22 JANV'!AH27+'VEND 23 JANV'!AH27+'SAM 24 JANV'!AH27+'LUND 26 JANV'!AH27+'MAR 27 JANV'!AH27+#REF!</f>
        <v>#REF!</v>
      </c>
      <c r="AI27" s="93" t="e">
        <f>'JEUDI 22 JANV'!AI27+'VEND 23 JANV'!AI27+'SAM 24 JANV'!AI27+'LUND 26 JANV'!AI27+'MAR 27 JANV'!AI27+#REF!</f>
        <v>#REF!</v>
      </c>
      <c r="AJ27" s="93" t="e">
        <f>'JEUDI 22 JANV'!AJ27+'VEND 23 JANV'!AJ27+'SAM 24 JANV'!AJ27+'LUND 26 JANV'!AJ27+'MAR 27 JANV'!AJ27+#REF!</f>
        <v>#REF!</v>
      </c>
      <c r="AK27" s="94" t="e">
        <f>'JEUDI 22 JANV'!AK27+'VEND 23 JANV'!AK27+'SAM 24 JANV'!AK27+'LUND 26 JANV'!AK27+'MAR 27 JANV'!AK27+#REF!</f>
        <v>#REF!</v>
      </c>
      <c r="AL27" s="21" t="e">
        <f>'JEUDI 22 JANV'!AL27+'VEND 23 JANV'!AL27+'SAM 24 JANV'!AL27+'LUND 26 JANV'!AL27+'MAR 27 JANV'!AL27+#REF!</f>
        <v>#REF!</v>
      </c>
      <c r="AM27" s="22" t="e">
        <f>'JEUDI 22 JANV'!AM27+'VEND 23 JANV'!AM27+'SAM 24 JANV'!AM27+'LUND 26 JANV'!AM27+'MAR 27 JANV'!AM27+#REF!</f>
        <v>#REF!</v>
      </c>
      <c r="AN27" s="22" t="e">
        <f>'JEUDI 22 JANV'!AN27+'VEND 23 JANV'!AN27+'SAM 24 JANV'!AN27+'LUND 26 JANV'!AN27+'MAR 27 JANV'!AN27+#REF!</f>
        <v>#REF!</v>
      </c>
      <c r="AO27" s="22" t="e">
        <f>'JEUDI 22 JANV'!AO27+'VEND 23 JANV'!AO27+'SAM 24 JANV'!AO27+'LUND 26 JANV'!AO27+'MAR 27 JANV'!AO27+#REF!</f>
        <v>#REF!</v>
      </c>
      <c r="AP27" s="23" t="e">
        <f>'JEUDI 22 JANV'!AP27+'VEND 23 JANV'!AP27+'SAM 24 JANV'!AP27+'LUND 26 JANV'!AP27+'MAR 27 JANV'!AP27+#REF!</f>
        <v>#REF!</v>
      </c>
      <c r="AQ27" s="95" t="e">
        <f>'JEUDI 22 JANV'!AQ27+'VEND 23 JANV'!AQ27+'SAM 24 JANV'!AQ27+'LUND 26 JANV'!AQ27+'MAR 27 JANV'!AQ27+#REF!</f>
        <v>#REF!</v>
      </c>
      <c r="AR27" s="22" t="e">
        <f>'JEUDI 22 JANV'!AR27+'VEND 23 JANV'!AR27+'SAM 24 JANV'!AR27+'LUND 26 JANV'!AR27+'MAR 27 JANV'!AR27+#REF!</f>
        <v>#REF!</v>
      </c>
      <c r="AS27" s="22" t="e">
        <f>'JEUDI 22 JANV'!AS27+'VEND 23 JANV'!AS27+'SAM 24 JANV'!AS27+'LUND 26 JANV'!AS27+'MAR 27 JANV'!AS27+#REF!</f>
        <v>#REF!</v>
      </c>
      <c r="AT27" s="22" t="e">
        <f>'JEUDI 22 JANV'!AT27+'VEND 23 JANV'!AT27+'SAM 24 JANV'!AT27+'LUND 26 JANV'!AT27+'MAR 27 JANV'!AT27+#REF!</f>
        <v>#REF!</v>
      </c>
      <c r="AU27" s="22" t="e">
        <f>'JEUDI 22 JANV'!AU27+'VEND 23 JANV'!AU27+'SAM 24 JANV'!AU27+'LUND 26 JANV'!AU27+'MAR 27 JANV'!AU27+#REF!</f>
        <v>#REF!</v>
      </c>
      <c r="AV27" s="92" t="e">
        <f>'JEUDI 22 JANV'!AV27+'VEND 23 JANV'!AV27+'SAM 24 JANV'!AV27+'LUND 26 JANV'!AV27+'MAR 27 JANV'!AV27+#REF!</f>
        <v>#REF!</v>
      </c>
      <c r="AW27" s="93" t="e">
        <f>'JEUDI 22 JANV'!AW27+'VEND 23 JANV'!AW27+'SAM 24 JANV'!AW27+'LUND 26 JANV'!AW27+'MAR 27 JANV'!AW27+#REF!</f>
        <v>#REF!</v>
      </c>
      <c r="AX27" s="93" t="e">
        <f>'JEUDI 22 JANV'!AX27+'VEND 23 JANV'!AX27+'SAM 24 JANV'!AX27+'LUND 26 JANV'!AX27+'MAR 27 JANV'!AX27+#REF!</f>
        <v>#REF!</v>
      </c>
      <c r="AY27" s="93" t="e">
        <f>'JEUDI 22 JANV'!AY27+'VEND 23 JANV'!AY27+'SAM 24 JANV'!AY27+'LUND 26 JANV'!AY27+'MAR 27 JANV'!AY27+#REF!</f>
        <v>#REF!</v>
      </c>
      <c r="AZ27" s="94" t="e">
        <f>'JEUDI 22 JANV'!AZ27+'VEND 23 JANV'!AZ27+'SAM 24 JANV'!AZ27+'LUND 26 JANV'!AZ27+'MAR 27 JANV'!AZ27+#REF!</f>
        <v>#REF!</v>
      </c>
      <c r="BA27" s="92" t="e">
        <f>'JEUDI 22 JANV'!BA27+'VEND 23 JANV'!BA27+'SAM 24 JANV'!BA27+'LUND 26 JANV'!BA27+'MAR 27 JANV'!BA27+#REF!</f>
        <v>#REF!</v>
      </c>
      <c r="BB27" s="93" t="e">
        <f>'JEUDI 22 JANV'!BB27+'VEND 23 JANV'!BB27+'SAM 24 JANV'!BB27+'LUND 26 JANV'!BB27+'MAR 27 JANV'!BB27+#REF!</f>
        <v>#REF!</v>
      </c>
      <c r="BC27" s="94" t="e">
        <f>'JEUDI 22 JANV'!BC27+'VEND 23 JANV'!BC27+'SAM 24 JANV'!BC27+'LUND 26 JANV'!BC27+'MAR 27 JANV'!BC27+#REF!</f>
        <v>#REF!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96" t="e">
        <f t="shared" si="3"/>
        <v>#REF!</v>
      </c>
      <c r="X28" s="97" t="e">
        <f t="shared" si="3"/>
        <v>#REF!</v>
      </c>
      <c r="Y28" s="97" t="e">
        <f t="shared" si="3"/>
        <v>#REF!</v>
      </c>
      <c r="Z28" s="97" t="e">
        <f t="shared" si="3"/>
        <v>#REF!</v>
      </c>
      <c r="AA28" s="98" t="e">
        <f t="shared" si="3"/>
        <v>#REF!</v>
      </c>
      <c r="AB28" s="97" t="e">
        <f t="shared" si="3"/>
        <v>#REF!</v>
      </c>
      <c r="AC28" s="97" t="e">
        <f t="shared" si="3"/>
        <v>#REF!</v>
      </c>
      <c r="AD28" s="97" t="e">
        <f t="shared" si="3"/>
        <v>#REF!</v>
      </c>
      <c r="AE28" s="97" t="e">
        <f t="shared" si="3"/>
        <v>#REF!</v>
      </c>
      <c r="AF28" s="97" t="e">
        <f t="shared" si="3"/>
        <v>#REF!</v>
      </c>
      <c r="AG28" s="96" t="e">
        <f t="shared" si="3"/>
        <v>#REF!</v>
      </c>
      <c r="AH28" s="97" t="e">
        <f t="shared" si="3"/>
        <v>#REF!</v>
      </c>
      <c r="AI28" s="97" t="e">
        <f t="shared" ref="AI28:BE28" si="4">SUM(AI8:AI27)</f>
        <v>#REF!</v>
      </c>
      <c r="AJ28" s="97" t="e">
        <f t="shared" si="4"/>
        <v>#REF!</v>
      </c>
      <c r="AK28" s="98" t="e">
        <f t="shared" si="4"/>
        <v>#REF!</v>
      </c>
      <c r="AL28" s="96" t="e">
        <f t="shared" si="4"/>
        <v>#REF!</v>
      </c>
      <c r="AM28" s="97" t="e">
        <f t="shared" si="4"/>
        <v>#REF!</v>
      </c>
      <c r="AN28" s="97" t="e">
        <f t="shared" si="4"/>
        <v>#REF!</v>
      </c>
      <c r="AO28" s="97" t="e">
        <f t="shared" si="4"/>
        <v>#REF!</v>
      </c>
      <c r="AP28" s="98" t="e">
        <f t="shared" si="4"/>
        <v>#REF!</v>
      </c>
      <c r="AQ28" s="99" t="e">
        <f t="shared" si="4"/>
        <v>#REF!</v>
      </c>
      <c r="AR28" s="97" t="e">
        <f t="shared" si="4"/>
        <v>#REF!</v>
      </c>
      <c r="AS28" s="97" t="e">
        <f t="shared" si="4"/>
        <v>#REF!</v>
      </c>
      <c r="AT28" s="97" t="e">
        <f t="shared" si="4"/>
        <v>#REF!</v>
      </c>
      <c r="AU28" s="97" t="e">
        <f t="shared" si="4"/>
        <v>#REF!</v>
      </c>
      <c r="AV28" s="96" t="e">
        <f t="shared" si="4"/>
        <v>#REF!</v>
      </c>
      <c r="AW28" s="97" t="e">
        <f t="shared" si="4"/>
        <v>#REF!</v>
      </c>
      <c r="AX28" s="97" t="e">
        <f t="shared" si="4"/>
        <v>#REF!</v>
      </c>
      <c r="AY28" s="97" t="e">
        <f t="shared" si="4"/>
        <v>#REF!</v>
      </c>
      <c r="AZ28" s="98" t="e">
        <f t="shared" si="4"/>
        <v>#REF!</v>
      </c>
      <c r="BA28" s="96" t="e">
        <f t="shared" si="4"/>
        <v>#REF!</v>
      </c>
      <c r="BB28" s="97" t="e">
        <f t="shared" si="4"/>
        <v>#REF!</v>
      </c>
      <c r="BC28" s="98" t="e">
        <f t="shared" si="4"/>
        <v>#REF!</v>
      </c>
      <c r="BD28" s="19">
        <f t="shared" si="4"/>
        <v>0</v>
      </c>
      <c r="BE28" s="2">
        <f t="shared" si="4"/>
        <v>0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JEUDI 22 JANV</vt:lpstr>
      <vt:lpstr>VEND 23 JANV</vt:lpstr>
      <vt:lpstr>SAM 24 JANV</vt:lpstr>
      <vt:lpstr>LUND 26 JANV</vt:lpstr>
      <vt:lpstr>MAR 27 JANV</vt:lpstr>
      <vt:lpstr>Synthèse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N'dri, S. (Serge)</dc:creator>
  <cp:lastModifiedBy>TANOH ERNEST</cp:lastModifiedBy>
  <cp:lastPrinted>2024-06-29T11:58:54Z</cp:lastPrinted>
  <dcterms:created xsi:type="dcterms:W3CDTF">2015-06-05T18:17:20Z</dcterms:created>
  <dcterms:modified xsi:type="dcterms:W3CDTF">2026-03-04T14:27:45Z</dcterms:modified>
</cp:coreProperties>
</file>