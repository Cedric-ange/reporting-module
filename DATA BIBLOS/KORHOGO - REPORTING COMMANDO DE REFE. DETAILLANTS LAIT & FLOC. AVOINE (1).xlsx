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NOH ERNEST\Desktop\BIBLOS INDUSTRIE\PROPOSITION CDO REFERENCEMENT\"/>
    </mc:Choice>
  </mc:AlternateContent>
  <xr:revisionPtr revIDLastSave="0" documentId="13_ncr:1_{29BF9B07-5210-4DAE-B46D-362715FCE4AB}" xr6:coauthVersionLast="47" xr6:coauthVersionMax="47" xr10:uidLastSave="{00000000-0000-0000-0000-000000000000}"/>
  <bookViews>
    <workbookView xWindow="0" yWindow="0" windowWidth="28800" windowHeight="15750" activeTab="1" xr2:uid="{00000000-000D-0000-FFFF-FFFF00000000}"/>
  </bookViews>
  <sheets>
    <sheet name="Lundi S1" sheetId="58" r:id="rId1"/>
    <sheet name="Mardi S1" sheetId="141" r:id="rId2"/>
    <sheet name="Mercredi S1" sheetId="142" r:id="rId3"/>
    <sheet name="Jeudi S1" sheetId="143" r:id="rId4"/>
    <sheet name="Vendredi S1" sheetId="144" r:id="rId5"/>
    <sheet name="Samedi S1" sheetId="145" r:id="rId6"/>
    <sheet name="Synthèse S1" sheetId="146" r:id="rId7"/>
    <sheet name="Lundi S2" sheetId="147" r:id="rId8"/>
    <sheet name="Mardi S2 " sheetId="148" r:id="rId9"/>
    <sheet name="Mercredi S2 " sheetId="149" r:id="rId10"/>
    <sheet name="Jeudi S2 " sheetId="150" r:id="rId11"/>
    <sheet name="Vendredi S2 " sheetId="151" r:id="rId12"/>
    <sheet name="Samedi S2" sheetId="152" r:id="rId13"/>
    <sheet name="Synthèse S2" sheetId="153" r:id="rId14"/>
    <sheet name="Lundi S3" sheetId="154" r:id="rId15"/>
    <sheet name="Mardi S3" sheetId="155" r:id="rId16"/>
    <sheet name="Mercredi S3" sheetId="156" r:id="rId17"/>
    <sheet name="Jeudi S3" sheetId="157" r:id="rId18"/>
    <sheet name="Vendredi S3" sheetId="158" r:id="rId19"/>
    <sheet name="Samedi S3" sheetId="159" r:id="rId20"/>
    <sheet name="Synthèse S3" sheetId="160" r:id="rId21"/>
    <sheet name="Lundi S4" sheetId="161" r:id="rId22"/>
    <sheet name="Mardi S4" sheetId="162" r:id="rId23"/>
    <sheet name="Mercredi S4" sheetId="163" r:id="rId24"/>
    <sheet name="Jeudi S4" sheetId="164" r:id="rId25"/>
    <sheet name="Vendredi S4" sheetId="165" r:id="rId26"/>
    <sheet name="Samedi S4" sheetId="166" r:id="rId27"/>
    <sheet name="Synthèse S4" sheetId="167" r:id="rId28"/>
    <sheet name="Luindi S5" sheetId="168" r:id="rId29"/>
    <sheet name="Mardi S5" sheetId="169" r:id="rId30"/>
    <sheet name="Mercredi S5" sheetId="170" r:id="rId31"/>
    <sheet name="Jeudi S5" sheetId="171" r:id="rId32"/>
    <sheet name="Vendredi S5" sheetId="172" r:id="rId33"/>
    <sheet name="Samedi S5" sheetId="173" r:id="rId34"/>
    <sheet name="Synthèse S5" sheetId="174" r:id="rId35"/>
    <sheet name="Total semaines" sheetId="175" r:id="rId36"/>
    <sheet name="Recap" sheetId="176" r:id="rId37"/>
    <sheet name="Dashbord" sheetId="177" r:id="rId3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26" i="58" l="1"/>
  <c r="AO14" i="58"/>
  <c r="AO24" i="58"/>
  <c r="AS26" i="144"/>
  <c r="AS25" i="144"/>
  <c r="AS24" i="144"/>
  <c r="AS23" i="144"/>
  <c r="AS22" i="144"/>
  <c r="AS21" i="144"/>
  <c r="AS20" i="144"/>
  <c r="AS19" i="144"/>
  <c r="AS18" i="144"/>
  <c r="AS17" i="144"/>
  <c r="AS16" i="144"/>
  <c r="AS15" i="144"/>
  <c r="AS14" i="144"/>
  <c r="AS13" i="144"/>
  <c r="AS12" i="144"/>
  <c r="AS11" i="144"/>
  <c r="AS10" i="144"/>
  <c r="AS9" i="144"/>
  <c r="AS8" i="144"/>
  <c r="AS7" i="144"/>
  <c r="AO7" i="144"/>
  <c r="AQ26" i="144"/>
  <c r="AQ25" i="144"/>
  <c r="AQ24" i="144"/>
  <c r="AQ23" i="144"/>
  <c r="AQ22" i="144"/>
  <c r="AQ21" i="144"/>
  <c r="AQ20" i="144"/>
  <c r="AQ19" i="144"/>
  <c r="AQ18" i="144"/>
  <c r="AQ17" i="144"/>
  <c r="AQ14" i="144"/>
  <c r="AQ12" i="144"/>
  <c r="AQ10" i="144"/>
  <c r="AQ9" i="144"/>
  <c r="AQ8" i="144"/>
  <c r="AQ7" i="144"/>
  <c r="AN26" i="144"/>
  <c r="AN25" i="144"/>
  <c r="AN24" i="144"/>
  <c r="AN23" i="144"/>
  <c r="AN22" i="144"/>
  <c r="AN21" i="144"/>
  <c r="AN20" i="144"/>
  <c r="AN19" i="144"/>
  <c r="AN18" i="144"/>
  <c r="AN17" i="144"/>
  <c r="AN14" i="144"/>
  <c r="AN12" i="144"/>
  <c r="AN10" i="144"/>
  <c r="AN9" i="144"/>
  <c r="AN8" i="144"/>
  <c r="AN7" i="144"/>
  <c r="AS26" i="143"/>
  <c r="AS25" i="143"/>
  <c r="AS24" i="143"/>
  <c r="AS23" i="143"/>
  <c r="AS22" i="143"/>
  <c r="AS21" i="143"/>
  <c r="AS20" i="143"/>
  <c r="AS19" i="143"/>
  <c r="AS18" i="143"/>
  <c r="AS17" i="143"/>
  <c r="AS16" i="143"/>
  <c r="AS15" i="143"/>
  <c r="AS14" i="143"/>
  <c r="AS13" i="143"/>
  <c r="AS12" i="143"/>
  <c r="AS11" i="143"/>
  <c r="AS10" i="143"/>
  <c r="AS9" i="143"/>
  <c r="AS8" i="143"/>
  <c r="AS7" i="143"/>
  <c r="AQ26" i="143"/>
  <c r="AQ22" i="143"/>
  <c r="AQ16" i="143"/>
  <c r="AQ13" i="143"/>
  <c r="AQ12" i="143"/>
  <c r="AQ11" i="143"/>
  <c r="AQ10" i="143"/>
  <c r="AQ8" i="143"/>
  <c r="AP26" i="143"/>
  <c r="AP25" i="143"/>
  <c r="AP24" i="143"/>
  <c r="AP23" i="143"/>
  <c r="AP22" i="143"/>
  <c r="AP21" i="143"/>
  <c r="AP20" i="143"/>
  <c r="AP19" i="143"/>
  <c r="AP18" i="143"/>
  <c r="AP17" i="143"/>
  <c r="AP16" i="143"/>
  <c r="AP15" i="143"/>
  <c r="AP14" i="143"/>
  <c r="AP13" i="143"/>
  <c r="AP12" i="143"/>
  <c r="AP11" i="143"/>
  <c r="AP10" i="143"/>
  <c r="AP9" i="143"/>
  <c r="AP8" i="143"/>
  <c r="AP7" i="143"/>
  <c r="AO26" i="143"/>
  <c r="AO25" i="143"/>
  <c r="AO24" i="143"/>
  <c r="AO23" i="143"/>
  <c r="AO22" i="143"/>
  <c r="AO21" i="143"/>
  <c r="AO20" i="143"/>
  <c r="AO19" i="143"/>
  <c r="AO18" i="143"/>
  <c r="AO17" i="143"/>
  <c r="AO16" i="143"/>
  <c r="AO15" i="143"/>
  <c r="AO14" i="143"/>
  <c r="AO13" i="143"/>
  <c r="AO12" i="143"/>
  <c r="AO11" i="143"/>
  <c r="AO10" i="143"/>
  <c r="AO9" i="143"/>
  <c r="AO8" i="143"/>
  <c r="AO7" i="143"/>
  <c r="AN26" i="143"/>
  <c r="AN25" i="143"/>
  <c r="AN24" i="143"/>
  <c r="AN22" i="143"/>
  <c r="AN20" i="143"/>
  <c r="AN16" i="143"/>
  <c r="AN13" i="143"/>
  <c r="AN12" i="143"/>
  <c r="AN11" i="143"/>
  <c r="AN10" i="143"/>
  <c r="AN8" i="143"/>
  <c r="AS26" i="142"/>
  <c r="AS25" i="142"/>
  <c r="AS24" i="142"/>
  <c r="AS23" i="142"/>
  <c r="AS22" i="142"/>
  <c r="AS21" i="142"/>
  <c r="AS20" i="142"/>
  <c r="AS19" i="142"/>
  <c r="AS18" i="142"/>
  <c r="AS17" i="142"/>
  <c r="AS16" i="142"/>
  <c r="AS15" i="142"/>
  <c r="AS14" i="142"/>
  <c r="AS13" i="142"/>
  <c r="AS12" i="142"/>
  <c r="AS11" i="142"/>
  <c r="AS10" i="142"/>
  <c r="AS9" i="142"/>
  <c r="AS8" i="142"/>
  <c r="AS7" i="142"/>
  <c r="AQ26" i="142"/>
  <c r="AQ25" i="142"/>
  <c r="AQ24" i="142"/>
  <c r="AQ22" i="142"/>
  <c r="AQ21" i="142"/>
  <c r="AQ20" i="142"/>
  <c r="AQ19" i="142"/>
  <c r="AQ18" i="142"/>
  <c r="AQ16" i="142"/>
  <c r="AQ15" i="142"/>
  <c r="AQ14" i="142"/>
  <c r="AQ12" i="142"/>
  <c r="AQ10" i="142"/>
  <c r="AQ8" i="142"/>
  <c r="AP26" i="142"/>
  <c r="AP25" i="142"/>
  <c r="AP24" i="142"/>
  <c r="AP23" i="142"/>
  <c r="AP22" i="142"/>
  <c r="AP21" i="142"/>
  <c r="AP20" i="142"/>
  <c r="AP19" i="142"/>
  <c r="AP18" i="142"/>
  <c r="AP17" i="142"/>
  <c r="AP16" i="142"/>
  <c r="AP15" i="142"/>
  <c r="AP14" i="142"/>
  <c r="AP13" i="142"/>
  <c r="AP12" i="142"/>
  <c r="AP11" i="142"/>
  <c r="AP10" i="142"/>
  <c r="AP9" i="142"/>
  <c r="AP8" i="142"/>
  <c r="AP7" i="142"/>
  <c r="AO17" i="142"/>
  <c r="AO26" i="142"/>
  <c r="AO25" i="142"/>
  <c r="AO24" i="142"/>
  <c r="AO23" i="142"/>
  <c r="AO22" i="142"/>
  <c r="AO21" i="142"/>
  <c r="AO20" i="142"/>
  <c r="AO19" i="142"/>
  <c r="AO18" i="142"/>
  <c r="AO16" i="142"/>
  <c r="AO15" i="142"/>
  <c r="AO14" i="142"/>
  <c r="AO13" i="142"/>
  <c r="AO12" i="142"/>
  <c r="AO11" i="142"/>
  <c r="AO10" i="142"/>
  <c r="AO9" i="142"/>
  <c r="AO8" i="142"/>
  <c r="AO7" i="142"/>
  <c r="AN26" i="142"/>
  <c r="AN25" i="142"/>
  <c r="AN24" i="142"/>
  <c r="AN23" i="142"/>
  <c r="AN22" i="142"/>
  <c r="AN21" i="142"/>
  <c r="AN20" i="142"/>
  <c r="AN19" i="142"/>
  <c r="AN18" i="142"/>
  <c r="AN17" i="142"/>
  <c r="AN16" i="142"/>
  <c r="AN15" i="142"/>
  <c r="AN14" i="142"/>
  <c r="AN13" i="142"/>
  <c r="AN12" i="142"/>
  <c r="AN11" i="142"/>
  <c r="AN10" i="142"/>
  <c r="AN9" i="142"/>
  <c r="AN8" i="142"/>
  <c r="AN7" i="142"/>
  <c r="W27" i="144"/>
  <c r="X27" i="144"/>
  <c r="Y27" i="144"/>
  <c r="Z27" i="144"/>
  <c r="AA27" i="144"/>
  <c r="W27" i="143"/>
  <c r="X27" i="143"/>
  <c r="Y27" i="143"/>
  <c r="Z27" i="143"/>
  <c r="AA27" i="143"/>
  <c r="W27" i="142"/>
  <c r="X27" i="142"/>
  <c r="Y27" i="142"/>
  <c r="Z27" i="142"/>
  <c r="AA27" i="142"/>
  <c r="AS38" i="58"/>
  <c r="AO15" i="141"/>
  <c r="AP24" i="58"/>
  <c r="AP13" i="58"/>
  <c r="AP15" i="58"/>
  <c r="AP17" i="58"/>
  <c r="AO23" i="58"/>
  <c r="AO25" i="58"/>
  <c r="AO21" i="58"/>
  <c r="AO19" i="58"/>
  <c r="AO18" i="58"/>
  <c r="AO17" i="58"/>
  <c r="AO15" i="58"/>
  <c r="AO12" i="58"/>
  <c r="AO11" i="58"/>
  <c r="AO10" i="58"/>
  <c r="AO8" i="58"/>
  <c r="AN13" i="58"/>
  <c r="AN9" i="58"/>
  <c r="AN21" i="58"/>
  <c r="AN25" i="58"/>
  <c r="AN19" i="58"/>
  <c r="AN15" i="58"/>
  <c r="AN11" i="58"/>
  <c r="AN10" i="58"/>
  <c r="AP27" i="141" l="1"/>
  <c r="AP26" i="141"/>
  <c r="AP25" i="141"/>
  <c r="AP24" i="146" s="1"/>
  <c r="AP24" i="175" s="1"/>
  <c r="AP24" i="141"/>
  <c r="AP23" i="146" s="1"/>
  <c r="AP23" i="175" s="1"/>
  <c r="AP23" i="141"/>
  <c r="AP22" i="141"/>
  <c r="AP21" i="141"/>
  <c r="AP20" i="146" s="1"/>
  <c r="AP20" i="175" s="1"/>
  <c r="AP20" i="141"/>
  <c r="AP19" i="146" s="1"/>
  <c r="AP19" i="175" s="1"/>
  <c r="AP19" i="141"/>
  <c r="AP18" i="141"/>
  <c r="AP17" i="141"/>
  <c r="AP16" i="146" s="1"/>
  <c r="AP16" i="175" s="1"/>
  <c r="AP16" i="141"/>
  <c r="AP15" i="146" s="1"/>
  <c r="AP15" i="175" s="1"/>
  <c r="AP15" i="141"/>
  <c r="AP14" i="141"/>
  <c r="AP13" i="141"/>
  <c r="AP12" i="146" s="1"/>
  <c r="AP12" i="175" s="1"/>
  <c r="AP12" i="141"/>
  <c r="AP11" i="146" s="1"/>
  <c r="AP11" i="175" s="1"/>
  <c r="AP11" i="141"/>
  <c r="AP10" i="141"/>
  <c r="AP9" i="141"/>
  <c r="AP8" i="146" s="1"/>
  <c r="AP8" i="175" s="1"/>
  <c r="AP8" i="141"/>
  <c r="AP7" i="146" s="1"/>
  <c r="AP7" i="175" s="1"/>
  <c r="AO24" i="141"/>
  <c r="AO23" i="146" s="1"/>
  <c r="AO23" i="175" s="1"/>
  <c r="AO18" i="141"/>
  <c r="AO26" i="141"/>
  <c r="AO23" i="141"/>
  <c r="AO22" i="146" s="1"/>
  <c r="AO22" i="175" s="1"/>
  <c r="AO14" i="146"/>
  <c r="AO14" i="175" s="1"/>
  <c r="AO13" i="141"/>
  <c r="AO12" i="146" s="1"/>
  <c r="AO12" i="175" s="1"/>
  <c r="AO12" i="141"/>
  <c r="AO11" i="141"/>
  <c r="AO38" i="141" s="1"/>
  <c r="AO10" i="141"/>
  <c r="AO9" i="141"/>
  <c r="AO8" i="146" s="1"/>
  <c r="AO8" i="175" s="1"/>
  <c r="AN27" i="141"/>
  <c r="AN25" i="141"/>
  <c r="AN24" i="141"/>
  <c r="AN23" i="146" s="1"/>
  <c r="AN23" i="175" s="1"/>
  <c r="AN23" i="141"/>
  <c r="AN22" i="141"/>
  <c r="AN20" i="141"/>
  <c r="AN19" i="146" s="1"/>
  <c r="AN19" i="175" s="1"/>
  <c r="AN18" i="141"/>
  <c r="AN17" i="146" s="1"/>
  <c r="AN17" i="175" s="1"/>
  <c r="AN17" i="141"/>
  <c r="AN16" i="141"/>
  <c r="AN14" i="141"/>
  <c r="AN13" i="146" s="1"/>
  <c r="AN13" i="175" s="1"/>
  <c r="AN11" i="141"/>
  <c r="AN10" i="141"/>
  <c r="AL38" i="141"/>
  <c r="M3" i="58"/>
  <c r="O3" i="58"/>
  <c r="R3" i="58"/>
  <c r="S3" i="58"/>
  <c r="S2" i="167" s="1"/>
  <c r="T3" i="58"/>
  <c r="U3" i="58"/>
  <c r="V3" i="58"/>
  <c r="CA23" i="176"/>
  <c r="BZ23" i="176"/>
  <c r="BY23" i="176"/>
  <c r="BX23" i="176"/>
  <c r="BW23" i="176"/>
  <c r="CA18" i="176"/>
  <c r="BZ18" i="176"/>
  <c r="BY18" i="176"/>
  <c r="BX18" i="176"/>
  <c r="BW18" i="176"/>
  <c r="CA12" i="176"/>
  <c r="BZ12" i="176"/>
  <c r="BY12" i="176"/>
  <c r="BX12" i="176"/>
  <c r="BW12" i="176"/>
  <c r="CA5" i="176"/>
  <c r="BZ5" i="176"/>
  <c r="BY5" i="176"/>
  <c r="BX5" i="176"/>
  <c r="BW5" i="176"/>
  <c r="BV23" i="176"/>
  <c r="BV18" i="176"/>
  <c r="BV12" i="176"/>
  <c r="BV5" i="176"/>
  <c r="BI23" i="176"/>
  <c r="BH23" i="176"/>
  <c r="BG23" i="176"/>
  <c r="BF23" i="176"/>
  <c r="BE23" i="176"/>
  <c r="BI18" i="176"/>
  <c r="BH18" i="176"/>
  <c r="BG18" i="176"/>
  <c r="BF18" i="176"/>
  <c r="BE18" i="176"/>
  <c r="BD18" i="176" s="1"/>
  <c r="BI12" i="176"/>
  <c r="BH12" i="176"/>
  <c r="BG12" i="176"/>
  <c r="BF12" i="176"/>
  <c r="BE12" i="176"/>
  <c r="BI5" i="176"/>
  <c r="BH5" i="176"/>
  <c r="BG5" i="176"/>
  <c r="BD5" i="176" s="1"/>
  <c r="BF5" i="176"/>
  <c r="BE5" i="176"/>
  <c r="BD23" i="176"/>
  <c r="BD12" i="176"/>
  <c r="AQ23" i="176"/>
  <c r="AP23" i="176"/>
  <c r="AO23" i="176"/>
  <c r="AN23" i="176"/>
  <c r="AM23" i="176"/>
  <c r="AQ18" i="176"/>
  <c r="AP18" i="176"/>
  <c r="AO18" i="176"/>
  <c r="AN18" i="176"/>
  <c r="AM18" i="176"/>
  <c r="AQ12" i="176"/>
  <c r="AP12" i="176"/>
  <c r="AO12" i="176"/>
  <c r="AN12" i="176"/>
  <c r="AM12" i="176"/>
  <c r="AQ5" i="176"/>
  <c r="AP5" i="176"/>
  <c r="AO5" i="176"/>
  <c r="AN5" i="176"/>
  <c r="AM5" i="176"/>
  <c r="AL23" i="176"/>
  <c r="AL18" i="176"/>
  <c r="AL5" i="176"/>
  <c r="Y23" i="176"/>
  <c r="X23" i="176"/>
  <c r="W23" i="176"/>
  <c r="V23" i="176"/>
  <c r="U23" i="176"/>
  <c r="Y18" i="176"/>
  <c r="X18" i="176"/>
  <c r="W18" i="176"/>
  <c r="V18" i="176"/>
  <c r="U18" i="176"/>
  <c r="Y12" i="176"/>
  <c r="X12" i="176"/>
  <c r="W12" i="176"/>
  <c r="V12" i="176"/>
  <c r="U12" i="176"/>
  <c r="Y5" i="176"/>
  <c r="X5" i="176"/>
  <c r="W5" i="176"/>
  <c r="V5" i="176"/>
  <c r="U5" i="176"/>
  <c r="AU37" i="175"/>
  <c r="AT37" i="175"/>
  <c r="T2" i="175"/>
  <c r="Q2" i="175"/>
  <c r="P2" i="175"/>
  <c r="N2" i="175"/>
  <c r="L2" i="175"/>
  <c r="K2" i="175"/>
  <c r="J2" i="175"/>
  <c r="I2" i="175"/>
  <c r="H2" i="175"/>
  <c r="G2" i="175"/>
  <c r="F2" i="175"/>
  <c r="E2" i="175"/>
  <c r="D2" i="175"/>
  <c r="C2" i="175"/>
  <c r="AS36" i="174"/>
  <c r="AR36" i="174"/>
  <c r="AQ36" i="174"/>
  <c r="AP36" i="174"/>
  <c r="AO36" i="174"/>
  <c r="AN36" i="174"/>
  <c r="AM36" i="174"/>
  <c r="AL36" i="174"/>
  <c r="AK36" i="174"/>
  <c r="AJ36" i="174"/>
  <c r="AI36" i="174"/>
  <c r="AH36" i="174"/>
  <c r="AG36" i="174"/>
  <c r="AF36" i="174"/>
  <c r="AE36" i="174"/>
  <c r="AD36" i="174"/>
  <c r="AC36" i="174"/>
  <c r="AB36" i="174"/>
  <c r="AA36" i="174"/>
  <c r="Z36" i="174"/>
  <c r="Y36" i="174"/>
  <c r="X36" i="174"/>
  <c r="W36" i="174"/>
  <c r="AS35" i="174"/>
  <c r="AR35" i="174"/>
  <c r="AQ35" i="174"/>
  <c r="AP35" i="174"/>
  <c r="AO35" i="174"/>
  <c r="AN35" i="174"/>
  <c r="AM35" i="174"/>
  <c r="AL35" i="174"/>
  <c r="AK35" i="174"/>
  <c r="AJ35" i="174"/>
  <c r="AI35" i="174"/>
  <c r="AH35" i="174"/>
  <c r="AG35" i="174"/>
  <c r="AF35" i="174"/>
  <c r="AE35" i="174"/>
  <c r="AD35" i="174"/>
  <c r="AC35" i="174"/>
  <c r="AB35" i="174"/>
  <c r="AA35" i="174"/>
  <c r="Z35" i="174"/>
  <c r="Y35" i="174"/>
  <c r="X35" i="174"/>
  <c r="W35" i="174"/>
  <c r="AS34" i="174"/>
  <c r="AR34" i="174"/>
  <c r="AQ34" i="174"/>
  <c r="AP34" i="174"/>
  <c r="AO34" i="174"/>
  <c r="AN34" i="174"/>
  <c r="AM34" i="174"/>
  <c r="AL34" i="174"/>
  <c r="AK34" i="174"/>
  <c r="AJ34" i="174"/>
  <c r="AI34" i="174"/>
  <c r="AH34" i="174"/>
  <c r="AG34" i="174"/>
  <c r="AF34" i="174"/>
  <c r="AE34" i="174"/>
  <c r="AD34" i="174"/>
  <c r="AC34" i="174"/>
  <c r="AB34" i="174"/>
  <c r="AA34" i="174"/>
  <c r="Z34" i="174"/>
  <c r="Y34" i="174"/>
  <c r="X34" i="174"/>
  <c r="W34" i="174"/>
  <c r="AS33" i="174"/>
  <c r="AR33" i="174"/>
  <c r="AQ33" i="174"/>
  <c r="AP33" i="174"/>
  <c r="AO33" i="174"/>
  <c r="AN33" i="174"/>
  <c r="AM33" i="174"/>
  <c r="AL33" i="174"/>
  <c r="AK33" i="174"/>
  <c r="AJ33" i="174"/>
  <c r="AI33" i="174"/>
  <c r="AH33" i="174"/>
  <c r="AG33" i="174"/>
  <c r="AF33" i="174"/>
  <c r="AE33" i="174"/>
  <c r="AD33" i="174"/>
  <c r="AC33" i="174"/>
  <c r="AB33" i="174"/>
  <c r="AA33" i="174"/>
  <c r="Z33" i="174"/>
  <c r="Y33" i="174"/>
  <c r="X33" i="174"/>
  <c r="W33" i="174"/>
  <c r="AS32" i="174"/>
  <c r="AR32" i="174"/>
  <c r="AQ32" i="174"/>
  <c r="AP32" i="174"/>
  <c r="AO32" i="174"/>
  <c r="AN32" i="174"/>
  <c r="AM32" i="174"/>
  <c r="AL32" i="174"/>
  <c r="AK32" i="174"/>
  <c r="AJ32" i="174"/>
  <c r="AI32" i="174"/>
  <c r="AH32" i="174"/>
  <c r="AG32" i="174"/>
  <c r="AF32" i="174"/>
  <c r="AE32" i="174"/>
  <c r="AD32" i="174"/>
  <c r="AC32" i="174"/>
  <c r="AB32" i="174"/>
  <c r="AA32" i="174"/>
  <c r="Z32" i="174"/>
  <c r="Y32" i="174"/>
  <c r="X32" i="174"/>
  <c r="W32" i="174"/>
  <c r="AS31" i="174"/>
  <c r="AR31" i="174"/>
  <c r="AQ31" i="174"/>
  <c r="AP31" i="174"/>
  <c r="AO31" i="174"/>
  <c r="AN31" i="174"/>
  <c r="AM31" i="174"/>
  <c r="AL31" i="174"/>
  <c r="AK31" i="174"/>
  <c r="AJ31" i="174"/>
  <c r="AI31" i="174"/>
  <c r="AH31" i="174"/>
  <c r="AG31" i="174"/>
  <c r="AF31" i="174"/>
  <c r="AE31" i="174"/>
  <c r="AD31" i="174"/>
  <c r="AC31" i="174"/>
  <c r="AB31" i="174"/>
  <c r="AA31" i="174"/>
  <c r="Z31" i="174"/>
  <c r="Y31" i="174"/>
  <c r="X31" i="174"/>
  <c r="W31" i="174"/>
  <c r="AS30" i="174"/>
  <c r="AR30" i="174"/>
  <c r="AQ30" i="174"/>
  <c r="AP30" i="174"/>
  <c r="AO30" i="174"/>
  <c r="AN30" i="174"/>
  <c r="AM30" i="174"/>
  <c r="AL30" i="174"/>
  <c r="AK30" i="174"/>
  <c r="AJ30" i="174"/>
  <c r="AI30" i="174"/>
  <c r="AH30" i="174"/>
  <c r="AG30" i="174"/>
  <c r="AF30" i="174"/>
  <c r="AE30" i="174"/>
  <c r="AD30" i="174"/>
  <c r="AC30" i="174"/>
  <c r="AB30" i="174"/>
  <c r="AA30" i="174"/>
  <c r="Z30" i="174"/>
  <c r="Y30" i="174"/>
  <c r="X30" i="174"/>
  <c r="W30" i="174"/>
  <c r="AS29" i="174"/>
  <c r="AR29" i="174"/>
  <c r="AQ29" i="174"/>
  <c r="AP29" i="174"/>
  <c r="AO29" i="174"/>
  <c r="AN29" i="174"/>
  <c r="AM29" i="174"/>
  <c r="AL29" i="174"/>
  <c r="AK29" i="174"/>
  <c r="AJ29" i="174"/>
  <c r="AI29" i="174"/>
  <c r="AH29" i="174"/>
  <c r="AG29" i="174"/>
  <c r="AF29" i="174"/>
  <c r="AE29" i="174"/>
  <c r="AD29" i="174"/>
  <c r="AC29" i="174"/>
  <c r="AB29" i="174"/>
  <c r="AA29" i="174"/>
  <c r="Z29" i="174"/>
  <c r="Y29" i="174"/>
  <c r="X29" i="174"/>
  <c r="W29" i="174"/>
  <c r="AS28" i="174"/>
  <c r="AR28" i="174"/>
  <c r="AQ28" i="174"/>
  <c r="AP28" i="174"/>
  <c r="AO28" i="174"/>
  <c r="AN28" i="174"/>
  <c r="AM28" i="174"/>
  <c r="AL28" i="174"/>
  <c r="AK28" i="174"/>
  <c r="AJ28" i="174"/>
  <c r="AI28" i="174"/>
  <c r="AH28" i="174"/>
  <c r="AG28" i="174"/>
  <c r="AF28" i="174"/>
  <c r="AE28" i="174"/>
  <c r="AD28" i="174"/>
  <c r="AC28" i="174"/>
  <c r="AB28" i="174"/>
  <c r="AA28" i="174"/>
  <c r="Z28" i="174"/>
  <c r="Y28" i="174"/>
  <c r="X28" i="174"/>
  <c r="W28" i="174"/>
  <c r="AS27" i="174"/>
  <c r="AR27" i="174"/>
  <c r="AQ27" i="174"/>
  <c r="AP27" i="174"/>
  <c r="AO27" i="174"/>
  <c r="AN27" i="174"/>
  <c r="AM27" i="174"/>
  <c r="AL27" i="174"/>
  <c r="AK27" i="174"/>
  <c r="AJ27" i="174"/>
  <c r="AI27" i="174"/>
  <c r="AH27" i="174"/>
  <c r="AG27" i="174"/>
  <c r="AF27" i="174"/>
  <c r="AE27" i="174"/>
  <c r="AD27" i="174"/>
  <c r="AC27" i="174"/>
  <c r="AB27" i="174"/>
  <c r="AA27" i="174"/>
  <c r="Z27" i="174"/>
  <c r="Y27" i="174"/>
  <c r="X27" i="174"/>
  <c r="W27" i="174"/>
  <c r="AS26" i="174"/>
  <c r="AR26" i="174"/>
  <c r="AQ26" i="174"/>
  <c r="AP26" i="174"/>
  <c r="AO26" i="174"/>
  <c r="AN26" i="174"/>
  <c r="AM26" i="174"/>
  <c r="AL26" i="174"/>
  <c r="AK26" i="174"/>
  <c r="AJ26" i="174"/>
  <c r="AI26" i="174"/>
  <c r="AH26" i="174"/>
  <c r="AG26" i="174"/>
  <c r="AF26" i="174"/>
  <c r="AE26" i="174"/>
  <c r="AD26" i="174"/>
  <c r="AC26" i="174"/>
  <c r="AB26" i="174"/>
  <c r="AA26" i="174"/>
  <c r="Z26" i="174"/>
  <c r="Y26" i="174"/>
  <c r="X26" i="174"/>
  <c r="W26" i="174"/>
  <c r="AS25" i="174"/>
  <c r="AR25" i="174"/>
  <c r="AQ25" i="174"/>
  <c r="AP25" i="174"/>
  <c r="AO25" i="174"/>
  <c r="AN25" i="174"/>
  <c r="AM25" i="174"/>
  <c r="AL25" i="174"/>
  <c r="AK25" i="174"/>
  <c r="AJ25" i="174"/>
  <c r="AI25" i="174"/>
  <c r="AH25" i="174"/>
  <c r="AG25" i="174"/>
  <c r="AF25" i="174"/>
  <c r="AE25" i="174"/>
  <c r="AD25" i="174"/>
  <c r="AC25" i="174"/>
  <c r="AB25" i="174"/>
  <c r="AA25" i="174"/>
  <c r="Z25" i="174"/>
  <c r="Y25" i="174"/>
  <c r="X25" i="174"/>
  <c r="W25" i="174"/>
  <c r="AS24" i="174"/>
  <c r="AR24" i="174"/>
  <c r="AQ24" i="174"/>
  <c r="AP24" i="174"/>
  <c r="AO24" i="174"/>
  <c r="AN24" i="174"/>
  <c r="AM24" i="174"/>
  <c r="AL24" i="174"/>
  <c r="AK24" i="174"/>
  <c r="AJ24" i="174"/>
  <c r="AI24" i="174"/>
  <c r="AH24" i="174"/>
  <c r="AG24" i="174"/>
  <c r="AF24" i="174"/>
  <c r="AE24" i="174"/>
  <c r="AD24" i="174"/>
  <c r="AC24" i="174"/>
  <c r="AB24" i="174"/>
  <c r="AA24" i="174"/>
  <c r="Z24" i="174"/>
  <c r="Y24" i="174"/>
  <c r="X24" i="174"/>
  <c r="W24" i="174"/>
  <c r="AS23" i="174"/>
  <c r="AR23" i="174"/>
  <c r="AQ23" i="174"/>
  <c r="AP23" i="174"/>
  <c r="AO23" i="174"/>
  <c r="AN23" i="174"/>
  <c r="AM23" i="174"/>
  <c r="AL23" i="174"/>
  <c r="AK23" i="174"/>
  <c r="AJ23" i="174"/>
  <c r="AI23" i="174"/>
  <c r="AH23" i="174"/>
  <c r="AG23" i="174"/>
  <c r="AF23" i="174"/>
  <c r="AE23" i="174"/>
  <c r="AD23" i="174"/>
  <c r="AC23" i="174"/>
  <c r="AB23" i="174"/>
  <c r="AA23" i="174"/>
  <c r="Z23" i="174"/>
  <c r="Y23" i="174"/>
  <c r="X23" i="174"/>
  <c r="W23" i="174"/>
  <c r="AS22" i="174"/>
  <c r="AR22" i="174"/>
  <c r="AQ22" i="174"/>
  <c r="AP22" i="174"/>
  <c r="AO22" i="174"/>
  <c r="AN22" i="174"/>
  <c r="AM22" i="174"/>
  <c r="AL22" i="174"/>
  <c r="AK22" i="174"/>
  <c r="AJ22" i="174"/>
  <c r="AI22" i="174"/>
  <c r="AH22" i="174"/>
  <c r="AG22" i="174"/>
  <c r="AF22" i="174"/>
  <c r="AE22" i="174"/>
  <c r="AD22" i="174"/>
  <c r="AC22" i="174"/>
  <c r="AB22" i="174"/>
  <c r="AA22" i="174"/>
  <c r="Z22" i="174"/>
  <c r="Y22" i="174"/>
  <c r="X22" i="174"/>
  <c r="W22" i="174"/>
  <c r="AS21" i="174"/>
  <c r="AR21" i="174"/>
  <c r="AQ21" i="174"/>
  <c r="AP21" i="174"/>
  <c r="AO21" i="174"/>
  <c r="AN21" i="174"/>
  <c r="AM21" i="174"/>
  <c r="AL21" i="174"/>
  <c r="AK21" i="174"/>
  <c r="AJ21" i="174"/>
  <c r="AI21" i="174"/>
  <c r="AH21" i="174"/>
  <c r="AG21" i="174"/>
  <c r="AF21" i="174"/>
  <c r="AE21" i="174"/>
  <c r="AD21" i="174"/>
  <c r="AC21" i="174"/>
  <c r="AB21" i="174"/>
  <c r="AA21" i="174"/>
  <c r="Z21" i="174"/>
  <c r="Y21" i="174"/>
  <c r="X21" i="174"/>
  <c r="W21" i="174"/>
  <c r="AS20" i="174"/>
  <c r="AR20" i="174"/>
  <c r="AQ20" i="174"/>
  <c r="AP20" i="174"/>
  <c r="AO20" i="174"/>
  <c r="AN20" i="174"/>
  <c r="AM20" i="174"/>
  <c r="AL20" i="174"/>
  <c r="AK20" i="174"/>
  <c r="AJ20" i="174"/>
  <c r="AI20" i="174"/>
  <c r="AH20" i="174"/>
  <c r="AG20" i="174"/>
  <c r="AF20" i="174"/>
  <c r="AE20" i="174"/>
  <c r="AD20" i="174"/>
  <c r="AC20" i="174"/>
  <c r="AB20" i="174"/>
  <c r="AA20" i="174"/>
  <c r="Z20" i="174"/>
  <c r="Y20" i="174"/>
  <c r="X20" i="174"/>
  <c r="W20" i="174"/>
  <c r="AS19" i="174"/>
  <c r="AR19" i="174"/>
  <c r="AQ19" i="174"/>
  <c r="AP19" i="174"/>
  <c r="AO19" i="174"/>
  <c r="AN19" i="174"/>
  <c r="AM19" i="174"/>
  <c r="AL19" i="174"/>
  <c r="AK19" i="174"/>
  <c r="AJ19" i="174"/>
  <c r="AI19" i="174"/>
  <c r="AH19" i="174"/>
  <c r="AG19" i="174"/>
  <c r="AF19" i="174"/>
  <c r="AE19" i="174"/>
  <c r="AD19" i="174"/>
  <c r="AC19" i="174"/>
  <c r="AB19" i="174"/>
  <c r="AA19" i="174"/>
  <c r="Z19" i="174"/>
  <c r="Y19" i="174"/>
  <c r="X19" i="174"/>
  <c r="W19" i="174"/>
  <c r="AS18" i="174"/>
  <c r="AR18" i="174"/>
  <c r="AQ18" i="174"/>
  <c r="AP18" i="174"/>
  <c r="AO18" i="174"/>
  <c r="AN18" i="174"/>
  <c r="AM18" i="174"/>
  <c r="AL18" i="174"/>
  <c r="AK18" i="174"/>
  <c r="AJ18" i="174"/>
  <c r="AI18" i="174"/>
  <c r="AH18" i="174"/>
  <c r="AG18" i="174"/>
  <c r="AF18" i="174"/>
  <c r="AE18" i="174"/>
  <c r="AD18" i="174"/>
  <c r="AC18" i="174"/>
  <c r="AB18" i="174"/>
  <c r="AA18" i="174"/>
  <c r="Z18" i="174"/>
  <c r="Y18" i="174"/>
  <c r="X18" i="174"/>
  <c r="W18" i="174"/>
  <c r="AS17" i="174"/>
  <c r="AR17" i="174"/>
  <c r="AQ17" i="174"/>
  <c r="AP17" i="174"/>
  <c r="AO17" i="174"/>
  <c r="AN17" i="174"/>
  <c r="AM17" i="174"/>
  <c r="AL17" i="174"/>
  <c r="AK17" i="174"/>
  <c r="AJ17" i="174"/>
  <c r="AI17" i="174"/>
  <c r="AH17" i="174"/>
  <c r="AG17" i="174"/>
  <c r="AF17" i="174"/>
  <c r="AE17" i="174"/>
  <c r="AD17" i="174"/>
  <c r="AC17" i="174"/>
  <c r="AB17" i="174"/>
  <c r="AA17" i="174"/>
  <c r="Z17" i="174"/>
  <c r="Y17" i="174"/>
  <c r="X17" i="174"/>
  <c r="W17" i="174"/>
  <c r="AS16" i="174"/>
  <c r="AR16" i="174"/>
  <c r="AQ16" i="174"/>
  <c r="AP16" i="174"/>
  <c r="AO16" i="174"/>
  <c r="AN16" i="174"/>
  <c r="AM16" i="174"/>
  <c r="AL16" i="174"/>
  <c r="AK16" i="174"/>
  <c r="AJ16" i="174"/>
  <c r="AI16" i="174"/>
  <c r="AH16" i="174"/>
  <c r="AG16" i="174"/>
  <c r="AF16" i="174"/>
  <c r="AE16" i="174"/>
  <c r="AD16" i="174"/>
  <c r="AC16" i="174"/>
  <c r="AB16" i="174"/>
  <c r="AA16" i="174"/>
  <c r="Z16" i="174"/>
  <c r="Y16" i="174"/>
  <c r="X16" i="174"/>
  <c r="W16" i="174"/>
  <c r="AS15" i="174"/>
  <c r="AR15" i="174"/>
  <c r="AQ15" i="174"/>
  <c r="AP15" i="174"/>
  <c r="AO15" i="174"/>
  <c r="AN15" i="174"/>
  <c r="AM15" i="174"/>
  <c r="AL15" i="174"/>
  <c r="AK15" i="174"/>
  <c r="AJ15" i="174"/>
  <c r="AI15" i="174"/>
  <c r="AH15" i="174"/>
  <c r="AG15" i="174"/>
  <c r="AF15" i="174"/>
  <c r="AE15" i="174"/>
  <c r="AD15" i="174"/>
  <c r="AC15" i="174"/>
  <c r="AB15" i="174"/>
  <c r="AA15" i="174"/>
  <c r="Z15" i="174"/>
  <c r="Y15" i="174"/>
  <c r="X15" i="174"/>
  <c r="W15" i="174"/>
  <c r="AS14" i="174"/>
  <c r="AR14" i="174"/>
  <c r="AQ14" i="174"/>
  <c r="AP14" i="174"/>
  <c r="AO14" i="174"/>
  <c r="AN14" i="174"/>
  <c r="AM14" i="174"/>
  <c r="AL14" i="174"/>
  <c r="AK14" i="174"/>
  <c r="AJ14" i="174"/>
  <c r="AI14" i="174"/>
  <c r="AH14" i="174"/>
  <c r="AG14" i="174"/>
  <c r="AF14" i="174"/>
  <c r="AE14" i="174"/>
  <c r="AD14" i="174"/>
  <c r="AC14" i="174"/>
  <c r="AB14" i="174"/>
  <c r="AA14" i="174"/>
  <c r="Z14" i="174"/>
  <c r="Y14" i="174"/>
  <c r="X14" i="174"/>
  <c r="W14" i="174"/>
  <c r="AS13" i="174"/>
  <c r="AR13" i="174"/>
  <c r="AQ13" i="174"/>
  <c r="AP13" i="174"/>
  <c r="AO13" i="174"/>
  <c r="AN13" i="174"/>
  <c r="AM13" i="174"/>
  <c r="AL13" i="174"/>
  <c r="AK13" i="174"/>
  <c r="AJ13" i="174"/>
  <c r="AI13" i="174"/>
  <c r="AH13" i="174"/>
  <c r="AG13" i="174"/>
  <c r="AF13" i="174"/>
  <c r="AE13" i="174"/>
  <c r="AD13" i="174"/>
  <c r="AC13" i="174"/>
  <c r="AB13" i="174"/>
  <c r="AA13" i="174"/>
  <c r="Z13" i="174"/>
  <c r="Y13" i="174"/>
  <c r="X13" i="174"/>
  <c r="W13" i="174"/>
  <c r="AS12" i="174"/>
  <c r="AR12" i="174"/>
  <c r="AQ12" i="174"/>
  <c r="AP12" i="174"/>
  <c r="AO12" i="174"/>
  <c r="AN12" i="174"/>
  <c r="AM12" i="174"/>
  <c r="AL12" i="174"/>
  <c r="AK12" i="174"/>
  <c r="AJ12" i="174"/>
  <c r="AI12" i="174"/>
  <c r="AH12" i="174"/>
  <c r="AG12" i="174"/>
  <c r="AF12" i="174"/>
  <c r="AE12" i="174"/>
  <c r="AD12" i="174"/>
  <c r="AC12" i="174"/>
  <c r="AB12" i="174"/>
  <c r="AA12" i="174"/>
  <c r="Z12" i="174"/>
  <c r="Y12" i="174"/>
  <c r="X12" i="174"/>
  <c r="W12" i="174"/>
  <c r="AS11" i="174"/>
  <c r="AR11" i="174"/>
  <c r="AQ11" i="174"/>
  <c r="AP11" i="174"/>
  <c r="AO11" i="174"/>
  <c r="AN11" i="174"/>
  <c r="AM11" i="174"/>
  <c r="AL11" i="174"/>
  <c r="AK11" i="174"/>
  <c r="AJ11" i="174"/>
  <c r="AI11" i="174"/>
  <c r="AH11" i="174"/>
  <c r="AG11" i="174"/>
  <c r="AF11" i="174"/>
  <c r="AE11" i="174"/>
  <c r="AD11" i="174"/>
  <c r="AC11" i="174"/>
  <c r="AB11" i="174"/>
  <c r="AA11" i="174"/>
  <c r="Z11" i="174"/>
  <c r="Y11" i="174"/>
  <c r="X11" i="174"/>
  <c r="W11" i="174"/>
  <c r="AS10" i="174"/>
  <c r="AR10" i="174"/>
  <c r="AQ10" i="174"/>
  <c r="AP10" i="174"/>
  <c r="AO10" i="174"/>
  <c r="AN10" i="174"/>
  <c r="AM10" i="174"/>
  <c r="AL10" i="174"/>
  <c r="AK10" i="174"/>
  <c r="AJ10" i="174"/>
  <c r="AI10" i="174"/>
  <c r="AH10" i="174"/>
  <c r="AG10" i="174"/>
  <c r="AF10" i="174"/>
  <c r="AE10" i="174"/>
  <c r="AD10" i="174"/>
  <c r="AC10" i="174"/>
  <c r="AB10" i="174"/>
  <c r="AA10" i="174"/>
  <c r="Z10" i="174"/>
  <c r="Y10" i="174"/>
  <c r="X10" i="174"/>
  <c r="W10" i="174"/>
  <c r="AS9" i="174"/>
  <c r="AS37" i="174" s="1"/>
  <c r="AR9" i="174"/>
  <c r="AR37" i="174" s="1"/>
  <c r="AQ9" i="174"/>
  <c r="AQ37" i="174" s="1"/>
  <c r="AP9" i="174"/>
  <c r="AO9" i="174"/>
  <c r="AN9" i="174"/>
  <c r="AM9" i="174"/>
  <c r="AL9" i="174"/>
  <c r="AK9" i="174"/>
  <c r="AJ9" i="174"/>
  <c r="AI9" i="174"/>
  <c r="AH9" i="174"/>
  <c r="AG9" i="174"/>
  <c r="AF9" i="174"/>
  <c r="AE9" i="174"/>
  <c r="AD9" i="174"/>
  <c r="AC9" i="174"/>
  <c r="AB9" i="174"/>
  <c r="AA9" i="174"/>
  <c r="Z9" i="174"/>
  <c r="Y9" i="174"/>
  <c r="X9" i="174"/>
  <c r="W9" i="174"/>
  <c r="AS8" i="174"/>
  <c r="AR8" i="174"/>
  <c r="AQ8" i="174"/>
  <c r="AP8" i="174"/>
  <c r="AO8" i="174"/>
  <c r="AN8" i="174"/>
  <c r="AM8" i="174"/>
  <c r="AL8" i="174"/>
  <c r="AK8" i="174"/>
  <c r="AJ8" i="174"/>
  <c r="AI8" i="174"/>
  <c r="AH8" i="174"/>
  <c r="AG8" i="174"/>
  <c r="AG37" i="174" s="1"/>
  <c r="AF8" i="174"/>
  <c r="AF37" i="174" s="1"/>
  <c r="AE8" i="174"/>
  <c r="AE37" i="174" s="1"/>
  <c r="AD8" i="174"/>
  <c r="AD37" i="174" s="1"/>
  <c r="AC8" i="174"/>
  <c r="AB8" i="174"/>
  <c r="AA8" i="174"/>
  <c r="Z8" i="174"/>
  <c r="Y8" i="174"/>
  <c r="X8" i="174"/>
  <c r="W8" i="174"/>
  <c r="AS7" i="174"/>
  <c r="AR7" i="174"/>
  <c r="AQ7" i="174"/>
  <c r="AP7" i="174"/>
  <c r="AO7" i="174"/>
  <c r="AN7" i="174"/>
  <c r="AM7" i="174"/>
  <c r="AL7" i="174"/>
  <c r="AK7" i="174"/>
  <c r="AJ7" i="174"/>
  <c r="AI7" i="174"/>
  <c r="AH7" i="174"/>
  <c r="AG7" i="174"/>
  <c r="AF7" i="174"/>
  <c r="AE7" i="174"/>
  <c r="AD7" i="174"/>
  <c r="AC7" i="174"/>
  <c r="AB7" i="174"/>
  <c r="AA7" i="174"/>
  <c r="Z7" i="174"/>
  <c r="Y7" i="174"/>
  <c r="X7" i="174"/>
  <c r="W7" i="174"/>
  <c r="AU37" i="174"/>
  <c r="AT37" i="174"/>
  <c r="AP37" i="174"/>
  <c r="T2" i="174"/>
  <c r="Q2" i="174"/>
  <c r="P2" i="174"/>
  <c r="N2" i="174"/>
  <c r="L2" i="174"/>
  <c r="K2" i="174"/>
  <c r="J2" i="174"/>
  <c r="I2" i="174"/>
  <c r="H2" i="174"/>
  <c r="G2" i="174"/>
  <c r="F2" i="174"/>
  <c r="E2" i="174"/>
  <c r="D2" i="174"/>
  <c r="C2" i="174"/>
  <c r="AU37" i="173"/>
  <c r="AT37" i="173"/>
  <c r="AS37" i="173"/>
  <c r="AR37" i="173"/>
  <c r="AQ37" i="173"/>
  <c r="AP37" i="173"/>
  <c r="AO37" i="173"/>
  <c r="AN37" i="173"/>
  <c r="AM37" i="173"/>
  <c r="AL37" i="173"/>
  <c r="AK37" i="173"/>
  <c r="AJ37" i="173"/>
  <c r="AI37" i="173"/>
  <c r="AH37" i="173"/>
  <c r="AG37" i="173"/>
  <c r="AF37" i="173"/>
  <c r="AE37" i="173"/>
  <c r="AD37" i="173"/>
  <c r="AC37" i="173"/>
  <c r="AB37" i="173"/>
  <c r="AA37" i="173"/>
  <c r="Z37" i="173"/>
  <c r="Y37" i="173"/>
  <c r="X37" i="173"/>
  <c r="W37" i="173"/>
  <c r="T2" i="173"/>
  <c r="T27" i="173" s="1"/>
  <c r="Q2" i="173"/>
  <c r="Q28" i="173" s="1"/>
  <c r="P2" i="173"/>
  <c r="N2" i="173"/>
  <c r="N35" i="173" s="1"/>
  <c r="L2" i="173"/>
  <c r="L36" i="173" s="1"/>
  <c r="K2" i="173"/>
  <c r="K36" i="173" s="1"/>
  <c r="J2" i="173"/>
  <c r="J36" i="173" s="1"/>
  <c r="I2" i="173"/>
  <c r="H2" i="173"/>
  <c r="H20" i="173" s="1"/>
  <c r="G2" i="173"/>
  <c r="F2" i="173"/>
  <c r="E2" i="173"/>
  <c r="D2" i="173"/>
  <c r="C2" i="173"/>
  <c r="C34" i="173" s="1"/>
  <c r="AU37" i="172"/>
  <c r="AT37" i="172"/>
  <c r="AS37" i="172"/>
  <c r="AR37" i="172"/>
  <c r="AQ37" i="172"/>
  <c r="AP37" i="172"/>
  <c r="AO37" i="172"/>
  <c r="AN37" i="172"/>
  <c r="AM37" i="172"/>
  <c r="AL37" i="172"/>
  <c r="AK37" i="172"/>
  <c r="AJ37" i="172"/>
  <c r="AI37" i="172"/>
  <c r="AH37" i="172"/>
  <c r="AG37" i="172"/>
  <c r="AF37" i="172"/>
  <c r="AE37" i="172"/>
  <c r="AD37" i="172"/>
  <c r="AC37" i="172"/>
  <c r="AB37" i="172"/>
  <c r="AA37" i="172"/>
  <c r="Z37" i="172"/>
  <c r="Y37" i="172"/>
  <c r="X37" i="172"/>
  <c r="W37" i="172"/>
  <c r="T2" i="172"/>
  <c r="T36" i="172" s="1"/>
  <c r="Q2" i="172"/>
  <c r="Q29" i="172" s="1"/>
  <c r="P2" i="172"/>
  <c r="P35" i="172" s="1"/>
  <c r="N2" i="172"/>
  <c r="L2" i="172"/>
  <c r="L13" i="172" s="1"/>
  <c r="K2" i="172"/>
  <c r="K18" i="172" s="1"/>
  <c r="J2" i="172"/>
  <c r="I2" i="172"/>
  <c r="H2" i="172"/>
  <c r="H33" i="172" s="1"/>
  <c r="G2" i="172"/>
  <c r="G7" i="172" s="1"/>
  <c r="F2" i="172"/>
  <c r="F25" i="172" s="1"/>
  <c r="E2" i="172"/>
  <c r="D2" i="172"/>
  <c r="C2" i="172"/>
  <c r="AU37" i="171"/>
  <c r="AT37" i="171"/>
  <c r="AS37" i="171"/>
  <c r="AR37" i="171"/>
  <c r="AQ37" i="171"/>
  <c r="AP37" i="171"/>
  <c r="AO37" i="171"/>
  <c r="AN37" i="171"/>
  <c r="AM37" i="171"/>
  <c r="AL37" i="171"/>
  <c r="AK37" i="171"/>
  <c r="AJ37" i="171"/>
  <c r="AI37" i="171"/>
  <c r="AH37" i="171"/>
  <c r="AG37" i="171"/>
  <c r="AF37" i="171"/>
  <c r="AE37" i="171"/>
  <c r="AD37" i="171"/>
  <c r="AC37" i="171"/>
  <c r="AB37" i="171"/>
  <c r="AA37" i="171"/>
  <c r="Z37" i="171"/>
  <c r="Y37" i="171"/>
  <c r="X37" i="171"/>
  <c r="W37" i="171"/>
  <c r="T2" i="171"/>
  <c r="Q2" i="171"/>
  <c r="P2" i="171"/>
  <c r="P12" i="171" s="1"/>
  <c r="N2" i="171"/>
  <c r="N32" i="171" s="1"/>
  <c r="L2" i="171"/>
  <c r="L33" i="171" s="1"/>
  <c r="K2" i="171"/>
  <c r="K36" i="171" s="1"/>
  <c r="J2" i="171"/>
  <c r="J22" i="171" s="1"/>
  <c r="I2" i="171"/>
  <c r="I36" i="171" s="1"/>
  <c r="H2" i="171"/>
  <c r="G2" i="171"/>
  <c r="G29" i="171" s="1"/>
  <c r="F2" i="171"/>
  <c r="F33" i="171" s="1"/>
  <c r="E2" i="171"/>
  <c r="E22" i="171" s="1"/>
  <c r="D2" i="171"/>
  <c r="D10" i="171" s="1"/>
  <c r="C2" i="171"/>
  <c r="C20" i="171" s="1"/>
  <c r="AU37" i="170"/>
  <c r="AT37" i="170"/>
  <c r="AS37" i="170"/>
  <c r="AR37" i="170"/>
  <c r="AQ37" i="170"/>
  <c r="AP37" i="170"/>
  <c r="AO37" i="170"/>
  <c r="AN37" i="170"/>
  <c r="AM37" i="170"/>
  <c r="AL37" i="170"/>
  <c r="AK37" i="170"/>
  <c r="AJ37" i="170"/>
  <c r="AI37" i="170"/>
  <c r="AH37" i="170"/>
  <c r="AG37" i="170"/>
  <c r="AF37" i="170"/>
  <c r="AE37" i="170"/>
  <c r="AD37" i="170"/>
  <c r="AC37" i="170"/>
  <c r="AB37" i="170"/>
  <c r="AA37" i="170"/>
  <c r="Z37" i="170"/>
  <c r="Y37" i="170"/>
  <c r="X37" i="170"/>
  <c r="W37" i="170"/>
  <c r="T2" i="170"/>
  <c r="T12" i="170" s="1"/>
  <c r="Q2" i="170"/>
  <c r="P2" i="170"/>
  <c r="N2" i="170"/>
  <c r="N13" i="170" s="1"/>
  <c r="L2" i="170"/>
  <c r="K2" i="170"/>
  <c r="J2" i="170"/>
  <c r="I2" i="170"/>
  <c r="I11" i="170" s="1"/>
  <c r="H2" i="170"/>
  <c r="H15" i="170" s="1"/>
  <c r="G2" i="170"/>
  <c r="F2" i="170"/>
  <c r="E2" i="170"/>
  <c r="E7" i="170" s="1"/>
  <c r="D2" i="170"/>
  <c r="D22" i="170" s="1"/>
  <c r="C2" i="170"/>
  <c r="AU37" i="169"/>
  <c r="AT37" i="169"/>
  <c r="AS37" i="169"/>
  <c r="AR37" i="169"/>
  <c r="AQ37" i="169"/>
  <c r="AP37" i="169"/>
  <c r="AO37" i="169"/>
  <c r="AN37" i="169"/>
  <c r="AM37" i="169"/>
  <c r="AL37" i="169"/>
  <c r="AK37" i="169"/>
  <c r="AJ37" i="169"/>
  <c r="AI37" i="169"/>
  <c r="AH37" i="169"/>
  <c r="AG37" i="169"/>
  <c r="AF37" i="169"/>
  <c r="AE37" i="169"/>
  <c r="AD37" i="169"/>
  <c r="AC37" i="169"/>
  <c r="AB37" i="169"/>
  <c r="AA37" i="169"/>
  <c r="Z37" i="169"/>
  <c r="Y37" i="169"/>
  <c r="X37" i="169"/>
  <c r="W37" i="169"/>
  <c r="T2" i="169"/>
  <c r="Q2" i="169"/>
  <c r="Q31" i="169" s="1"/>
  <c r="P2" i="169"/>
  <c r="P26" i="169" s="1"/>
  <c r="N2" i="169"/>
  <c r="N33" i="169" s="1"/>
  <c r="L2" i="169"/>
  <c r="L13" i="169" s="1"/>
  <c r="K2" i="169"/>
  <c r="J2" i="169"/>
  <c r="J33" i="169" s="1"/>
  <c r="I2" i="169"/>
  <c r="H2" i="169"/>
  <c r="H29" i="169" s="1"/>
  <c r="G2" i="169"/>
  <c r="G26" i="169" s="1"/>
  <c r="F2" i="169"/>
  <c r="F26" i="169" s="1"/>
  <c r="E2" i="169"/>
  <c r="D2" i="169"/>
  <c r="D31" i="169" s="1"/>
  <c r="C2" i="169"/>
  <c r="C16" i="169" s="1"/>
  <c r="AU37" i="168"/>
  <c r="AT37" i="168"/>
  <c r="AS37" i="168"/>
  <c r="AR37" i="168"/>
  <c r="AQ37" i="168"/>
  <c r="AP37" i="168"/>
  <c r="AO37" i="168"/>
  <c r="AN37" i="168"/>
  <c r="AM37" i="168"/>
  <c r="AL37" i="168"/>
  <c r="AK37" i="168"/>
  <c r="AJ37" i="168"/>
  <c r="AI37" i="168"/>
  <c r="AH37" i="168"/>
  <c r="AG37" i="168"/>
  <c r="AF37" i="168"/>
  <c r="AE37" i="168"/>
  <c r="AD37" i="168"/>
  <c r="AC37" i="168"/>
  <c r="AB37" i="168"/>
  <c r="AA37" i="168"/>
  <c r="Z37" i="168"/>
  <c r="Y37" i="168"/>
  <c r="X37" i="168"/>
  <c r="W37" i="168"/>
  <c r="C30" i="168"/>
  <c r="T2" i="168"/>
  <c r="Q2" i="168"/>
  <c r="P2" i="168"/>
  <c r="P16" i="168" s="1"/>
  <c r="N2" i="168"/>
  <c r="N34" i="168" s="1"/>
  <c r="L2" i="168"/>
  <c r="K2" i="168"/>
  <c r="K8" i="168" s="1"/>
  <c r="J2" i="168"/>
  <c r="J33" i="168" s="1"/>
  <c r="I2" i="168"/>
  <c r="H2" i="168"/>
  <c r="H33" i="168" s="1"/>
  <c r="G2" i="168"/>
  <c r="F2" i="168"/>
  <c r="F36" i="168" s="1"/>
  <c r="E2" i="168"/>
  <c r="D2" i="168"/>
  <c r="C2" i="168"/>
  <c r="C31" i="168" s="1"/>
  <c r="AS36" i="167"/>
  <c r="AR36" i="167"/>
  <c r="AQ36" i="167"/>
  <c r="AP36" i="167"/>
  <c r="AO36" i="167"/>
  <c r="AN36" i="167"/>
  <c r="AM36" i="167"/>
  <c r="AL36" i="167"/>
  <c r="AK36" i="167"/>
  <c r="AJ36" i="167"/>
  <c r="AI36" i="167"/>
  <c r="AH36" i="167"/>
  <c r="AG36" i="167"/>
  <c r="AF36" i="167"/>
  <c r="AE36" i="167"/>
  <c r="AD36" i="167"/>
  <c r="AC36" i="167"/>
  <c r="AB36" i="167"/>
  <c r="AA36" i="167"/>
  <c r="Z36" i="167"/>
  <c r="Y36" i="167"/>
  <c r="X36" i="167"/>
  <c r="W36" i="167"/>
  <c r="AS35" i="167"/>
  <c r="AR35" i="167"/>
  <c r="AQ35" i="167"/>
  <c r="AP35" i="167"/>
  <c r="AO35" i="167"/>
  <c r="AN35" i="167"/>
  <c r="AM35" i="167"/>
  <c r="AL35" i="167"/>
  <c r="AK35" i="167"/>
  <c r="AJ35" i="167"/>
  <c r="AI35" i="167"/>
  <c r="AH35" i="167"/>
  <c r="AG35" i="167"/>
  <c r="AF35" i="167"/>
  <c r="AE35" i="167"/>
  <c r="AD35" i="167"/>
  <c r="AC35" i="167"/>
  <c r="AB35" i="167"/>
  <c r="AA35" i="167"/>
  <c r="Z35" i="167"/>
  <c r="Y35" i="167"/>
  <c r="X35" i="167"/>
  <c r="W35" i="167"/>
  <c r="AS34" i="167"/>
  <c r="AR34" i="167"/>
  <c r="AQ34" i="167"/>
  <c r="AP34" i="167"/>
  <c r="AO34" i="167"/>
  <c r="AN34" i="167"/>
  <c r="AM34" i="167"/>
  <c r="AL34" i="167"/>
  <c r="AK34" i="167"/>
  <c r="AJ34" i="167"/>
  <c r="AI34" i="167"/>
  <c r="AH34" i="167"/>
  <c r="AG34" i="167"/>
  <c r="AF34" i="167"/>
  <c r="AE34" i="167"/>
  <c r="AD34" i="167"/>
  <c r="AC34" i="167"/>
  <c r="AB34" i="167"/>
  <c r="AA34" i="167"/>
  <c r="Z34" i="167"/>
  <c r="Y34" i="167"/>
  <c r="X34" i="167"/>
  <c r="W34" i="167"/>
  <c r="AS33" i="167"/>
  <c r="AR33" i="167"/>
  <c r="AQ33" i="167"/>
  <c r="AP33" i="167"/>
  <c r="AO33" i="167"/>
  <c r="AN33" i="167"/>
  <c r="AM33" i="167"/>
  <c r="AL33" i="167"/>
  <c r="AK33" i="167"/>
  <c r="AJ33" i="167"/>
  <c r="AI33" i="167"/>
  <c r="AH33" i="167"/>
  <c r="AG33" i="167"/>
  <c r="AF33" i="167"/>
  <c r="AE33" i="167"/>
  <c r="AD33" i="167"/>
  <c r="AC33" i="167"/>
  <c r="AB33" i="167"/>
  <c r="AA33" i="167"/>
  <c r="Z33" i="167"/>
  <c r="Y33" i="167"/>
  <c r="X33" i="167"/>
  <c r="W33" i="167"/>
  <c r="AS32" i="167"/>
  <c r="AR32" i="167"/>
  <c r="AQ32" i="167"/>
  <c r="AP32" i="167"/>
  <c r="AO32" i="167"/>
  <c r="AN32" i="167"/>
  <c r="AM32" i="167"/>
  <c r="AL32" i="167"/>
  <c r="AK32" i="167"/>
  <c r="AJ32" i="167"/>
  <c r="AI32" i="167"/>
  <c r="AH32" i="167"/>
  <c r="AG32" i="167"/>
  <c r="AF32" i="167"/>
  <c r="AE32" i="167"/>
  <c r="AD32" i="167"/>
  <c r="AC32" i="167"/>
  <c r="AB32" i="167"/>
  <c r="AA32" i="167"/>
  <c r="Z32" i="167"/>
  <c r="Y32" i="167"/>
  <c r="X32" i="167"/>
  <c r="W32" i="167"/>
  <c r="AS31" i="167"/>
  <c r="AR31" i="167"/>
  <c r="AQ31" i="167"/>
  <c r="AP31" i="167"/>
  <c r="AO31" i="167"/>
  <c r="AN31" i="167"/>
  <c r="AM31" i="167"/>
  <c r="AL31" i="167"/>
  <c r="AK31" i="167"/>
  <c r="AJ31" i="167"/>
  <c r="AI31" i="167"/>
  <c r="AH31" i="167"/>
  <c r="AG31" i="167"/>
  <c r="AF31" i="167"/>
  <c r="AE31" i="167"/>
  <c r="AD31" i="167"/>
  <c r="AC31" i="167"/>
  <c r="AB31" i="167"/>
  <c r="AA31" i="167"/>
  <c r="Z31" i="167"/>
  <c r="Y31" i="167"/>
  <c r="X31" i="167"/>
  <c r="W31" i="167"/>
  <c r="AS30" i="167"/>
  <c r="AR30" i="167"/>
  <c r="AQ30" i="167"/>
  <c r="AP30" i="167"/>
  <c r="AO30" i="167"/>
  <c r="AN30" i="167"/>
  <c r="AM30" i="167"/>
  <c r="AL30" i="167"/>
  <c r="AK30" i="167"/>
  <c r="AJ30" i="167"/>
  <c r="AI30" i="167"/>
  <c r="AH30" i="167"/>
  <c r="AG30" i="167"/>
  <c r="AF30" i="167"/>
  <c r="AE30" i="167"/>
  <c r="AD30" i="167"/>
  <c r="AC30" i="167"/>
  <c r="AB30" i="167"/>
  <c r="AA30" i="167"/>
  <c r="Z30" i="167"/>
  <c r="Y30" i="167"/>
  <c r="X30" i="167"/>
  <c r="W30" i="167"/>
  <c r="AS29" i="167"/>
  <c r="AR29" i="167"/>
  <c r="AQ29" i="167"/>
  <c r="AP29" i="167"/>
  <c r="AO29" i="167"/>
  <c r="AN29" i="167"/>
  <c r="AM29" i="167"/>
  <c r="AL29" i="167"/>
  <c r="AK29" i="167"/>
  <c r="AJ29" i="167"/>
  <c r="AI29" i="167"/>
  <c r="AH29" i="167"/>
  <c r="AG29" i="167"/>
  <c r="AF29" i="167"/>
  <c r="AE29" i="167"/>
  <c r="AD29" i="167"/>
  <c r="AC29" i="167"/>
  <c r="AB29" i="167"/>
  <c r="AA29" i="167"/>
  <c r="Z29" i="167"/>
  <c r="Y29" i="167"/>
  <c r="X29" i="167"/>
  <c r="W29" i="167"/>
  <c r="AS28" i="167"/>
  <c r="AR28" i="167"/>
  <c r="AQ28" i="167"/>
  <c r="AP28" i="167"/>
  <c r="AO28" i="167"/>
  <c r="AN28" i="167"/>
  <c r="AM28" i="167"/>
  <c r="AL28" i="167"/>
  <c r="AK28" i="167"/>
  <c r="AJ28" i="167"/>
  <c r="AI28" i="167"/>
  <c r="AH28" i="167"/>
  <c r="AG28" i="167"/>
  <c r="AF28" i="167"/>
  <c r="AE28" i="167"/>
  <c r="AD28" i="167"/>
  <c r="AC28" i="167"/>
  <c r="AB28" i="167"/>
  <c r="AA28" i="167"/>
  <c r="Z28" i="167"/>
  <c r="Y28" i="167"/>
  <c r="X28" i="167"/>
  <c r="W28" i="167"/>
  <c r="AS27" i="167"/>
  <c r="AR27" i="167"/>
  <c r="AQ27" i="167"/>
  <c r="AP27" i="167"/>
  <c r="AO27" i="167"/>
  <c r="AN27" i="167"/>
  <c r="AM27" i="167"/>
  <c r="AL27" i="167"/>
  <c r="AK27" i="167"/>
  <c r="AJ27" i="167"/>
  <c r="AI27" i="167"/>
  <c r="AH27" i="167"/>
  <c r="AG27" i="167"/>
  <c r="AF27" i="167"/>
  <c r="AE27" i="167"/>
  <c r="AD27" i="167"/>
  <c r="AC27" i="167"/>
  <c r="AB27" i="167"/>
  <c r="AA27" i="167"/>
  <c r="Z27" i="167"/>
  <c r="Y27" i="167"/>
  <c r="X27" i="167"/>
  <c r="W27" i="167"/>
  <c r="AS26" i="167"/>
  <c r="AR26" i="167"/>
  <c r="AQ26" i="167"/>
  <c r="AP26" i="167"/>
  <c r="AO26" i="167"/>
  <c r="AN26" i="167"/>
  <c r="AM26" i="167"/>
  <c r="AL26" i="167"/>
  <c r="AK26" i="167"/>
  <c r="AJ26" i="167"/>
  <c r="AI26" i="167"/>
  <c r="AH26" i="167"/>
  <c r="AG26" i="167"/>
  <c r="AF26" i="167"/>
  <c r="AE26" i="167"/>
  <c r="AD26" i="167"/>
  <c r="AC26" i="167"/>
  <c r="AB26" i="167"/>
  <c r="AA26" i="167"/>
  <c r="Z26" i="167"/>
  <c r="Y26" i="167"/>
  <c r="X26" i="167"/>
  <c r="W26" i="167"/>
  <c r="AS25" i="167"/>
  <c r="AR25" i="167"/>
  <c r="AQ25" i="167"/>
  <c r="AP25" i="167"/>
  <c r="AO25" i="167"/>
  <c r="AN25" i="167"/>
  <c r="AM25" i="167"/>
  <c r="AL25" i="167"/>
  <c r="AK25" i="167"/>
  <c r="AJ25" i="167"/>
  <c r="AI25" i="167"/>
  <c r="AH25" i="167"/>
  <c r="AG25" i="167"/>
  <c r="AF25" i="167"/>
  <c r="AE25" i="167"/>
  <c r="AD25" i="167"/>
  <c r="AC25" i="167"/>
  <c r="AB25" i="167"/>
  <c r="AA25" i="167"/>
  <c r="Z25" i="167"/>
  <c r="Y25" i="167"/>
  <c r="X25" i="167"/>
  <c r="W25" i="167"/>
  <c r="AS24" i="167"/>
  <c r="AR24" i="167"/>
  <c r="AQ24" i="167"/>
  <c r="AP24" i="167"/>
  <c r="AO24" i="167"/>
  <c r="AN24" i="167"/>
  <c r="AM24" i="167"/>
  <c r="AL24" i="167"/>
  <c r="AK24" i="167"/>
  <c r="AJ24" i="167"/>
  <c r="AI24" i="167"/>
  <c r="AH24" i="167"/>
  <c r="AG24" i="167"/>
  <c r="AF24" i="167"/>
  <c r="AE24" i="167"/>
  <c r="AD24" i="167"/>
  <c r="AC24" i="167"/>
  <c r="AB24" i="167"/>
  <c r="AA24" i="167"/>
  <c r="Z24" i="167"/>
  <c r="Y24" i="167"/>
  <c r="X24" i="167"/>
  <c r="W24" i="167"/>
  <c r="AS23" i="167"/>
  <c r="AR23" i="167"/>
  <c r="AQ23" i="167"/>
  <c r="AP23" i="167"/>
  <c r="AO23" i="167"/>
  <c r="AN23" i="167"/>
  <c r="AM23" i="167"/>
  <c r="AL23" i="167"/>
  <c r="AK23" i="167"/>
  <c r="AJ23" i="167"/>
  <c r="AI23" i="167"/>
  <c r="AH23" i="167"/>
  <c r="AG23" i="167"/>
  <c r="AF23" i="167"/>
  <c r="AE23" i="167"/>
  <c r="AD23" i="167"/>
  <c r="AC23" i="167"/>
  <c r="AB23" i="167"/>
  <c r="AA23" i="167"/>
  <c r="Z23" i="167"/>
  <c r="Y23" i="167"/>
  <c r="X23" i="167"/>
  <c r="W23" i="167"/>
  <c r="AS22" i="167"/>
  <c r="AR22" i="167"/>
  <c r="AQ22" i="167"/>
  <c r="AP22" i="167"/>
  <c r="AO22" i="167"/>
  <c r="AN22" i="167"/>
  <c r="AM22" i="167"/>
  <c r="AL22" i="167"/>
  <c r="AK22" i="167"/>
  <c r="AJ22" i="167"/>
  <c r="AI22" i="167"/>
  <c r="AH22" i="167"/>
  <c r="AG22" i="167"/>
  <c r="AF22" i="167"/>
  <c r="AE22" i="167"/>
  <c r="AD22" i="167"/>
  <c r="AC22" i="167"/>
  <c r="AB22" i="167"/>
  <c r="AA22" i="167"/>
  <c r="Z22" i="167"/>
  <c r="Y22" i="167"/>
  <c r="X22" i="167"/>
  <c r="W22" i="167"/>
  <c r="AS21" i="167"/>
  <c r="AR21" i="167"/>
  <c r="AQ21" i="167"/>
  <c r="AP21" i="167"/>
  <c r="AO21" i="167"/>
  <c r="AN21" i="167"/>
  <c r="AM21" i="167"/>
  <c r="AL21" i="167"/>
  <c r="AK21" i="167"/>
  <c r="AJ21" i="167"/>
  <c r="AI21" i="167"/>
  <c r="AH21" i="167"/>
  <c r="AG21" i="167"/>
  <c r="AF21" i="167"/>
  <c r="AE21" i="167"/>
  <c r="AD21" i="167"/>
  <c r="AC21" i="167"/>
  <c r="AB21" i="167"/>
  <c r="AA21" i="167"/>
  <c r="Z21" i="167"/>
  <c r="Y21" i="167"/>
  <c r="X21" i="167"/>
  <c r="W21" i="167"/>
  <c r="AS20" i="167"/>
  <c r="AR20" i="167"/>
  <c r="AQ20" i="167"/>
  <c r="AP20" i="167"/>
  <c r="AO20" i="167"/>
  <c r="AN20" i="167"/>
  <c r="AM20" i="167"/>
  <c r="AL20" i="167"/>
  <c r="AK20" i="167"/>
  <c r="AJ20" i="167"/>
  <c r="AI20" i="167"/>
  <c r="AH20" i="167"/>
  <c r="AG20" i="167"/>
  <c r="AF20" i="167"/>
  <c r="AE20" i="167"/>
  <c r="AD20" i="167"/>
  <c r="AC20" i="167"/>
  <c r="AB20" i="167"/>
  <c r="AA20" i="167"/>
  <c r="Z20" i="167"/>
  <c r="Y20" i="167"/>
  <c r="X20" i="167"/>
  <c r="W20" i="167"/>
  <c r="AS19" i="167"/>
  <c r="AR19" i="167"/>
  <c r="AQ19" i="167"/>
  <c r="AP19" i="167"/>
  <c r="AO19" i="167"/>
  <c r="AN19" i="167"/>
  <c r="AM19" i="167"/>
  <c r="AL19" i="167"/>
  <c r="AK19" i="167"/>
  <c r="AJ19" i="167"/>
  <c r="AI19" i="167"/>
  <c r="AH19" i="167"/>
  <c r="AG19" i="167"/>
  <c r="AF19" i="167"/>
  <c r="AE19" i="167"/>
  <c r="AD19" i="167"/>
  <c r="AC19" i="167"/>
  <c r="AB19" i="167"/>
  <c r="AA19" i="167"/>
  <c r="Z19" i="167"/>
  <c r="Y19" i="167"/>
  <c r="X19" i="167"/>
  <c r="W19" i="167"/>
  <c r="AS18" i="167"/>
  <c r="AR18" i="167"/>
  <c r="AQ18" i="167"/>
  <c r="AP18" i="167"/>
  <c r="AO18" i="167"/>
  <c r="AN18" i="167"/>
  <c r="AM18" i="167"/>
  <c r="AL18" i="167"/>
  <c r="AK18" i="167"/>
  <c r="AJ18" i="167"/>
  <c r="AI18" i="167"/>
  <c r="AH18" i="167"/>
  <c r="AG18" i="167"/>
  <c r="AF18" i="167"/>
  <c r="AE18" i="167"/>
  <c r="AD18" i="167"/>
  <c r="AC18" i="167"/>
  <c r="AB18" i="167"/>
  <c r="AA18" i="167"/>
  <c r="Z18" i="167"/>
  <c r="Y18" i="167"/>
  <c r="X18" i="167"/>
  <c r="W18" i="167"/>
  <c r="AS17" i="167"/>
  <c r="AR17" i="167"/>
  <c r="AQ17" i="167"/>
  <c r="AP17" i="167"/>
  <c r="AO17" i="167"/>
  <c r="AN17" i="167"/>
  <c r="AM17" i="167"/>
  <c r="AL17" i="167"/>
  <c r="AK17" i="167"/>
  <c r="AJ17" i="167"/>
  <c r="AI17" i="167"/>
  <c r="AH17" i="167"/>
  <c r="AG17" i="167"/>
  <c r="AF17" i="167"/>
  <c r="AE17" i="167"/>
  <c r="AD17" i="167"/>
  <c r="AC17" i="167"/>
  <c r="AB17" i="167"/>
  <c r="AA17" i="167"/>
  <c r="Z17" i="167"/>
  <c r="Y17" i="167"/>
  <c r="X17" i="167"/>
  <c r="W17" i="167"/>
  <c r="AS16" i="167"/>
  <c r="AR16" i="167"/>
  <c r="AQ16" i="167"/>
  <c r="AP16" i="167"/>
  <c r="AO16" i="167"/>
  <c r="AN16" i="167"/>
  <c r="AM16" i="167"/>
  <c r="AL16" i="167"/>
  <c r="AK16" i="167"/>
  <c r="AJ16" i="167"/>
  <c r="AI16" i="167"/>
  <c r="AH16" i="167"/>
  <c r="AG16" i="167"/>
  <c r="AF16" i="167"/>
  <c r="AE16" i="167"/>
  <c r="AD16" i="167"/>
  <c r="AC16" i="167"/>
  <c r="AB16" i="167"/>
  <c r="AA16" i="167"/>
  <c r="Z16" i="167"/>
  <c r="Y16" i="167"/>
  <c r="X16" i="167"/>
  <c r="W16" i="167"/>
  <c r="AS15" i="167"/>
  <c r="AR15" i="167"/>
  <c r="AQ15" i="167"/>
  <c r="AP15" i="167"/>
  <c r="AO15" i="167"/>
  <c r="AN15" i="167"/>
  <c r="AM15" i="167"/>
  <c r="AL15" i="167"/>
  <c r="AK15" i="167"/>
  <c r="AJ15" i="167"/>
  <c r="AI15" i="167"/>
  <c r="AH15" i="167"/>
  <c r="AG15" i="167"/>
  <c r="AF15" i="167"/>
  <c r="AE15" i="167"/>
  <c r="AD15" i="167"/>
  <c r="AC15" i="167"/>
  <c r="AB15" i="167"/>
  <c r="AA15" i="167"/>
  <c r="Z15" i="167"/>
  <c r="Y15" i="167"/>
  <c r="X15" i="167"/>
  <c r="W15" i="167"/>
  <c r="AS14" i="167"/>
  <c r="AR14" i="167"/>
  <c r="AQ14" i="167"/>
  <c r="AP14" i="167"/>
  <c r="AO14" i="167"/>
  <c r="AN14" i="167"/>
  <c r="AM14" i="167"/>
  <c r="AL14" i="167"/>
  <c r="AK14" i="167"/>
  <c r="AJ14" i="167"/>
  <c r="AI14" i="167"/>
  <c r="AH14" i="167"/>
  <c r="AG14" i="167"/>
  <c r="AF14" i="167"/>
  <c r="AE14" i="167"/>
  <c r="AD14" i="167"/>
  <c r="AC14" i="167"/>
  <c r="AB14" i="167"/>
  <c r="AA14" i="167"/>
  <c r="Z14" i="167"/>
  <c r="Y14" i="167"/>
  <c r="X14" i="167"/>
  <c r="W14" i="167"/>
  <c r="AS13" i="167"/>
  <c r="AR13" i="167"/>
  <c r="AQ13" i="167"/>
  <c r="AP13" i="167"/>
  <c r="AO13" i="167"/>
  <c r="AN13" i="167"/>
  <c r="AM13" i="167"/>
  <c r="AL13" i="167"/>
  <c r="AK13" i="167"/>
  <c r="AJ13" i="167"/>
  <c r="AI13" i="167"/>
  <c r="AH13" i="167"/>
  <c r="AG13" i="167"/>
  <c r="AF13" i="167"/>
  <c r="AE13" i="167"/>
  <c r="AD13" i="167"/>
  <c r="AC13" i="167"/>
  <c r="AB13" i="167"/>
  <c r="AA13" i="167"/>
  <c r="Z13" i="167"/>
  <c r="Y13" i="167"/>
  <c r="X13" i="167"/>
  <c r="W13" i="167"/>
  <c r="AS12" i="167"/>
  <c r="AR12" i="167"/>
  <c r="AQ12" i="167"/>
  <c r="AP12" i="167"/>
  <c r="AO12" i="167"/>
  <c r="AN12" i="167"/>
  <c r="AM12" i="167"/>
  <c r="AL12" i="167"/>
  <c r="AK12" i="167"/>
  <c r="AJ12" i="167"/>
  <c r="AI12" i="167"/>
  <c r="AH12" i="167"/>
  <c r="AG12" i="167"/>
  <c r="AF12" i="167"/>
  <c r="AE12" i="167"/>
  <c r="AD12" i="167"/>
  <c r="AC12" i="167"/>
  <c r="AB12" i="167"/>
  <c r="AA12" i="167"/>
  <c r="Z12" i="167"/>
  <c r="Y12" i="167"/>
  <c r="X12" i="167"/>
  <c r="W12" i="167"/>
  <c r="AS11" i="167"/>
  <c r="AR11" i="167"/>
  <c r="AQ11" i="167"/>
  <c r="AP11" i="167"/>
  <c r="AO11" i="167"/>
  <c r="AN11" i="167"/>
  <c r="AM11" i="167"/>
  <c r="AL11" i="167"/>
  <c r="AK11" i="167"/>
  <c r="AJ11" i="167"/>
  <c r="AI11" i="167"/>
  <c r="AH11" i="167"/>
  <c r="AG11" i="167"/>
  <c r="AF11" i="167"/>
  <c r="AE11" i="167"/>
  <c r="AD11" i="167"/>
  <c r="AC11" i="167"/>
  <c r="AB11" i="167"/>
  <c r="AA11" i="167"/>
  <c r="Z11" i="167"/>
  <c r="Y11" i="167"/>
  <c r="X11" i="167"/>
  <c r="W11" i="167"/>
  <c r="AS10" i="167"/>
  <c r="AR10" i="167"/>
  <c r="AQ10" i="167"/>
  <c r="AP10" i="167"/>
  <c r="AO10" i="167"/>
  <c r="AN10" i="167"/>
  <c r="AM10" i="167"/>
  <c r="AL10" i="167"/>
  <c r="AK10" i="167"/>
  <c r="AJ10" i="167"/>
  <c r="AI10" i="167"/>
  <c r="AH10" i="167"/>
  <c r="AG10" i="167"/>
  <c r="AF10" i="167"/>
  <c r="AE10" i="167"/>
  <c r="AD10" i="167"/>
  <c r="AC10" i="167"/>
  <c r="AB10" i="167"/>
  <c r="AA10" i="167"/>
  <c r="Z10" i="167"/>
  <c r="Y10" i="167"/>
  <c r="X10" i="167"/>
  <c r="W10" i="167"/>
  <c r="AS9" i="167"/>
  <c r="AS37" i="167" s="1"/>
  <c r="AR9" i="167"/>
  <c r="AR37" i="167" s="1"/>
  <c r="AQ9" i="167"/>
  <c r="AQ37" i="167" s="1"/>
  <c r="AP9" i="167"/>
  <c r="AO9" i="167"/>
  <c r="AN9" i="167"/>
  <c r="AM9" i="167"/>
  <c r="AL9" i="167"/>
  <c r="AK9" i="167"/>
  <c r="AJ9" i="167"/>
  <c r="AI9" i="167"/>
  <c r="AH9" i="167"/>
  <c r="AG9" i="167"/>
  <c r="AF9" i="167"/>
  <c r="AE9" i="167"/>
  <c r="AD9" i="167"/>
  <c r="AC9" i="167"/>
  <c r="AB9" i="167"/>
  <c r="AA9" i="167"/>
  <c r="Z9" i="167"/>
  <c r="Y9" i="167"/>
  <c r="X9" i="167"/>
  <c r="W9" i="167"/>
  <c r="AS8" i="167"/>
  <c r="AR8" i="167"/>
  <c r="AQ8" i="167"/>
  <c r="AP8" i="167"/>
  <c r="AO8" i="167"/>
  <c r="AN8" i="167"/>
  <c r="AM8" i="167"/>
  <c r="AL8" i="167"/>
  <c r="AK8" i="167"/>
  <c r="AJ8" i="167"/>
  <c r="AI8" i="167"/>
  <c r="AH8" i="167"/>
  <c r="AG8" i="167"/>
  <c r="AG37" i="167" s="1"/>
  <c r="AF8" i="167"/>
  <c r="AF37" i="167" s="1"/>
  <c r="AE8" i="167"/>
  <c r="AE37" i="167" s="1"/>
  <c r="AD8" i="167"/>
  <c r="AC8" i="167"/>
  <c r="AC37" i="167" s="1"/>
  <c r="AB8" i="167"/>
  <c r="AA8" i="167"/>
  <c r="Z8" i="167"/>
  <c r="Y8" i="167"/>
  <c r="X8" i="167"/>
  <c r="W8" i="167"/>
  <c r="AS7" i="167"/>
  <c r="AR7" i="167"/>
  <c r="AQ7" i="167"/>
  <c r="AP7" i="167"/>
  <c r="AO7" i="167"/>
  <c r="AN7" i="167"/>
  <c r="AM7" i="167"/>
  <c r="AL7" i="167"/>
  <c r="AK7" i="167"/>
  <c r="AJ7" i="167"/>
  <c r="AI7" i="167"/>
  <c r="AH7" i="167"/>
  <c r="AG7" i="167"/>
  <c r="AF7" i="167"/>
  <c r="AE7" i="167"/>
  <c r="AD7" i="167"/>
  <c r="AC7" i="167"/>
  <c r="AB7" i="167"/>
  <c r="AA7" i="167"/>
  <c r="Z7" i="167"/>
  <c r="Y7" i="167"/>
  <c r="Y37" i="167" s="1"/>
  <c r="X7" i="167"/>
  <c r="W7" i="167"/>
  <c r="AU37" i="167"/>
  <c r="AT37" i="167"/>
  <c r="AO37" i="167"/>
  <c r="T2" i="167"/>
  <c r="Q2" i="167"/>
  <c r="P2" i="167"/>
  <c r="N2" i="167"/>
  <c r="L2" i="167"/>
  <c r="K2" i="167"/>
  <c r="J2" i="167"/>
  <c r="I2" i="167"/>
  <c r="H2" i="167"/>
  <c r="G2" i="167"/>
  <c r="F2" i="167"/>
  <c r="E2" i="167"/>
  <c r="D2" i="167"/>
  <c r="C2" i="167"/>
  <c r="AU37" i="166"/>
  <c r="AT37" i="166"/>
  <c r="AS37" i="166"/>
  <c r="AR37" i="166"/>
  <c r="AQ37" i="166"/>
  <c r="AP37" i="166"/>
  <c r="AO37" i="166"/>
  <c r="AN37" i="166"/>
  <c r="AM37" i="166"/>
  <c r="AL37" i="166"/>
  <c r="AK37" i="166"/>
  <c r="AJ37" i="166"/>
  <c r="AI37" i="166"/>
  <c r="AH37" i="166"/>
  <c r="AG37" i="166"/>
  <c r="AF37" i="166"/>
  <c r="AE37" i="166"/>
  <c r="AD37" i="166"/>
  <c r="AC37" i="166"/>
  <c r="AB37" i="166"/>
  <c r="AA37" i="166"/>
  <c r="Z37" i="166"/>
  <c r="Y37" i="166"/>
  <c r="X37" i="166"/>
  <c r="W37" i="166"/>
  <c r="T2" i="166"/>
  <c r="T7" i="166" s="1"/>
  <c r="Q2" i="166"/>
  <c r="Q31" i="166" s="1"/>
  <c r="P2" i="166"/>
  <c r="P16" i="166" s="1"/>
  <c r="N2" i="166"/>
  <c r="N16" i="166" s="1"/>
  <c r="L2" i="166"/>
  <c r="L11" i="166" s="1"/>
  <c r="K2" i="166"/>
  <c r="K18" i="166" s="1"/>
  <c r="J2" i="166"/>
  <c r="J13" i="166" s="1"/>
  <c r="I2" i="166"/>
  <c r="I32" i="166" s="1"/>
  <c r="H2" i="166"/>
  <c r="H13" i="166" s="1"/>
  <c r="G2" i="166"/>
  <c r="G36" i="166" s="1"/>
  <c r="F2" i="166"/>
  <c r="F19" i="166" s="1"/>
  <c r="E2" i="166"/>
  <c r="D2" i="166"/>
  <c r="D22" i="166" s="1"/>
  <c r="C2" i="166"/>
  <c r="AU37" i="165"/>
  <c r="AT37" i="165"/>
  <c r="AS37" i="165"/>
  <c r="AR37" i="165"/>
  <c r="AQ37" i="165"/>
  <c r="AP37" i="165"/>
  <c r="AO37" i="165"/>
  <c r="AN37" i="165"/>
  <c r="AM37" i="165"/>
  <c r="AL37" i="165"/>
  <c r="AK37" i="165"/>
  <c r="AJ37" i="165"/>
  <c r="AI37" i="165"/>
  <c r="AH37" i="165"/>
  <c r="AG37" i="165"/>
  <c r="AF37" i="165"/>
  <c r="AE37" i="165"/>
  <c r="AD37" i="165"/>
  <c r="AC37" i="165"/>
  <c r="AB37" i="165"/>
  <c r="AA37" i="165"/>
  <c r="Z37" i="165"/>
  <c r="Y37" i="165"/>
  <c r="X37" i="165"/>
  <c r="W37" i="165"/>
  <c r="T2" i="165"/>
  <c r="T32" i="165" s="1"/>
  <c r="Q2" i="165"/>
  <c r="Q36" i="165" s="1"/>
  <c r="P2" i="165"/>
  <c r="N2" i="165"/>
  <c r="N25" i="165" s="1"/>
  <c r="L2" i="165"/>
  <c r="L22" i="165" s="1"/>
  <c r="K2" i="165"/>
  <c r="K24" i="165" s="1"/>
  <c r="J2" i="165"/>
  <c r="J11" i="165" s="1"/>
  <c r="I2" i="165"/>
  <c r="I21" i="165" s="1"/>
  <c r="H2" i="165"/>
  <c r="H24" i="165" s="1"/>
  <c r="G2" i="165"/>
  <c r="G36" i="165" s="1"/>
  <c r="F2" i="165"/>
  <c r="F36" i="165" s="1"/>
  <c r="E2" i="165"/>
  <c r="E36" i="165" s="1"/>
  <c r="D2" i="165"/>
  <c r="D36" i="165" s="1"/>
  <c r="C2" i="165"/>
  <c r="C35" i="165" s="1"/>
  <c r="AU37" i="164"/>
  <c r="AT37" i="164"/>
  <c r="AS37" i="164"/>
  <c r="AR37" i="164"/>
  <c r="AQ37" i="164"/>
  <c r="AP37" i="164"/>
  <c r="AO37" i="164"/>
  <c r="AN37" i="164"/>
  <c r="AM37" i="164"/>
  <c r="AL37" i="164"/>
  <c r="AK37" i="164"/>
  <c r="AJ37" i="164"/>
  <c r="AI37" i="164"/>
  <c r="AH37" i="164"/>
  <c r="AG37" i="164"/>
  <c r="AF37" i="164"/>
  <c r="AE37" i="164"/>
  <c r="AD37" i="164"/>
  <c r="AC37" i="164"/>
  <c r="AB37" i="164"/>
  <c r="AA37" i="164"/>
  <c r="Z37" i="164"/>
  <c r="Y37" i="164"/>
  <c r="X37" i="164"/>
  <c r="W37" i="164"/>
  <c r="T2" i="164"/>
  <c r="T15" i="164" s="1"/>
  <c r="Q2" i="164"/>
  <c r="P2" i="164"/>
  <c r="P14" i="164" s="1"/>
  <c r="N2" i="164"/>
  <c r="N31" i="164" s="1"/>
  <c r="L2" i="164"/>
  <c r="L36" i="164" s="1"/>
  <c r="K2" i="164"/>
  <c r="J2" i="164"/>
  <c r="I2" i="164"/>
  <c r="I35" i="164" s="1"/>
  <c r="H2" i="164"/>
  <c r="H27" i="164" s="1"/>
  <c r="G2" i="164"/>
  <c r="F2" i="164"/>
  <c r="E2" i="164"/>
  <c r="D2" i="164"/>
  <c r="D35" i="164" s="1"/>
  <c r="C2" i="164"/>
  <c r="AU37" i="163"/>
  <c r="AT37" i="163"/>
  <c r="AS37" i="163"/>
  <c r="AR37" i="163"/>
  <c r="AQ37" i="163"/>
  <c r="AP37" i="163"/>
  <c r="AO37" i="163"/>
  <c r="AN37" i="163"/>
  <c r="AM37" i="163"/>
  <c r="AL37" i="163"/>
  <c r="AK37" i="163"/>
  <c r="AJ37" i="163"/>
  <c r="AI37" i="163"/>
  <c r="AH37" i="163"/>
  <c r="AG37" i="163"/>
  <c r="AF37" i="163"/>
  <c r="AE37" i="163"/>
  <c r="AD37" i="163"/>
  <c r="AC37" i="163"/>
  <c r="AB37" i="163"/>
  <c r="AA37" i="163"/>
  <c r="Z37" i="163"/>
  <c r="Y37" i="163"/>
  <c r="X37" i="163"/>
  <c r="W37" i="163"/>
  <c r="T2" i="163"/>
  <c r="T27" i="163" s="1"/>
  <c r="Q2" i="163"/>
  <c r="Q7" i="163" s="1"/>
  <c r="P2" i="163"/>
  <c r="P34" i="163" s="1"/>
  <c r="N2" i="163"/>
  <c r="N16" i="163" s="1"/>
  <c r="L2" i="163"/>
  <c r="K2" i="163"/>
  <c r="K18" i="163" s="1"/>
  <c r="J2" i="163"/>
  <c r="J17" i="163" s="1"/>
  <c r="I2" i="163"/>
  <c r="I9" i="163" s="1"/>
  <c r="H2" i="163"/>
  <c r="H12" i="163" s="1"/>
  <c r="G2" i="163"/>
  <c r="G22" i="163" s="1"/>
  <c r="F2" i="163"/>
  <c r="F28" i="163" s="1"/>
  <c r="E2" i="163"/>
  <c r="E35" i="163" s="1"/>
  <c r="D2" i="163"/>
  <c r="D32" i="163" s="1"/>
  <c r="C2" i="163"/>
  <c r="C25" i="163" s="1"/>
  <c r="AU37" i="162"/>
  <c r="AT37" i="162"/>
  <c r="AS37" i="162"/>
  <c r="AR37" i="162"/>
  <c r="AQ37" i="162"/>
  <c r="AP37" i="162"/>
  <c r="AO37" i="162"/>
  <c r="AN37" i="162"/>
  <c r="AM37" i="162"/>
  <c r="AL37" i="162"/>
  <c r="AK37" i="162"/>
  <c r="AJ37" i="162"/>
  <c r="AI37" i="162"/>
  <c r="AH37" i="162"/>
  <c r="AG37" i="162"/>
  <c r="AF37" i="162"/>
  <c r="AE37" i="162"/>
  <c r="AD37" i="162"/>
  <c r="AC37" i="162"/>
  <c r="AB37" i="162"/>
  <c r="AA37" i="162"/>
  <c r="Z37" i="162"/>
  <c r="Y37" i="162"/>
  <c r="X37" i="162"/>
  <c r="W37" i="162"/>
  <c r="T2" i="162"/>
  <c r="T26" i="162" s="1"/>
  <c r="Q2" i="162"/>
  <c r="Q36" i="162" s="1"/>
  <c r="P2" i="162"/>
  <c r="N2" i="162"/>
  <c r="N27" i="162" s="1"/>
  <c r="L2" i="162"/>
  <c r="L11" i="162" s="1"/>
  <c r="K2" i="162"/>
  <c r="K30" i="162" s="1"/>
  <c r="J2" i="162"/>
  <c r="J12" i="162" s="1"/>
  <c r="I2" i="162"/>
  <c r="I33" i="162" s="1"/>
  <c r="H2" i="162"/>
  <c r="H13" i="162" s="1"/>
  <c r="G2" i="162"/>
  <c r="G36" i="162" s="1"/>
  <c r="F2" i="162"/>
  <c r="F18" i="162" s="1"/>
  <c r="E2" i="162"/>
  <c r="E36" i="162" s="1"/>
  <c r="D2" i="162"/>
  <c r="D9" i="162" s="1"/>
  <c r="C2" i="162"/>
  <c r="AU37" i="161"/>
  <c r="AT37" i="161"/>
  <c r="AS37" i="161"/>
  <c r="AR37" i="161"/>
  <c r="AQ37" i="161"/>
  <c r="AP37" i="161"/>
  <c r="AO37" i="161"/>
  <c r="AN37" i="161"/>
  <c r="AM37" i="161"/>
  <c r="AL37" i="161"/>
  <c r="AK37" i="161"/>
  <c r="AJ37" i="161"/>
  <c r="AI37" i="161"/>
  <c r="AH37" i="161"/>
  <c r="AG37" i="161"/>
  <c r="AF37" i="161"/>
  <c r="AE37" i="161"/>
  <c r="AD37" i="161"/>
  <c r="AC37" i="161"/>
  <c r="AB37" i="161"/>
  <c r="AA37" i="161"/>
  <c r="Z37" i="161"/>
  <c r="Y37" i="161"/>
  <c r="X37" i="161"/>
  <c r="W37" i="161"/>
  <c r="T2" i="161"/>
  <c r="T29" i="161" s="1"/>
  <c r="Q2" i="161"/>
  <c r="P2" i="161"/>
  <c r="P36" i="161" s="1"/>
  <c r="N2" i="161"/>
  <c r="N35" i="161" s="1"/>
  <c r="L2" i="161"/>
  <c r="L36" i="161" s="1"/>
  <c r="K2" i="161"/>
  <c r="K18" i="161" s="1"/>
  <c r="J2" i="161"/>
  <c r="J18" i="161" s="1"/>
  <c r="I2" i="161"/>
  <c r="I36" i="161" s="1"/>
  <c r="H2" i="161"/>
  <c r="H36" i="161" s="1"/>
  <c r="G2" i="161"/>
  <c r="G36" i="161" s="1"/>
  <c r="F2" i="161"/>
  <c r="F36" i="161" s="1"/>
  <c r="E2" i="161"/>
  <c r="E36" i="161" s="1"/>
  <c r="D2" i="161"/>
  <c r="D28" i="161" s="1"/>
  <c r="C2" i="161"/>
  <c r="C13" i="161" s="1"/>
  <c r="AS36" i="153"/>
  <c r="AR36" i="153"/>
  <c r="AQ36" i="153"/>
  <c r="AP36" i="153"/>
  <c r="AO36" i="153"/>
  <c r="AN36" i="153"/>
  <c r="AM36" i="153"/>
  <c r="AL36" i="153"/>
  <c r="AK36" i="153"/>
  <c r="AJ36" i="153"/>
  <c r="AI36" i="153"/>
  <c r="AH36" i="153"/>
  <c r="AG36" i="153"/>
  <c r="AF36" i="153"/>
  <c r="AE36" i="153"/>
  <c r="AD36" i="153"/>
  <c r="AC36" i="153"/>
  <c r="AB36" i="153"/>
  <c r="AA36" i="153"/>
  <c r="Z36" i="153"/>
  <c r="Y36" i="153"/>
  <c r="X36" i="153"/>
  <c r="W36" i="153"/>
  <c r="AS35" i="153"/>
  <c r="AR35" i="153"/>
  <c r="AQ35" i="153"/>
  <c r="AP35" i="153"/>
  <c r="AO35" i="153"/>
  <c r="AN35" i="153"/>
  <c r="AM35" i="153"/>
  <c r="AL35" i="153"/>
  <c r="AK35" i="153"/>
  <c r="AJ35" i="153"/>
  <c r="AI35" i="153"/>
  <c r="AH35" i="153"/>
  <c r="AG35" i="153"/>
  <c r="AF35" i="153"/>
  <c r="AE35" i="153"/>
  <c r="AD35" i="153"/>
  <c r="AC35" i="153"/>
  <c r="AB35" i="153"/>
  <c r="AA35" i="153"/>
  <c r="Z35" i="153"/>
  <c r="Y35" i="153"/>
  <c r="X35" i="153"/>
  <c r="W35" i="153"/>
  <c r="AS34" i="153"/>
  <c r="AR34" i="153"/>
  <c r="AQ34" i="153"/>
  <c r="AP34" i="153"/>
  <c r="AO34" i="153"/>
  <c r="AN34" i="153"/>
  <c r="AM34" i="153"/>
  <c r="AL34" i="153"/>
  <c r="AK34" i="153"/>
  <c r="AJ34" i="153"/>
  <c r="AI34" i="153"/>
  <c r="AH34" i="153"/>
  <c r="AG34" i="153"/>
  <c r="AF34" i="153"/>
  <c r="AE34" i="153"/>
  <c r="AD34" i="153"/>
  <c r="AC34" i="153"/>
  <c r="AB34" i="153"/>
  <c r="AA34" i="153"/>
  <c r="Z34" i="153"/>
  <c r="Y34" i="153"/>
  <c r="X34" i="153"/>
  <c r="W34" i="153"/>
  <c r="AS33" i="153"/>
  <c r="AR33" i="153"/>
  <c r="AQ33" i="153"/>
  <c r="AP33" i="153"/>
  <c r="AO33" i="153"/>
  <c r="AN33" i="153"/>
  <c r="AM33" i="153"/>
  <c r="AL33" i="153"/>
  <c r="AK33" i="153"/>
  <c r="AJ33" i="153"/>
  <c r="AI33" i="153"/>
  <c r="AH33" i="153"/>
  <c r="AG33" i="153"/>
  <c r="AF33" i="153"/>
  <c r="AE33" i="153"/>
  <c r="AD33" i="153"/>
  <c r="AC33" i="153"/>
  <c r="AB33" i="153"/>
  <c r="AA33" i="153"/>
  <c r="Z33" i="153"/>
  <c r="Y33" i="153"/>
  <c r="X33" i="153"/>
  <c r="W33" i="153"/>
  <c r="AS32" i="153"/>
  <c r="AR32" i="153"/>
  <c r="AQ32" i="153"/>
  <c r="AP32" i="153"/>
  <c r="AO32" i="153"/>
  <c r="AN32" i="153"/>
  <c r="AM32" i="153"/>
  <c r="AL32" i="153"/>
  <c r="AK32" i="153"/>
  <c r="AJ32" i="153"/>
  <c r="AI32" i="153"/>
  <c r="AH32" i="153"/>
  <c r="AG32" i="153"/>
  <c r="AF32" i="153"/>
  <c r="AE32" i="153"/>
  <c r="AD32" i="153"/>
  <c r="AC32" i="153"/>
  <c r="AB32" i="153"/>
  <c r="AA32" i="153"/>
  <c r="Z32" i="153"/>
  <c r="Y32" i="153"/>
  <c r="X32" i="153"/>
  <c r="W32" i="153"/>
  <c r="AS31" i="153"/>
  <c r="AR31" i="153"/>
  <c r="AQ31" i="153"/>
  <c r="AP31" i="153"/>
  <c r="AO31" i="153"/>
  <c r="AN31" i="153"/>
  <c r="AM31" i="153"/>
  <c r="AL31" i="153"/>
  <c r="AK31" i="153"/>
  <c r="AJ31" i="153"/>
  <c r="AI31" i="153"/>
  <c r="AH31" i="153"/>
  <c r="AG31" i="153"/>
  <c r="AF31" i="153"/>
  <c r="AE31" i="153"/>
  <c r="AD31" i="153"/>
  <c r="AC31" i="153"/>
  <c r="AB31" i="153"/>
  <c r="AA31" i="153"/>
  <c r="Z31" i="153"/>
  <c r="Y31" i="153"/>
  <c r="X31" i="153"/>
  <c r="W31" i="153"/>
  <c r="AS30" i="153"/>
  <c r="AR30" i="153"/>
  <c r="AQ30" i="153"/>
  <c r="AP30" i="153"/>
  <c r="AO30" i="153"/>
  <c r="AN30" i="153"/>
  <c r="AM30" i="153"/>
  <c r="AL30" i="153"/>
  <c r="AK30" i="153"/>
  <c r="AJ30" i="153"/>
  <c r="AI30" i="153"/>
  <c r="AH30" i="153"/>
  <c r="AG30" i="153"/>
  <c r="AF30" i="153"/>
  <c r="AE30" i="153"/>
  <c r="AD30" i="153"/>
  <c r="AC30" i="153"/>
  <c r="AB30" i="153"/>
  <c r="AA30" i="153"/>
  <c r="Z30" i="153"/>
  <c r="Y30" i="153"/>
  <c r="X30" i="153"/>
  <c r="W30" i="153"/>
  <c r="AS29" i="153"/>
  <c r="AR29" i="153"/>
  <c r="AQ29" i="153"/>
  <c r="AP29" i="153"/>
  <c r="AO29" i="153"/>
  <c r="AN29" i="153"/>
  <c r="AM29" i="153"/>
  <c r="AL29" i="153"/>
  <c r="AK29" i="153"/>
  <c r="AJ29" i="153"/>
  <c r="AI29" i="153"/>
  <c r="AH29" i="153"/>
  <c r="AG29" i="153"/>
  <c r="AF29" i="153"/>
  <c r="AE29" i="153"/>
  <c r="AD29" i="153"/>
  <c r="AC29" i="153"/>
  <c r="AB29" i="153"/>
  <c r="AA29" i="153"/>
  <c r="Z29" i="153"/>
  <c r="Y29" i="153"/>
  <c r="X29" i="153"/>
  <c r="W29" i="153"/>
  <c r="AS28" i="153"/>
  <c r="AR28" i="153"/>
  <c r="AQ28" i="153"/>
  <c r="AP28" i="153"/>
  <c r="AO28" i="153"/>
  <c r="AN28" i="153"/>
  <c r="AM28" i="153"/>
  <c r="AL28" i="153"/>
  <c r="AK28" i="153"/>
  <c r="AJ28" i="153"/>
  <c r="AI28" i="153"/>
  <c r="AH28" i="153"/>
  <c r="AG28" i="153"/>
  <c r="AF28" i="153"/>
  <c r="AE28" i="153"/>
  <c r="AD28" i="153"/>
  <c r="AC28" i="153"/>
  <c r="AB28" i="153"/>
  <c r="AA28" i="153"/>
  <c r="Z28" i="153"/>
  <c r="Y28" i="153"/>
  <c r="X28" i="153"/>
  <c r="W28" i="153"/>
  <c r="AS27" i="153"/>
  <c r="AR27" i="153"/>
  <c r="AQ27" i="153"/>
  <c r="AP27" i="153"/>
  <c r="AO27" i="153"/>
  <c r="AN27" i="153"/>
  <c r="AM27" i="153"/>
  <c r="AL27" i="153"/>
  <c r="AK27" i="153"/>
  <c r="AJ27" i="153"/>
  <c r="AI27" i="153"/>
  <c r="AH27" i="153"/>
  <c r="AG27" i="153"/>
  <c r="AF27" i="153"/>
  <c r="AE27" i="153"/>
  <c r="AD27" i="153"/>
  <c r="AC27" i="153"/>
  <c r="AB27" i="153"/>
  <c r="AA27" i="153"/>
  <c r="Z27" i="153"/>
  <c r="Y27" i="153"/>
  <c r="X27" i="153"/>
  <c r="W27" i="153"/>
  <c r="AS26" i="153"/>
  <c r="AR26" i="153"/>
  <c r="AQ26" i="153"/>
  <c r="AP26" i="153"/>
  <c r="AO26" i="153"/>
  <c r="AN26" i="153"/>
  <c r="AM26" i="153"/>
  <c r="AL26" i="153"/>
  <c r="AK26" i="153"/>
  <c r="AJ26" i="153"/>
  <c r="AI26" i="153"/>
  <c r="AH26" i="153"/>
  <c r="AG26" i="153"/>
  <c r="AF26" i="153"/>
  <c r="AE26" i="153"/>
  <c r="AD26" i="153"/>
  <c r="AC26" i="153"/>
  <c r="AB26" i="153"/>
  <c r="AA26" i="153"/>
  <c r="Z26" i="153"/>
  <c r="Y26" i="153"/>
  <c r="X26" i="153"/>
  <c r="W26" i="153"/>
  <c r="AS25" i="153"/>
  <c r="AR25" i="153"/>
  <c r="AQ25" i="153"/>
  <c r="AP25" i="153"/>
  <c r="AO25" i="153"/>
  <c r="AN25" i="153"/>
  <c r="AM25" i="153"/>
  <c r="AL25" i="153"/>
  <c r="AK25" i="153"/>
  <c r="AJ25" i="153"/>
  <c r="AI25" i="153"/>
  <c r="AH25" i="153"/>
  <c r="AG25" i="153"/>
  <c r="AF25" i="153"/>
  <c r="AE25" i="153"/>
  <c r="AD25" i="153"/>
  <c r="AC25" i="153"/>
  <c r="AB25" i="153"/>
  <c r="AA25" i="153"/>
  <c r="Z25" i="153"/>
  <c r="Y25" i="153"/>
  <c r="X25" i="153"/>
  <c r="W25" i="153"/>
  <c r="AS24" i="153"/>
  <c r="AR24" i="153"/>
  <c r="AQ24" i="153"/>
  <c r="AP24" i="153"/>
  <c r="AO24" i="153"/>
  <c r="AN24" i="153"/>
  <c r="AM24" i="153"/>
  <c r="AL24" i="153"/>
  <c r="AK24" i="153"/>
  <c r="AJ24" i="153"/>
  <c r="AI24" i="153"/>
  <c r="AH24" i="153"/>
  <c r="AG24" i="153"/>
  <c r="AF24" i="153"/>
  <c r="AE24" i="153"/>
  <c r="AD24" i="153"/>
  <c r="AC24" i="153"/>
  <c r="AB24" i="153"/>
  <c r="AA24" i="153"/>
  <c r="Z24" i="153"/>
  <c r="Y24" i="153"/>
  <c r="X24" i="153"/>
  <c r="W24" i="153"/>
  <c r="AS23" i="153"/>
  <c r="AR23" i="153"/>
  <c r="AQ23" i="153"/>
  <c r="AP23" i="153"/>
  <c r="AO23" i="153"/>
  <c r="AN23" i="153"/>
  <c r="AM23" i="153"/>
  <c r="AL23" i="153"/>
  <c r="AK23" i="153"/>
  <c r="AJ23" i="153"/>
  <c r="AI23" i="153"/>
  <c r="AH23" i="153"/>
  <c r="AG23" i="153"/>
  <c r="AF23" i="153"/>
  <c r="AE23" i="153"/>
  <c r="AD23" i="153"/>
  <c r="AC23" i="153"/>
  <c r="AB23" i="153"/>
  <c r="AA23" i="153"/>
  <c r="Z23" i="153"/>
  <c r="Y23" i="153"/>
  <c r="X23" i="153"/>
  <c r="W23" i="153"/>
  <c r="AS22" i="153"/>
  <c r="AR22" i="153"/>
  <c r="AQ22" i="153"/>
  <c r="AP22" i="153"/>
  <c r="AO22" i="153"/>
  <c r="AN22" i="153"/>
  <c r="AM22" i="153"/>
  <c r="AL22" i="153"/>
  <c r="AK22" i="153"/>
  <c r="AJ22" i="153"/>
  <c r="AI22" i="153"/>
  <c r="AH22" i="153"/>
  <c r="AG22" i="153"/>
  <c r="AF22" i="153"/>
  <c r="AE22" i="153"/>
  <c r="AD22" i="153"/>
  <c r="AC22" i="153"/>
  <c r="AB22" i="153"/>
  <c r="AA22" i="153"/>
  <c r="Z22" i="153"/>
  <c r="Y22" i="153"/>
  <c r="X22" i="153"/>
  <c r="W22" i="153"/>
  <c r="AS21" i="153"/>
  <c r="AR21" i="153"/>
  <c r="AQ21" i="153"/>
  <c r="AP21" i="153"/>
  <c r="AO21" i="153"/>
  <c r="AN21" i="153"/>
  <c r="AM21" i="153"/>
  <c r="AL21" i="153"/>
  <c r="AK21" i="153"/>
  <c r="AJ21" i="153"/>
  <c r="AI21" i="153"/>
  <c r="AH21" i="153"/>
  <c r="AG21" i="153"/>
  <c r="AF21" i="153"/>
  <c r="AE21" i="153"/>
  <c r="AD21" i="153"/>
  <c r="AC21" i="153"/>
  <c r="AB21" i="153"/>
  <c r="AA21" i="153"/>
  <c r="Z21" i="153"/>
  <c r="Y21" i="153"/>
  <c r="X21" i="153"/>
  <c r="W21" i="153"/>
  <c r="AS20" i="153"/>
  <c r="AR20" i="153"/>
  <c r="AQ20" i="153"/>
  <c r="AP20" i="153"/>
  <c r="AO20" i="153"/>
  <c r="AN20" i="153"/>
  <c r="AM20" i="153"/>
  <c r="AL20" i="153"/>
  <c r="AK20" i="153"/>
  <c r="AJ20" i="153"/>
  <c r="AI20" i="153"/>
  <c r="AH20" i="153"/>
  <c r="AG20" i="153"/>
  <c r="AF20" i="153"/>
  <c r="AE20" i="153"/>
  <c r="AD20" i="153"/>
  <c r="AC20" i="153"/>
  <c r="AB20" i="153"/>
  <c r="AA20" i="153"/>
  <c r="Z20" i="153"/>
  <c r="Y20" i="153"/>
  <c r="X20" i="153"/>
  <c r="W20" i="153"/>
  <c r="AS19" i="153"/>
  <c r="AR19" i="153"/>
  <c r="AQ19" i="153"/>
  <c r="AP19" i="153"/>
  <c r="AO19" i="153"/>
  <c r="AN19" i="153"/>
  <c r="AM19" i="153"/>
  <c r="AL19" i="153"/>
  <c r="AK19" i="153"/>
  <c r="AJ19" i="153"/>
  <c r="AI19" i="153"/>
  <c r="AH19" i="153"/>
  <c r="AG19" i="153"/>
  <c r="AF19" i="153"/>
  <c r="AE19" i="153"/>
  <c r="AD19" i="153"/>
  <c r="AC19" i="153"/>
  <c r="AB19" i="153"/>
  <c r="AA19" i="153"/>
  <c r="Z19" i="153"/>
  <c r="Y19" i="153"/>
  <c r="X19" i="153"/>
  <c r="W19" i="153"/>
  <c r="AS18" i="153"/>
  <c r="AR18" i="153"/>
  <c r="AQ18" i="153"/>
  <c r="AP18" i="153"/>
  <c r="AO18" i="153"/>
  <c r="AN18" i="153"/>
  <c r="AM18" i="153"/>
  <c r="AL18" i="153"/>
  <c r="AK18" i="153"/>
  <c r="AJ18" i="153"/>
  <c r="AI18" i="153"/>
  <c r="AH18" i="153"/>
  <c r="AG18" i="153"/>
  <c r="AF18" i="153"/>
  <c r="AE18" i="153"/>
  <c r="AD18" i="153"/>
  <c r="AC18" i="153"/>
  <c r="AB18" i="153"/>
  <c r="AA18" i="153"/>
  <c r="Z18" i="153"/>
  <c r="Y18" i="153"/>
  <c r="X18" i="153"/>
  <c r="W18" i="153"/>
  <c r="AS17" i="153"/>
  <c r="AR17" i="153"/>
  <c r="AQ17" i="153"/>
  <c r="AP17" i="153"/>
  <c r="AO17" i="153"/>
  <c r="AN17" i="153"/>
  <c r="AM17" i="153"/>
  <c r="AL17" i="153"/>
  <c r="AK17" i="153"/>
  <c r="AJ17" i="153"/>
  <c r="AI17" i="153"/>
  <c r="AH17" i="153"/>
  <c r="AG17" i="153"/>
  <c r="AF17" i="153"/>
  <c r="AE17" i="153"/>
  <c r="AD17" i="153"/>
  <c r="AC17" i="153"/>
  <c r="AB17" i="153"/>
  <c r="AA17" i="153"/>
  <c r="Z17" i="153"/>
  <c r="Y17" i="153"/>
  <c r="X17" i="153"/>
  <c r="W17" i="153"/>
  <c r="AS16" i="153"/>
  <c r="AR16" i="153"/>
  <c r="AQ16" i="153"/>
  <c r="AP16" i="153"/>
  <c r="AO16" i="153"/>
  <c r="AN16" i="153"/>
  <c r="AM16" i="153"/>
  <c r="AL16" i="153"/>
  <c r="AK16" i="153"/>
  <c r="AJ16" i="153"/>
  <c r="AI16" i="153"/>
  <c r="AH16" i="153"/>
  <c r="AG16" i="153"/>
  <c r="AF16" i="153"/>
  <c r="AE16" i="153"/>
  <c r="AD16" i="153"/>
  <c r="AC16" i="153"/>
  <c r="AB16" i="153"/>
  <c r="AA16" i="153"/>
  <c r="Z16" i="153"/>
  <c r="Y16" i="153"/>
  <c r="X16" i="153"/>
  <c r="W16" i="153"/>
  <c r="AS15" i="153"/>
  <c r="AR15" i="153"/>
  <c r="AQ15" i="153"/>
  <c r="AP15" i="153"/>
  <c r="AO15" i="153"/>
  <c r="AN15" i="153"/>
  <c r="AM15" i="153"/>
  <c r="AL15" i="153"/>
  <c r="AK15" i="153"/>
  <c r="AJ15" i="153"/>
  <c r="AI15" i="153"/>
  <c r="AH15" i="153"/>
  <c r="AG15" i="153"/>
  <c r="AF15" i="153"/>
  <c r="AE15" i="153"/>
  <c r="AD15" i="153"/>
  <c r="AC15" i="153"/>
  <c r="AB15" i="153"/>
  <c r="AA15" i="153"/>
  <c r="Z15" i="153"/>
  <c r="Y15" i="153"/>
  <c r="X15" i="153"/>
  <c r="W15" i="153"/>
  <c r="AS14" i="153"/>
  <c r="AR14" i="153"/>
  <c r="AQ14" i="153"/>
  <c r="AP14" i="153"/>
  <c r="AO14" i="153"/>
  <c r="AN14" i="153"/>
  <c r="AM14" i="153"/>
  <c r="AL14" i="153"/>
  <c r="AK14" i="153"/>
  <c r="AJ14" i="153"/>
  <c r="AI14" i="153"/>
  <c r="AH14" i="153"/>
  <c r="AG14" i="153"/>
  <c r="AF14" i="153"/>
  <c r="AE14" i="153"/>
  <c r="AD14" i="153"/>
  <c r="AC14" i="153"/>
  <c r="AB14" i="153"/>
  <c r="AA14" i="153"/>
  <c r="Z14" i="153"/>
  <c r="Y14" i="153"/>
  <c r="X14" i="153"/>
  <c r="W14" i="153"/>
  <c r="AS13" i="153"/>
  <c r="AR13" i="153"/>
  <c r="AQ13" i="153"/>
  <c r="AP13" i="153"/>
  <c r="AO13" i="153"/>
  <c r="AN13" i="153"/>
  <c r="AM13" i="153"/>
  <c r="AL13" i="153"/>
  <c r="AK13" i="153"/>
  <c r="AJ13" i="153"/>
  <c r="AI13" i="153"/>
  <c r="AH13" i="153"/>
  <c r="AG13" i="153"/>
  <c r="AF13" i="153"/>
  <c r="AE13" i="153"/>
  <c r="AD13" i="153"/>
  <c r="AC13" i="153"/>
  <c r="AB13" i="153"/>
  <c r="AA13" i="153"/>
  <c r="Z13" i="153"/>
  <c r="Y13" i="153"/>
  <c r="X13" i="153"/>
  <c r="W13" i="153"/>
  <c r="AS12" i="153"/>
  <c r="AR12" i="153"/>
  <c r="AQ12" i="153"/>
  <c r="AP12" i="153"/>
  <c r="AO12" i="153"/>
  <c r="AN12" i="153"/>
  <c r="AM12" i="153"/>
  <c r="AL12" i="153"/>
  <c r="AK12" i="153"/>
  <c r="AJ12" i="153"/>
  <c r="AI12" i="153"/>
  <c r="AH12" i="153"/>
  <c r="AG12" i="153"/>
  <c r="AF12" i="153"/>
  <c r="AE12" i="153"/>
  <c r="AD12" i="153"/>
  <c r="AC12" i="153"/>
  <c r="AB12" i="153"/>
  <c r="AA12" i="153"/>
  <c r="Z12" i="153"/>
  <c r="Y12" i="153"/>
  <c r="X12" i="153"/>
  <c r="W12" i="153"/>
  <c r="AS11" i="153"/>
  <c r="AR11" i="153"/>
  <c r="AQ11" i="153"/>
  <c r="AP11" i="153"/>
  <c r="AP37" i="153" s="1"/>
  <c r="AO11" i="153"/>
  <c r="AN11" i="153"/>
  <c r="AM11" i="153"/>
  <c r="AL11" i="153"/>
  <c r="AK11" i="153"/>
  <c r="AJ11" i="153"/>
  <c r="AI11" i="153"/>
  <c r="AH11" i="153"/>
  <c r="AG11" i="153"/>
  <c r="AF11" i="153"/>
  <c r="AE11" i="153"/>
  <c r="AD11" i="153"/>
  <c r="AC11" i="153"/>
  <c r="AB11" i="153"/>
  <c r="AA11" i="153"/>
  <c r="Z11" i="153"/>
  <c r="Y11" i="153"/>
  <c r="X11" i="153"/>
  <c r="W11" i="153"/>
  <c r="AS10" i="153"/>
  <c r="AR10" i="153"/>
  <c r="AQ10" i="153"/>
  <c r="AP10" i="153"/>
  <c r="AO10" i="153"/>
  <c r="AN10" i="153"/>
  <c r="AM10" i="153"/>
  <c r="AL10" i="153"/>
  <c r="AK10" i="153"/>
  <c r="AJ10" i="153"/>
  <c r="AI10" i="153"/>
  <c r="AH10" i="153"/>
  <c r="AG10" i="153"/>
  <c r="AF10" i="153"/>
  <c r="AE10" i="153"/>
  <c r="AD10" i="153"/>
  <c r="AC10" i="153"/>
  <c r="AB10" i="153"/>
  <c r="AA10" i="153"/>
  <c r="Z10" i="153"/>
  <c r="Y10" i="153"/>
  <c r="X10" i="153"/>
  <c r="W10" i="153"/>
  <c r="AS9" i="153"/>
  <c r="AS37" i="153" s="1"/>
  <c r="AR9" i="153"/>
  <c r="AQ9" i="153"/>
  <c r="AQ37" i="153" s="1"/>
  <c r="AP9" i="153"/>
  <c r="AO9" i="153"/>
  <c r="AN9" i="153"/>
  <c r="AM9" i="153"/>
  <c r="AL9" i="153"/>
  <c r="AK9" i="153"/>
  <c r="AJ9" i="153"/>
  <c r="AI9" i="153"/>
  <c r="AH9" i="153"/>
  <c r="AG9" i="153"/>
  <c r="AG37" i="153" s="1"/>
  <c r="AF9" i="153"/>
  <c r="AE9" i="153"/>
  <c r="AE37" i="153" s="1"/>
  <c r="AD9" i="153"/>
  <c r="AC9" i="153"/>
  <c r="AB9" i="153"/>
  <c r="AA9" i="153"/>
  <c r="Z9" i="153"/>
  <c r="Y9" i="153"/>
  <c r="X9" i="153"/>
  <c r="W9" i="153"/>
  <c r="AS8" i="153"/>
  <c r="AR8" i="153"/>
  <c r="AQ8" i="153"/>
  <c r="AP8" i="153"/>
  <c r="AO8" i="153"/>
  <c r="AN8" i="153"/>
  <c r="AM8" i="153"/>
  <c r="AL8" i="153"/>
  <c r="AK8" i="153"/>
  <c r="AJ8" i="153"/>
  <c r="AI8" i="153"/>
  <c r="AH8" i="153"/>
  <c r="AG8" i="153"/>
  <c r="AF8" i="153"/>
  <c r="AE8" i="153"/>
  <c r="AD8" i="153"/>
  <c r="AD37" i="153" s="1"/>
  <c r="AC8" i="153"/>
  <c r="AB8" i="153"/>
  <c r="AA8" i="153"/>
  <c r="Z8" i="153"/>
  <c r="Y8" i="153"/>
  <c r="X8" i="153"/>
  <c r="W8" i="153"/>
  <c r="AS7" i="153"/>
  <c r="AR7" i="153"/>
  <c r="AQ7" i="153"/>
  <c r="AP7" i="153"/>
  <c r="AO7" i="153"/>
  <c r="AN7" i="153"/>
  <c r="AM7" i="153"/>
  <c r="AL7" i="153"/>
  <c r="AK7" i="153"/>
  <c r="AJ7" i="153"/>
  <c r="AI7" i="153"/>
  <c r="AH7" i="153"/>
  <c r="AG7" i="153"/>
  <c r="AF7" i="153"/>
  <c r="AE7" i="153"/>
  <c r="AD7" i="153"/>
  <c r="AC7" i="153"/>
  <c r="AB7" i="153"/>
  <c r="AA7" i="153"/>
  <c r="Z7" i="153"/>
  <c r="Y7" i="153"/>
  <c r="X7" i="153"/>
  <c r="W7" i="153"/>
  <c r="AS36" i="160"/>
  <c r="AR36" i="160"/>
  <c r="AQ36" i="160"/>
  <c r="AP36" i="160"/>
  <c r="AO36" i="160"/>
  <c r="AN36" i="160"/>
  <c r="AM36" i="160"/>
  <c r="AL36" i="160"/>
  <c r="AK36" i="160"/>
  <c r="AJ36" i="160"/>
  <c r="AI36" i="160"/>
  <c r="AH36" i="160"/>
  <c r="AG36" i="160"/>
  <c r="AF36" i="160"/>
  <c r="AE36" i="160"/>
  <c r="AD36" i="160"/>
  <c r="AC36" i="160"/>
  <c r="AB36" i="160"/>
  <c r="AA36" i="160"/>
  <c r="Z36" i="160"/>
  <c r="Y36" i="160"/>
  <c r="X36" i="160"/>
  <c r="W36" i="160"/>
  <c r="AS35" i="160"/>
  <c r="AR35" i="160"/>
  <c r="AQ35" i="160"/>
  <c r="AP35" i="160"/>
  <c r="AO35" i="160"/>
  <c r="AN35" i="160"/>
  <c r="AM35" i="160"/>
  <c r="AL35" i="160"/>
  <c r="AK35" i="160"/>
  <c r="AJ35" i="160"/>
  <c r="AI35" i="160"/>
  <c r="AH35" i="160"/>
  <c r="AG35" i="160"/>
  <c r="AF35" i="160"/>
  <c r="AE35" i="160"/>
  <c r="AD35" i="160"/>
  <c r="AC35" i="160"/>
  <c r="AB35" i="160"/>
  <c r="AA35" i="160"/>
  <c r="Z35" i="160"/>
  <c r="Y35" i="160"/>
  <c r="X35" i="160"/>
  <c r="W35" i="160"/>
  <c r="AS34" i="160"/>
  <c r="AR34" i="160"/>
  <c r="AQ34" i="160"/>
  <c r="AP34" i="160"/>
  <c r="AO34" i="160"/>
  <c r="AN34" i="160"/>
  <c r="AM34" i="160"/>
  <c r="AL34" i="160"/>
  <c r="AK34" i="160"/>
  <c r="AJ34" i="160"/>
  <c r="AI34" i="160"/>
  <c r="AH34" i="160"/>
  <c r="AG34" i="160"/>
  <c r="AF34" i="160"/>
  <c r="AE34" i="160"/>
  <c r="AD34" i="160"/>
  <c r="AC34" i="160"/>
  <c r="AB34" i="160"/>
  <c r="AA34" i="160"/>
  <c r="Z34" i="160"/>
  <c r="Y34" i="160"/>
  <c r="X34" i="160"/>
  <c r="W34" i="160"/>
  <c r="AS33" i="160"/>
  <c r="AR33" i="160"/>
  <c r="AQ33" i="160"/>
  <c r="AP33" i="160"/>
  <c r="AO33" i="160"/>
  <c r="AN33" i="160"/>
  <c r="AM33" i="160"/>
  <c r="AL33" i="160"/>
  <c r="AK33" i="160"/>
  <c r="AJ33" i="160"/>
  <c r="AI33" i="160"/>
  <c r="AH33" i="160"/>
  <c r="AG33" i="160"/>
  <c r="AF33" i="160"/>
  <c r="AE33" i="160"/>
  <c r="AD33" i="160"/>
  <c r="AC33" i="160"/>
  <c r="AB33" i="160"/>
  <c r="AA33" i="160"/>
  <c r="Z33" i="160"/>
  <c r="Y33" i="160"/>
  <c r="X33" i="160"/>
  <c r="W33" i="160"/>
  <c r="AS32" i="160"/>
  <c r="AR32" i="160"/>
  <c r="AQ32" i="160"/>
  <c r="AP32" i="160"/>
  <c r="AO32" i="160"/>
  <c r="AN32" i="160"/>
  <c r="AM32" i="160"/>
  <c r="AL32" i="160"/>
  <c r="AK32" i="160"/>
  <c r="AJ32" i="160"/>
  <c r="AI32" i="160"/>
  <c r="AH32" i="160"/>
  <c r="AG32" i="160"/>
  <c r="AF32" i="160"/>
  <c r="AE32" i="160"/>
  <c r="AD32" i="160"/>
  <c r="AC32" i="160"/>
  <c r="AB32" i="160"/>
  <c r="AA32" i="160"/>
  <c r="Z32" i="160"/>
  <c r="Y32" i="160"/>
  <c r="X32" i="160"/>
  <c r="W32" i="160"/>
  <c r="AS31" i="160"/>
  <c r="AR31" i="160"/>
  <c r="AQ31" i="160"/>
  <c r="AP31" i="160"/>
  <c r="AO31" i="160"/>
  <c r="AN31" i="160"/>
  <c r="AM31" i="160"/>
  <c r="AL31" i="160"/>
  <c r="AK31" i="160"/>
  <c r="AJ31" i="160"/>
  <c r="AI31" i="160"/>
  <c r="AH31" i="160"/>
  <c r="AG31" i="160"/>
  <c r="AF31" i="160"/>
  <c r="AE31" i="160"/>
  <c r="AD31" i="160"/>
  <c r="AC31" i="160"/>
  <c r="AB31" i="160"/>
  <c r="AA31" i="160"/>
  <c r="Z31" i="160"/>
  <c r="Y31" i="160"/>
  <c r="X31" i="160"/>
  <c r="W31" i="160"/>
  <c r="AS30" i="160"/>
  <c r="AR30" i="160"/>
  <c r="AQ30" i="160"/>
  <c r="AP30" i="160"/>
  <c r="AO30" i="160"/>
  <c r="AN30" i="160"/>
  <c r="AM30" i="160"/>
  <c r="AL30" i="160"/>
  <c r="AK30" i="160"/>
  <c r="AJ30" i="160"/>
  <c r="AI30" i="160"/>
  <c r="AH30" i="160"/>
  <c r="AG30" i="160"/>
  <c r="AF30" i="160"/>
  <c r="AE30" i="160"/>
  <c r="AD30" i="160"/>
  <c r="AC30" i="160"/>
  <c r="AB30" i="160"/>
  <c r="AA30" i="160"/>
  <c r="Z30" i="160"/>
  <c r="Y30" i="160"/>
  <c r="X30" i="160"/>
  <c r="W30" i="160"/>
  <c r="AS29" i="160"/>
  <c r="AR29" i="160"/>
  <c r="AQ29" i="160"/>
  <c r="AP29" i="160"/>
  <c r="AO29" i="160"/>
  <c r="AN29" i="160"/>
  <c r="AM29" i="160"/>
  <c r="AL29" i="160"/>
  <c r="AK29" i="160"/>
  <c r="AJ29" i="160"/>
  <c r="AI29" i="160"/>
  <c r="AH29" i="160"/>
  <c r="AG29" i="160"/>
  <c r="AF29" i="160"/>
  <c r="AE29" i="160"/>
  <c r="AD29" i="160"/>
  <c r="AC29" i="160"/>
  <c r="AB29" i="160"/>
  <c r="AA29" i="160"/>
  <c r="Z29" i="160"/>
  <c r="Y29" i="160"/>
  <c r="X29" i="160"/>
  <c r="W29" i="160"/>
  <c r="AS28" i="160"/>
  <c r="AR28" i="160"/>
  <c r="AQ28" i="160"/>
  <c r="AP28" i="160"/>
  <c r="AO28" i="160"/>
  <c r="AN28" i="160"/>
  <c r="AM28" i="160"/>
  <c r="AL28" i="160"/>
  <c r="AK28" i="160"/>
  <c r="AJ28" i="160"/>
  <c r="AI28" i="160"/>
  <c r="AH28" i="160"/>
  <c r="AG28" i="160"/>
  <c r="AF28" i="160"/>
  <c r="AE28" i="160"/>
  <c r="AD28" i="160"/>
  <c r="AC28" i="160"/>
  <c r="AB28" i="160"/>
  <c r="AA28" i="160"/>
  <c r="Z28" i="160"/>
  <c r="Y28" i="160"/>
  <c r="X28" i="160"/>
  <c r="W28" i="160"/>
  <c r="AS27" i="160"/>
  <c r="AR27" i="160"/>
  <c r="AQ27" i="160"/>
  <c r="AP27" i="160"/>
  <c r="AO27" i="160"/>
  <c r="AN27" i="160"/>
  <c r="AM27" i="160"/>
  <c r="AL27" i="160"/>
  <c r="AK27" i="160"/>
  <c r="AJ27" i="160"/>
  <c r="AI27" i="160"/>
  <c r="AH27" i="160"/>
  <c r="AG27" i="160"/>
  <c r="AF27" i="160"/>
  <c r="AE27" i="160"/>
  <c r="AD27" i="160"/>
  <c r="AC27" i="160"/>
  <c r="AB27" i="160"/>
  <c r="AA27" i="160"/>
  <c r="Z27" i="160"/>
  <c r="Y27" i="160"/>
  <c r="X27" i="160"/>
  <c r="W27" i="160"/>
  <c r="AS26" i="160"/>
  <c r="AR26" i="160"/>
  <c r="AQ26" i="160"/>
  <c r="AP26" i="160"/>
  <c r="AO26" i="160"/>
  <c r="AN26" i="160"/>
  <c r="AM26" i="160"/>
  <c r="AL26" i="160"/>
  <c r="AK26" i="160"/>
  <c r="AJ26" i="160"/>
  <c r="AI26" i="160"/>
  <c r="AH26" i="160"/>
  <c r="AG26" i="160"/>
  <c r="AF26" i="160"/>
  <c r="AE26" i="160"/>
  <c r="AD26" i="160"/>
  <c r="AC26" i="160"/>
  <c r="AB26" i="160"/>
  <c r="AA26" i="160"/>
  <c r="Z26" i="160"/>
  <c r="Y26" i="160"/>
  <c r="X26" i="160"/>
  <c r="W26" i="160"/>
  <c r="AS25" i="160"/>
  <c r="AR25" i="160"/>
  <c r="AQ25" i="160"/>
  <c r="AP25" i="160"/>
  <c r="AO25" i="160"/>
  <c r="AN25" i="160"/>
  <c r="AM25" i="160"/>
  <c r="AL25" i="160"/>
  <c r="AK25" i="160"/>
  <c r="AJ25" i="160"/>
  <c r="AI25" i="160"/>
  <c r="AH25" i="160"/>
  <c r="AG25" i="160"/>
  <c r="AF25" i="160"/>
  <c r="AE25" i="160"/>
  <c r="AD25" i="160"/>
  <c r="AC25" i="160"/>
  <c r="AB25" i="160"/>
  <c r="AA25" i="160"/>
  <c r="Z25" i="160"/>
  <c r="Y25" i="160"/>
  <c r="X25" i="160"/>
  <c r="W25" i="160"/>
  <c r="AS24" i="160"/>
  <c r="AR24" i="160"/>
  <c r="AQ24" i="160"/>
  <c r="AP24" i="160"/>
  <c r="AO24" i="160"/>
  <c r="AN24" i="160"/>
  <c r="AM24" i="160"/>
  <c r="AL24" i="160"/>
  <c r="AK24" i="160"/>
  <c r="AJ24" i="160"/>
  <c r="AI24" i="160"/>
  <c r="AH24" i="160"/>
  <c r="AG24" i="160"/>
  <c r="AF24" i="160"/>
  <c r="AE24" i="160"/>
  <c r="AD24" i="160"/>
  <c r="AC24" i="160"/>
  <c r="AB24" i="160"/>
  <c r="AA24" i="160"/>
  <c r="Z24" i="160"/>
  <c r="Y24" i="160"/>
  <c r="X24" i="160"/>
  <c r="W24" i="160"/>
  <c r="AS23" i="160"/>
  <c r="AR23" i="160"/>
  <c r="AQ23" i="160"/>
  <c r="AP23" i="160"/>
  <c r="AO23" i="160"/>
  <c r="AN23" i="160"/>
  <c r="AM23" i="160"/>
  <c r="AL23" i="160"/>
  <c r="AK23" i="160"/>
  <c r="AJ23" i="160"/>
  <c r="AI23" i="160"/>
  <c r="AH23" i="160"/>
  <c r="AG23" i="160"/>
  <c r="AF23" i="160"/>
  <c r="AE23" i="160"/>
  <c r="AD23" i="160"/>
  <c r="AC23" i="160"/>
  <c r="AB23" i="160"/>
  <c r="AA23" i="160"/>
  <c r="Z23" i="160"/>
  <c r="Y23" i="160"/>
  <c r="X23" i="160"/>
  <c r="W23" i="160"/>
  <c r="AS22" i="160"/>
  <c r="AR22" i="160"/>
  <c r="AQ22" i="160"/>
  <c r="AP22" i="160"/>
  <c r="AO22" i="160"/>
  <c r="AN22" i="160"/>
  <c r="AM22" i="160"/>
  <c r="AL22" i="160"/>
  <c r="AK22" i="160"/>
  <c r="AJ22" i="160"/>
  <c r="AI22" i="160"/>
  <c r="AH22" i="160"/>
  <c r="AG22" i="160"/>
  <c r="AF22" i="160"/>
  <c r="AE22" i="160"/>
  <c r="AD22" i="160"/>
  <c r="AC22" i="160"/>
  <c r="AB22" i="160"/>
  <c r="AA22" i="160"/>
  <c r="Z22" i="160"/>
  <c r="Y22" i="160"/>
  <c r="X22" i="160"/>
  <c r="W22" i="160"/>
  <c r="AS21" i="160"/>
  <c r="AR21" i="160"/>
  <c r="AQ21" i="160"/>
  <c r="AP21" i="160"/>
  <c r="AO21" i="160"/>
  <c r="AN21" i="160"/>
  <c r="AM21" i="160"/>
  <c r="AL21" i="160"/>
  <c r="AK21" i="160"/>
  <c r="AJ21" i="160"/>
  <c r="AI21" i="160"/>
  <c r="AH21" i="160"/>
  <c r="AG21" i="160"/>
  <c r="AF21" i="160"/>
  <c r="AE21" i="160"/>
  <c r="AD21" i="160"/>
  <c r="AC21" i="160"/>
  <c r="AB21" i="160"/>
  <c r="AA21" i="160"/>
  <c r="Z21" i="160"/>
  <c r="Y21" i="160"/>
  <c r="X21" i="160"/>
  <c r="W21" i="160"/>
  <c r="AS20" i="160"/>
  <c r="AR20" i="160"/>
  <c r="AQ20" i="160"/>
  <c r="AP20" i="160"/>
  <c r="AO20" i="160"/>
  <c r="AN20" i="160"/>
  <c r="AM20" i="160"/>
  <c r="AL20" i="160"/>
  <c r="AK20" i="160"/>
  <c r="AJ20" i="160"/>
  <c r="AI20" i="160"/>
  <c r="AH20" i="160"/>
  <c r="AG20" i="160"/>
  <c r="AF20" i="160"/>
  <c r="AE20" i="160"/>
  <c r="AD20" i="160"/>
  <c r="AC20" i="160"/>
  <c r="AB20" i="160"/>
  <c r="AA20" i="160"/>
  <c r="Z20" i="160"/>
  <c r="Y20" i="160"/>
  <c r="X20" i="160"/>
  <c r="W20" i="160"/>
  <c r="AS19" i="160"/>
  <c r="AR19" i="160"/>
  <c r="AQ19" i="160"/>
  <c r="AP19" i="160"/>
  <c r="AO19" i="160"/>
  <c r="AN19" i="160"/>
  <c r="AM19" i="160"/>
  <c r="AL19" i="160"/>
  <c r="AK19" i="160"/>
  <c r="AJ19" i="160"/>
  <c r="AI19" i="160"/>
  <c r="AH19" i="160"/>
  <c r="AG19" i="160"/>
  <c r="AF19" i="160"/>
  <c r="AE19" i="160"/>
  <c r="AD19" i="160"/>
  <c r="AC19" i="160"/>
  <c r="AB19" i="160"/>
  <c r="AA19" i="160"/>
  <c r="Z19" i="160"/>
  <c r="Y19" i="160"/>
  <c r="X19" i="160"/>
  <c r="W19" i="160"/>
  <c r="AS18" i="160"/>
  <c r="AR18" i="160"/>
  <c r="AQ18" i="160"/>
  <c r="AP18" i="160"/>
  <c r="AO18" i="160"/>
  <c r="AN18" i="160"/>
  <c r="AM18" i="160"/>
  <c r="AL18" i="160"/>
  <c r="AK18" i="160"/>
  <c r="AJ18" i="160"/>
  <c r="AI18" i="160"/>
  <c r="AH18" i="160"/>
  <c r="AG18" i="160"/>
  <c r="AF18" i="160"/>
  <c r="AE18" i="160"/>
  <c r="AD18" i="160"/>
  <c r="AC18" i="160"/>
  <c r="AB18" i="160"/>
  <c r="AA18" i="160"/>
  <c r="Z18" i="160"/>
  <c r="Y18" i="160"/>
  <c r="X18" i="160"/>
  <c r="W18" i="160"/>
  <c r="AS17" i="160"/>
  <c r="AR17" i="160"/>
  <c r="AQ17" i="160"/>
  <c r="AP17" i="160"/>
  <c r="AO17" i="160"/>
  <c r="AN17" i="160"/>
  <c r="AM17" i="160"/>
  <c r="AL17" i="160"/>
  <c r="AK17" i="160"/>
  <c r="AJ17" i="160"/>
  <c r="AI17" i="160"/>
  <c r="AH17" i="160"/>
  <c r="AG17" i="160"/>
  <c r="AF17" i="160"/>
  <c r="AE17" i="160"/>
  <c r="AD17" i="160"/>
  <c r="AC17" i="160"/>
  <c r="AB17" i="160"/>
  <c r="AA17" i="160"/>
  <c r="Z17" i="160"/>
  <c r="Y17" i="160"/>
  <c r="X17" i="160"/>
  <c r="W17" i="160"/>
  <c r="AS16" i="160"/>
  <c r="AR16" i="160"/>
  <c r="AQ16" i="160"/>
  <c r="AP16" i="160"/>
  <c r="AO16" i="160"/>
  <c r="AN16" i="160"/>
  <c r="AM16" i="160"/>
  <c r="AL16" i="160"/>
  <c r="AK16" i="160"/>
  <c r="AJ16" i="160"/>
  <c r="AI16" i="160"/>
  <c r="AH16" i="160"/>
  <c r="AG16" i="160"/>
  <c r="AF16" i="160"/>
  <c r="AE16" i="160"/>
  <c r="AD16" i="160"/>
  <c r="AC16" i="160"/>
  <c r="AB16" i="160"/>
  <c r="AA16" i="160"/>
  <c r="Z16" i="160"/>
  <c r="Y16" i="160"/>
  <c r="X16" i="160"/>
  <c r="W16" i="160"/>
  <c r="AS15" i="160"/>
  <c r="AR15" i="160"/>
  <c r="AQ15" i="160"/>
  <c r="AP15" i="160"/>
  <c r="AO15" i="160"/>
  <c r="AN15" i="160"/>
  <c r="AM15" i="160"/>
  <c r="AL15" i="160"/>
  <c r="AK15" i="160"/>
  <c r="AJ15" i="160"/>
  <c r="AI15" i="160"/>
  <c r="AH15" i="160"/>
  <c r="AG15" i="160"/>
  <c r="AF15" i="160"/>
  <c r="AE15" i="160"/>
  <c r="AD15" i="160"/>
  <c r="AC15" i="160"/>
  <c r="AB15" i="160"/>
  <c r="AA15" i="160"/>
  <c r="Z15" i="160"/>
  <c r="Y15" i="160"/>
  <c r="X15" i="160"/>
  <c r="W15" i="160"/>
  <c r="AS14" i="160"/>
  <c r="AR14" i="160"/>
  <c r="AQ14" i="160"/>
  <c r="AP14" i="160"/>
  <c r="AO14" i="160"/>
  <c r="AN14" i="160"/>
  <c r="AM14" i="160"/>
  <c r="AL14" i="160"/>
  <c r="AK14" i="160"/>
  <c r="AJ14" i="160"/>
  <c r="AI14" i="160"/>
  <c r="AH14" i="160"/>
  <c r="AG14" i="160"/>
  <c r="AF14" i="160"/>
  <c r="AE14" i="160"/>
  <c r="AD14" i="160"/>
  <c r="AC14" i="160"/>
  <c r="AB14" i="160"/>
  <c r="AA14" i="160"/>
  <c r="Z14" i="160"/>
  <c r="Y14" i="160"/>
  <c r="X14" i="160"/>
  <c r="W14" i="160"/>
  <c r="AS13" i="160"/>
  <c r="AR13" i="160"/>
  <c r="AQ13" i="160"/>
  <c r="AP13" i="160"/>
  <c r="AO13" i="160"/>
  <c r="AN13" i="160"/>
  <c r="AM13" i="160"/>
  <c r="AL13" i="160"/>
  <c r="AK13" i="160"/>
  <c r="AJ13" i="160"/>
  <c r="AI13" i="160"/>
  <c r="AH13" i="160"/>
  <c r="AG13" i="160"/>
  <c r="AF13" i="160"/>
  <c r="AE13" i="160"/>
  <c r="AD13" i="160"/>
  <c r="AC13" i="160"/>
  <c r="AB13" i="160"/>
  <c r="AA13" i="160"/>
  <c r="Z13" i="160"/>
  <c r="Y13" i="160"/>
  <c r="X13" i="160"/>
  <c r="W13" i="160"/>
  <c r="AS12" i="160"/>
  <c r="AR12" i="160"/>
  <c r="AQ12" i="160"/>
  <c r="AP12" i="160"/>
  <c r="AO12" i="160"/>
  <c r="AN12" i="160"/>
  <c r="AM12" i="160"/>
  <c r="AL12" i="160"/>
  <c r="AK12" i="160"/>
  <c r="AJ12" i="160"/>
  <c r="AI12" i="160"/>
  <c r="AH12" i="160"/>
  <c r="AG12" i="160"/>
  <c r="AF12" i="160"/>
  <c r="AE12" i="160"/>
  <c r="AD12" i="160"/>
  <c r="AC12" i="160"/>
  <c r="AB12" i="160"/>
  <c r="AA12" i="160"/>
  <c r="Z12" i="160"/>
  <c r="Y12" i="160"/>
  <c r="X12" i="160"/>
  <c r="W12" i="160"/>
  <c r="AS11" i="160"/>
  <c r="AR11" i="160"/>
  <c r="AQ11" i="160"/>
  <c r="AP11" i="160"/>
  <c r="AO11" i="160"/>
  <c r="AN11" i="160"/>
  <c r="AM11" i="160"/>
  <c r="AL11" i="160"/>
  <c r="AK11" i="160"/>
  <c r="AJ11" i="160"/>
  <c r="AI11" i="160"/>
  <c r="AH11" i="160"/>
  <c r="AG11" i="160"/>
  <c r="AF11" i="160"/>
  <c r="AE11" i="160"/>
  <c r="AD11" i="160"/>
  <c r="AC11" i="160"/>
  <c r="AB11" i="160"/>
  <c r="AA11" i="160"/>
  <c r="Z11" i="160"/>
  <c r="Y11" i="160"/>
  <c r="X11" i="160"/>
  <c r="W11" i="160"/>
  <c r="AS10" i="160"/>
  <c r="AR10" i="160"/>
  <c r="AQ10" i="160"/>
  <c r="AP10" i="160"/>
  <c r="AO10" i="160"/>
  <c r="AN10" i="160"/>
  <c r="AM10" i="160"/>
  <c r="AL10" i="160"/>
  <c r="AK10" i="160"/>
  <c r="AJ10" i="160"/>
  <c r="AI10" i="160"/>
  <c r="AH10" i="160"/>
  <c r="AG10" i="160"/>
  <c r="AF10" i="160"/>
  <c r="AE10" i="160"/>
  <c r="AD10" i="160"/>
  <c r="AC10" i="160"/>
  <c r="AB10" i="160"/>
  <c r="AA10" i="160"/>
  <c r="Z10" i="160"/>
  <c r="Y10" i="160"/>
  <c r="X10" i="160"/>
  <c r="W10" i="160"/>
  <c r="AS9" i="160"/>
  <c r="AS37" i="160" s="1"/>
  <c r="AR9" i="160"/>
  <c r="AQ9" i="160"/>
  <c r="AQ37" i="160" s="1"/>
  <c r="AP9" i="160"/>
  <c r="AO9" i="160"/>
  <c r="AN9" i="160"/>
  <c r="AM9" i="160"/>
  <c r="AL9" i="160"/>
  <c r="AK9" i="160"/>
  <c r="AJ9" i="160"/>
  <c r="AI9" i="160"/>
  <c r="AH9" i="160"/>
  <c r="AG9" i="160"/>
  <c r="AF9" i="160"/>
  <c r="AE9" i="160"/>
  <c r="AD9" i="160"/>
  <c r="AC9" i="160"/>
  <c r="AB9" i="160"/>
  <c r="AA9" i="160"/>
  <c r="Z9" i="160"/>
  <c r="Y9" i="160"/>
  <c r="X9" i="160"/>
  <c r="W9" i="160"/>
  <c r="W37" i="160" s="1"/>
  <c r="AS8" i="160"/>
  <c r="AR8" i="160"/>
  <c r="AR37" i="160" s="1"/>
  <c r="AQ8" i="160"/>
  <c r="AP8" i="160"/>
  <c r="AO8" i="160"/>
  <c r="AN8" i="160"/>
  <c r="AM8" i="160"/>
  <c r="AL8" i="160"/>
  <c r="AK8" i="160"/>
  <c r="AJ8" i="160"/>
  <c r="AI8" i="160"/>
  <c r="AI37" i="160" s="1"/>
  <c r="AH8" i="160"/>
  <c r="AH37" i="160" s="1"/>
  <c r="AG8" i="160"/>
  <c r="AG37" i="160" s="1"/>
  <c r="AF8" i="160"/>
  <c r="AF37" i="160" s="1"/>
  <c r="AE8" i="160"/>
  <c r="AE37" i="160" s="1"/>
  <c r="AD8" i="160"/>
  <c r="AD37" i="160" s="1"/>
  <c r="AC8" i="160"/>
  <c r="AB8" i="160"/>
  <c r="AA8" i="160"/>
  <c r="Z8" i="160"/>
  <c r="Y8" i="160"/>
  <c r="X8" i="160"/>
  <c r="W8" i="160"/>
  <c r="AS7" i="160"/>
  <c r="AR7" i="160"/>
  <c r="AQ7" i="160"/>
  <c r="AP7" i="160"/>
  <c r="AO7" i="160"/>
  <c r="AN7" i="160"/>
  <c r="AM7" i="160"/>
  <c r="AL7" i="160"/>
  <c r="AK7" i="160"/>
  <c r="AJ7" i="160"/>
  <c r="AI7" i="160"/>
  <c r="AH7" i="160"/>
  <c r="AG7" i="160"/>
  <c r="AF7" i="160"/>
  <c r="AE7" i="160"/>
  <c r="AD7" i="160"/>
  <c r="AC7" i="160"/>
  <c r="AB7" i="160"/>
  <c r="AA7" i="160"/>
  <c r="Z7" i="160"/>
  <c r="Y7" i="160"/>
  <c r="X7" i="160"/>
  <c r="W7" i="160"/>
  <c r="AU37" i="160"/>
  <c r="AT37" i="160"/>
  <c r="AP37" i="160"/>
  <c r="T2" i="160"/>
  <c r="Q2" i="160"/>
  <c r="P2" i="160"/>
  <c r="N2" i="160"/>
  <c r="L2" i="160"/>
  <c r="K2" i="160"/>
  <c r="J2" i="160"/>
  <c r="I2" i="160"/>
  <c r="H2" i="160"/>
  <c r="G2" i="160"/>
  <c r="F2" i="160"/>
  <c r="E2" i="160"/>
  <c r="D2" i="160"/>
  <c r="C2" i="160"/>
  <c r="AU37" i="159"/>
  <c r="AT37" i="159"/>
  <c r="AS37" i="159"/>
  <c r="AR37" i="159"/>
  <c r="AQ37" i="159"/>
  <c r="AP37" i="159"/>
  <c r="AO37" i="159"/>
  <c r="AN37" i="159"/>
  <c r="AM37" i="159"/>
  <c r="AL37" i="159"/>
  <c r="AK37" i="159"/>
  <c r="AJ37" i="159"/>
  <c r="AI37" i="159"/>
  <c r="AH37" i="159"/>
  <c r="AG37" i="159"/>
  <c r="AF37" i="159"/>
  <c r="AE37" i="159"/>
  <c r="AD37" i="159"/>
  <c r="AC37" i="159"/>
  <c r="AB37" i="159"/>
  <c r="AA37" i="159"/>
  <c r="Z37" i="159"/>
  <c r="Y37" i="159"/>
  <c r="X37" i="159"/>
  <c r="W37" i="159"/>
  <c r="T2" i="159"/>
  <c r="T35" i="159" s="1"/>
  <c r="Q2" i="159"/>
  <c r="Q36" i="159" s="1"/>
  <c r="P2" i="159"/>
  <c r="P35" i="159" s="1"/>
  <c r="N2" i="159"/>
  <c r="N36" i="159" s="1"/>
  <c r="L2" i="159"/>
  <c r="L30" i="159" s="1"/>
  <c r="K2" i="159"/>
  <c r="K12" i="159" s="1"/>
  <c r="J2" i="159"/>
  <c r="J12" i="159" s="1"/>
  <c r="I2" i="159"/>
  <c r="I33" i="159" s="1"/>
  <c r="H2" i="159"/>
  <c r="H9" i="159" s="1"/>
  <c r="G2" i="159"/>
  <c r="G36" i="159" s="1"/>
  <c r="F2" i="159"/>
  <c r="F35" i="159" s="1"/>
  <c r="E2" i="159"/>
  <c r="E36" i="159" s="1"/>
  <c r="D2" i="159"/>
  <c r="C2" i="159"/>
  <c r="C19" i="159" s="1"/>
  <c r="AU37" i="158"/>
  <c r="AT37" i="158"/>
  <c r="AS37" i="158"/>
  <c r="AR37" i="158"/>
  <c r="AQ37" i="158"/>
  <c r="AP37" i="158"/>
  <c r="AO37" i="158"/>
  <c r="AN37" i="158"/>
  <c r="AM37" i="158"/>
  <c r="AL37" i="158"/>
  <c r="AK37" i="158"/>
  <c r="AJ37" i="158"/>
  <c r="AI37" i="158"/>
  <c r="AH37" i="158"/>
  <c r="AG37" i="158"/>
  <c r="AF37" i="158"/>
  <c r="AE37" i="158"/>
  <c r="AD37" i="158"/>
  <c r="AC37" i="158"/>
  <c r="AB37" i="158"/>
  <c r="AA37" i="158"/>
  <c r="Z37" i="158"/>
  <c r="Y37" i="158"/>
  <c r="X37" i="158"/>
  <c r="W37" i="158"/>
  <c r="T2" i="158"/>
  <c r="T34" i="158" s="1"/>
  <c r="Q2" i="158"/>
  <c r="Q36" i="158" s="1"/>
  <c r="P2" i="158"/>
  <c r="P29" i="158" s="1"/>
  <c r="N2" i="158"/>
  <c r="N22" i="158" s="1"/>
  <c r="L2" i="158"/>
  <c r="L35" i="158" s="1"/>
  <c r="K2" i="158"/>
  <c r="K32" i="158" s="1"/>
  <c r="J2" i="158"/>
  <c r="J35" i="158" s="1"/>
  <c r="I2" i="158"/>
  <c r="I32" i="158" s="1"/>
  <c r="H2" i="158"/>
  <c r="H16" i="158" s="1"/>
  <c r="G2" i="158"/>
  <c r="G36" i="158" s="1"/>
  <c r="F2" i="158"/>
  <c r="F36" i="158" s="1"/>
  <c r="E2" i="158"/>
  <c r="E36" i="158" s="1"/>
  <c r="D2" i="158"/>
  <c r="D32" i="158" s="1"/>
  <c r="C2" i="158"/>
  <c r="AU37" i="157"/>
  <c r="AT37" i="157"/>
  <c r="AS37" i="157"/>
  <c r="AR37" i="157"/>
  <c r="AQ37" i="157"/>
  <c r="AP37" i="157"/>
  <c r="AO37" i="157"/>
  <c r="AN37" i="157"/>
  <c r="AM37" i="157"/>
  <c r="AL37" i="157"/>
  <c r="AK37" i="157"/>
  <c r="AJ37" i="157"/>
  <c r="AI37" i="157"/>
  <c r="AH37" i="157"/>
  <c r="AG37" i="157"/>
  <c r="AF37" i="157"/>
  <c r="AE37" i="157"/>
  <c r="AD37" i="157"/>
  <c r="AC37" i="157"/>
  <c r="AB37" i="157"/>
  <c r="AA37" i="157"/>
  <c r="Z37" i="157"/>
  <c r="Y37" i="157"/>
  <c r="X37" i="157"/>
  <c r="W37" i="157"/>
  <c r="T2" i="157"/>
  <c r="T32" i="157" s="1"/>
  <c r="Q2" i="157"/>
  <c r="Q36" i="157" s="1"/>
  <c r="P2" i="157"/>
  <c r="P35" i="157" s="1"/>
  <c r="N2" i="157"/>
  <c r="N24" i="157" s="1"/>
  <c r="L2" i="157"/>
  <c r="K2" i="157"/>
  <c r="K33" i="157" s="1"/>
  <c r="J2" i="157"/>
  <c r="J33" i="157" s="1"/>
  <c r="I2" i="157"/>
  <c r="I32" i="157" s="1"/>
  <c r="H2" i="157"/>
  <c r="H11" i="157" s="1"/>
  <c r="G2" i="157"/>
  <c r="G36" i="157" s="1"/>
  <c r="F2" i="157"/>
  <c r="F36" i="157" s="1"/>
  <c r="E2" i="157"/>
  <c r="E36" i="157" s="1"/>
  <c r="D2" i="157"/>
  <c r="D15" i="157" s="1"/>
  <c r="C2" i="157"/>
  <c r="AU37" i="156"/>
  <c r="AT37" i="156"/>
  <c r="AS37" i="156"/>
  <c r="AR37" i="156"/>
  <c r="AQ37" i="156"/>
  <c r="AP37" i="156"/>
  <c r="AO37" i="156"/>
  <c r="AN37" i="156"/>
  <c r="AM37" i="156"/>
  <c r="AL37" i="156"/>
  <c r="AK37" i="156"/>
  <c r="AJ37" i="156"/>
  <c r="AI37" i="156"/>
  <c r="AH37" i="156"/>
  <c r="AG37" i="156"/>
  <c r="AF37" i="156"/>
  <c r="AE37" i="156"/>
  <c r="AD37" i="156"/>
  <c r="AC37" i="156"/>
  <c r="AB37" i="156"/>
  <c r="AA37" i="156"/>
  <c r="Z37" i="156"/>
  <c r="Y37" i="156"/>
  <c r="X37" i="156"/>
  <c r="W37" i="156"/>
  <c r="C28" i="156"/>
  <c r="T2" i="156"/>
  <c r="T35" i="156" s="1"/>
  <c r="Q2" i="156"/>
  <c r="Q36" i="156" s="1"/>
  <c r="P2" i="156"/>
  <c r="P36" i="156" s="1"/>
  <c r="N2" i="156"/>
  <c r="N35" i="156" s="1"/>
  <c r="L2" i="156"/>
  <c r="L18" i="156" s="1"/>
  <c r="K2" i="156"/>
  <c r="K33" i="156" s="1"/>
  <c r="J2" i="156"/>
  <c r="I2" i="156"/>
  <c r="I33" i="156" s="1"/>
  <c r="H2" i="156"/>
  <c r="H36" i="156" s="1"/>
  <c r="G2" i="156"/>
  <c r="G36" i="156" s="1"/>
  <c r="F2" i="156"/>
  <c r="F36" i="156" s="1"/>
  <c r="E2" i="156"/>
  <c r="E36" i="156" s="1"/>
  <c r="D2" i="156"/>
  <c r="C2" i="156"/>
  <c r="C22" i="156" s="1"/>
  <c r="AU37" i="155"/>
  <c r="AT37" i="155"/>
  <c r="AS37" i="155"/>
  <c r="AR37" i="155"/>
  <c r="AQ37" i="155"/>
  <c r="AP37" i="155"/>
  <c r="AO37" i="155"/>
  <c r="AN37" i="155"/>
  <c r="AM37" i="155"/>
  <c r="AL37" i="155"/>
  <c r="AK37" i="155"/>
  <c r="AJ37" i="155"/>
  <c r="AI37" i="155"/>
  <c r="AH37" i="155"/>
  <c r="AG37" i="155"/>
  <c r="AF37" i="155"/>
  <c r="AE37" i="155"/>
  <c r="AD37" i="155"/>
  <c r="AC37" i="155"/>
  <c r="AB37" i="155"/>
  <c r="AA37" i="155"/>
  <c r="Z37" i="155"/>
  <c r="Y37" i="155"/>
  <c r="X37" i="155"/>
  <c r="W37" i="155"/>
  <c r="T2" i="155"/>
  <c r="Q2" i="155"/>
  <c r="Q10" i="155" s="1"/>
  <c r="P2" i="155"/>
  <c r="N2" i="155"/>
  <c r="N10" i="155" s="1"/>
  <c r="L2" i="155"/>
  <c r="L9" i="155" s="1"/>
  <c r="K2" i="155"/>
  <c r="J2" i="155"/>
  <c r="J9" i="155" s="1"/>
  <c r="I2" i="155"/>
  <c r="I12" i="155" s="1"/>
  <c r="H2" i="155"/>
  <c r="H8" i="155" s="1"/>
  <c r="G2" i="155"/>
  <c r="F2" i="155"/>
  <c r="F7" i="155" s="1"/>
  <c r="E2" i="155"/>
  <c r="E7" i="155" s="1"/>
  <c r="D2" i="155"/>
  <c r="C2" i="155"/>
  <c r="AU37" i="154"/>
  <c r="AT37" i="154"/>
  <c r="AS37" i="154"/>
  <c r="AR37" i="154"/>
  <c r="AQ37" i="154"/>
  <c r="AP37" i="154"/>
  <c r="AO37" i="154"/>
  <c r="AN37" i="154"/>
  <c r="AM37" i="154"/>
  <c r="AL37" i="154"/>
  <c r="AK37" i="154"/>
  <c r="AJ37" i="154"/>
  <c r="AI37" i="154"/>
  <c r="AH37" i="154"/>
  <c r="AG37" i="154"/>
  <c r="AF37" i="154"/>
  <c r="AE37" i="154"/>
  <c r="AD37" i="154"/>
  <c r="AC37" i="154"/>
  <c r="AB37" i="154"/>
  <c r="AA37" i="154"/>
  <c r="Z37" i="154"/>
  <c r="Y37" i="154"/>
  <c r="X37" i="154"/>
  <c r="W37" i="154"/>
  <c r="T2" i="154"/>
  <c r="T33" i="154" s="1"/>
  <c r="Q2" i="154"/>
  <c r="Q36" i="154" s="1"/>
  <c r="P2" i="154"/>
  <c r="P36" i="154" s="1"/>
  <c r="N2" i="154"/>
  <c r="N35" i="154" s="1"/>
  <c r="M2" i="154"/>
  <c r="M36" i="154" s="1"/>
  <c r="L2" i="154"/>
  <c r="L28" i="154" s="1"/>
  <c r="K2" i="154"/>
  <c r="K21" i="154" s="1"/>
  <c r="J2" i="154"/>
  <c r="J9" i="154" s="1"/>
  <c r="I2" i="154"/>
  <c r="I36" i="154" s="1"/>
  <c r="H2" i="154"/>
  <c r="H36" i="154" s="1"/>
  <c r="G2" i="154"/>
  <c r="G36" i="154" s="1"/>
  <c r="F2" i="154"/>
  <c r="F36" i="154" s="1"/>
  <c r="E2" i="154"/>
  <c r="E36" i="154" s="1"/>
  <c r="D2" i="154"/>
  <c r="D35" i="154" s="1"/>
  <c r="C2" i="154"/>
  <c r="C23" i="154" s="1"/>
  <c r="AU37" i="153"/>
  <c r="AT37" i="153"/>
  <c r="T2" i="153"/>
  <c r="Q2" i="153"/>
  <c r="P2" i="153"/>
  <c r="N2" i="153"/>
  <c r="L2" i="153"/>
  <c r="K2" i="153"/>
  <c r="J2" i="153"/>
  <c r="I2" i="153"/>
  <c r="H2" i="153"/>
  <c r="G2" i="153"/>
  <c r="F2" i="153"/>
  <c r="E2" i="153"/>
  <c r="D2" i="153"/>
  <c r="C2" i="153"/>
  <c r="AU37" i="152"/>
  <c r="AT37" i="152"/>
  <c r="AS37" i="152"/>
  <c r="AR37" i="152"/>
  <c r="AQ37" i="152"/>
  <c r="AP37" i="152"/>
  <c r="AO37" i="152"/>
  <c r="AN37" i="152"/>
  <c r="AM37" i="152"/>
  <c r="AL37" i="152"/>
  <c r="AK37" i="152"/>
  <c r="AJ37" i="152"/>
  <c r="AI37" i="152"/>
  <c r="AH37" i="152"/>
  <c r="AG37" i="152"/>
  <c r="AF37" i="152"/>
  <c r="AE37" i="152"/>
  <c r="AD37" i="152"/>
  <c r="AC37" i="152"/>
  <c r="AB37" i="152"/>
  <c r="AA37" i="152"/>
  <c r="Z37" i="152"/>
  <c r="Y37" i="152"/>
  <c r="X37" i="152"/>
  <c r="W37" i="152"/>
  <c r="T2" i="152"/>
  <c r="T30" i="152" s="1"/>
  <c r="Q2" i="152"/>
  <c r="P2" i="152"/>
  <c r="P26" i="152" s="1"/>
  <c r="N2" i="152"/>
  <c r="N16" i="152" s="1"/>
  <c r="L2" i="152"/>
  <c r="L34" i="152" s="1"/>
  <c r="K2" i="152"/>
  <c r="K35" i="152" s="1"/>
  <c r="J2" i="152"/>
  <c r="J12" i="152" s="1"/>
  <c r="I2" i="152"/>
  <c r="I17" i="152" s="1"/>
  <c r="H2" i="152"/>
  <c r="H30" i="152" s="1"/>
  <c r="G2" i="152"/>
  <c r="G36" i="152" s="1"/>
  <c r="F2" i="152"/>
  <c r="F36" i="152" s="1"/>
  <c r="E2" i="152"/>
  <c r="E36" i="152" s="1"/>
  <c r="D2" i="152"/>
  <c r="D29" i="152" s="1"/>
  <c r="C2" i="152"/>
  <c r="C31" i="152" s="1"/>
  <c r="AU37" i="151"/>
  <c r="AT37" i="151"/>
  <c r="AS37" i="151"/>
  <c r="AR37" i="151"/>
  <c r="AQ37" i="151"/>
  <c r="AP37" i="151"/>
  <c r="AO37" i="151"/>
  <c r="AN37" i="151"/>
  <c r="AM37" i="151"/>
  <c r="AL37" i="151"/>
  <c r="AK37" i="151"/>
  <c r="AJ37" i="151"/>
  <c r="AI37" i="151"/>
  <c r="AH37" i="151"/>
  <c r="AG37" i="151"/>
  <c r="AF37" i="151"/>
  <c r="AE37" i="151"/>
  <c r="AD37" i="151"/>
  <c r="AC37" i="151"/>
  <c r="AB37" i="151"/>
  <c r="AA37" i="151"/>
  <c r="Z37" i="151"/>
  <c r="Y37" i="151"/>
  <c r="X37" i="151"/>
  <c r="W37" i="151"/>
  <c r="T2" i="151"/>
  <c r="T29" i="151" s="1"/>
  <c r="Q2" i="151"/>
  <c r="Q36" i="151" s="1"/>
  <c r="P2" i="151"/>
  <c r="P14" i="151" s="1"/>
  <c r="N2" i="151"/>
  <c r="N35" i="151" s="1"/>
  <c r="L2" i="151"/>
  <c r="L21" i="151" s="1"/>
  <c r="K2" i="151"/>
  <c r="K21" i="151" s="1"/>
  <c r="J2" i="151"/>
  <c r="J36" i="151" s="1"/>
  <c r="I2" i="151"/>
  <c r="I36" i="151" s="1"/>
  <c r="H2" i="151"/>
  <c r="H10" i="151" s="1"/>
  <c r="G2" i="151"/>
  <c r="F2" i="151"/>
  <c r="F36" i="151" s="1"/>
  <c r="E2" i="151"/>
  <c r="E36" i="151" s="1"/>
  <c r="D2" i="151"/>
  <c r="C2" i="151"/>
  <c r="AU37" i="150"/>
  <c r="AT37" i="150"/>
  <c r="AS37" i="150"/>
  <c r="AR37" i="150"/>
  <c r="AQ37" i="150"/>
  <c r="AP37" i="150"/>
  <c r="AO37" i="150"/>
  <c r="AN37" i="150"/>
  <c r="AM37" i="150"/>
  <c r="AL37" i="150"/>
  <c r="AK37" i="150"/>
  <c r="AJ37" i="150"/>
  <c r="AI37" i="150"/>
  <c r="AH37" i="150"/>
  <c r="AG37" i="150"/>
  <c r="AF37" i="150"/>
  <c r="AE37" i="150"/>
  <c r="AD37" i="150"/>
  <c r="AC37" i="150"/>
  <c r="AB37" i="150"/>
  <c r="AA37" i="150"/>
  <c r="Z37" i="150"/>
  <c r="Y37" i="150"/>
  <c r="X37" i="150"/>
  <c r="W37" i="150"/>
  <c r="T2" i="150"/>
  <c r="Q2" i="150"/>
  <c r="P2" i="150"/>
  <c r="P19" i="150" s="1"/>
  <c r="N2" i="150"/>
  <c r="N33" i="150" s="1"/>
  <c r="L2" i="150"/>
  <c r="L28" i="150" s="1"/>
  <c r="K2" i="150"/>
  <c r="K35" i="150" s="1"/>
  <c r="J2" i="150"/>
  <c r="J26" i="150" s="1"/>
  <c r="I2" i="150"/>
  <c r="I36" i="150" s="1"/>
  <c r="H2" i="150"/>
  <c r="G2" i="150"/>
  <c r="G17" i="150" s="1"/>
  <c r="F2" i="150"/>
  <c r="F36" i="150" s="1"/>
  <c r="E2" i="150"/>
  <c r="E36" i="150" s="1"/>
  <c r="D2" i="150"/>
  <c r="D16" i="150" s="1"/>
  <c r="C2" i="150"/>
  <c r="AU37" i="149"/>
  <c r="AT37" i="149"/>
  <c r="AS37" i="149"/>
  <c r="AR37" i="149"/>
  <c r="AQ37" i="149"/>
  <c r="AP37" i="149"/>
  <c r="AO37" i="149"/>
  <c r="AN37" i="149"/>
  <c r="AM37" i="149"/>
  <c r="AL37" i="149"/>
  <c r="AK37" i="149"/>
  <c r="AJ37" i="149"/>
  <c r="AI37" i="149"/>
  <c r="AH37" i="149"/>
  <c r="AG37" i="149"/>
  <c r="AF37" i="149"/>
  <c r="AE37" i="149"/>
  <c r="AD37" i="149"/>
  <c r="AC37" i="149"/>
  <c r="AB37" i="149"/>
  <c r="AA37" i="149"/>
  <c r="Z37" i="149"/>
  <c r="Y37" i="149"/>
  <c r="X37" i="149"/>
  <c r="W37" i="149"/>
  <c r="T2" i="149"/>
  <c r="T30" i="149" s="1"/>
  <c r="Q2" i="149"/>
  <c r="P2" i="149"/>
  <c r="P35" i="149" s="1"/>
  <c r="N2" i="149"/>
  <c r="N31" i="149" s="1"/>
  <c r="L2" i="149"/>
  <c r="K2" i="149"/>
  <c r="K18" i="149" s="1"/>
  <c r="J2" i="149"/>
  <c r="J36" i="149" s="1"/>
  <c r="I2" i="149"/>
  <c r="I35" i="149" s="1"/>
  <c r="H2" i="149"/>
  <c r="G2" i="149"/>
  <c r="F2" i="149"/>
  <c r="F36" i="149" s="1"/>
  <c r="E2" i="149"/>
  <c r="E36" i="149" s="1"/>
  <c r="D2" i="149"/>
  <c r="D23" i="149" s="1"/>
  <c r="C2" i="149"/>
  <c r="C20" i="149" s="1"/>
  <c r="AU37" i="148"/>
  <c r="AT37" i="148"/>
  <c r="AS37" i="148"/>
  <c r="AR37" i="148"/>
  <c r="AQ37" i="148"/>
  <c r="AP37" i="148"/>
  <c r="AO37" i="148"/>
  <c r="AN37" i="148"/>
  <c r="AM37" i="148"/>
  <c r="AL37" i="148"/>
  <c r="AK37" i="148"/>
  <c r="AJ37" i="148"/>
  <c r="AI37" i="148"/>
  <c r="AH37" i="148"/>
  <c r="AG37" i="148"/>
  <c r="AF37" i="148"/>
  <c r="AE37" i="148"/>
  <c r="AD37" i="148"/>
  <c r="AC37" i="148"/>
  <c r="AB37" i="148"/>
  <c r="AA37" i="148"/>
  <c r="Z37" i="148"/>
  <c r="Y37" i="148"/>
  <c r="X37" i="148"/>
  <c r="W37" i="148"/>
  <c r="D8" i="148"/>
  <c r="T2" i="148"/>
  <c r="Q2" i="148"/>
  <c r="Q36" i="148" s="1"/>
  <c r="P2" i="148"/>
  <c r="P36" i="148" s="1"/>
  <c r="N2" i="148"/>
  <c r="N36" i="148" s="1"/>
  <c r="L2" i="148"/>
  <c r="L19" i="148" s="1"/>
  <c r="K2" i="148"/>
  <c r="K33" i="148" s="1"/>
  <c r="J2" i="148"/>
  <c r="J33" i="148" s="1"/>
  <c r="I2" i="148"/>
  <c r="I18" i="148" s="1"/>
  <c r="H2" i="148"/>
  <c r="H20" i="148" s="1"/>
  <c r="G2" i="148"/>
  <c r="G36" i="148" s="1"/>
  <c r="F2" i="148"/>
  <c r="F36" i="148" s="1"/>
  <c r="E2" i="148"/>
  <c r="E36" i="148" s="1"/>
  <c r="D2" i="148"/>
  <c r="D36" i="148" s="1"/>
  <c r="C2" i="148"/>
  <c r="AU37" i="147"/>
  <c r="AT37" i="147"/>
  <c r="AS37" i="147"/>
  <c r="AR37" i="147"/>
  <c r="AQ37" i="147"/>
  <c r="AP37" i="147"/>
  <c r="AO37" i="147"/>
  <c r="AN37" i="147"/>
  <c r="AM37" i="147"/>
  <c r="AL37" i="147"/>
  <c r="AK37" i="147"/>
  <c r="AJ37" i="147"/>
  <c r="AI37" i="147"/>
  <c r="AH37" i="147"/>
  <c r="AG37" i="147"/>
  <c r="AF37" i="147"/>
  <c r="AE37" i="147"/>
  <c r="AD37" i="147"/>
  <c r="AC37" i="147"/>
  <c r="AB37" i="147"/>
  <c r="AA37" i="147"/>
  <c r="Z37" i="147"/>
  <c r="Y37" i="147"/>
  <c r="X37" i="147"/>
  <c r="W37" i="147"/>
  <c r="D12" i="147"/>
  <c r="T2" i="147"/>
  <c r="T36" i="147" s="1"/>
  <c r="Q2" i="147"/>
  <c r="Q15" i="147" s="1"/>
  <c r="P2" i="147"/>
  <c r="P36" i="147" s="1"/>
  <c r="N2" i="147"/>
  <c r="N35" i="147" s="1"/>
  <c r="M2" i="147"/>
  <c r="M8" i="147" s="1"/>
  <c r="L2" i="147"/>
  <c r="L33" i="147" s="1"/>
  <c r="K2" i="147"/>
  <c r="K33" i="147" s="1"/>
  <c r="J2" i="147"/>
  <c r="I2" i="147"/>
  <c r="H2" i="147"/>
  <c r="H16" i="147" s="1"/>
  <c r="G2" i="147"/>
  <c r="G23" i="147" s="1"/>
  <c r="F2" i="147"/>
  <c r="F36" i="147" s="1"/>
  <c r="E2" i="147"/>
  <c r="E32" i="147" s="1"/>
  <c r="D2" i="147"/>
  <c r="D32" i="147" s="1"/>
  <c r="C2" i="147"/>
  <c r="C13" i="147" s="1"/>
  <c r="AS36" i="146"/>
  <c r="AS36" i="175" s="1"/>
  <c r="AR36" i="146"/>
  <c r="AR36" i="175" s="1"/>
  <c r="AQ36" i="146"/>
  <c r="AQ36" i="175" s="1"/>
  <c r="AP36" i="146"/>
  <c r="AP36" i="175" s="1"/>
  <c r="AO36" i="146"/>
  <c r="AO36" i="175" s="1"/>
  <c r="AN36" i="146"/>
  <c r="AN36" i="175" s="1"/>
  <c r="AM36" i="146"/>
  <c r="AM36" i="175" s="1"/>
  <c r="AL36" i="146"/>
  <c r="AL36" i="175" s="1"/>
  <c r="AK36" i="146"/>
  <c r="AK36" i="175" s="1"/>
  <c r="AJ36" i="146"/>
  <c r="AJ36" i="175" s="1"/>
  <c r="AI36" i="146"/>
  <c r="AI36" i="175" s="1"/>
  <c r="AH36" i="146"/>
  <c r="AH36" i="175" s="1"/>
  <c r="AG36" i="146"/>
  <c r="AG36" i="175" s="1"/>
  <c r="AF36" i="146"/>
  <c r="AF36" i="175" s="1"/>
  <c r="AE36" i="146"/>
  <c r="AE36" i="175" s="1"/>
  <c r="AD36" i="146"/>
  <c r="AD36" i="175" s="1"/>
  <c r="AC36" i="146"/>
  <c r="AC36" i="175" s="1"/>
  <c r="AB36" i="146"/>
  <c r="AB36" i="175" s="1"/>
  <c r="AA36" i="146"/>
  <c r="AA36" i="175" s="1"/>
  <c r="Z36" i="146"/>
  <c r="Z36" i="175" s="1"/>
  <c r="Y36" i="146"/>
  <c r="Y36" i="175" s="1"/>
  <c r="X36" i="146"/>
  <c r="X36" i="175" s="1"/>
  <c r="W36" i="146"/>
  <c r="W36" i="175" s="1"/>
  <c r="AS35" i="146"/>
  <c r="AS35" i="175" s="1"/>
  <c r="AR35" i="146"/>
  <c r="AR35" i="175" s="1"/>
  <c r="AQ35" i="146"/>
  <c r="AQ35" i="175" s="1"/>
  <c r="AP35" i="146"/>
  <c r="AP35" i="175" s="1"/>
  <c r="AO35" i="146"/>
  <c r="AO35" i="175" s="1"/>
  <c r="AN35" i="146"/>
  <c r="AN35" i="175" s="1"/>
  <c r="AM35" i="146"/>
  <c r="AM35" i="175" s="1"/>
  <c r="AL35" i="146"/>
  <c r="AL35" i="175" s="1"/>
  <c r="AK35" i="146"/>
  <c r="AK35" i="175" s="1"/>
  <c r="AJ35" i="146"/>
  <c r="AJ35" i="175" s="1"/>
  <c r="AI35" i="146"/>
  <c r="AI35" i="175" s="1"/>
  <c r="AH35" i="146"/>
  <c r="AH35" i="175" s="1"/>
  <c r="AG35" i="146"/>
  <c r="AG35" i="175" s="1"/>
  <c r="AF35" i="146"/>
  <c r="AF35" i="175" s="1"/>
  <c r="AE35" i="146"/>
  <c r="AE35" i="175" s="1"/>
  <c r="AD35" i="146"/>
  <c r="AD35" i="175" s="1"/>
  <c r="AC35" i="146"/>
  <c r="AC35" i="175" s="1"/>
  <c r="AB35" i="146"/>
  <c r="AB35" i="175" s="1"/>
  <c r="AA35" i="146"/>
  <c r="AA35" i="175" s="1"/>
  <c r="Z35" i="146"/>
  <c r="Z35" i="175" s="1"/>
  <c r="Y35" i="146"/>
  <c r="Y35" i="175" s="1"/>
  <c r="X35" i="146"/>
  <c r="X35" i="175" s="1"/>
  <c r="W35" i="146"/>
  <c r="W35" i="175" s="1"/>
  <c r="AS34" i="146"/>
  <c r="AS34" i="175" s="1"/>
  <c r="AR34" i="146"/>
  <c r="AR34" i="175" s="1"/>
  <c r="AQ34" i="146"/>
  <c r="AQ34" i="175" s="1"/>
  <c r="AP34" i="146"/>
  <c r="AP34" i="175" s="1"/>
  <c r="AO34" i="146"/>
  <c r="AO34" i="175" s="1"/>
  <c r="AN34" i="146"/>
  <c r="AN34" i="175" s="1"/>
  <c r="AM34" i="146"/>
  <c r="AM34" i="175" s="1"/>
  <c r="AL34" i="146"/>
  <c r="AL34" i="175" s="1"/>
  <c r="AK34" i="146"/>
  <c r="AK34" i="175" s="1"/>
  <c r="AJ34" i="146"/>
  <c r="AJ34" i="175" s="1"/>
  <c r="AI34" i="146"/>
  <c r="AI34" i="175" s="1"/>
  <c r="AH34" i="146"/>
  <c r="AH34" i="175" s="1"/>
  <c r="AG34" i="146"/>
  <c r="AG34" i="175" s="1"/>
  <c r="AF34" i="146"/>
  <c r="AF34" i="175" s="1"/>
  <c r="AE34" i="146"/>
  <c r="AE34" i="175" s="1"/>
  <c r="AD34" i="146"/>
  <c r="AD34" i="175" s="1"/>
  <c r="AC34" i="146"/>
  <c r="AC34" i="175" s="1"/>
  <c r="AB34" i="146"/>
  <c r="AB34" i="175" s="1"/>
  <c r="AA34" i="146"/>
  <c r="AA34" i="175" s="1"/>
  <c r="Z34" i="146"/>
  <c r="Z34" i="175" s="1"/>
  <c r="Y34" i="146"/>
  <c r="Y34" i="175" s="1"/>
  <c r="X34" i="146"/>
  <c r="X34" i="175" s="1"/>
  <c r="W34" i="146"/>
  <c r="W34" i="175" s="1"/>
  <c r="AS33" i="146"/>
  <c r="AS33" i="175" s="1"/>
  <c r="AR33" i="146"/>
  <c r="AR33" i="175" s="1"/>
  <c r="AQ33" i="146"/>
  <c r="AQ33" i="175" s="1"/>
  <c r="AP33" i="146"/>
  <c r="AP33" i="175" s="1"/>
  <c r="AO33" i="146"/>
  <c r="AO33" i="175" s="1"/>
  <c r="AN33" i="146"/>
  <c r="AN33" i="175" s="1"/>
  <c r="AM33" i="146"/>
  <c r="AM33" i="175" s="1"/>
  <c r="AL33" i="146"/>
  <c r="AL33" i="175" s="1"/>
  <c r="AK33" i="146"/>
  <c r="AK33" i="175" s="1"/>
  <c r="AJ33" i="146"/>
  <c r="AJ33" i="175" s="1"/>
  <c r="AI33" i="146"/>
  <c r="AI33" i="175" s="1"/>
  <c r="AH33" i="146"/>
  <c r="AH33" i="175" s="1"/>
  <c r="AG33" i="146"/>
  <c r="AG33" i="175" s="1"/>
  <c r="AF33" i="146"/>
  <c r="AF33" i="175" s="1"/>
  <c r="AE33" i="146"/>
  <c r="AE33" i="175" s="1"/>
  <c r="AD33" i="146"/>
  <c r="AD33" i="175" s="1"/>
  <c r="AC33" i="146"/>
  <c r="AC33" i="175" s="1"/>
  <c r="AB33" i="146"/>
  <c r="AB33" i="175" s="1"/>
  <c r="AA33" i="146"/>
  <c r="AA33" i="175" s="1"/>
  <c r="Z33" i="146"/>
  <c r="Z33" i="175" s="1"/>
  <c r="Y33" i="146"/>
  <c r="Y33" i="175" s="1"/>
  <c r="X33" i="146"/>
  <c r="X33" i="175" s="1"/>
  <c r="W33" i="146"/>
  <c r="W33" i="175" s="1"/>
  <c r="AS32" i="146"/>
  <c r="AS32" i="175" s="1"/>
  <c r="AR32" i="146"/>
  <c r="AR32" i="175" s="1"/>
  <c r="AQ32" i="146"/>
  <c r="AQ32" i="175" s="1"/>
  <c r="AP32" i="146"/>
  <c r="AP32" i="175" s="1"/>
  <c r="AO32" i="146"/>
  <c r="AO32" i="175" s="1"/>
  <c r="AN32" i="146"/>
  <c r="AN32" i="175" s="1"/>
  <c r="AM32" i="146"/>
  <c r="AM32" i="175" s="1"/>
  <c r="AL32" i="146"/>
  <c r="AL32" i="175" s="1"/>
  <c r="AK32" i="146"/>
  <c r="AK32" i="175" s="1"/>
  <c r="AJ32" i="146"/>
  <c r="AJ32" i="175" s="1"/>
  <c r="AI32" i="146"/>
  <c r="AI32" i="175" s="1"/>
  <c r="AH32" i="146"/>
  <c r="AH32" i="175" s="1"/>
  <c r="AG32" i="146"/>
  <c r="AG32" i="175" s="1"/>
  <c r="AF32" i="146"/>
  <c r="AF32" i="175" s="1"/>
  <c r="AE32" i="146"/>
  <c r="AE32" i="175" s="1"/>
  <c r="AD32" i="146"/>
  <c r="AD32" i="175" s="1"/>
  <c r="AC32" i="146"/>
  <c r="AC32" i="175" s="1"/>
  <c r="AB32" i="146"/>
  <c r="AB32" i="175" s="1"/>
  <c r="AA32" i="146"/>
  <c r="AA32" i="175" s="1"/>
  <c r="Z32" i="146"/>
  <c r="Z32" i="175" s="1"/>
  <c r="Y32" i="146"/>
  <c r="Y32" i="175" s="1"/>
  <c r="X32" i="146"/>
  <c r="X32" i="175" s="1"/>
  <c r="W32" i="146"/>
  <c r="W32" i="175" s="1"/>
  <c r="AS31" i="146"/>
  <c r="AS31" i="175" s="1"/>
  <c r="AR31" i="146"/>
  <c r="AR31" i="175" s="1"/>
  <c r="AQ31" i="146"/>
  <c r="AQ31" i="175" s="1"/>
  <c r="AP31" i="146"/>
  <c r="AP31" i="175" s="1"/>
  <c r="AO31" i="146"/>
  <c r="AO31" i="175" s="1"/>
  <c r="AN31" i="146"/>
  <c r="AN31" i="175" s="1"/>
  <c r="AM31" i="146"/>
  <c r="AM31" i="175" s="1"/>
  <c r="AL31" i="146"/>
  <c r="AL31" i="175" s="1"/>
  <c r="AK31" i="146"/>
  <c r="AK31" i="175" s="1"/>
  <c r="AJ31" i="146"/>
  <c r="AJ31" i="175" s="1"/>
  <c r="AI31" i="146"/>
  <c r="AI31" i="175" s="1"/>
  <c r="AH31" i="146"/>
  <c r="AH31" i="175" s="1"/>
  <c r="AG31" i="146"/>
  <c r="AG31" i="175" s="1"/>
  <c r="AF31" i="146"/>
  <c r="AF31" i="175" s="1"/>
  <c r="AE31" i="146"/>
  <c r="AE31" i="175" s="1"/>
  <c r="AD31" i="146"/>
  <c r="AD31" i="175" s="1"/>
  <c r="AC31" i="146"/>
  <c r="AC31" i="175" s="1"/>
  <c r="AB31" i="146"/>
  <c r="AB31" i="175" s="1"/>
  <c r="AA31" i="146"/>
  <c r="AA31" i="175" s="1"/>
  <c r="Z31" i="146"/>
  <c r="Z31" i="175" s="1"/>
  <c r="Y31" i="146"/>
  <c r="Y31" i="175" s="1"/>
  <c r="X31" i="146"/>
  <c r="X31" i="175" s="1"/>
  <c r="W31" i="146"/>
  <c r="W31" i="175" s="1"/>
  <c r="AS30" i="146"/>
  <c r="AS30" i="175" s="1"/>
  <c r="AR30" i="146"/>
  <c r="AR30" i="175" s="1"/>
  <c r="AQ30" i="146"/>
  <c r="AQ30" i="175" s="1"/>
  <c r="AP30" i="146"/>
  <c r="AP30" i="175" s="1"/>
  <c r="AO30" i="146"/>
  <c r="AO30" i="175" s="1"/>
  <c r="AN30" i="146"/>
  <c r="AN30" i="175" s="1"/>
  <c r="AM30" i="146"/>
  <c r="AM30" i="175" s="1"/>
  <c r="AL30" i="146"/>
  <c r="AL30" i="175" s="1"/>
  <c r="AK30" i="146"/>
  <c r="AK30" i="175" s="1"/>
  <c r="AJ30" i="146"/>
  <c r="AJ30" i="175" s="1"/>
  <c r="AI30" i="146"/>
  <c r="AI30" i="175" s="1"/>
  <c r="AH30" i="146"/>
  <c r="AH30" i="175" s="1"/>
  <c r="AG30" i="146"/>
  <c r="AG30" i="175" s="1"/>
  <c r="AF30" i="146"/>
  <c r="AF30" i="175" s="1"/>
  <c r="AE30" i="146"/>
  <c r="AE30" i="175" s="1"/>
  <c r="AD30" i="146"/>
  <c r="AD30" i="175" s="1"/>
  <c r="AC30" i="146"/>
  <c r="AC30" i="175" s="1"/>
  <c r="AB30" i="146"/>
  <c r="AB30" i="175" s="1"/>
  <c r="AA30" i="146"/>
  <c r="AA30" i="175" s="1"/>
  <c r="Z30" i="146"/>
  <c r="Z30" i="175" s="1"/>
  <c r="Y30" i="146"/>
  <c r="Y30" i="175" s="1"/>
  <c r="X30" i="146"/>
  <c r="X30" i="175" s="1"/>
  <c r="W30" i="146"/>
  <c r="W30" i="175" s="1"/>
  <c r="AS29" i="146"/>
  <c r="AS29" i="175" s="1"/>
  <c r="AR29" i="146"/>
  <c r="AR29" i="175" s="1"/>
  <c r="AQ29" i="146"/>
  <c r="AQ29" i="175" s="1"/>
  <c r="AP29" i="146"/>
  <c r="AP29" i="175" s="1"/>
  <c r="AO29" i="146"/>
  <c r="AO29" i="175" s="1"/>
  <c r="AN29" i="146"/>
  <c r="AN29" i="175" s="1"/>
  <c r="AM29" i="146"/>
  <c r="AM29" i="175" s="1"/>
  <c r="AL29" i="146"/>
  <c r="AL29" i="175" s="1"/>
  <c r="AK29" i="146"/>
  <c r="AK29" i="175" s="1"/>
  <c r="AJ29" i="146"/>
  <c r="AJ29" i="175" s="1"/>
  <c r="AI29" i="146"/>
  <c r="AI29" i="175" s="1"/>
  <c r="AH29" i="146"/>
  <c r="AH29" i="175" s="1"/>
  <c r="AG29" i="146"/>
  <c r="AG29" i="175" s="1"/>
  <c r="AF29" i="146"/>
  <c r="AF29" i="175" s="1"/>
  <c r="AE29" i="146"/>
  <c r="AE29" i="175" s="1"/>
  <c r="AD29" i="146"/>
  <c r="AD29" i="175" s="1"/>
  <c r="AC29" i="146"/>
  <c r="AC29" i="175" s="1"/>
  <c r="AB29" i="146"/>
  <c r="AB29" i="175" s="1"/>
  <c r="AA29" i="146"/>
  <c r="AA29" i="175" s="1"/>
  <c r="Z29" i="146"/>
  <c r="Z29" i="175" s="1"/>
  <c r="Y29" i="146"/>
  <c r="Y29" i="175" s="1"/>
  <c r="X29" i="146"/>
  <c r="X29" i="175" s="1"/>
  <c r="W29" i="146"/>
  <c r="W29" i="175" s="1"/>
  <c r="AS28" i="146"/>
  <c r="AS28" i="175" s="1"/>
  <c r="AR28" i="146"/>
  <c r="AR28" i="175" s="1"/>
  <c r="AQ28" i="146"/>
  <c r="AQ28" i="175" s="1"/>
  <c r="AP28" i="146"/>
  <c r="AP28" i="175" s="1"/>
  <c r="AO28" i="146"/>
  <c r="AO28" i="175" s="1"/>
  <c r="AN28" i="146"/>
  <c r="AN28" i="175" s="1"/>
  <c r="AM28" i="146"/>
  <c r="AM28" i="175" s="1"/>
  <c r="AL28" i="146"/>
  <c r="AL28" i="175" s="1"/>
  <c r="AK28" i="146"/>
  <c r="AK28" i="175" s="1"/>
  <c r="AJ28" i="146"/>
  <c r="AJ28" i="175" s="1"/>
  <c r="AI28" i="146"/>
  <c r="AI28" i="175" s="1"/>
  <c r="AH28" i="146"/>
  <c r="AH28" i="175" s="1"/>
  <c r="AG28" i="146"/>
  <c r="AG28" i="175" s="1"/>
  <c r="AF28" i="146"/>
  <c r="AF28" i="175" s="1"/>
  <c r="AE28" i="146"/>
  <c r="AE28" i="175" s="1"/>
  <c r="AD28" i="146"/>
  <c r="AD28" i="175" s="1"/>
  <c r="AC28" i="146"/>
  <c r="AC28" i="175" s="1"/>
  <c r="AB28" i="146"/>
  <c r="AB28" i="175" s="1"/>
  <c r="AA28" i="146"/>
  <c r="AA28" i="175" s="1"/>
  <c r="Z28" i="146"/>
  <c r="Z28" i="175" s="1"/>
  <c r="Y28" i="146"/>
  <c r="Y28" i="175" s="1"/>
  <c r="X28" i="146"/>
  <c r="X28" i="175" s="1"/>
  <c r="W28" i="146"/>
  <c r="W28" i="175" s="1"/>
  <c r="AS27" i="146"/>
  <c r="AS27" i="175" s="1"/>
  <c r="AR27" i="146"/>
  <c r="AR27" i="175" s="1"/>
  <c r="AQ27" i="146"/>
  <c r="AQ27" i="175" s="1"/>
  <c r="AP27" i="146"/>
  <c r="AP27" i="175" s="1"/>
  <c r="AO27" i="146"/>
  <c r="AO27" i="175" s="1"/>
  <c r="AN27" i="146"/>
  <c r="AN27" i="175" s="1"/>
  <c r="AM27" i="146"/>
  <c r="AM27" i="175" s="1"/>
  <c r="AL27" i="146"/>
  <c r="AL27" i="175" s="1"/>
  <c r="AK27" i="146"/>
  <c r="AK27" i="175" s="1"/>
  <c r="AJ27" i="146"/>
  <c r="AJ27" i="175" s="1"/>
  <c r="AI27" i="146"/>
  <c r="AI27" i="175" s="1"/>
  <c r="AH27" i="146"/>
  <c r="AH27" i="175" s="1"/>
  <c r="AG27" i="146"/>
  <c r="AG27" i="175" s="1"/>
  <c r="AF27" i="146"/>
  <c r="AF27" i="175" s="1"/>
  <c r="AE27" i="146"/>
  <c r="AE27" i="175" s="1"/>
  <c r="AD27" i="146"/>
  <c r="AD27" i="175" s="1"/>
  <c r="AC27" i="146"/>
  <c r="AC27" i="175" s="1"/>
  <c r="AB27" i="146"/>
  <c r="AB27" i="175" s="1"/>
  <c r="AA27" i="146"/>
  <c r="AA27" i="175" s="1"/>
  <c r="Z27" i="146"/>
  <c r="Z27" i="175" s="1"/>
  <c r="Y27" i="146"/>
  <c r="Y27" i="175" s="1"/>
  <c r="X27" i="146"/>
  <c r="X27" i="175" s="1"/>
  <c r="W27" i="146"/>
  <c r="W27" i="175" s="1"/>
  <c r="AS26" i="146"/>
  <c r="AS26" i="175" s="1"/>
  <c r="AR26" i="146"/>
  <c r="AR26" i="175" s="1"/>
  <c r="AQ26" i="146"/>
  <c r="AQ26" i="175" s="1"/>
  <c r="AP26" i="146"/>
  <c r="AP26" i="175" s="1"/>
  <c r="AO26" i="146"/>
  <c r="AO26" i="175" s="1"/>
  <c r="AN26" i="146"/>
  <c r="AN26" i="175" s="1"/>
  <c r="AM26" i="146"/>
  <c r="AM26" i="175" s="1"/>
  <c r="AL26" i="146"/>
  <c r="AL26" i="175" s="1"/>
  <c r="AK26" i="146"/>
  <c r="AK26" i="175" s="1"/>
  <c r="AJ26" i="146"/>
  <c r="AJ26" i="175" s="1"/>
  <c r="AI26" i="146"/>
  <c r="AI26" i="175" s="1"/>
  <c r="AH26" i="146"/>
  <c r="AH26" i="175" s="1"/>
  <c r="AG26" i="146"/>
  <c r="AG26" i="175" s="1"/>
  <c r="AF26" i="146"/>
  <c r="AF26" i="175" s="1"/>
  <c r="AE26" i="146"/>
  <c r="AE26" i="175" s="1"/>
  <c r="AD26" i="146"/>
  <c r="AD26" i="175" s="1"/>
  <c r="AC26" i="146"/>
  <c r="AC26" i="175" s="1"/>
  <c r="AA26" i="146"/>
  <c r="AA26" i="175" s="1"/>
  <c r="Z26" i="146"/>
  <c r="Z26" i="175" s="1"/>
  <c r="Y26" i="146"/>
  <c r="Y26" i="175" s="1"/>
  <c r="X26" i="146"/>
  <c r="X26" i="175" s="1"/>
  <c r="W26" i="146"/>
  <c r="W26" i="175" s="1"/>
  <c r="AS25" i="146"/>
  <c r="AS25" i="175" s="1"/>
  <c r="AR25" i="146"/>
  <c r="AR25" i="175" s="1"/>
  <c r="AQ25" i="146"/>
  <c r="AQ25" i="175" s="1"/>
  <c r="AP25" i="146"/>
  <c r="AP25" i="175" s="1"/>
  <c r="AO25" i="146"/>
  <c r="AO25" i="175" s="1"/>
  <c r="AN25" i="146"/>
  <c r="AN25" i="175" s="1"/>
  <c r="AM25" i="146"/>
  <c r="AM25" i="175" s="1"/>
  <c r="AL25" i="146"/>
  <c r="AL25" i="175" s="1"/>
  <c r="AK25" i="146"/>
  <c r="AK25" i="175" s="1"/>
  <c r="AJ25" i="146"/>
  <c r="AJ25" i="175" s="1"/>
  <c r="AI25" i="146"/>
  <c r="AI25" i="175" s="1"/>
  <c r="AH25" i="146"/>
  <c r="AH25" i="175" s="1"/>
  <c r="AG25" i="146"/>
  <c r="AG25" i="175" s="1"/>
  <c r="AF25" i="146"/>
  <c r="AF25" i="175" s="1"/>
  <c r="AE25" i="146"/>
  <c r="AE25" i="175" s="1"/>
  <c r="AD25" i="146"/>
  <c r="AD25" i="175" s="1"/>
  <c r="AC25" i="146"/>
  <c r="AC25" i="175" s="1"/>
  <c r="AB25" i="146"/>
  <c r="AB25" i="175" s="1"/>
  <c r="AA25" i="146"/>
  <c r="AA25" i="175" s="1"/>
  <c r="Z25" i="146"/>
  <c r="Z25" i="175" s="1"/>
  <c r="Y25" i="146"/>
  <c r="Y25" i="175" s="1"/>
  <c r="X25" i="146"/>
  <c r="X25" i="175" s="1"/>
  <c r="W25" i="146"/>
  <c r="W25" i="175" s="1"/>
  <c r="AS24" i="146"/>
  <c r="AS24" i="175" s="1"/>
  <c r="AR24" i="146"/>
  <c r="AR24" i="175" s="1"/>
  <c r="AQ24" i="146"/>
  <c r="AQ24" i="175" s="1"/>
  <c r="AO24" i="146"/>
  <c r="AO24" i="175" s="1"/>
  <c r="AN24" i="146"/>
  <c r="AN24" i="175" s="1"/>
  <c r="AM24" i="146"/>
  <c r="AM24" i="175" s="1"/>
  <c r="AL24" i="146"/>
  <c r="AL24" i="175" s="1"/>
  <c r="AK24" i="146"/>
  <c r="AK24" i="175" s="1"/>
  <c r="AJ24" i="146"/>
  <c r="AJ24" i="175" s="1"/>
  <c r="AI24" i="146"/>
  <c r="AI24" i="175" s="1"/>
  <c r="AH24" i="146"/>
  <c r="AH24" i="175" s="1"/>
  <c r="AG24" i="146"/>
  <c r="AG24" i="175" s="1"/>
  <c r="AF24" i="146"/>
  <c r="AF24" i="175" s="1"/>
  <c r="AE24" i="146"/>
  <c r="AE24" i="175" s="1"/>
  <c r="AD24" i="146"/>
  <c r="AD24" i="175" s="1"/>
  <c r="AC24" i="146"/>
  <c r="AC24" i="175" s="1"/>
  <c r="AB24" i="146"/>
  <c r="AB24" i="175" s="1"/>
  <c r="AA24" i="146"/>
  <c r="AA24" i="175" s="1"/>
  <c r="Z24" i="146"/>
  <c r="Z24" i="175" s="1"/>
  <c r="Y24" i="146"/>
  <c r="Y24" i="175" s="1"/>
  <c r="X24" i="146"/>
  <c r="X24" i="175" s="1"/>
  <c r="W24" i="146"/>
  <c r="W24" i="175" s="1"/>
  <c r="AS23" i="146"/>
  <c r="AS23" i="175" s="1"/>
  <c r="AR23" i="146"/>
  <c r="AR23" i="175" s="1"/>
  <c r="AQ23" i="146"/>
  <c r="AQ23" i="175" s="1"/>
  <c r="AM23" i="146"/>
  <c r="AM23" i="175" s="1"/>
  <c r="AL23" i="146"/>
  <c r="AL23" i="175" s="1"/>
  <c r="AK23" i="146"/>
  <c r="AK23" i="175" s="1"/>
  <c r="AJ23" i="146"/>
  <c r="AJ23" i="175" s="1"/>
  <c r="AI23" i="146"/>
  <c r="AI23" i="175" s="1"/>
  <c r="AH23" i="146"/>
  <c r="AH23" i="175" s="1"/>
  <c r="AG23" i="146"/>
  <c r="AG23" i="175" s="1"/>
  <c r="AF23" i="146"/>
  <c r="AF23" i="175" s="1"/>
  <c r="AE23" i="146"/>
  <c r="AE23" i="175" s="1"/>
  <c r="AD23" i="146"/>
  <c r="AD23" i="175" s="1"/>
  <c r="AC23" i="146"/>
  <c r="AC23" i="175" s="1"/>
  <c r="AB23" i="146"/>
  <c r="AB23" i="175" s="1"/>
  <c r="AA23" i="146"/>
  <c r="AA23" i="175" s="1"/>
  <c r="Z23" i="146"/>
  <c r="Z23" i="175" s="1"/>
  <c r="Y23" i="146"/>
  <c r="Y23" i="175" s="1"/>
  <c r="X23" i="146"/>
  <c r="X23" i="175" s="1"/>
  <c r="W23" i="146"/>
  <c r="W23" i="175" s="1"/>
  <c r="AS22" i="146"/>
  <c r="AS22" i="175" s="1"/>
  <c r="AR22" i="146"/>
  <c r="AR22" i="175" s="1"/>
  <c r="AQ22" i="146"/>
  <c r="AQ22" i="175" s="1"/>
  <c r="AP22" i="146"/>
  <c r="AP22" i="175" s="1"/>
  <c r="AN22" i="146"/>
  <c r="AN22" i="175" s="1"/>
  <c r="AM22" i="146"/>
  <c r="AM22" i="175" s="1"/>
  <c r="AL22" i="146"/>
  <c r="AL22" i="175" s="1"/>
  <c r="AK22" i="146"/>
  <c r="AK22" i="175" s="1"/>
  <c r="AJ22" i="146"/>
  <c r="AJ22" i="175" s="1"/>
  <c r="AI22" i="146"/>
  <c r="AI22" i="175" s="1"/>
  <c r="AH22" i="146"/>
  <c r="AH22" i="175" s="1"/>
  <c r="AG22" i="146"/>
  <c r="AG22" i="175" s="1"/>
  <c r="AF22" i="146"/>
  <c r="AF22" i="175" s="1"/>
  <c r="AE22" i="146"/>
  <c r="AE22" i="175" s="1"/>
  <c r="AD22" i="146"/>
  <c r="AD22" i="175" s="1"/>
  <c r="AC22" i="146"/>
  <c r="AC22" i="175" s="1"/>
  <c r="AB22" i="146"/>
  <c r="AB22" i="175" s="1"/>
  <c r="AA22" i="146"/>
  <c r="AA22" i="175" s="1"/>
  <c r="Z22" i="146"/>
  <c r="Z22" i="175" s="1"/>
  <c r="Y22" i="146"/>
  <c r="Y22" i="175" s="1"/>
  <c r="X22" i="146"/>
  <c r="X22" i="175" s="1"/>
  <c r="W22" i="146"/>
  <c r="W22" i="175" s="1"/>
  <c r="AS21" i="146"/>
  <c r="AS21" i="175" s="1"/>
  <c r="AR21" i="146"/>
  <c r="AR21" i="175" s="1"/>
  <c r="AQ21" i="146"/>
  <c r="AQ21" i="175" s="1"/>
  <c r="AP21" i="146"/>
  <c r="AP21" i="175" s="1"/>
  <c r="AO21" i="146"/>
  <c r="AO21" i="175" s="1"/>
  <c r="AN21" i="146"/>
  <c r="AN21" i="175" s="1"/>
  <c r="AM21" i="146"/>
  <c r="AM21" i="175" s="1"/>
  <c r="AL21" i="146"/>
  <c r="AL21" i="175" s="1"/>
  <c r="AK21" i="146"/>
  <c r="AK21" i="175" s="1"/>
  <c r="AJ21" i="146"/>
  <c r="AJ21" i="175" s="1"/>
  <c r="AI21" i="146"/>
  <c r="AI21" i="175" s="1"/>
  <c r="AH21" i="146"/>
  <c r="AH21" i="175" s="1"/>
  <c r="AG21" i="146"/>
  <c r="AG21" i="175" s="1"/>
  <c r="AF21" i="146"/>
  <c r="AF21" i="175" s="1"/>
  <c r="AE21" i="146"/>
  <c r="AE21" i="175" s="1"/>
  <c r="AD21" i="146"/>
  <c r="AD21" i="175" s="1"/>
  <c r="AC21" i="146"/>
  <c r="AC21" i="175" s="1"/>
  <c r="AB21" i="146"/>
  <c r="AB21" i="175" s="1"/>
  <c r="AA21" i="146"/>
  <c r="AA21" i="175" s="1"/>
  <c r="Z21" i="146"/>
  <c r="Z21" i="175" s="1"/>
  <c r="Y21" i="146"/>
  <c r="Y21" i="175" s="1"/>
  <c r="X21" i="146"/>
  <c r="X21" i="175" s="1"/>
  <c r="W21" i="146"/>
  <c r="W21" i="175" s="1"/>
  <c r="AS20" i="146"/>
  <c r="AS20" i="175" s="1"/>
  <c r="AR20" i="146"/>
  <c r="AR20" i="175" s="1"/>
  <c r="AQ20" i="146"/>
  <c r="AQ20" i="175" s="1"/>
  <c r="AO20" i="146"/>
  <c r="AO20" i="175" s="1"/>
  <c r="AN20" i="146"/>
  <c r="AN20" i="175" s="1"/>
  <c r="AM20" i="146"/>
  <c r="AM20" i="175" s="1"/>
  <c r="AL20" i="146"/>
  <c r="AL20" i="175" s="1"/>
  <c r="AK20" i="146"/>
  <c r="AK20" i="175" s="1"/>
  <c r="AJ20" i="146"/>
  <c r="AJ20" i="175" s="1"/>
  <c r="AI20" i="146"/>
  <c r="AI20" i="175" s="1"/>
  <c r="AH20" i="146"/>
  <c r="AH20" i="175" s="1"/>
  <c r="AG20" i="146"/>
  <c r="AG20" i="175" s="1"/>
  <c r="AF20" i="146"/>
  <c r="AF20" i="175" s="1"/>
  <c r="AE20" i="146"/>
  <c r="AE20" i="175" s="1"/>
  <c r="AD20" i="146"/>
  <c r="AD20" i="175" s="1"/>
  <c r="AC20" i="146"/>
  <c r="AC20" i="175" s="1"/>
  <c r="AB20" i="146"/>
  <c r="AB20" i="175" s="1"/>
  <c r="AA20" i="146"/>
  <c r="AA20" i="175" s="1"/>
  <c r="Z20" i="146"/>
  <c r="Z20" i="175" s="1"/>
  <c r="Y20" i="146"/>
  <c r="Y20" i="175" s="1"/>
  <c r="X20" i="146"/>
  <c r="X20" i="175" s="1"/>
  <c r="W20" i="146"/>
  <c r="W20" i="175" s="1"/>
  <c r="AS19" i="146"/>
  <c r="AS19" i="175" s="1"/>
  <c r="AR19" i="146"/>
  <c r="AR19" i="175" s="1"/>
  <c r="AQ19" i="146"/>
  <c r="AQ19" i="175" s="1"/>
  <c r="AO19" i="146"/>
  <c r="AO19" i="175" s="1"/>
  <c r="AM19" i="146"/>
  <c r="AM19" i="175" s="1"/>
  <c r="AL19" i="146"/>
  <c r="AL19" i="175" s="1"/>
  <c r="AK19" i="146"/>
  <c r="AK19" i="175" s="1"/>
  <c r="AJ19" i="146"/>
  <c r="AJ19" i="175" s="1"/>
  <c r="AI19" i="146"/>
  <c r="AI19" i="175" s="1"/>
  <c r="AH19" i="146"/>
  <c r="AH19" i="175" s="1"/>
  <c r="AG19" i="146"/>
  <c r="AG19" i="175" s="1"/>
  <c r="AF19" i="146"/>
  <c r="AF19" i="175" s="1"/>
  <c r="AE19" i="146"/>
  <c r="AE19" i="175" s="1"/>
  <c r="AD19" i="146"/>
  <c r="AD19" i="175" s="1"/>
  <c r="AC19" i="146"/>
  <c r="AC19" i="175" s="1"/>
  <c r="AB19" i="146"/>
  <c r="AB19" i="175" s="1"/>
  <c r="AA19" i="146"/>
  <c r="AA19" i="175" s="1"/>
  <c r="Z19" i="146"/>
  <c r="Z19" i="175" s="1"/>
  <c r="Y19" i="146"/>
  <c r="Y19" i="175" s="1"/>
  <c r="X19" i="146"/>
  <c r="X19" i="175" s="1"/>
  <c r="W19" i="146"/>
  <c r="W19" i="175" s="1"/>
  <c r="AS18" i="146"/>
  <c r="AS18" i="175" s="1"/>
  <c r="AR18" i="146"/>
  <c r="AR18" i="175" s="1"/>
  <c r="AQ18" i="146"/>
  <c r="AQ18" i="175" s="1"/>
  <c r="AP18" i="146"/>
  <c r="AP18" i="175" s="1"/>
  <c r="AO18" i="146"/>
  <c r="AO18" i="175" s="1"/>
  <c r="AN18" i="146"/>
  <c r="AN18" i="175" s="1"/>
  <c r="AM18" i="146"/>
  <c r="AM18" i="175" s="1"/>
  <c r="AL18" i="146"/>
  <c r="AL18" i="175" s="1"/>
  <c r="AK18" i="146"/>
  <c r="AK18" i="175" s="1"/>
  <c r="AJ18" i="146"/>
  <c r="AJ18" i="175" s="1"/>
  <c r="AI18" i="146"/>
  <c r="AI18" i="175" s="1"/>
  <c r="AH18" i="146"/>
  <c r="AH18" i="175" s="1"/>
  <c r="AG18" i="146"/>
  <c r="AG18" i="175" s="1"/>
  <c r="AF18" i="146"/>
  <c r="AF18" i="175" s="1"/>
  <c r="AE18" i="146"/>
  <c r="AE18" i="175" s="1"/>
  <c r="AD18" i="146"/>
  <c r="AD18" i="175" s="1"/>
  <c r="AC18" i="146"/>
  <c r="AC18" i="175" s="1"/>
  <c r="AB18" i="146"/>
  <c r="AB18" i="175" s="1"/>
  <c r="AA18" i="146"/>
  <c r="AA18" i="175" s="1"/>
  <c r="Z18" i="146"/>
  <c r="Z18" i="175" s="1"/>
  <c r="Y18" i="146"/>
  <c r="Y18" i="175" s="1"/>
  <c r="X18" i="146"/>
  <c r="X18" i="175" s="1"/>
  <c r="W18" i="146"/>
  <c r="W18" i="175" s="1"/>
  <c r="AS17" i="146"/>
  <c r="AS17" i="175" s="1"/>
  <c r="AR17" i="146"/>
  <c r="AR17" i="175" s="1"/>
  <c r="AQ17" i="146"/>
  <c r="AQ17" i="175" s="1"/>
  <c r="AP17" i="146"/>
  <c r="AP17" i="175" s="1"/>
  <c r="AO17" i="146"/>
  <c r="AO17" i="175" s="1"/>
  <c r="AM17" i="146"/>
  <c r="AM17" i="175" s="1"/>
  <c r="AL17" i="146"/>
  <c r="AL17" i="175" s="1"/>
  <c r="AK17" i="146"/>
  <c r="AK17" i="175" s="1"/>
  <c r="AJ17" i="146"/>
  <c r="AJ17" i="175" s="1"/>
  <c r="AI17" i="146"/>
  <c r="AI17" i="175" s="1"/>
  <c r="AH17" i="146"/>
  <c r="AH17" i="175" s="1"/>
  <c r="AG17" i="146"/>
  <c r="AG17" i="175" s="1"/>
  <c r="AF17" i="146"/>
  <c r="AF17" i="175" s="1"/>
  <c r="AE17" i="146"/>
  <c r="AE17" i="175" s="1"/>
  <c r="AD17" i="146"/>
  <c r="AD17" i="175" s="1"/>
  <c r="AC17" i="146"/>
  <c r="AC17" i="175" s="1"/>
  <c r="AB17" i="146"/>
  <c r="AB17" i="175" s="1"/>
  <c r="AA17" i="146"/>
  <c r="AA17" i="175" s="1"/>
  <c r="Z17" i="146"/>
  <c r="Z17" i="175" s="1"/>
  <c r="Y17" i="146"/>
  <c r="Y17" i="175" s="1"/>
  <c r="X17" i="146"/>
  <c r="X17" i="175" s="1"/>
  <c r="W17" i="146"/>
  <c r="W17" i="175" s="1"/>
  <c r="AS16" i="146"/>
  <c r="AS16" i="175" s="1"/>
  <c r="AR16" i="146"/>
  <c r="AR16" i="175" s="1"/>
  <c r="AQ16" i="146"/>
  <c r="AQ16" i="175" s="1"/>
  <c r="AO16" i="146"/>
  <c r="AO16" i="175" s="1"/>
  <c r="AN16" i="146"/>
  <c r="AN16" i="175" s="1"/>
  <c r="AM16" i="146"/>
  <c r="AM16" i="175" s="1"/>
  <c r="AL16" i="146"/>
  <c r="AL16" i="175" s="1"/>
  <c r="AK16" i="146"/>
  <c r="AK16" i="175" s="1"/>
  <c r="AJ16" i="146"/>
  <c r="AJ16" i="175" s="1"/>
  <c r="AI16" i="146"/>
  <c r="AI16" i="175" s="1"/>
  <c r="AH16" i="146"/>
  <c r="AH16" i="175" s="1"/>
  <c r="AG16" i="146"/>
  <c r="AG16" i="175" s="1"/>
  <c r="AF16" i="146"/>
  <c r="AF16" i="175" s="1"/>
  <c r="AE16" i="146"/>
  <c r="AE16" i="175" s="1"/>
  <c r="AD16" i="146"/>
  <c r="AD16" i="175" s="1"/>
  <c r="AC16" i="146"/>
  <c r="AC16" i="175" s="1"/>
  <c r="AB16" i="146"/>
  <c r="AB16" i="175" s="1"/>
  <c r="AA16" i="146"/>
  <c r="AA16" i="175" s="1"/>
  <c r="Z16" i="146"/>
  <c r="Z16" i="175" s="1"/>
  <c r="Y16" i="146"/>
  <c r="Y16" i="175" s="1"/>
  <c r="X16" i="146"/>
  <c r="X16" i="175" s="1"/>
  <c r="W16" i="146"/>
  <c r="W16" i="175" s="1"/>
  <c r="AS15" i="146"/>
  <c r="AS15" i="175" s="1"/>
  <c r="AR15" i="146"/>
  <c r="AR15" i="175" s="1"/>
  <c r="AQ15" i="146"/>
  <c r="AQ15" i="175" s="1"/>
  <c r="AO15" i="146"/>
  <c r="AO15" i="175" s="1"/>
  <c r="AN15" i="146"/>
  <c r="AN15" i="175" s="1"/>
  <c r="AM15" i="146"/>
  <c r="AM15" i="175" s="1"/>
  <c r="AL15" i="146"/>
  <c r="AL15" i="175" s="1"/>
  <c r="AK15" i="146"/>
  <c r="AK15" i="175" s="1"/>
  <c r="AJ15" i="146"/>
  <c r="AJ15" i="175" s="1"/>
  <c r="AI15" i="146"/>
  <c r="AI15" i="175" s="1"/>
  <c r="AH15" i="146"/>
  <c r="AH15" i="175" s="1"/>
  <c r="AG15" i="146"/>
  <c r="AG15" i="175" s="1"/>
  <c r="AF15" i="146"/>
  <c r="AF15" i="175" s="1"/>
  <c r="AE15" i="146"/>
  <c r="AE15" i="175" s="1"/>
  <c r="AD15" i="146"/>
  <c r="AD15" i="175" s="1"/>
  <c r="AC15" i="146"/>
  <c r="AC15" i="175" s="1"/>
  <c r="AB15" i="146"/>
  <c r="AB15" i="175" s="1"/>
  <c r="AA15" i="146"/>
  <c r="AA15" i="175" s="1"/>
  <c r="Z15" i="146"/>
  <c r="Z15" i="175" s="1"/>
  <c r="Y15" i="146"/>
  <c r="Y15" i="175" s="1"/>
  <c r="X15" i="146"/>
  <c r="X15" i="175" s="1"/>
  <c r="W15" i="146"/>
  <c r="W15" i="175" s="1"/>
  <c r="AS14" i="146"/>
  <c r="AS14" i="175" s="1"/>
  <c r="AR14" i="146"/>
  <c r="AR14" i="175" s="1"/>
  <c r="AQ14" i="146"/>
  <c r="AQ14" i="175" s="1"/>
  <c r="AP14" i="146"/>
  <c r="AP14" i="175" s="1"/>
  <c r="AN14" i="146"/>
  <c r="AN14" i="175" s="1"/>
  <c r="AM14" i="146"/>
  <c r="AM14" i="175" s="1"/>
  <c r="AL14" i="146"/>
  <c r="AL14" i="175" s="1"/>
  <c r="AK14" i="146"/>
  <c r="AK14" i="175" s="1"/>
  <c r="AJ14" i="146"/>
  <c r="AJ14" i="175" s="1"/>
  <c r="AI14" i="146"/>
  <c r="AI14" i="175" s="1"/>
  <c r="AH14" i="146"/>
  <c r="AH14" i="175" s="1"/>
  <c r="AG14" i="146"/>
  <c r="AG14" i="175" s="1"/>
  <c r="AF14" i="146"/>
  <c r="AF14" i="175" s="1"/>
  <c r="AE14" i="146"/>
  <c r="AE14" i="175" s="1"/>
  <c r="AD14" i="146"/>
  <c r="AD14" i="175" s="1"/>
  <c r="AC14" i="146"/>
  <c r="AC14" i="175" s="1"/>
  <c r="AB14" i="146"/>
  <c r="AB14" i="175" s="1"/>
  <c r="AA14" i="146"/>
  <c r="AA14" i="175" s="1"/>
  <c r="Z14" i="146"/>
  <c r="Z14" i="175" s="1"/>
  <c r="Y14" i="146"/>
  <c r="Y14" i="175" s="1"/>
  <c r="X14" i="146"/>
  <c r="X14" i="175" s="1"/>
  <c r="W14" i="146"/>
  <c r="W14" i="175" s="1"/>
  <c r="AS13" i="146"/>
  <c r="AS13" i="175" s="1"/>
  <c r="AR13" i="146"/>
  <c r="AR13" i="175" s="1"/>
  <c r="AQ13" i="146"/>
  <c r="AQ13" i="175" s="1"/>
  <c r="AP13" i="146"/>
  <c r="AP13" i="175" s="1"/>
  <c r="AO13" i="146"/>
  <c r="AO13" i="175" s="1"/>
  <c r="AM13" i="146"/>
  <c r="AM13" i="175" s="1"/>
  <c r="AL13" i="146"/>
  <c r="AL13" i="175" s="1"/>
  <c r="AK13" i="146"/>
  <c r="AK13" i="175" s="1"/>
  <c r="AJ13" i="146"/>
  <c r="AJ13" i="175" s="1"/>
  <c r="AI13" i="146"/>
  <c r="AI13" i="175" s="1"/>
  <c r="AH13" i="146"/>
  <c r="AH13" i="175" s="1"/>
  <c r="AG13" i="146"/>
  <c r="AG13" i="175" s="1"/>
  <c r="AF13" i="146"/>
  <c r="AF13" i="175" s="1"/>
  <c r="AE13" i="146"/>
  <c r="AE13" i="175" s="1"/>
  <c r="AD13" i="146"/>
  <c r="AD13" i="175" s="1"/>
  <c r="AC13" i="146"/>
  <c r="AC13" i="175" s="1"/>
  <c r="AB13" i="146"/>
  <c r="AB13" i="175" s="1"/>
  <c r="AA13" i="146"/>
  <c r="AA13" i="175" s="1"/>
  <c r="Z13" i="146"/>
  <c r="Z13" i="175" s="1"/>
  <c r="Y13" i="146"/>
  <c r="Y13" i="175" s="1"/>
  <c r="X13" i="146"/>
  <c r="X13" i="175" s="1"/>
  <c r="W13" i="146"/>
  <c r="W13" i="175" s="1"/>
  <c r="AS12" i="146"/>
  <c r="AS12" i="175" s="1"/>
  <c r="AR12" i="146"/>
  <c r="AR12" i="175" s="1"/>
  <c r="AQ12" i="146"/>
  <c r="AQ12" i="175" s="1"/>
  <c r="AN12" i="146"/>
  <c r="AN12" i="175" s="1"/>
  <c r="AM12" i="146"/>
  <c r="AM12" i="175" s="1"/>
  <c r="AL12" i="146"/>
  <c r="AL12" i="175" s="1"/>
  <c r="AK12" i="146"/>
  <c r="AK12" i="175" s="1"/>
  <c r="AJ12" i="146"/>
  <c r="AJ12" i="175" s="1"/>
  <c r="AI12" i="146"/>
  <c r="AI12" i="175" s="1"/>
  <c r="AH12" i="146"/>
  <c r="AH12" i="175" s="1"/>
  <c r="AG12" i="146"/>
  <c r="AG12" i="175" s="1"/>
  <c r="AF12" i="146"/>
  <c r="AF12" i="175" s="1"/>
  <c r="AE12" i="146"/>
  <c r="AE12" i="175" s="1"/>
  <c r="AD12" i="146"/>
  <c r="AD12" i="175" s="1"/>
  <c r="AC12" i="146"/>
  <c r="AC12" i="175" s="1"/>
  <c r="AB12" i="146"/>
  <c r="AB12" i="175" s="1"/>
  <c r="AA12" i="146"/>
  <c r="AA12" i="175" s="1"/>
  <c r="Z12" i="146"/>
  <c r="Z12" i="175" s="1"/>
  <c r="Y12" i="146"/>
  <c r="Y12" i="175" s="1"/>
  <c r="X12" i="146"/>
  <c r="X12" i="175" s="1"/>
  <c r="W12" i="146"/>
  <c r="W12" i="175" s="1"/>
  <c r="AS11" i="146"/>
  <c r="AS11" i="175" s="1"/>
  <c r="AR11" i="146"/>
  <c r="AR11" i="175" s="1"/>
  <c r="AQ11" i="146"/>
  <c r="AQ11" i="175" s="1"/>
  <c r="AO11" i="146"/>
  <c r="AO11" i="175" s="1"/>
  <c r="AN11" i="146"/>
  <c r="AN11" i="175" s="1"/>
  <c r="AM11" i="146"/>
  <c r="AM11" i="175" s="1"/>
  <c r="AL11" i="146"/>
  <c r="AL11" i="175" s="1"/>
  <c r="AK11" i="146"/>
  <c r="AK11" i="175" s="1"/>
  <c r="AJ11" i="146"/>
  <c r="AJ11" i="175" s="1"/>
  <c r="AI11" i="146"/>
  <c r="AI11" i="175" s="1"/>
  <c r="AH11" i="146"/>
  <c r="AH11" i="175" s="1"/>
  <c r="AG11" i="146"/>
  <c r="AG11" i="175" s="1"/>
  <c r="AF11" i="146"/>
  <c r="AF11" i="175" s="1"/>
  <c r="AE11" i="146"/>
  <c r="AE11" i="175" s="1"/>
  <c r="AD11" i="146"/>
  <c r="AD11" i="175" s="1"/>
  <c r="AC11" i="146"/>
  <c r="AC11" i="175" s="1"/>
  <c r="AB11" i="146"/>
  <c r="AB11" i="175" s="1"/>
  <c r="AA11" i="146"/>
  <c r="AA11" i="175" s="1"/>
  <c r="Z11" i="146"/>
  <c r="Z11" i="175" s="1"/>
  <c r="Y11" i="146"/>
  <c r="Y11" i="175" s="1"/>
  <c r="X11" i="146"/>
  <c r="X11" i="175" s="1"/>
  <c r="W11" i="146"/>
  <c r="W11" i="175" s="1"/>
  <c r="AS10" i="146"/>
  <c r="AS10" i="175" s="1"/>
  <c r="AR10" i="146"/>
  <c r="AR10" i="175" s="1"/>
  <c r="AQ10" i="146"/>
  <c r="AQ10" i="175" s="1"/>
  <c r="AP10" i="146"/>
  <c r="AP10" i="175" s="1"/>
  <c r="AO10" i="146"/>
  <c r="AO10" i="175" s="1"/>
  <c r="AM10" i="146"/>
  <c r="AM10" i="175" s="1"/>
  <c r="AL10" i="146"/>
  <c r="AL10" i="175" s="1"/>
  <c r="AK10" i="146"/>
  <c r="AK10" i="175" s="1"/>
  <c r="AJ10" i="146"/>
  <c r="AJ10" i="175" s="1"/>
  <c r="AI10" i="146"/>
  <c r="AI10" i="175" s="1"/>
  <c r="AH10" i="146"/>
  <c r="AH10" i="175" s="1"/>
  <c r="AG10" i="146"/>
  <c r="AG10" i="175" s="1"/>
  <c r="AF10" i="146"/>
  <c r="AF10" i="175" s="1"/>
  <c r="AE10" i="146"/>
  <c r="AE10" i="175" s="1"/>
  <c r="AD10" i="146"/>
  <c r="AD10" i="175" s="1"/>
  <c r="AC10" i="146"/>
  <c r="AC10" i="175" s="1"/>
  <c r="AB10" i="146"/>
  <c r="AB10" i="175" s="1"/>
  <c r="AA10" i="146"/>
  <c r="AA10" i="175" s="1"/>
  <c r="Z10" i="146"/>
  <c r="Z10" i="175" s="1"/>
  <c r="Y10" i="146"/>
  <c r="Y10" i="175" s="1"/>
  <c r="X10" i="146"/>
  <c r="X10" i="175" s="1"/>
  <c r="W10" i="146"/>
  <c r="W10" i="175" s="1"/>
  <c r="AS9" i="146"/>
  <c r="AS9" i="175" s="1"/>
  <c r="AR9" i="146"/>
  <c r="AR9" i="175" s="1"/>
  <c r="AQ9" i="146"/>
  <c r="AQ9" i="175" s="1"/>
  <c r="AP9" i="146"/>
  <c r="AP9" i="175" s="1"/>
  <c r="AO9" i="146"/>
  <c r="AO9" i="175" s="1"/>
  <c r="AN9" i="146"/>
  <c r="AN9" i="175" s="1"/>
  <c r="AM9" i="146"/>
  <c r="AM9" i="175" s="1"/>
  <c r="AL9" i="146"/>
  <c r="AL9" i="175" s="1"/>
  <c r="AK9" i="146"/>
  <c r="AK9" i="175" s="1"/>
  <c r="AJ9" i="146"/>
  <c r="AJ9" i="175" s="1"/>
  <c r="AI9" i="146"/>
  <c r="AI9" i="175" s="1"/>
  <c r="AH9" i="146"/>
  <c r="AH9" i="175" s="1"/>
  <c r="AG9" i="146"/>
  <c r="AG9" i="175" s="1"/>
  <c r="AF9" i="146"/>
  <c r="AF9" i="175" s="1"/>
  <c r="AE9" i="146"/>
  <c r="AE9" i="175" s="1"/>
  <c r="AD9" i="146"/>
  <c r="AD9" i="175" s="1"/>
  <c r="AC9" i="146"/>
  <c r="AC9" i="175" s="1"/>
  <c r="AB9" i="146"/>
  <c r="AB9" i="175" s="1"/>
  <c r="AA9" i="146"/>
  <c r="AA9" i="175" s="1"/>
  <c r="Z9" i="146"/>
  <c r="Z9" i="175" s="1"/>
  <c r="Y9" i="146"/>
  <c r="Y9" i="175" s="1"/>
  <c r="X9" i="146"/>
  <c r="X9" i="175" s="1"/>
  <c r="W9" i="146"/>
  <c r="W9" i="175" s="1"/>
  <c r="AS8" i="146"/>
  <c r="AS8" i="175" s="1"/>
  <c r="AR8" i="146"/>
  <c r="AR8" i="175" s="1"/>
  <c r="AQ8" i="146"/>
  <c r="AQ8" i="175" s="1"/>
  <c r="AN8" i="146"/>
  <c r="AN8" i="175" s="1"/>
  <c r="AM8" i="146"/>
  <c r="AM8" i="175" s="1"/>
  <c r="AL8" i="146"/>
  <c r="AL8" i="175" s="1"/>
  <c r="AK8" i="146"/>
  <c r="AK8" i="175" s="1"/>
  <c r="AJ8" i="146"/>
  <c r="AJ8" i="175" s="1"/>
  <c r="AI8" i="146"/>
  <c r="AI8" i="175" s="1"/>
  <c r="AH8" i="146"/>
  <c r="AH8" i="175" s="1"/>
  <c r="AG8" i="146"/>
  <c r="AG8" i="175" s="1"/>
  <c r="AF8" i="146"/>
  <c r="AF8" i="175" s="1"/>
  <c r="AE8" i="146"/>
  <c r="AE8" i="175" s="1"/>
  <c r="AD8" i="146"/>
  <c r="AD8" i="175" s="1"/>
  <c r="AC8" i="146"/>
  <c r="AC8" i="175" s="1"/>
  <c r="AB8" i="146"/>
  <c r="AB8" i="175" s="1"/>
  <c r="AA8" i="146"/>
  <c r="AA8" i="175" s="1"/>
  <c r="Z8" i="146"/>
  <c r="Z8" i="175" s="1"/>
  <c r="Y8" i="146"/>
  <c r="Y8" i="175" s="1"/>
  <c r="X8" i="146"/>
  <c r="X8" i="175" s="1"/>
  <c r="W8" i="146"/>
  <c r="W8" i="175" s="1"/>
  <c r="AS7" i="146"/>
  <c r="AS7" i="175" s="1"/>
  <c r="AR7" i="146"/>
  <c r="AR7" i="175" s="1"/>
  <c r="AQ7" i="146"/>
  <c r="AQ7" i="175" s="1"/>
  <c r="AO7" i="146"/>
  <c r="AO7" i="175" s="1"/>
  <c r="AN7" i="146"/>
  <c r="AN7" i="175" s="1"/>
  <c r="AL7" i="146"/>
  <c r="AL7" i="175" s="1"/>
  <c r="AK7" i="146"/>
  <c r="AK7" i="175" s="1"/>
  <c r="AJ7" i="146"/>
  <c r="AJ7" i="175" s="1"/>
  <c r="AI7" i="146"/>
  <c r="AI7" i="175" s="1"/>
  <c r="AH7" i="146"/>
  <c r="AH7" i="175" s="1"/>
  <c r="AG7" i="146"/>
  <c r="AG7" i="175" s="1"/>
  <c r="AF7" i="146"/>
  <c r="AF7" i="175" s="1"/>
  <c r="AE7" i="146"/>
  <c r="AE7" i="175" s="1"/>
  <c r="AD7" i="146"/>
  <c r="AD7" i="175" s="1"/>
  <c r="AC7" i="146"/>
  <c r="AC7" i="175" s="1"/>
  <c r="AB7" i="146"/>
  <c r="AB7" i="175" s="1"/>
  <c r="AA7" i="146"/>
  <c r="AA7" i="175" s="1"/>
  <c r="Z7" i="146"/>
  <c r="Z7" i="175" s="1"/>
  <c r="Y7" i="146"/>
  <c r="Y7" i="175" s="1"/>
  <c r="X7" i="146"/>
  <c r="X7" i="175" s="1"/>
  <c r="W7" i="146"/>
  <c r="W7" i="175" s="1"/>
  <c r="T2" i="145"/>
  <c r="T34" i="145" s="1"/>
  <c r="Q2" i="145"/>
  <c r="P2" i="145"/>
  <c r="P23" i="145" s="1"/>
  <c r="N2" i="145"/>
  <c r="M2" i="145"/>
  <c r="L2" i="145"/>
  <c r="L7" i="145" s="1"/>
  <c r="K2" i="145"/>
  <c r="J2" i="145"/>
  <c r="J10" i="145" s="1"/>
  <c r="I2" i="145"/>
  <c r="I25" i="145" s="1"/>
  <c r="H2" i="145"/>
  <c r="H19" i="145" s="1"/>
  <c r="G2" i="145"/>
  <c r="F2" i="145"/>
  <c r="F18" i="145" s="1"/>
  <c r="E2" i="145"/>
  <c r="E33" i="145" s="1"/>
  <c r="D2" i="145"/>
  <c r="D29" i="145" s="1"/>
  <c r="C2" i="145"/>
  <c r="C34" i="145" s="1"/>
  <c r="T2" i="144"/>
  <c r="Q2" i="144"/>
  <c r="Q26" i="144" s="1"/>
  <c r="P2" i="144"/>
  <c r="P36" i="144" s="1"/>
  <c r="N2" i="144"/>
  <c r="L2" i="144"/>
  <c r="L18" i="144" s="1"/>
  <c r="K2" i="144"/>
  <c r="K23" i="144" s="1"/>
  <c r="J2" i="144"/>
  <c r="J26" i="144" s="1"/>
  <c r="I2" i="144"/>
  <c r="H2" i="144"/>
  <c r="H22" i="144" s="1"/>
  <c r="G2" i="144"/>
  <c r="G27" i="144" s="1"/>
  <c r="F2" i="144"/>
  <c r="E2" i="144"/>
  <c r="E24" i="144" s="1"/>
  <c r="D2" i="144"/>
  <c r="C2" i="144"/>
  <c r="C33" i="144" s="1"/>
  <c r="T2" i="143"/>
  <c r="T34" i="143" s="1"/>
  <c r="Q2" i="143"/>
  <c r="P2" i="143"/>
  <c r="P14" i="143" s="1"/>
  <c r="N2" i="143"/>
  <c r="L2" i="143"/>
  <c r="K2" i="143"/>
  <c r="J2" i="143"/>
  <c r="J27" i="143" s="1"/>
  <c r="I2" i="143"/>
  <c r="H2" i="143"/>
  <c r="H31" i="143" s="1"/>
  <c r="G2" i="143"/>
  <c r="G7" i="143" s="1"/>
  <c r="F2" i="143"/>
  <c r="F24" i="143" s="1"/>
  <c r="E2" i="143"/>
  <c r="E30" i="143" s="1"/>
  <c r="D2" i="143"/>
  <c r="C2" i="143"/>
  <c r="C11" i="143" s="1"/>
  <c r="T2" i="142"/>
  <c r="T32" i="142" s="1"/>
  <c r="Q2" i="142"/>
  <c r="Q36" i="142" s="1"/>
  <c r="P2" i="142"/>
  <c r="P31" i="142" s="1"/>
  <c r="N2" i="142"/>
  <c r="M2" i="142"/>
  <c r="L2" i="142"/>
  <c r="L12" i="142" s="1"/>
  <c r="K2" i="142"/>
  <c r="J2" i="142"/>
  <c r="I2" i="142"/>
  <c r="I25" i="142" s="1"/>
  <c r="H2" i="142"/>
  <c r="H23" i="142" s="1"/>
  <c r="G2" i="142"/>
  <c r="G34" i="142" s="1"/>
  <c r="F2" i="142"/>
  <c r="F29" i="142" s="1"/>
  <c r="E2" i="142"/>
  <c r="E26" i="142" s="1"/>
  <c r="D2" i="142"/>
  <c r="C2" i="142"/>
  <c r="T3" i="141"/>
  <c r="T32" i="141" s="1"/>
  <c r="Q3" i="141"/>
  <c r="Q12" i="141" s="1"/>
  <c r="P3" i="141"/>
  <c r="P36" i="141" s="1"/>
  <c r="N3" i="141"/>
  <c r="N17" i="141" s="1"/>
  <c r="L3" i="141"/>
  <c r="L21" i="141" s="1"/>
  <c r="K3" i="141"/>
  <c r="K28" i="141" s="1"/>
  <c r="J3" i="141"/>
  <c r="J33" i="141" s="1"/>
  <c r="I3" i="141"/>
  <c r="I31" i="141" s="1"/>
  <c r="H3" i="141"/>
  <c r="H27" i="141" s="1"/>
  <c r="G3" i="141"/>
  <c r="G20" i="141" s="1"/>
  <c r="F3" i="141"/>
  <c r="F24" i="141" s="1"/>
  <c r="E3" i="141"/>
  <c r="E36" i="141" s="1"/>
  <c r="D3" i="141"/>
  <c r="D25" i="141" s="1"/>
  <c r="C3" i="141"/>
  <c r="C20" i="141" s="1"/>
  <c r="AU37" i="146"/>
  <c r="AT37" i="146"/>
  <c r="V2" i="146"/>
  <c r="U2" i="146"/>
  <c r="T2" i="146"/>
  <c r="S2" i="146"/>
  <c r="R2" i="146"/>
  <c r="O2" i="146"/>
  <c r="M2" i="146"/>
  <c r="AU37" i="145"/>
  <c r="AT37" i="145"/>
  <c r="AS37" i="145"/>
  <c r="AR37" i="145"/>
  <c r="AQ37" i="145"/>
  <c r="AP37" i="145"/>
  <c r="AO37" i="145"/>
  <c r="AN37" i="145"/>
  <c r="AM37" i="145"/>
  <c r="AL37" i="145"/>
  <c r="AK37" i="145"/>
  <c r="AJ37" i="145"/>
  <c r="AI37" i="145"/>
  <c r="AH37" i="145"/>
  <c r="AG37" i="145"/>
  <c r="AF37" i="145"/>
  <c r="AE37" i="145"/>
  <c r="AD37" i="145"/>
  <c r="AC37" i="145"/>
  <c r="AB37" i="145"/>
  <c r="AA37" i="145"/>
  <c r="Z37" i="145"/>
  <c r="Y37" i="145"/>
  <c r="X37" i="145"/>
  <c r="W37" i="145"/>
  <c r="G36" i="145"/>
  <c r="G31" i="145"/>
  <c r="I26" i="145"/>
  <c r="G26" i="145"/>
  <c r="E22" i="145"/>
  <c r="I21" i="145"/>
  <c r="I20" i="145"/>
  <c r="G19" i="145"/>
  <c r="E18" i="145"/>
  <c r="I17" i="145"/>
  <c r="I15" i="145"/>
  <c r="P14" i="145"/>
  <c r="I14" i="145"/>
  <c r="G12" i="145"/>
  <c r="C9" i="145"/>
  <c r="AU37" i="144"/>
  <c r="AT37" i="144"/>
  <c r="AS37" i="144"/>
  <c r="AR37" i="144"/>
  <c r="AQ37" i="144"/>
  <c r="AP37" i="144"/>
  <c r="AO37" i="144"/>
  <c r="AN37" i="144"/>
  <c r="AM37" i="144"/>
  <c r="AL37" i="144"/>
  <c r="AK37" i="144"/>
  <c r="AJ37" i="144"/>
  <c r="AI37" i="144"/>
  <c r="AH37" i="144"/>
  <c r="AG37" i="144"/>
  <c r="AF37" i="144"/>
  <c r="AE37" i="144"/>
  <c r="AD37" i="144"/>
  <c r="AC37" i="144"/>
  <c r="AB37" i="144"/>
  <c r="AA37" i="144"/>
  <c r="Z37" i="144"/>
  <c r="Y37" i="144"/>
  <c r="X37" i="144"/>
  <c r="W37" i="144"/>
  <c r="Q36" i="144"/>
  <c r="G36" i="144"/>
  <c r="C36" i="144"/>
  <c r="C35" i="144"/>
  <c r="C34" i="144"/>
  <c r="Q33" i="144"/>
  <c r="J32" i="144"/>
  <c r="C32" i="144"/>
  <c r="Q31" i="144"/>
  <c r="F31" i="144"/>
  <c r="C31" i="144"/>
  <c r="G30" i="144"/>
  <c r="Q28" i="144"/>
  <c r="G28" i="144"/>
  <c r="J27" i="144"/>
  <c r="C27" i="144"/>
  <c r="J25" i="144"/>
  <c r="P24" i="144"/>
  <c r="G24" i="144"/>
  <c r="Q23" i="144"/>
  <c r="G22" i="144"/>
  <c r="Q21" i="144"/>
  <c r="C21" i="144"/>
  <c r="Q20" i="144"/>
  <c r="Q18" i="144"/>
  <c r="Q17" i="144"/>
  <c r="G17" i="144"/>
  <c r="C17" i="144"/>
  <c r="G16" i="144"/>
  <c r="Q14" i="144"/>
  <c r="J14" i="144"/>
  <c r="H14" i="144"/>
  <c r="C13" i="144"/>
  <c r="Q11" i="144"/>
  <c r="P11" i="144"/>
  <c r="C11" i="144"/>
  <c r="Q10" i="144"/>
  <c r="G10" i="144"/>
  <c r="C9" i="144"/>
  <c r="G8" i="144"/>
  <c r="C8" i="144"/>
  <c r="P7" i="144"/>
  <c r="F7" i="144"/>
  <c r="C7" i="144"/>
  <c r="AU37" i="143"/>
  <c r="AT37" i="143"/>
  <c r="AS37" i="143"/>
  <c r="AR37" i="143"/>
  <c r="AQ37" i="143"/>
  <c r="AP37" i="143"/>
  <c r="AO37" i="143"/>
  <c r="AN37" i="143"/>
  <c r="AM37" i="143"/>
  <c r="AL37" i="143"/>
  <c r="AK37" i="143"/>
  <c r="AJ37" i="143"/>
  <c r="AI37" i="143"/>
  <c r="AH37" i="143"/>
  <c r="AG37" i="143"/>
  <c r="AF37" i="143"/>
  <c r="AE37" i="143"/>
  <c r="AD37" i="143"/>
  <c r="AC37" i="143"/>
  <c r="AB37" i="143"/>
  <c r="AA37" i="143"/>
  <c r="Z37" i="143"/>
  <c r="Y37" i="143"/>
  <c r="X37" i="143"/>
  <c r="W37" i="143"/>
  <c r="I34" i="143"/>
  <c r="P33" i="143"/>
  <c r="N32" i="143"/>
  <c r="E32" i="143"/>
  <c r="C31" i="143"/>
  <c r="I29" i="143"/>
  <c r="I28" i="143"/>
  <c r="C23" i="143"/>
  <c r="E21" i="143"/>
  <c r="E18" i="143"/>
  <c r="N15" i="143"/>
  <c r="F12" i="143"/>
  <c r="G11" i="143"/>
  <c r="F10" i="143"/>
  <c r="G9" i="143"/>
  <c r="AU37" i="142"/>
  <c r="AT37" i="142"/>
  <c r="AS37" i="142"/>
  <c r="AR37" i="142"/>
  <c r="AQ37" i="142"/>
  <c r="AP37" i="142"/>
  <c r="AO37" i="142"/>
  <c r="AN37" i="142"/>
  <c r="AL37" i="142"/>
  <c r="AK37" i="142"/>
  <c r="AJ37" i="142"/>
  <c r="AI37" i="142"/>
  <c r="AH37" i="142"/>
  <c r="AG37" i="142"/>
  <c r="AF37" i="142"/>
  <c r="AE37" i="142"/>
  <c r="AD37" i="142"/>
  <c r="AC37" i="142"/>
  <c r="AB37" i="142"/>
  <c r="AA37" i="142"/>
  <c r="Z37" i="142"/>
  <c r="Y37" i="142"/>
  <c r="X37" i="142"/>
  <c r="W37" i="142"/>
  <c r="Q35" i="142"/>
  <c r="G35" i="142"/>
  <c r="H34" i="142"/>
  <c r="Q33" i="142"/>
  <c r="D33" i="142"/>
  <c r="Q32" i="142"/>
  <c r="Q31" i="142"/>
  <c r="Q30" i="142"/>
  <c r="Q27" i="142"/>
  <c r="H25" i="142"/>
  <c r="C25" i="142"/>
  <c r="Q23" i="142"/>
  <c r="D23" i="142"/>
  <c r="Q20" i="142"/>
  <c r="Q19" i="142"/>
  <c r="Q17" i="142"/>
  <c r="Q16" i="142"/>
  <c r="C14" i="142"/>
  <c r="H12" i="142"/>
  <c r="Q11" i="142"/>
  <c r="H11" i="142"/>
  <c r="Q10" i="142"/>
  <c r="D10" i="142"/>
  <c r="G9" i="142"/>
  <c r="Q8" i="142"/>
  <c r="Q7" i="142"/>
  <c r="D7" i="142"/>
  <c r="AU38" i="141"/>
  <c r="AT38" i="141"/>
  <c r="AS38" i="141"/>
  <c r="AR38" i="141"/>
  <c r="AQ38" i="141"/>
  <c r="AM38" i="141"/>
  <c r="AK38" i="141"/>
  <c r="AJ38" i="141"/>
  <c r="AI38" i="141"/>
  <c r="AH38" i="141"/>
  <c r="AG38" i="141"/>
  <c r="AF38" i="141"/>
  <c r="AE38" i="141"/>
  <c r="AD38" i="141"/>
  <c r="AC38" i="141"/>
  <c r="AB38" i="141"/>
  <c r="AA38" i="141"/>
  <c r="Z38" i="141"/>
  <c r="Y38" i="141"/>
  <c r="X38" i="141"/>
  <c r="W38" i="141"/>
  <c r="J36" i="141"/>
  <c r="J35" i="141"/>
  <c r="T33" i="141"/>
  <c r="F33" i="141"/>
  <c r="J30" i="141"/>
  <c r="J29" i="141"/>
  <c r="F28" i="141"/>
  <c r="F27" i="141"/>
  <c r="J25" i="141"/>
  <c r="J24" i="141"/>
  <c r="J22" i="141"/>
  <c r="J21" i="141"/>
  <c r="J18" i="141"/>
  <c r="F18" i="141"/>
  <c r="J16" i="141"/>
  <c r="F16" i="141"/>
  <c r="P14" i="141"/>
  <c r="J14" i="141"/>
  <c r="F12" i="141"/>
  <c r="J11" i="141"/>
  <c r="F9" i="141"/>
  <c r="F8" i="141"/>
  <c r="F15" i="141" l="1"/>
  <c r="J10" i="141"/>
  <c r="F13" i="141"/>
  <c r="N16" i="141"/>
  <c r="J19" i="141"/>
  <c r="F23" i="141"/>
  <c r="F26" i="141"/>
  <c r="J28" i="141"/>
  <c r="F31" i="141"/>
  <c r="F34" i="141"/>
  <c r="F37" i="141"/>
  <c r="F11" i="141"/>
  <c r="J13" i="141"/>
  <c r="J15" i="141"/>
  <c r="J17" i="141"/>
  <c r="F21" i="141"/>
  <c r="I24" i="141"/>
  <c r="I26" i="141"/>
  <c r="F29" i="141"/>
  <c r="F32" i="141"/>
  <c r="J34" i="141"/>
  <c r="P37" i="141"/>
  <c r="E8" i="141"/>
  <c r="I17" i="141"/>
  <c r="I22" i="141"/>
  <c r="I32" i="141"/>
  <c r="N10" i="141"/>
  <c r="I12" i="141"/>
  <c r="E20" i="141"/>
  <c r="I27" i="141"/>
  <c r="E9" i="141"/>
  <c r="E13" i="141"/>
  <c r="N27" i="141"/>
  <c r="I29" i="141"/>
  <c r="AN38" i="141"/>
  <c r="N30" i="142"/>
  <c r="N11" i="142"/>
  <c r="Q25" i="143"/>
  <c r="Q19" i="143"/>
  <c r="Q7" i="143"/>
  <c r="G27" i="145"/>
  <c r="G21" i="145"/>
  <c r="G18" i="145"/>
  <c r="G15" i="145"/>
  <c r="G14" i="145"/>
  <c r="G35" i="145"/>
  <c r="G32" i="145"/>
  <c r="G30" i="145"/>
  <c r="G22" i="145"/>
  <c r="G16" i="145"/>
  <c r="U2" i="148"/>
  <c r="U27" i="148" s="1"/>
  <c r="U2" i="143"/>
  <c r="U34" i="143" s="1"/>
  <c r="Q9" i="143"/>
  <c r="G18" i="143"/>
  <c r="C18" i="145"/>
  <c r="E35" i="141"/>
  <c r="E29" i="141"/>
  <c r="E16" i="141"/>
  <c r="E15" i="141"/>
  <c r="C30" i="142"/>
  <c r="C18" i="142"/>
  <c r="C10" i="142"/>
  <c r="C7" i="142"/>
  <c r="F17" i="144"/>
  <c r="F10" i="144"/>
  <c r="F8" i="142"/>
  <c r="F23" i="142"/>
  <c r="C7" i="143"/>
  <c r="J15" i="144"/>
  <c r="F21" i="144"/>
  <c r="F24" i="144"/>
  <c r="G7" i="145"/>
  <c r="G10" i="145"/>
  <c r="C14" i="145"/>
  <c r="H20" i="145"/>
  <c r="G28" i="145"/>
  <c r="C31" i="162"/>
  <c r="C33" i="162"/>
  <c r="C10" i="162"/>
  <c r="D16" i="172"/>
  <c r="D17" i="172"/>
  <c r="T29" i="141"/>
  <c r="T17" i="141"/>
  <c r="J17" i="142"/>
  <c r="J22" i="142"/>
  <c r="K15" i="143"/>
  <c r="K33" i="143"/>
  <c r="C36" i="145"/>
  <c r="C26" i="145"/>
  <c r="C23" i="145"/>
  <c r="C27" i="145"/>
  <c r="C25" i="145"/>
  <c r="P33" i="145"/>
  <c r="P11" i="145"/>
  <c r="T15" i="141"/>
  <c r="F14" i="142"/>
  <c r="F31" i="142"/>
  <c r="C12" i="143"/>
  <c r="C27" i="143"/>
  <c r="G36" i="143"/>
  <c r="C10" i="145"/>
  <c r="G13" i="145"/>
  <c r="C15" i="145"/>
  <c r="G20" i="145"/>
  <c r="C32" i="145"/>
  <c r="I23" i="141"/>
  <c r="I14" i="141"/>
  <c r="I11" i="141"/>
  <c r="I10" i="141"/>
  <c r="G33" i="142"/>
  <c r="G31" i="142"/>
  <c r="G27" i="142"/>
  <c r="J36" i="144"/>
  <c r="J31" i="144"/>
  <c r="I9" i="141"/>
  <c r="T14" i="141"/>
  <c r="E19" i="141"/>
  <c r="E25" i="141"/>
  <c r="E27" i="141"/>
  <c r="E32" i="141"/>
  <c r="E33" i="141"/>
  <c r="G14" i="142"/>
  <c r="P19" i="142"/>
  <c r="C27" i="142"/>
  <c r="I8" i="141"/>
  <c r="I19" i="141"/>
  <c r="I21" i="141"/>
  <c r="I35" i="141"/>
  <c r="E37" i="141"/>
  <c r="N8" i="142"/>
  <c r="G13" i="142"/>
  <c r="C15" i="142"/>
  <c r="G8" i="143"/>
  <c r="Q21" i="143"/>
  <c r="F34" i="144"/>
  <c r="C8" i="145"/>
  <c r="G11" i="145"/>
  <c r="C16" i="145"/>
  <c r="P18" i="145"/>
  <c r="G24" i="145"/>
  <c r="G29" i="145"/>
  <c r="P34" i="145"/>
  <c r="J8" i="141"/>
  <c r="J12" i="141"/>
  <c r="F17" i="141"/>
  <c r="F19" i="141"/>
  <c r="F20" i="141"/>
  <c r="F22" i="141"/>
  <c r="F25" i="141"/>
  <c r="J26" i="141"/>
  <c r="J27" i="141"/>
  <c r="F30" i="141"/>
  <c r="J31" i="141"/>
  <c r="J32" i="141"/>
  <c r="P33" i="141"/>
  <c r="F35" i="141"/>
  <c r="F36" i="141"/>
  <c r="J37" i="141"/>
  <c r="H8" i="142"/>
  <c r="Q13" i="142"/>
  <c r="Q14" i="142"/>
  <c r="Q24" i="142"/>
  <c r="Q34" i="142"/>
  <c r="Q7" i="144"/>
  <c r="G11" i="144"/>
  <c r="G14" i="144"/>
  <c r="G15" i="144"/>
  <c r="G20" i="144"/>
  <c r="G21" i="144"/>
  <c r="C24" i="144"/>
  <c r="Q24" i="144"/>
  <c r="C29" i="144"/>
  <c r="Q34" i="144"/>
  <c r="E7" i="145"/>
  <c r="E9" i="145"/>
  <c r="I16" i="145"/>
  <c r="I19" i="145"/>
  <c r="I30" i="145"/>
  <c r="D7" i="161"/>
  <c r="D13" i="165"/>
  <c r="C16" i="163"/>
  <c r="AP38" i="141"/>
  <c r="T11" i="141"/>
  <c r="L28" i="141"/>
  <c r="T35" i="141"/>
  <c r="T36" i="141"/>
  <c r="AN10" i="146"/>
  <c r="AN10" i="175" s="1"/>
  <c r="AN37" i="175" s="1"/>
  <c r="CQ23" i="176" s="1"/>
  <c r="T27" i="141"/>
  <c r="C8" i="141"/>
  <c r="Q36" i="141"/>
  <c r="C20" i="147"/>
  <c r="D29" i="148"/>
  <c r="D7" i="152"/>
  <c r="D31" i="161"/>
  <c r="C7" i="162"/>
  <c r="C25" i="165"/>
  <c r="I10" i="142"/>
  <c r="I32" i="142"/>
  <c r="I33" i="142"/>
  <c r="I34" i="142"/>
  <c r="P15" i="143"/>
  <c r="D24" i="147"/>
  <c r="D32" i="148"/>
  <c r="C19" i="149"/>
  <c r="D23" i="150"/>
  <c r="D31" i="152"/>
  <c r="C7" i="159"/>
  <c r="D29" i="165"/>
  <c r="G28" i="141"/>
  <c r="I16" i="142"/>
  <c r="I19" i="142"/>
  <c r="P21" i="143"/>
  <c r="D36" i="147"/>
  <c r="C20" i="154"/>
  <c r="C10" i="156"/>
  <c r="C7" i="161"/>
  <c r="C28" i="162"/>
  <c r="C10" i="165"/>
  <c r="D9" i="172"/>
  <c r="C37" i="141"/>
  <c r="C32" i="141"/>
  <c r="C14" i="141"/>
  <c r="C10" i="141"/>
  <c r="C9" i="141"/>
  <c r="C34" i="141"/>
  <c r="E36" i="142"/>
  <c r="E34" i="142"/>
  <c r="E33" i="142"/>
  <c r="E31" i="142"/>
  <c r="E24" i="142"/>
  <c r="E23" i="142"/>
  <c r="E20" i="142"/>
  <c r="E19" i="142"/>
  <c r="E16" i="142"/>
  <c r="E14" i="142"/>
  <c r="E10" i="142"/>
  <c r="E17" i="142"/>
  <c r="E13" i="142"/>
  <c r="E11" i="142"/>
  <c r="E7" i="142"/>
  <c r="E29" i="142"/>
  <c r="F35" i="143"/>
  <c r="F33" i="143"/>
  <c r="F36" i="143"/>
  <c r="F30" i="143"/>
  <c r="F7" i="143"/>
  <c r="F17" i="143"/>
  <c r="F15" i="143"/>
  <c r="D31" i="144"/>
  <c r="D21" i="144"/>
  <c r="D20" i="144"/>
  <c r="D25" i="144"/>
  <c r="H32" i="144"/>
  <c r="H31" i="144"/>
  <c r="H28" i="144"/>
  <c r="H25" i="144"/>
  <c r="H16" i="144"/>
  <c r="H10" i="144"/>
  <c r="H35" i="144"/>
  <c r="H24" i="144"/>
  <c r="H18" i="144"/>
  <c r="H13" i="144"/>
  <c r="H9" i="144"/>
  <c r="H19" i="144"/>
  <c r="H11" i="144"/>
  <c r="N26" i="145"/>
  <c r="N14" i="145"/>
  <c r="N7" i="145"/>
  <c r="G16" i="141"/>
  <c r="I9" i="142"/>
  <c r="I13" i="142"/>
  <c r="I22" i="142"/>
  <c r="J14" i="143"/>
  <c r="P19" i="143"/>
  <c r="J28" i="143"/>
  <c r="D11" i="144"/>
  <c r="H20" i="144"/>
  <c r="H26" i="144"/>
  <c r="H29" i="144"/>
  <c r="D36" i="144"/>
  <c r="E8" i="142"/>
  <c r="E27" i="142"/>
  <c r="I29" i="142"/>
  <c r="H8" i="144"/>
  <c r="H33" i="144"/>
  <c r="C21" i="157"/>
  <c r="C16" i="157"/>
  <c r="C16" i="164"/>
  <c r="C28" i="164"/>
  <c r="Q29" i="141"/>
  <c r="Q22" i="141"/>
  <c r="Q16" i="141"/>
  <c r="Q14" i="141"/>
  <c r="Q24" i="141"/>
  <c r="Q37" i="141"/>
  <c r="Q30" i="141"/>
  <c r="Q26" i="141"/>
  <c r="Q23" i="141"/>
  <c r="P31" i="143"/>
  <c r="P13" i="143"/>
  <c r="P32" i="143"/>
  <c r="P27" i="143"/>
  <c r="L12" i="144"/>
  <c r="L21" i="144"/>
  <c r="Q15" i="141"/>
  <c r="Q27" i="141"/>
  <c r="G29" i="141"/>
  <c r="Q33" i="141"/>
  <c r="I8" i="142"/>
  <c r="I23" i="142"/>
  <c r="I28" i="142"/>
  <c r="F9" i="143"/>
  <c r="F16" i="143"/>
  <c r="H12" i="144"/>
  <c r="C19" i="141"/>
  <c r="I11" i="142"/>
  <c r="I12" i="142"/>
  <c r="I20" i="142"/>
  <c r="I24" i="142"/>
  <c r="E30" i="142"/>
  <c r="F8" i="143"/>
  <c r="F18" i="143"/>
  <c r="J23" i="143"/>
  <c r="L8" i="144"/>
  <c r="D24" i="144"/>
  <c r="F21" i="145"/>
  <c r="G35" i="141"/>
  <c r="G18" i="141"/>
  <c r="I36" i="142"/>
  <c r="I35" i="142"/>
  <c r="I27" i="142"/>
  <c r="I17" i="142"/>
  <c r="I7" i="142"/>
  <c r="I30" i="142"/>
  <c r="I14" i="142"/>
  <c r="I31" i="142"/>
  <c r="I26" i="142"/>
  <c r="I21" i="142"/>
  <c r="I18" i="142"/>
  <c r="I15" i="142"/>
  <c r="J35" i="143"/>
  <c r="J29" i="143"/>
  <c r="J22" i="143"/>
  <c r="J19" i="143"/>
  <c r="J10" i="143"/>
  <c r="J9" i="143"/>
  <c r="J8" i="143"/>
  <c r="J11" i="143"/>
  <c r="J20" i="143"/>
  <c r="J13" i="143"/>
  <c r="K35" i="170"/>
  <c r="K15" i="170"/>
  <c r="D29" i="173"/>
  <c r="D20" i="173"/>
  <c r="D13" i="173"/>
  <c r="D10" i="173"/>
  <c r="AB26" i="146"/>
  <c r="AB26" i="175" s="1"/>
  <c r="C35" i="143"/>
  <c r="C24" i="143"/>
  <c r="Q27" i="143"/>
  <c r="Q26" i="143"/>
  <c r="Q20" i="143"/>
  <c r="Q15" i="143"/>
  <c r="Q14" i="143"/>
  <c r="Q11" i="143"/>
  <c r="C33" i="145"/>
  <c r="C31" i="145"/>
  <c r="C30" i="145"/>
  <c r="C28" i="145"/>
  <c r="C24" i="145"/>
  <c r="C21" i="145"/>
  <c r="C20" i="145"/>
  <c r="C19" i="145"/>
  <c r="C17" i="145"/>
  <c r="C12" i="145"/>
  <c r="G34" i="145"/>
  <c r="G8" i="145"/>
  <c r="K30" i="145"/>
  <c r="K7" i="145"/>
  <c r="P29" i="145"/>
  <c r="P35" i="145"/>
  <c r="P25" i="145"/>
  <c r="P22" i="145"/>
  <c r="P21" i="145"/>
  <c r="P13" i="145"/>
  <c r="P10" i="145"/>
  <c r="P9" i="145"/>
  <c r="D22" i="151"/>
  <c r="D8" i="151"/>
  <c r="T12" i="141"/>
  <c r="L17" i="141"/>
  <c r="D20" i="141"/>
  <c r="T20" i="141"/>
  <c r="T21" i="141"/>
  <c r="T23" i="141"/>
  <c r="T24" i="141"/>
  <c r="T26" i="141"/>
  <c r="T30" i="141"/>
  <c r="F11" i="142"/>
  <c r="N14" i="142"/>
  <c r="F22" i="142"/>
  <c r="J26" i="142"/>
  <c r="Q8" i="143"/>
  <c r="C10" i="143"/>
  <c r="G14" i="143"/>
  <c r="Q17" i="143"/>
  <c r="C19" i="143"/>
  <c r="G23" i="143"/>
  <c r="C26" i="143"/>
  <c r="C7" i="145"/>
  <c r="P7" i="145"/>
  <c r="G9" i="145"/>
  <c r="C11" i="145"/>
  <c r="C13" i="145"/>
  <c r="G17" i="145"/>
  <c r="C22" i="145"/>
  <c r="G23" i="145"/>
  <c r="G25" i="145"/>
  <c r="P26" i="145"/>
  <c r="C29" i="145"/>
  <c r="P30" i="145"/>
  <c r="G33" i="145"/>
  <c r="C35" i="145"/>
  <c r="F26" i="144"/>
  <c r="F30" i="144"/>
  <c r="F14" i="144"/>
  <c r="F11" i="144"/>
  <c r="J33" i="144"/>
  <c r="J24" i="144"/>
  <c r="J23" i="144"/>
  <c r="P21" i="144"/>
  <c r="P18" i="144"/>
  <c r="P17" i="144"/>
  <c r="D23" i="151"/>
  <c r="D11" i="154"/>
  <c r="D28" i="154"/>
  <c r="D26" i="154"/>
  <c r="D10" i="159"/>
  <c r="D29" i="159"/>
  <c r="D25" i="150"/>
  <c r="C16" i="156"/>
  <c r="C32" i="156"/>
  <c r="D15" i="147"/>
  <c r="D29" i="147"/>
  <c r="D17" i="148"/>
  <c r="D8" i="150"/>
  <c r="F13" i="151"/>
  <c r="C11" i="154"/>
  <c r="C20" i="156"/>
  <c r="C34" i="156"/>
  <c r="D13" i="161"/>
  <c r="D16" i="162"/>
  <c r="D16" i="165"/>
  <c r="D32" i="165"/>
  <c r="D15" i="170"/>
  <c r="D19" i="147"/>
  <c r="D20" i="148"/>
  <c r="C35" i="154"/>
  <c r="C8" i="156"/>
  <c r="D20" i="161"/>
  <c r="D19" i="162"/>
  <c r="C7" i="165"/>
  <c r="C22" i="165"/>
  <c r="D8" i="172"/>
  <c r="D20" i="142"/>
  <c r="D14" i="142"/>
  <c r="D36" i="143"/>
  <c r="D20" i="143"/>
  <c r="D7" i="143"/>
  <c r="D31" i="143"/>
  <c r="D26" i="143"/>
  <c r="D25" i="143"/>
  <c r="L32" i="143"/>
  <c r="L21" i="143"/>
  <c r="L9" i="143"/>
  <c r="H24" i="145"/>
  <c r="H35" i="145"/>
  <c r="Q26" i="145"/>
  <c r="Q14" i="145"/>
  <c r="D8" i="142"/>
  <c r="H9" i="142"/>
  <c r="D11" i="142"/>
  <c r="P14" i="142"/>
  <c r="D16" i="142"/>
  <c r="P16" i="142"/>
  <c r="H17" i="142"/>
  <c r="H22" i="142"/>
  <c r="P23" i="142"/>
  <c r="P24" i="142"/>
  <c r="P30" i="142"/>
  <c r="H32" i="142"/>
  <c r="D34" i="142"/>
  <c r="D14" i="143"/>
  <c r="D32" i="143"/>
  <c r="Q36" i="150"/>
  <c r="Q13" i="150"/>
  <c r="D8" i="168"/>
  <c r="D15" i="168"/>
  <c r="V2" i="172"/>
  <c r="V23" i="172" s="1"/>
  <c r="V2" i="155"/>
  <c r="V2" i="150"/>
  <c r="V12" i="150" s="1"/>
  <c r="V3" i="141"/>
  <c r="V22" i="141" s="1"/>
  <c r="V2" i="169"/>
  <c r="V7" i="169" s="1"/>
  <c r="V2" i="168"/>
  <c r="H7" i="142"/>
  <c r="H10" i="142"/>
  <c r="D13" i="142"/>
  <c r="H21" i="142"/>
  <c r="P34" i="142"/>
  <c r="P35" i="142"/>
  <c r="D8" i="143"/>
  <c r="H9" i="143"/>
  <c r="D13" i="143"/>
  <c r="D19" i="143"/>
  <c r="D32" i="164"/>
  <c r="D19" i="164"/>
  <c r="D22" i="164"/>
  <c r="D15" i="169"/>
  <c r="D22" i="169"/>
  <c r="D8" i="169"/>
  <c r="D32" i="169"/>
  <c r="D16" i="169"/>
  <c r="D23" i="169"/>
  <c r="C36" i="173"/>
  <c r="C25" i="173"/>
  <c r="C19" i="173"/>
  <c r="C13" i="173"/>
  <c r="C7" i="173"/>
  <c r="C28" i="173"/>
  <c r="C23" i="173"/>
  <c r="C17" i="173"/>
  <c r="C11" i="173"/>
  <c r="C31" i="173"/>
  <c r="C20" i="173"/>
  <c r="C8" i="173"/>
  <c r="C16" i="173"/>
  <c r="U2" i="154"/>
  <c r="U18" i="154" s="1"/>
  <c r="U2" i="152"/>
  <c r="U9" i="152" s="1"/>
  <c r="U2" i="151"/>
  <c r="U18" i="151" s="1"/>
  <c r="U2" i="149"/>
  <c r="U2" i="171"/>
  <c r="U2" i="160"/>
  <c r="U2" i="155"/>
  <c r="U25" i="155" s="1"/>
  <c r="U2" i="150"/>
  <c r="U2" i="144"/>
  <c r="U3" i="141"/>
  <c r="U35" i="141" s="1"/>
  <c r="U2" i="159"/>
  <c r="U9" i="159" s="1"/>
  <c r="U2" i="158"/>
  <c r="O2" i="163"/>
  <c r="O31" i="163" s="1"/>
  <c r="O2" i="151"/>
  <c r="O25" i="151" s="1"/>
  <c r="O2" i="149"/>
  <c r="O26" i="149" s="1"/>
  <c r="O2" i="143"/>
  <c r="O2" i="169"/>
  <c r="O2" i="155"/>
  <c r="O17" i="155" s="1"/>
  <c r="O2" i="150"/>
  <c r="O25" i="150" s="1"/>
  <c r="O2" i="144"/>
  <c r="O3" i="141"/>
  <c r="O13" i="141" s="1"/>
  <c r="O2" i="168"/>
  <c r="O33" i="168" s="1"/>
  <c r="H16" i="142"/>
  <c r="D17" i="142"/>
  <c r="H20" i="142"/>
  <c r="D9" i="143"/>
  <c r="L15" i="143"/>
  <c r="Q22" i="145"/>
  <c r="I30" i="141"/>
  <c r="I28" i="141"/>
  <c r="I20" i="141"/>
  <c r="I18" i="141"/>
  <c r="N37" i="141"/>
  <c r="N24" i="141"/>
  <c r="C32" i="142"/>
  <c r="C33" i="142"/>
  <c r="C23" i="142"/>
  <c r="C13" i="142"/>
  <c r="C11" i="142"/>
  <c r="C8" i="142"/>
  <c r="G29" i="142"/>
  <c r="G23" i="142"/>
  <c r="G22" i="142"/>
  <c r="G11" i="142"/>
  <c r="G10" i="142"/>
  <c r="G8" i="142"/>
  <c r="G7" i="142"/>
  <c r="O2" i="142"/>
  <c r="C34" i="143"/>
  <c r="C32" i="143"/>
  <c r="C29" i="143"/>
  <c r="C8" i="143"/>
  <c r="C22" i="143"/>
  <c r="G31" i="143"/>
  <c r="G26" i="143"/>
  <c r="G32" i="143"/>
  <c r="Q35" i="143"/>
  <c r="Q23" i="143"/>
  <c r="Q13" i="143"/>
  <c r="Q33" i="143"/>
  <c r="Q32" i="143"/>
  <c r="Q31" i="143"/>
  <c r="Q29" i="143"/>
  <c r="I20" i="144"/>
  <c r="I12" i="144"/>
  <c r="N21" i="144"/>
  <c r="N8" i="144"/>
  <c r="V2" i="151"/>
  <c r="D15" i="164"/>
  <c r="D11" i="169"/>
  <c r="C26" i="173"/>
  <c r="H36" i="142"/>
  <c r="H35" i="142"/>
  <c r="H33" i="142"/>
  <c r="H28" i="142"/>
  <c r="H14" i="142"/>
  <c r="H13" i="142"/>
  <c r="P11" i="142"/>
  <c r="P8" i="142"/>
  <c r="H36" i="143"/>
  <c r="H32" i="143"/>
  <c r="H25" i="143"/>
  <c r="H19" i="143"/>
  <c r="H16" i="143"/>
  <c r="H12" i="143"/>
  <c r="H10" i="143"/>
  <c r="H8" i="143"/>
  <c r="H35" i="143"/>
  <c r="C35" i="147"/>
  <c r="C29" i="147"/>
  <c r="C8" i="147"/>
  <c r="C25" i="147"/>
  <c r="C16" i="147"/>
  <c r="O2" i="147"/>
  <c r="O34" i="147" s="1"/>
  <c r="U2" i="147"/>
  <c r="U12" i="147" s="1"/>
  <c r="C36" i="149"/>
  <c r="C26" i="149"/>
  <c r="C14" i="149"/>
  <c r="C25" i="149"/>
  <c r="C13" i="149"/>
  <c r="C32" i="149"/>
  <c r="C31" i="149"/>
  <c r="C8" i="149"/>
  <c r="G36" i="149"/>
  <c r="G8" i="149"/>
  <c r="Q11" i="150"/>
  <c r="U2" i="153"/>
  <c r="D36" i="154"/>
  <c r="D34" i="154"/>
  <c r="D29" i="154"/>
  <c r="D22" i="154"/>
  <c r="D17" i="154"/>
  <c r="D10" i="154"/>
  <c r="D32" i="154"/>
  <c r="D25" i="154"/>
  <c r="D20" i="154"/>
  <c r="D13" i="154"/>
  <c r="D8" i="154"/>
  <c r="D23" i="154"/>
  <c r="D16" i="154"/>
  <c r="D31" i="154"/>
  <c r="D14" i="154"/>
  <c r="D7" i="154"/>
  <c r="D19" i="154"/>
  <c r="C16" i="168"/>
  <c r="C22" i="168"/>
  <c r="C21" i="168"/>
  <c r="C15" i="168"/>
  <c r="C35" i="171"/>
  <c r="C10" i="171"/>
  <c r="C14" i="171"/>
  <c r="D31" i="147"/>
  <c r="D22" i="147"/>
  <c r="D18" i="147"/>
  <c r="D14" i="147"/>
  <c r="D10" i="147"/>
  <c r="D34" i="147"/>
  <c r="D28" i="147"/>
  <c r="D20" i="147"/>
  <c r="D17" i="147"/>
  <c r="D13" i="147"/>
  <c r="D7" i="147"/>
  <c r="D36" i="150"/>
  <c r="D22" i="150"/>
  <c r="D14" i="150"/>
  <c r="D26" i="150"/>
  <c r="D20" i="150"/>
  <c r="D17" i="150"/>
  <c r="C16" i="152"/>
  <c r="C36" i="156"/>
  <c r="C31" i="156"/>
  <c r="C25" i="156"/>
  <c r="C19" i="156"/>
  <c r="C13" i="156"/>
  <c r="C7" i="156"/>
  <c r="C35" i="156"/>
  <c r="C29" i="156"/>
  <c r="C23" i="156"/>
  <c r="C17" i="156"/>
  <c r="C11" i="156"/>
  <c r="C14" i="156"/>
  <c r="C26" i="156"/>
  <c r="C35" i="163"/>
  <c r="C13" i="163"/>
  <c r="C28" i="163"/>
  <c r="C22" i="166"/>
  <c r="C19" i="166"/>
  <c r="C22" i="170"/>
  <c r="C31" i="170"/>
  <c r="G26" i="170"/>
  <c r="G19" i="170"/>
  <c r="G8" i="170"/>
  <c r="Q31" i="170"/>
  <c r="Q11" i="170"/>
  <c r="Q16" i="170"/>
  <c r="C30" i="172"/>
  <c r="C33" i="172"/>
  <c r="Q8" i="144"/>
  <c r="Q27" i="144"/>
  <c r="Q30" i="144"/>
  <c r="E13" i="145"/>
  <c r="E21" i="145"/>
  <c r="I23" i="145"/>
  <c r="I36" i="145"/>
  <c r="D10" i="151"/>
  <c r="D32" i="151"/>
  <c r="D19" i="151"/>
  <c r="D12" i="151"/>
  <c r="D26" i="151"/>
  <c r="D16" i="151"/>
  <c r="D11" i="151"/>
  <c r="D14" i="151"/>
  <c r="C36" i="154"/>
  <c r="C26" i="154"/>
  <c r="C14" i="154"/>
  <c r="C29" i="154"/>
  <c r="C17" i="154"/>
  <c r="C8" i="154"/>
  <c r="C32" i="154"/>
  <c r="C30" i="157"/>
  <c r="C22" i="157"/>
  <c r="C15" i="157"/>
  <c r="C31" i="157"/>
  <c r="C35" i="164"/>
  <c r="C34" i="164"/>
  <c r="C13" i="164"/>
  <c r="C19" i="164"/>
  <c r="C7" i="164"/>
  <c r="C30" i="170"/>
  <c r="C24" i="172"/>
  <c r="D11" i="148"/>
  <c r="D23" i="148"/>
  <c r="D35" i="148"/>
  <c r="D16" i="152"/>
  <c r="D7" i="159"/>
  <c r="D34" i="159"/>
  <c r="D10" i="161"/>
  <c r="D23" i="161"/>
  <c r="D11" i="162"/>
  <c r="C21" i="162"/>
  <c r="C36" i="162"/>
  <c r="D10" i="165"/>
  <c r="D17" i="165"/>
  <c r="D25" i="165"/>
  <c r="C34" i="165"/>
  <c r="D13" i="172"/>
  <c r="D26" i="172"/>
  <c r="D34" i="173"/>
  <c r="D14" i="148"/>
  <c r="D26" i="148"/>
  <c r="D22" i="152"/>
  <c r="C16" i="162"/>
  <c r="C27" i="162"/>
  <c r="C13" i="165"/>
  <c r="D20" i="165"/>
  <c r="D28" i="165"/>
  <c r="F35" i="142"/>
  <c r="F33" i="142"/>
  <c r="E35" i="143"/>
  <c r="E36" i="143"/>
  <c r="E27" i="143"/>
  <c r="E19" i="143"/>
  <c r="E15" i="143"/>
  <c r="E9" i="143"/>
  <c r="E7" i="143"/>
  <c r="I19" i="143"/>
  <c r="I18" i="143"/>
  <c r="I16" i="143"/>
  <c r="I9" i="143"/>
  <c r="N36" i="143"/>
  <c r="N27" i="143"/>
  <c r="N26" i="143"/>
  <c r="N21" i="143"/>
  <c r="N14" i="143"/>
  <c r="E33" i="144"/>
  <c r="E21" i="144"/>
  <c r="E10" i="144"/>
  <c r="I25" i="144"/>
  <c r="I36" i="144"/>
  <c r="I32" i="144"/>
  <c r="I28" i="144"/>
  <c r="I26" i="144"/>
  <c r="I23" i="144"/>
  <c r="I22" i="144"/>
  <c r="I17" i="144"/>
  <c r="I10" i="144"/>
  <c r="N11" i="144"/>
  <c r="N19" i="144"/>
  <c r="N18" i="144"/>
  <c r="D31" i="145"/>
  <c r="D34" i="145"/>
  <c r="D33" i="145"/>
  <c r="D18" i="145"/>
  <c r="D14" i="145"/>
  <c r="D13" i="145"/>
  <c r="D10" i="145"/>
  <c r="D7" i="145"/>
  <c r="H30" i="145"/>
  <c r="H36" i="145"/>
  <c r="H28" i="145"/>
  <c r="H27" i="145"/>
  <c r="H17" i="145"/>
  <c r="H11" i="145"/>
  <c r="L34" i="145"/>
  <c r="L14" i="145"/>
  <c r="Q35" i="145"/>
  <c r="Q34" i="145"/>
  <c r="Q29" i="145"/>
  <c r="Q25" i="145"/>
  <c r="Q21" i="145"/>
  <c r="C36" i="148"/>
  <c r="C35" i="148"/>
  <c r="C32" i="148"/>
  <c r="C29" i="148"/>
  <c r="C26" i="148"/>
  <c r="C23" i="148"/>
  <c r="C20" i="148"/>
  <c r="C17" i="148"/>
  <c r="C14" i="148"/>
  <c r="C11" i="148"/>
  <c r="C8" i="148"/>
  <c r="C7" i="148"/>
  <c r="C13" i="148"/>
  <c r="C19" i="148"/>
  <c r="C25" i="148"/>
  <c r="C31" i="148"/>
  <c r="C25" i="150"/>
  <c r="C22" i="150"/>
  <c r="C16" i="150"/>
  <c r="C24" i="150"/>
  <c r="C21" i="150"/>
  <c r="C15" i="150"/>
  <c r="C13" i="150"/>
  <c r="C7" i="150"/>
  <c r="C12" i="150"/>
  <c r="C31" i="150"/>
  <c r="C35" i="151"/>
  <c r="C22" i="151"/>
  <c r="C31" i="151"/>
  <c r="C25" i="151"/>
  <c r="C13" i="151"/>
  <c r="C10" i="151"/>
  <c r="C7" i="151"/>
  <c r="G36" i="151"/>
  <c r="G10" i="151"/>
  <c r="C34" i="151"/>
  <c r="C36" i="155"/>
  <c r="C8" i="155"/>
  <c r="C34" i="155"/>
  <c r="C31" i="155"/>
  <c r="C28" i="155"/>
  <c r="C25" i="155"/>
  <c r="C22" i="155"/>
  <c r="C19" i="155"/>
  <c r="C16" i="155"/>
  <c r="C13" i="155"/>
  <c r="C10" i="155"/>
  <c r="C11" i="155"/>
  <c r="C17" i="155"/>
  <c r="C23" i="155"/>
  <c r="C29" i="155"/>
  <c r="C35" i="155"/>
  <c r="D36" i="156"/>
  <c r="D34" i="156"/>
  <c r="D31" i="156"/>
  <c r="D28" i="156"/>
  <c r="D25" i="156"/>
  <c r="D22" i="156"/>
  <c r="D19" i="156"/>
  <c r="D16" i="156"/>
  <c r="D13" i="156"/>
  <c r="D10" i="156"/>
  <c r="D7" i="156"/>
  <c r="D8" i="156"/>
  <c r="D20" i="156"/>
  <c r="D32" i="156"/>
  <c r="C13" i="158"/>
  <c r="C25" i="158"/>
  <c r="C24" i="158"/>
  <c r="E36" i="168"/>
  <c r="E10" i="168"/>
  <c r="V2" i="173"/>
  <c r="V2" i="166"/>
  <c r="V20" i="166" s="1"/>
  <c r="V2" i="174"/>
  <c r="V2" i="163"/>
  <c r="V36" i="163" s="1"/>
  <c r="V2" i="167"/>
  <c r="V2" i="165"/>
  <c r="V34" i="165" s="1"/>
  <c r="V2" i="162"/>
  <c r="V31" i="162" s="1"/>
  <c r="V2" i="161"/>
  <c r="V27" i="161" s="1"/>
  <c r="V2" i="159"/>
  <c r="V31" i="159" s="1"/>
  <c r="V2" i="153"/>
  <c r="V2" i="170"/>
  <c r="V2" i="154"/>
  <c r="V19" i="154" s="1"/>
  <c r="V2" i="149"/>
  <c r="V15" i="149" s="1"/>
  <c r="V2" i="147"/>
  <c r="V16" i="147" s="1"/>
  <c r="G7" i="150"/>
  <c r="C33" i="150"/>
  <c r="C19" i="151"/>
  <c r="V2" i="152"/>
  <c r="V24" i="152" s="1"/>
  <c r="D36" i="155"/>
  <c r="D34" i="155"/>
  <c r="D31" i="155"/>
  <c r="D28" i="155"/>
  <c r="D25" i="155"/>
  <c r="D22" i="155"/>
  <c r="D19" i="155"/>
  <c r="D16" i="155"/>
  <c r="D13" i="155"/>
  <c r="D10" i="155"/>
  <c r="D7" i="155"/>
  <c r="C7" i="155"/>
  <c r="D11" i="155"/>
  <c r="D17" i="155"/>
  <c r="D23" i="155"/>
  <c r="D29" i="155"/>
  <c r="D35" i="155"/>
  <c r="V2" i="156"/>
  <c r="V22" i="156" s="1"/>
  <c r="D17" i="156"/>
  <c r="D29" i="156"/>
  <c r="V2" i="171"/>
  <c r="V14" i="171" s="1"/>
  <c r="F36" i="173"/>
  <c r="F11" i="173"/>
  <c r="F8" i="173"/>
  <c r="P36" i="173"/>
  <c r="P14" i="173"/>
  <c r="P13" i="173"/>
  <c r="Q8" i="141"/>
  <c r="Q9" i="141"/>
  <c r="Q10" i="141"/>
  <c r="D12" i="141"/>
  <c r="C13" i="141"/>
  <c r="Q13" i="141"/>
  <c r="D17" i="141"/>
  <c r="P17" i="141"/>
  <c r="Q19" i="141"/>
  <c r="P20" i="141"/>
  <c r="C22" i="141"/>
  <c r="V24" i="141"/>
  <c r="D26" i="141"/>
  <c r="C27" i="141"/>
  <c r="G33" i="141"/>
  <c r="G34" i="141"/>
  <c r="L37" i="141"/>
  <c r="N17" i="142"/>
  <c r="C19" i="142"/>
  <c r="N20" i="142"/>
  <c r="J21" i="142"/>
  <c r="C24" i="142"/>
  <c r="F36" i="142"/>
  <c r="I12" i="143"/>
  <c r="J16" i="143"/>
  <c r="F20" i="143"/>
  <c r="J21" i="143"/>
  <c r="J24" i="143"/>
  <c r="J25" i="143"/>
  <c r="J26" i="143"/>
  <c r="E31" i="143"/>
  <c r="I7" i="144"/>
  <c r="J8" i="144"/>
  <c r="J9" i="144"/>
  <c r="F12" i="144"/>
  <c r="J13" i="144"/>
  <c r="I21" i="144"/>
  <c r="F23" i="144"/>
  <c r="I29" i="144"/>
  <c r="I35" i="144"/>
  <c r="H7" i="145"/>
  <c r="H9" i="145"/>
  <c r="H12" i="145"/>
  <c r="D17" i="145"/>
  <c r="Q17" i="145"/>
  <c r="H29" i="145"/>
  <c r="H32" i="145"/>
  <c r="H31" i="142"/>
  <c r="H30" i="142"/>
  <c r="H29" i="142"/>
  <c r="H27" i="142"/>
  <c r="H26" i="142"/>
  <c r="P36" i="142"/>
  <c r="P33" i="142"/>
  <c r="C30" i="144"/>
  <c r="C28" i="144"/>
  <c r="C26" i="144"/>
  <c r="C25" i="144"/>
  <c r="C23" i="144"/>
  <c r="C18" i="144"/>
  <c r="C16" i="144"/>
  <c r="C15" i="144"/>
  <c r="C14" i="144"/>
  <c r="C12" i="144"/>
  <c r="G35" i="144"/>
  <c r="G34" i="144"/>
  <c r="G33" i="144"/>
  <c r="G31" i="144"/>
  <c r="G29" i="144"/>
  <c r="G13" i="144"/>
  <c r="G7" i="144"/>
  <c r="P28" i="144"/>
  <c r="P33" i="144"/>
  <c r="P8" i="144"/>
  <c r="F27" i="145"/>
  <c r="F30" i="145"/>
  <c r="F9" i="145"/>
  <c r="C36" i="147"/>
  <c r="C34" i="147"/>
  <c r="C31" i="147"/>
  <c r="C22" i="147"/>
  <c r="C17" i="147"/>
  <c r="C10" i="147"/>
  <c r="C7" i="147"/>
  <c r="C28" i="147"/>
  <c r="C19" i="147"/>
  <c r="C14" i="147"/>
  <c r="C11" i="147"/>
  <c r="C26" i="147"/>
  <c r="C32" i="147"/>
  <c r="C10" i="148"/>
  <c r="C16" i="148"/>
  <c r="C22" i="148"/>
  <c r="C28" i="148"/>
  <c r="C34" i="148"/>
  <c r="C34" i="150"/>
  <c r="G8" i="151"/>
  <c r="C28" i="151"/>
  <c r="C9" i="152"/>
  <c r="C30" i="152"/>
  <c r="C21" i="152"/>
  <c r="C15" i="152"/>
  <c r="Q36" i="152"/>
  <c r="Q8" i="152"/>
  <c r="D8" i="155"/>
  <c r="C14" i="155"/>
  <c r="C20" i="155"/>
  <c r="C26" i="155"/>
  <c r="C32" i="155"/>
  <c r="D14" i="156"/>
  <c r="D26" i="156"/>
  <c r="D32" i="157"/>
  <c r="D23" i="157"/>
  <c r="D16" i="157"/>
  <c r="D8" i="157"/>
  <c r="D31" i="157"/>
  <c r="D22" i="157"/>
  <c r="D7" i="157"/>
  <c r="C35" i="159"/>
  <c r="C34" i="159"/>
  <c r="C16" i="159"/>
  <c r="C31" i="159"/>
  <c r="C25" i="159"/>
  <c r="C13" i="159"/>
  <c r="C22" i="159"/>
  <c r="V2" i="160"/>
  <c r="C35" i="161"/>
  <c r="C31" i="161"/>
  <c r="C34" i="161"/>
  <c r="C22" i="161"/>
  <c r="C19" i="161"/>
  <c r="C28" i="161"/>
  <c r="C20" i="161"/>
  <c r="C25" i="161"/>
  <c r="C14" i="161"/>
  <c r="C11" i="161"/>
  <c r="C8" i="161"/>
  <c r="C10" i="161"/>
  <c r="C16" i="161"/>
  <c r="D8" i="163"/>
  <c r="D16" i="163"/>
  <c r="C35" i="166"/>
  <c r="C28" i="166"/>
  <c r="C16" i="166"/>
  <c r="C25" i="166"/>
  <c r="C13" i="166"/>
  <c r="C34" i="166"/>
  <c r="C10" i="166"/>
  <c r="C31" i="166"/>
  <c r="C7" i="166"/>
  <c r="D36" i="163"/>
  <c r="D34" i="163"/>
  <c r="D26" i="163"/>
  <c r="D22" i="163"/>
  <c r="D14" i="163"/>
  <c r="D10" i="163"/>
  <c r="D29" i="163"/>
  <c r="D25" i="163"/>
  <c r="D17" i="163"/>
  <c r="D13" i="163"/>
  <c r="D31" i="163"/>
  <c r="D23" i="163"/>
  <c r="D7" i="163"/>
  <c r="D28" i="163"/>
  <c r="D20" i="163"/>
  <c r="I33" i="168"/>
  <c r="I8" i="168"/>
  <c r="E36" i="172"/>
  <c r="E22" i="172"/>
  <c r="I15" i="172"/>
  <c r="I27" i="172"/>
  <c r="N13" i="172"/>
  <c r="N24" i="172"/>
  <c r="N12" i="172"/>
  <c r="P9" i="141"/>
  <c r="G10" i="141"/>
  <c r="P10" i="141"/>
  <c r="G11" i="141"/>
  <c r="C12" i="141"/>
  <c r="G12" i="141"/>
  <c r="P13" i="141"/>
  <c r="G14" i="141"/>
  <c r="C16" i="141"/>
  <c r="C17" i="141"/>
  <c r="G17" i="141"/>
  <c r="C21" i="141"/>
  <c r="G22" i="141"/>
  <c r="G23" i="141"/>
  <c r="C26" i="141"/>
  <c r="G26" i="141"/>
  <c r="C29" i="141"/>
  <c r="C30" i="141"/>
  <c r="G30" i="141"/>
  <c r="G31" i="141"/>
  <c r="C35" i="141"/>
  <c r="K37" i="141"/>
  <c r="F15" i="142"/>
  <c r="J15" i="142"/>
  <c r="J18" i="142"/>
  <c r="F19" i="142"/>
  <c r="F24" i="142"/>
  <c r="N24" i="142"/>
  <c r="F26" i="142"/>
  <c r="T27" i="142"/>
  <c r="N8" i="143"/>
  <c r="E13" i="143"/>
  <c r="E14" i="143"/>
  <c r="I15" i="143"/>
  <c r="I17" i="143"/>
  <c r="E20" i="143"/>
  <c r="N20" i="143"/>
  <c r="I21" i="143"/>
  <c r="I24" i="143"/>
  <c r="E25" i="143"/>
  <c r="I25" i="143"/>
  <c r="I26" i="143"/>
  <c r="I33" i="143"/>
  <c r="I35" i="143"/>
  <c r="I9" i="144"/>
  <c r="N12" i="144"/>
  <c r="I13" i="144"/>
  <c r="I19" i="144"/>
  <c r="E20" i="144"/>
  <c r="E23" i="144"/>
  <c r="I33" i="144"/>
  <c r="H8" i="145"/>
  <c r="Q9" i="145"/>
  <c r="Q13" i="145"/>
  <c r="Q18" i="145"/>
  <c r="H25" i="145"/>
  <c r="D26" i="145"/>
  <c r="L26" i="145"/>
  <c r="D30" i="145"/>
  <c r="L30" i="145"/>
  <c r="Q33" i="145"/>
  <c r="C34" i="142"/>
  <c r="C36" i="142"/>
  <c r="C29" i="142"/>
  <c r="C26" i="142"/>
  <c r="G28" i="142"/>
  <c r="G25" i="142"/>
  <c r="V2" i="142"/>
  <c r="V28" i="142" s="1"/>
  <c r="F32" i="143"/>
  <c r="F29" i="143"/>
  <c r="F28" i="143"/>
  <c r="F26" i="143"/>
  <c r="F23" i="143"/>
  <c r="F22" i="143"/>
  <c r="F21" i="143"/>
  <c r="F14" i="143"/>
  <c r="F11" i="143"/>
  <c r="J36" i="143"/>
  <c r="J34" i="143"/>
  <c r="J33" i="143"/>
  <c r="J32" i="143"/>
  <c r="J7" i="143"/>
  <c r="V2" i="143"/>
  <c r="V30" i="143" s="1"/>
  <c r="F32" i="144"/>
  <c r="F27" i="144"/>
  <c r="F20" i="144"/>
  <c r="F19" i="144"/>
  <c r="J30" i="144"/>
  <c r="J21" i="144"/>
  <c r="J20" i="144"/>
  <c r="J16" i="144"/>
  <c r="J12" i="144"/>
  <c r="E36" i="145"/>
  <c r="E29" i="145"/>
  <c r="I34" i="145"/>
  <c r="I35" i="145"/>
  <c r="I33" i="145"/>
  <c r="I24" i="145"/>
  <c r="I18" i="145"/>
  <c r="I13" i="145"/>
  <c r="I8" i="145"/>
  <c r="I7" i="145"/>
  <c r="M7" i="145"/>
  <c r="M30" i="145"/>
  <c r="X37" i="175"/>
  <c r="CP5" i="176" s="1"/>
  <c r="G13" i="141"/>
  <c r="G15" i="141"/>
  <c r="C18" i="141"/>
  <c r="C23" i="141"/>
  <c r="C24" i="141"/>
  <c r="G25" i="141"/>
  <c r="G27" i="141"/>
  <c r="C28" i="141"/>
  <c r="D30" i="141"/>
  <c r="G36" i="141"/>
  <c r="G37" i="141"/>
  <c r="J12" i="142"/>
  <c r="G15" i="142"/>
  <c r="F16" i="142"/>
  <c r="F17" i="142"/>
  <c r="G18" i="142"/>
  <c r="G19" i="142"/>
  <c r="F20" i="142"/>
  <c r="C21" i="142"/>
  <c r="G24" i="142"/>
  <c r="G26" i="142"/>
  <c r="J28" i="142"/>
  <c r="F30" i="142"/>
  <c r="J32" i="142"/>
  <c r="J36" i="142"/>
  <c r="I7" i="143"/>
  <c r="N9" i="143"/>
  <c r="F13" i="143"/>
  <c r="J15" i="143"/>
  <c r="J17" i="143"/>
  <c r="F19" i="143"/>
  <c r="F25" i="143"/>
  <c r="F27" i="143"/>
  <c r="I30" i="143"/>
  <c r="I31" i="143"/>
  <c r="I36" i="143"/>
  <c r="J19" i="144"/>
  <c r="J22" i="144"/>
  <c r="J28" i="144"/>
  <c r="I30" i="144"/>
  <c r="J34" i="144"/>
  <c r="E36" i="144"/>
  <c r="I11" i="145"/>
  <c r="M22" i="145"/>
  <c r="D25" i="145"/>
  <c r="E26" i="145"/>
  <c r="I28" i="145"/>
  <c r="E30" i="145"/>
  <c r="H31" i="145"/>
  <c r="D29" i="142"/>
  <c r="D31" i="142"/>
  <c r="D30" i="142"/>
  <c r="D27" i="142"/>
  <c r="C33" i="143"/>
  <c r="C20" i="143"/>
  <c r="C18" i="143"/>
  <c r="C13" i="143"/>
  <c r="G33" i="143"/>
  <c r="G30" i="143"/>
  <c r="G24" i="143"/>
  <c r="G20" i="143"/>
  <c r="G17" i="143"/>
  <c r="G13" i="143"/>
  <c r="G12" i="143"/>
  <c r="P16" i="143"/>
  <c r="P20" i="143"/>
  <c r="P9" i="143"/>
  <c r="P8" i="143"/>
  <c r="V2" i="144"/>
  <c r="J26" i="145"/>
  <c r="J9" i="145"/>
  <c r="V2" i="145"/>
  <c r="V9" i="145" s="1"/>
  <c r="AC37" i="175"/>
  <c r="CP12" i="176" s="1"/>
  <c r="T37" i="141"/>
  <c r="G8" i="141"/>
  <c r="T8" i="141"/>
  <c r="G9" i="141"/>
  <c r="T9" i="141"/>
  <c r="C11" i="141"/>
  <c r="E12" i="141"/>
  <c r="D13" i="141"/>
  <c r="C15" i="141"/>
  <c r="I15" i="141"/>
  <c r="P16" i="141"/>
  <c r="E17" i="141"/>
  <c r="Q17" i="141"/>
  <c r="T18" i="141"/>
  <c r="G19" i="141"/>
  <c r="Q20" i="141"/>
  <c r="G21" i="141"/>
  <c r="N21" i="141"/>
  <c r="E22" i="141"/>
  <c r="E23" i="141"/>
  <c r="P23" i="141"/>
  <c r="G24" i="141"/>
  <c r="P24" i="141"/>
  <c r="C25" i="141"/>
  <c r="I25" i="141"/>
  <c r="E26" i="141"/>
  <c r="D27" i="141"/>
  <c r="P27" i="141"/>
  <c r="E30" i="141"/>
  <c r="P30" i="141"/>
  <c r="C31" i="141"/>
  <c r="G32" i="141"/>
  <c r="C33" i="141"/>
  <c r="I33" i="141"/>
  <c r="I34" i="141"/>
  <c r="C36" i="141"/>
  <c r="I36" i="141"/>
  <c r="I37" i="141"/>
  <c r="F7" i="142"/>
  <c r="P7" i="142"/>
  <c r="T8" i="142"/>
  <c r="J9" i="142"/>
  <c r="F10" i="142"/>
  <c r="P10" i="142"/>
  <c r="G12" i="142"/>
  <c r="T12" i="142"/>
  <c r="F13" i="142"/>
  <c r="P13" i="142"/>
  <c r="T14" i="142"/>
  <c r="H15" i="142"/>
  <c r="C16" i="142"/>
  <c r="G16" i="142"/>
  <c r="G17" i="142"/>
  <c r="P17" i="142"/>
  <c r="H18" i="142"/>
  <c r="D19" i="142"/>
  <c r="H19" i="142"/>
  <c r="C20" i="142"/>
  <c r="G20" i="142"/>
  <c r="P20" i="142"/>
  <c r="G21" i="142"/>
  <c r="C22" i="142"/>
  <c r="D24" i="142"/>
  <c r="H24" i="142"/>
  <c r="J25" i="142"/>
  <c r="F27" i="142"/>
  <c r="P27" i="142"/>
  <c r="C28" i="142"/>
  <c r="J29" i="142"/>
  <c r="G30" i="142"/>
  <c r="N31" i="142"/>
  <c r="G32" i="142"/>
  <c r="P32" i="142"/>
  <c r="F34" i="142"/>
  <c r="N34" i="142"/>
  <c r="C35" i="142"/>
  <c r="J35" i="142"/>
  <c r="G36" i="142"/>
  <c r="P7" i="143"/>
  <c r="E8" i="143"/>
  <c r="I8" i="143"/>
  <c r="C9" i="143"/>
  <c r="I10" i="143"/>
  <c r="I11" i="143"/>
  <c r="E12" i="143"/>
  <c r="J12" i="143"/>
  <c r="I13" i="143"/>
  <c r="C14" i="143"/>
  <c r="I14" i="143"/>
  <c r="C15" i="143"/>
  <c r="C16" i="143"/>
  <c r="C17" i="143"/>
  <c r="J18" i="143"/>
  <c r="G19" i="143"/>
  <c r="I20" i="143"/>
  <c r="C21" i="143"/>
  <c r="I22" i="143"/>
  <c r="I23" i="143"/>
  <c r="E24" i="143"/>
  <c r="C25" i="143"/>
  <c r="G25" i="143"/>
  <c r="P25" i="143"/>
  <c r="E26" i="143"/>
  <c r="P26" i="143"/>
  <c r="I27" i="143"/>
  <c r="C28" i="143"/>
  <c r="G29" i="143"/>
  <c r="C30" i="143"/>
  <c r="J30" i="143"/>
  <c r="F31" i="143"/>
  <c r="J31" i="143"/>
  <c r="I32" i="143"/>
  <c r="E33" i="143"/>
  <c r="N33" i="143"/>
  <c r="F34" i="143"/>
  <c r="G35" i="143"/>
  <c r="C36" i="143"/>
  <c r="J7" i="144"/>
  <c r="F8" i="144"/>
  <c r="G9" i="144"/>
  <c r="C10" i="144"/>
  <c r="J10" i="144"/>
  <c r="E11" i="144"/>
  <c r="J11" i="144"/>
  <c r="F13" i="144"/>
  <c r="E14" i="144"/>
  <c r="I14" i="144"/>
  <c r="I15" i="144"/>
  <c r="I16" i="144"/>
  <c r="J17" i="144"/>
  <c r="J18" i="144"/>
  <c r="C19" i="144"/>
  <c r="C20" i="144"/>
  <c r="C22" i="144"/>
  <c r="N22" i="144"/>
  <c r="G23" i="144"/>
  <c r="G26" i="144"/>
  <c r="E27" i="144"/>
  <c r="F28" i="144"/>
  <c r="J29" i="144"/>
  <c r="I31" i="144"/>
  <c r="G32" i="144"/>
  <c r="F33" i="144"/>
  <c r="J35" i="144"/>
  <c r="F36" i="144"/>
  <c r="D9" i="145"/>
  <c r="I9" i="145"/>
  <c r="E10" i="145"/>
  <c r="Q10" i="145"/>
  <c r="I12" i="145"/>
  <c r="H13" i="145"/>
  <c r="E14" i="145"/>
  <c r="H15" i="145"/>
  <c r="H16" i="145"/>
  <c r="E17" i="145"/>
  <c r="L18" i="145"/>
  <c r="D21" i="145"/>
  <c r="H21" i="145"/>
  <c r="D22" i="145"/>
  <c r="H23" i="145"/>
  <c r="E25" i="145"/>
  <c r="I27" i="145"/>
  <c r="I29" i="145"/>
  <c r="Q30" i="145"/>
  <c r="I31" i="145"/>
  <c r="I32" i="145"/>
  <c r="H33" i="145"/>
  <c r="E34" i="145"/>
  <c r="C23" i="147"/>
  <c r="V2" i="148"/>
  <c r="V9" i="148" s="1"/>
  <c r="C30" i="150"/>
  <c r="C16" i="151"/>
  <c r="F11" i="152"/>
  <c r="C22" i="152"/>
  <c r="D14" i="155"/>
  <c r="D20" i="155"/>
  <c r="D26" i="155"/>
  <c r="D32" i="155"/>
  <c r="D11" i="156"/>
  <c r="D23" i="156"/>
  <c r="D35" i="156"/>
  <c r="V2" i="157"/>
  <c r="V36" i="157" s="1"/>
  <c r="V2" i="158"/>
  <c r="V8" i="158" s="1"/>
  <c r="D13" i="159"/>
  <c r="D25" i="159"/>
  <c r="D9" i="159"/>
  <c r="D8" i="159"/>
  <c r="C10" i="159"/>
  <c r="C28" i="159"/>
  <c r="C17" i="161"/>
  <c r="D11" i="163"/>
  <c r="D19" i="163"/>
  <c r="D35" i="163"/>
  <c r="E36" i="164"/>
  <c r="E13" i="164"/>
  <c r="E11" i="164"/>
  <c r="E22" i="164"/>
  <c r="N35" i="164"/>
  <c r="N34" i="164"/>
  <c r="N28" i="164"/>
  <c r="N25" i="164"/>
  <c r="V2" i="164"/>
  <c r="V28" i="164" s="1"/>
  <c r="P36" i="165"/>
  <c r="P10" i="165"/>
  <c r="D32" i="170"/>
  <c r="D16" i="170"/>
  <c r="D8" i="170"/>
  <c r="D31" i="170"/>
  <c r="D7" i="170"/>
  <c r="D23" i="170"/>
  <c r="F22" i="173"/>
  <c r="V2" i="175"/>
  <c r="AD37" i="175"/>
  <c r="CQ12" i="176" s="1"/>
  <c r="D9" i="147"/>
  <c r="D11" i="147"/>
  <c r="D16" i="147"/>
  <c r="D21" i="147"/>
  <c r="D23" i="147"/>
  <c r="D30" i="147"/>
  <c r="D33" i="147"/>
  <c r="D35" i="147"/>
  <c r="D7" i="148"/>
  <c r="D10" i="148"/>
  <c r="D13" i="148"/>
  <c r="D16" i="148"/>
  <c r="D19" i="148"/>
  <c r="D22" i="148"/>
  <c r="D25" i="148"/>
  <c r="D28" i="148"/>
  <c r="D31" i="148"/>
  <c r="D34" i="148"/>
  <c r="C10" i="149"/>
  <c r="C16" i="149"/>
  <c r="C22" i="149"/>
  <c r="C28" i="149"/>
  <c r="C34" i="149"/>
  <c r="D10" i="150"/>
  <c r="D28" i="150"/>
  <c r="D31" i="150"/>
  <c r="D34" i="150"/>
  <c r="D15" i="151"/>
  <c r="Q16" i="151"/>
  <c r="D20" i="151"/>
  <c r="D34" i="151"/>
  <c r="D8" i="152"/>
  <c r="D23" i="152"/>
  <c r="D32" i="152"/>
  <c r="D36" i="161"/>
  <c r="D34" i="161"/>
  <c r="D26" i="161"/>
  <c r="D22" i="161"/>
  <c r="D19" i="161"/>
  <c r="D16" i="161"/>
  <c r="D29" i="161"/>
  <c r="D25" i="161"/>
  <c r="D17" i="161"/>
  <c r="D32" i="161"/>
  <c r="C31" i="169"/>
  <c r="C22" i="169"/>
  <c r="C30" i="169"/>
  <c r="C21" i="169"/>
  <c r="C15" i="169"/>
  <c r="C7" i="169"/>
  <c r="C36" i="171"/>
  <c r="C32" i="171"/>
  <c r="C29" i="171"/>
  <c r="C22" i="171"/>
  <c r="C17" i="171"/>
  <c r="C13" i="171"/>
  <c r="C28" i="171"/>
  <c r="C25" i="171"/>
  <c r="C11" i="171"/>
  <c r="C8" i="171"/>
  <c r="G36" i="171"/>
  <c r="G8" i="171"/>
  <c r="G20" i="171"/>
  <c r="Q36" i="171"/>
  <c r="Q25" i="171"/>
  <c r="Q31" i="171"/>
  <c r="Q16" i="171"/>
  <c r="C7" i="171"/>
  <c r="C16" i="171"/>
  <c r="C23" i="171"/>
  <c r="C31" i="171"/>
  <c r="C7" i="149"/>
  <c r="C11" i="149"/>
  <c r="C17" i="149"/>
  <c r="C23" i="149"/>
  <c r="C29" i="149"/>
  <c r="C35" i="149"/>
  <c r="D7" i="150"/>
  <c r="D11" i="150"/>
  <c r="D13" i="150"/>
  <c r="D19" i="150"/>
  <c r="D29" i="150"/>
  <c r="D32" i="150"/>
  <c r="D35" i="150"/>
  <c r="D7" i="151"/>
  <c r="D13" i="151"/>
  <c r="D17" i="151"/>
  <c r="D25" i="151"/>
  <c r="D31" i="151"/>
  <c r="D35" i="151"/>
  <c r="D15" i="152"/>
  <c r="C7" i="154"/>
  <c r="C10" i="154"/>
  <c r="C13" i="154"/>
  <c r="C16" i="154"/>
  <c r="C19" i="154"/>
  <c r="C22" i="154"/>
  <c r="C25" i="154"/>
  <c r="C28" i="154"/>
  <c r="C31" i="154"/>
  <c r="C34" i="154"/>
  <c r="D8" i="161"/>
  <c r="D11" i="161"/>
  <c r="D14" i="161"/>
  <c r="D35" i="161"/>
  <c r="D32" i="168"/>
  <c r="D23" i="168"/>
  <c r="D16" i="168"/>
  <c r="D31" i="168"/>
  <c r="D22" i="168"/>
  <c r="D7" i="168"/>
  <c r="T24" i="168"/>
  <c r="T11" i="168"/>
  <c r="T7" i="168"/>
  <c r="C19" i="171"/>
  <c r="C26" i="171"/>
  <c r="C34" i="171"/>
  <c r="D25" i="172"/>
  <c r="D23" i="172"/>
  <c r="D11" i="172"/>
  <c r="D35" i="172"/>
  <c r="D31" i="172"/>
  <c r="D22" i="172"/>
  <c r="D10" i="172"/>
  <c r="D7" i="172"/>
  <c r="D34" i="172"/>
  <c r="D14" i="172"/>
  <c r="D32" i="172"/>
  <c r="C9" i="162"/>
  <c r="C12" i="162"/>
  <c r="D17" i="162"/>
  <c r="C24" i="162"/>
  <c r="C30" i="162"/>
  <c r="C10" i="163"/>
  <c r="C22" i="163"/>
  <c r="C34" i="163"/>
  <c r="D7" i="164"/>
  <c r="D16" i="164"/>
  <c r="D20" i="164"/>
  <c r="D23" i="164"/>
  <c r="D34" i="164"/>
  <c r="D7" i="165"/>
  <c r="D14" i="165"/>
  <c r="C19" i="165"/>
  <c r="D22" i="165"/>
  <c r="D26" i="165"/>
  <c r="C31" i="165"/>
  <c r="D34" i="165"/>
  <c r="D7" i="169"/>
  <c r="K14" i="170"/>
  <c r="C16" i="170"/>
  <c r="C21" i="170"/>
  <c r="K26" i="170"/>
  <c r="C7" i="172"/>
  <c r="C10" i="172"/>
  <c r="C22" i="172"/>
  <c r="D36" i="173"/>
  <c r="D26" i="173"/>
  <c r="D23" i="173"/>
  <c r="D19" i="173"/>
  <c r="D16" i="173"/>
  <c r="D7" i="173"/>
  <c r="D8" i="173"/>
  <c r="D11" i="173"/>
  <c r="D14" i="173"/>
  <c r="D17" i="173"/>
  <c r="H21" i="173"/>
  <c r="D31" i="173"/>
  <c r="D35" i="173"/>
  <c r="C15" i="162"/>
  <c r="C19" i="162"/>
  <c r="C25" i="162"/>
  <c r="C7" i="163"/>
  <c r="C19" i="163"/>
  <c r="C31" i="163"/>
  <c r="C10" i="164"/>
  <c r="D14" i="164"/>
  <c r="D17" i="164"/>
  <c r="C22" i="164"/>
  <c r="C25" i="164"/>
  <c r="C31" i="164"/>
  <c r="D8" i="165"/>
  <c r="D11" i="165"/>
  <c r="C16" i="165"/>
  <c r="D19" i="165"/>
  <c r="D23" i="165"/>
  <c r="C28" i="165"/>
  <c r="D31" i="165"/>
  <c r="D35" i="165"/>
  <c r="Q7" i="169"/>
  <c r="C15" i="170"/>
  <c r="G29" i="170"/>
  <c r="C34" i="172"/>
  <c r="C31" i="172"/>
  <c r="C21" i="172"/>
  <c r="C15" i="172"/>
  <c r="C9" i="172"/>
  <c r="C16" i="172"/>
  <c r="C25" i="172"/>
  <c r="D22" i="173"/>
  <c r="D25" i="173"/>
  <c r="D28" i="173"/>
  <c r="D32" i="173"/>
  <c r="C10" i="173"/>
  <c r="C14" i="173"/>
  <c r="C22" i="173"/>
  <c r="C29" i="173"/>
  <c r="C32" i="173"/>
  <c r="C35" i="173"/>
  <c r="N33" i="145"/>
  <c r="N34" i="145"/>
  <c r="Q36" i="164"/>
  <c r="Q35" i="164"/>
  <c r="Q29" i="164"/>
  <c r="Q7" i="164"/>
  <c r="Q22" i="164"/>
  <c r="Q20" i="164"/>
  <c r="Q13" i="164"/>
  <c r="Q11" i="164"/>
  <c r="I36" i="173"/>
  <c r="I24" i="173"/>
  <c r="I26" i="173"/>
  <c r="F7" i="145"/>
  <c r="J7" i="145"/>
  <c r="N10" i="145"/>
  <c r="F11" i="145"/>
  <c r="J11" i="145"/>
  <c r="F12" i="145"/>
  <c r="J12" i="145"/>
  <c r="F13" i="145"/>
  <c r="J13" i="145"/>
  <c r="F15" i="145"/>
  <c r="J15" i="145"/>
  <c r="N18" i="145"/>
  <c r="F19" i="145"/>
  <c r="J19" i="145"/>
  <c r="F22" i="145"/>
  <c r="N22" i="145"/>
  <c r="F23" i="145"/>
  <c r="J23" i="145"/>
  <c r="F24" i="145"/>
  <c r="J24" i="145"/>
  <c r="F25" i="145"/>
  <c r="J25" i="145"/>
  <c r="J27" i="145"/>
  <c r="S2" i="143"/>
  <c r="S36" i="143" s="1"/>
  <c r="H17" i="149"/>
  <c r="H9" i="149"/>
  <c r="L10" i="149"/>
  <c r="L9" i="149"/>
  <c r="Q36" i="149"/>
  <c r="Q7" i="149"/>
  <c r="S2" i="151"/>
  <c r="S31" i="151" s="1"/>
  <c r="Q10" i="163"/>
  <c r="G36" i="168"/>
  <c r="G8" i="168"/>
  <c r="G7" i="168"/>
  <c r="Q36" i="168"/>
  <c r="Q11" i="168"/>
  <c r="Q7" i="168"/>
  <c r="Q10" i="168"/>
  <c r="Q8" i="168"/>
  <c r="T36" i="169"/>
  <c r="T7" i="169"/>
  <c r="F34" i="145"/>
  <c r="F31" i="145"/>
  <c r="F36" i="145"/>
  <c r="F35" i="145"/>
  <c r="F33" i="145"/>
  <c r="F32" i="145"/>
  <c r="K33" i="164"/>
  <c r="K12" i="164"/>
  <c r="E36" i="173"/>
  <c r="E28" i="173"/>
  <c r="E14" i="173"/>
  <c r="E34" i="173"/>
  <c r="E20" i="173"/>
  <c r="E32" i="173"/>
  <c r="E26" i="173"/>
  <c r="S2" i="173"/>
  <c r="S11" i="173" s="1"/>
  <c r="S2" i="169"/>
  <c r="S2" i="157"/>
  <c r="S11" i="157" s="1"/>
  <c r="S2" i="155"/>
  <c r="S23" i="155" s="1"/>
  <c r="S2" i="154"/>
  <c r="S21" i="154" s="1"/>
  <c r="S2" i="153"/>
  <c r="S2" i="152"/>
  <c r="S31" i="152" s="1"/>
  <c r="S2" i="147"/>
  <c r="S26" i="147" s="1"/>
  <c r="S2" i="145"/>
  <c r="S10" i="145" s="1"/>
  <c r="S2" i="142"/>
  <c r="S2" i="175"/>
  <c r="S2" i="171"/>
  <c r="S19" i="171" s="1"/>
  <c r="S2" i="170"/>
  <c r="S35" i="170" s="1"/>
  <c r="S2" i="162"/>
  <c r="S2" i="159"/>
  <c r="S14" i="159" s="1"/>
  <c r="S2" i="158"/>
  <c r="S9" i="158" s="1"/>
  <c r="S2" i="156"/>
  <c r="S12" i="156" s="1"/>
  <c r="S2" i="150"/>
  <c r="S16" i="150" s="1"/>
  <c r="S2" i="148"/>
  <c r="S16" i="148" s="1"/>
  <c r="S2" i="174"/>
  <c r="S2" i="172"/>
  <c r="S2" i="168"/>
  <c r="S2" i="166"/>
  <c r="S20" i="166" s="1"/>
  <c r="S2" i="165"/>
  <c r="S35" i="165" s="1"/>
  <c r="S2" i="164"/>
  <c r="S2" i="163"/>
  <c r="S2" i="161"/>
  <c r="S8" i="161" s="1"/>
  <c r="S2" i="160"/>
  <c r="S2" i="149"/>
  <c r="S12" i="149" s="1"/>
  <c r="S2" i="144"/>
  <c r="F10" i="145"/>
  <c r="J14" i="145"/>
  <c r="N30" i="145"/>
  <c r="S3" i="141"/>
  <c r="E10" i="173"/>
  <c r="E16" i="173"/>
  <c r="J33" i="145"/>
  <c r="J31" i="145"/>
  <c r="J36" i="145"/>
  <c r="J35" i="145"/>
  <c r="J34" i="145"/>
  <c r="J32" i="145"/>
  <c r="Q36" i="161"/>
  <c r="Q7" i="161"/>
  <c r="G36" i="164"/>
  <c r="G19" i="164"/>
  <c r="G8" i="164"/>
  <c r="F8" i="145"/>
  <c r="J8" i="145"/>
  <c r="F14" i="145"/>
  <c r="F16" i="145"/>
  <c r="J16" i="145"/>
  <c r="F17" i="145"/>
  <c r="J18" i="145"/>
  <c r="F20" i="145"/>
  <c r="J20" i="145"/>
  <c r="J22" i="145"/>
  <c r="F26" i="145"/>
  <c r="F28" i="145"/>
  <c r="J28" i="145"/>
  <c r="F29" i="145"/>
  <c r="J30" i="145"/>
  <c r="G36" i="150"/>
  <c r="G16" i="150"/>
  <c r="G8" i="150"/>
  <c r="G10" i="150"/>
  <c r="P36" i="150"/>
  <c r="P10" i="150"/>
  <c r="P17" i="150"/>
  <c r="G17" i="164"/>
  <c r="T32" i="173"/>
  <c r="T33" i="173"/>
  <c r="T15" i="173"/>
  <c r="N7" i="173"/>
  <c r="T9" i="173"/>
  <c r="T10" i="149"/>
  <c r="Q8" i="151"/>
  <c r="P10" i="151"/>
  <c r="P12" i="151"/>
  <c r="Q13" i="151"/>
  <c r="P19" i="151"/>
  <c r="Q22" i="151"/>
  <c r="G11" i="152"/>
  <c r="Q23" i="152"/>
  <c r="E7" i="154"/>
  <c r="E8" i="154"/>
  <c r="Q7" i="155"/>
  <c r="E29" i="164"/>
  <c r="E32" i="164"/>
  <c r="E7" i="168"/>
  <c r="I12" i="168"/>
  <c r="Q10" i="170"/>
  <c r="G13" i="170"/>
  <c r="Q14" i="170"/>
  <c r="G17" i="170"/>
  <c r="K20" i="170"/>
  <c r="Q23" i="170"/>
  <c r="K27" i="170"/>
  <c r="K29" i="170"/>
  <c r="Q32" i="170"/>
  <c r="Q8" i="171"/>
  <c r="Q13" i="171"/>
  <c r="V16" i="171"/>
  <c r="N27" i="172"/>
  <c r="P7" i="173"/>
  <c r="H8" i="173"/>
  <c r="Q10" i="173"/>
  <c r="P11" i="173"/>
  <c r="F35" i="173"/>
  <c r="F14" i="150"/>
  <c r="J18" i="150"/>
  <c r="G7" i="151"/>
  <c r="P9" i="151"/>
  <c r="F17" i="151"/>
  <c r="F8" i="152"/>
  <c r="G10" i="152"/>
  <c r="K11" i="152"/>
  <c r="G13" i="152"/>
  <c r="G16" i="152"/>
  <c r="Q7" i="154"/>
  <c r="Q8" i="154"/>
  <c r="E10" i="154"/>
  <c r="E11" i="154"/>
  <c r="E7" i="163"/>
  <c r="E10" i="164"/>
  <c r="E11" i="165"/>
  <c r="E8" i="168"/>
  <c r="T8" i="168"/>
  <c r="E11" i="168"/>
  <c r="T12" i="168"/>
  <c r="G7" i="170"/>
  <c r="G11" i="170"/>
  <c r="Q13" i="170"/>
  <c r="Q17" i="170"/>
  <c r="G22" i="170"/>
  <c r="Q25" i="170"/>
  <c r="G28" i="170"/>
  <c r="G31" i="170"/>
  <c r="Q34" i="170"/>
  <c r="Q19" i="171"/>
  <c r="K21" i="171"/>
  <c r="K24" i="171"/>
  <c r="G26" i="171"/>
  <c r="Q28" i="171"/>
  <c r="Q32" i="171"/>
  <c r="E11" i="172"/>
  <c r="N28" i="172"/>
  <c r="P8" i="173"/>
  <c r="P25" i="173"/>
  <c r="F29" i="173"/>
  <c r="P31" i="173"/>
  <c r="P32" i="173"/>
  <c r="F36" i="153"/>
  <c r="Q8" i="150"/>
  <c r="V21" i="150"/>
  <c r="P11" i="151"/>
  <c r="F16" i="151"/>
  <c r="G8" i="152"/>
  <c r="Q10" i="152"/>
  <c r="Q11" i="152"/>
  <c r="K15" i="152"/>
  <c r="K17" i="152"/>
  <c r="Q22" i="152"/>
  <c r="Q10" i="154"/>
  <c r="Q11" i="154"/>
  <c r="Q13" i="154"/>
  <c r="N10" i="164"/>
  <c r="E28" i="164"/>
  <c r="E10" i="165"/>
  <c r="T9" i="168"/>
  <c r="E13" i="168"/>
  <c r="K11" i="170"/>
  <c r="G14" i="170"/>
  <c r="G16" i="170"/>
  <c r="K18" i="170"/>
  <c r="K21" i="170"/>
  <c r="Q22" i="170"/>
  <c r="Q28" i="170"/>
  <c r="K30" i="170"/>
  <c r="K9" i="171"/>
  <c r="Q11" i="171"/>
  <c r="G17" i="171"/>
  <c r="K33" i="171"/>
  <c r="I12" i="172"/>
  <c r="E29" i="172"/>
  <c r="F17" i="173"/>
  <c r="P19" i="173"/>
  <c r="P20" i="173"/>
  <c r="H27" i="173"/>
  <c r="P29" i="173"/>
  <c r="F7" i="147"/>
  <c r="T7" i="147"/>
  <c r="T9" i="147"/>
  <c r="N10" i="147"/>
  <c r="E11" i="147"/>
  <c r="T11" i="147"/>
  <c r="P12" i="147"/>
  <c r="P13" i="147"/>
  <c r="F14" i="147"/>
  <c r="P15" i="147"/>
  <c r="P16" i="147"/>
  <c r="F17" i="147"/>
  <c r="F19" i="147"/>
  <c r="T20" i="147"/>
  <c r="F22" i="147"/>
  <c r="P23" i="147"/>
  <c r="N25" i="147"/>
  <c r="F26" i="147"/>
  <c r="P27" i="147"/>
  <c r="P28" i="147"/>
  <c r="G29" i="147"/>
  <c r="P30" i="147"/>
  <c r="N31" i="147"/>
  <c r="P32" i="147"/>
  <c r="P34" i="147"/>
  <c r="F35" i="147"/>
  <c r="F7" i="148"/>
  <c r="G8" i="148"/>
  <c r="F10" i="148"/>
  <c r="G11" i="148"/>
  <c r="N13" i="148"/>
  <c r="P14" i="148"/>
  <c r="N16" i="148"/>
  <c r="P17" i="148"/>
  <c r="J18" i="148"/>
  <c r="E19" i="148"/>
  <c r="Q19" i="148"/>
  <c r="F20" i="148"/>
  <c r="Q20" i="148"/>
  <c r="P22" i="148"/>
  <c r="E23" i="148"/>
  <c r="Q23" i="148"/>
  <c r="E25" i="148"/>
  <c r="Q25" i="148"/>
  <c r="F26" i="148"/>
  <c r="P28" i="148"/>
  <c r="E29" i="148"/>
  <c r="Q29" i="148"/>
  <c r="E31" i="148"/>
  <c r="Q31" i="148"/>
  <c r="F32" i="148"/>
  <c r="P34" i="148"/>
  <c r="E35" i="148"/>
  <c r="Q35" i="148"/>
  <c r="F7" i="149"/>
  <c r="E8" i="149"/>
  <c r="I8" i="149"/>
  <c r="J9" i="149"/>
  <c r="N10" i="149"/>
  <c r="E11" i="149"/>
  <c r="E13" i="149"/>
  <c r="Q13" i="149"/>
  <c r="G14" i="149"/>
  <c r="L14" i="149"/>
  <c r="H15" i="149"/>
  <c r="N15" i="149"/>
  <c r="F16" i="149"/>
  <c r="T16" i="149"/>
  <c r="G17" i="149"/>
  <c r="N18" i="149"/>
  <c r="E19" i="149"/>
  <c r="J20" i="149"/>
  <c r="K21" i="149"/>
  <c r="F22" i="149"/>
  <c r="I23" i="149"/>
  <c r="J24" i="149"/>
  <c r="E25" i="149"/>
  <c r="Q25" i="149"/>
  <c r="G26" i="149"/>
  <c r="Q26" i="149"/>
  <c r="K27" i="149"/>
  <c r="F28" i="149"/>
  <c r="H29" i="149"/>
  <c r="K30" i="149"/>
  <c r="E31" i="149"/>
  <c r="Q31" i="149"/>
  <c r="G32" i="149"/>
  <c r="Q32" i="149"/>
  <c r="I33" i="149"/>
  <c r="N33" i="149"/>
  <c r="N34" i="149"/>
  <c r="F35" i="149"/>
  <c r="J35" i="149"/>
  <c r="K36" i="149"/>
  <c r="E7" i="150"/>
  <c r="P7" i="150"/>
  <c r="E8" i="150"/>
  <c r="K8" i="150"/>
  <c r="J9" i="150"/>
  <c r="E10" i="150"/>
  <c r="N10" i="150"/>
  <c r="G11" i="150"/>
  <c r="G13" i="150"/>
  <c r="P14" i="150"/>
  <c r="N15" i="150"/>
  <c r="E16" i="150"/>
  <c r="P16" i="150"/>
  <c r="E17" i="150"/>
  <c r="J17" i="150"/>
  <c r="N18" i="150"/>
  <c r="G19" i="150"/>
  <c r="G20" i="150"/>
  <c r="V20" i="150"/>
  <c r="P22" i="150"/>
  <c r="E23" i="150"/>
  <c r="Q23" i="150"/>
  <c r="G25" i="150"/>
  <c r="Q25" i="150"/>
  <c r="F26" i="150"/>
  <c r="K26" i="150"/>
  <c r="I27" i="150"/>
  <c r="N28" i="150"/>
  <c r="P29" i="150"/>
  <c r="V29" i="150"/>
  <c r="P31" i="150"/>
  <c r="E32" i="150"/>
  <c r="Q32" i="150"/>
  <c r="G34" i="150"/>
  <c r="G35" i="150"/>
  <c r="P35" i="150"/>
  <c r="J36" i="150"/>
  <c r="E7" i="151"/>
  <c r="P7" i="151"/>
  <c r="E8" i="151"/>
  <c r="L8" i="151"/>
  <c r="K9" i="151"/>
  <c r="E10" i="151"/>
  <c r="L10" i="151"/>
  <c r="G11" i="151"/>
  <c r="K12" i="151"/>
  <c r="L13" i="151"/>
  <c r="T13" i="151"/>
  <c r="G14" i="151"/>
  <c r="N16" i="151"/>
  <c r="P17" i="151"/>
  <c r="G19" i="151"/>
  <c r="G20" i="151"/>
  <c r="G22" i="151"/>
  <c r="P23" i="151"/>
  <c r="L25" i="151"/>
  <c r="G26" i="151"/>
  <c r="I27" i="151"/>
  <c r="L28" i="151"/>
  <c r="P29" i="151"/>
  <c r="L30" i="151"/>
  <c r="F31" i="151"/>
  <c r="Q31" i="151"/>
  <c r="F32" i="151"/>
  <c r="Q32" i="151"/>
  <c r="E34" i="151"/>
  <c r="P34" i="151"/>
  <c r="E35" i="151"/>
  <c r="Q35" i="151"/>
  <c r="G7" i="152"/>
  <c r="J8" i="152"/>
  <c r="T8" i="152"/>
  <c r="E10" i="152"/>
  <c r="I11" i="152"/>
  <c r="K12" i="152"/>
  <c r="E13" i="152"/>
  <c r="P13" i="152"/>
  <c r="F14" i="152"/>
  <c r="K14" i="152"/>
  <c r="E16" i="152"/>
  <c r="Q16" i="152"/>
  <c r="F17" i="152"/>
  <c r="Q17" i="152"/>
  <c r="K18" i="152"/>
  <c r="G19" i="152"/>
  <c r="F20" i="152"/>
  <c r="K20" i="152"/>
  <c r="F22" i="152"/>
  <c r="J23" i="152"/>
  <c r="T23" i="152"/>
  <c r="N24" i="152"/>
  <c r="F25" i="152"/>
  <c r="Q25" i="152"/>
  <c r="G26" i="152"/>
  <c r="Q26" i="152"/>
  <c r="K27" i="152"/>
  <c r="G28" i="152"/>
  <c r="F29" i="152"/>
  <c r="K29" i="152"/>
  <c r="K30" i="152"/>
  <c r="E31" i="152"/>
  <c r="G32" i="152"/>
  <c r="K33" i="152"/>
  <c r="E34" i="152"/>
  <c r="P34" i="152"/>
  <c r="F35" i="152"/>
  <c r="P35" i="152"/>
  <c r="J36" i="152"/>
  <c r="F7" i="154"/>
  <c r="G8" i="154"/>
  <c r="F10" i="154"/>
  <c r="G11" i="154"/>
  <c r="I12" i="154"/>
  <c r="N13" i="154"/>
  <c r="P14" i="154"/>
  <c r="N16" i="154"/>
  <c r="P17" i="154"/>
  <c r="L19" i="154"/>
  <c r="Q19" i="154"/>
  <c r="F20" i="154"/>
  <c r="M22" i="154"/>
  <c r="G23" i="154"/>
  <c r="N25" i="154"/>
  <c r="P26" i="154"/>
  <c r="F28" i="154"/>
  <c r="G29" i="154"/>
  <c r="I30" i="154"/>
  <c r="P31" i="154"/>
  <c r="E32" i="154"/>
  <c r="Q32" i="154"/>
  <c r="E34" i="154"/>
  <c r="P34" i="154"/>
  <c r="E35" i="154"/>
  <c r="Q35" i="154"/>
  <c r="T36" i="154"/>
  <c r="G36" i="155"/>
  <c r="G36" i="160" s="1"/>
  <c r="G14" i="155"/>
  <c r="G32" i="155"/>
  <c r="G29" i="155"/>
  <c r="G23" i="155"/>
  <c r="G20" i="155"/>
  <c r="G17" i="155"/>
  <c r="G35" i="155"/>
  <c r="G26" i="155"/>
  <c r="K21" i="155"/>
  <c r="K33" i="155"/>
  <c r="K15" i="155"/>
  <c r="K24" i="155"/>
  <c r="K18" i="155"/>
  <c r="K36" i="155"/>
  <c r="K30" i="155"/>
  <c r="P36" i="155"/>
  <c r="P32" i="155"/>
  <c r="P31" i="155"/>
  <c r="P28" i="155"/>
  <c r="P23" i="155"/>
  <c r="P22" i="155"/>
  <c r="P19" i="155"/>
  <c r="P16" i="155"/>
  <c r="P34" i="155"/>
  <c r="P29" i="155"/>
  <c r="P26" i="155"/>
  <c r="P25" i="155"/>
  <c r="P20" i="155"/>
  <c r="P35" i="155"/>
  <c r="P13" i="155"/>
  <c r="P17" i="155"/>
  <c r="P14" i="155"/>
  <c r="F8" i="155"/>
  <c r="P8" i="155"/>
  <c r="F10" i="155"/>
  <c r="G11" i="155"/>
  <c r="F13" i="155"/>
  <c r="N7" i="147"/>
  <c r="P8" i="147"/>
  <c r="G9" i="147"/>
  <c r="P10" i="147"/>
  <c r="F11" i="147"/>
  <c r="Q12" i="147"/>
  <c r="T13" i="147"/>
  <c r="G14" i="147"/>
  <c r="T14" i="147"/>
  <c r="F16" i="147"/>
  <c r="G17" i="147"/>
  <c r="E18" i="147"/>
  <c r="T18" i="147"/>
  <c r="N19" i="147"/>
  <c r="P20" i="147"/>
  <c r="T21" i="147"/>
  <c r="N22" i="147"/>
  <c r="Q23" i="147"/>
  <c r="G24" i="147"/>
  <c r="T24" i="147"/>
  <c r="P25" i="147"/>
  <c r="L26" i="147"/>
  <c r="G27" i="147"/>
  <c r="F28" i="147"/>
  <c r="L29" i="147"/>
  <c r="T30" i="147"/>
  <c r="P31" i="147"/>
  <c r="F32" i="147"/>
  <c r="Q32" i="147"/>
  <c r="P33" i="147"/>
  <c r="F34" i="147"/>
  <c r="T34" i="147"/>
  <c r="G35" i="147"/>
  <c r="T35" i="147"/>
  <c r="N7" i="148"/>
  <c r="P8" i="148"/>
  <c r="N10" i="148"/>
  <c r="P11" i="148"/>
  <c r="P13" i="148"/>
  <c r="E14" i="148"/>
  <c r="Q14" i="148"/>
  <c r="E16" i="148"/>
  <c r="P16" i="148"/>
  <c r="E17" i="148"/>
  <c r="Q17" i="148"/>
  <c r="K18" i="148"/>
  <c r="F19" i="148"/>
  <c r="G20" i="148"/>
  <c r="E22" i="148"/>
  <c r="Q22" i="148"/>
  <c r="F23" i="148"/>
  <c r="F25" i="148"/>
  <c r="G26" i="148"/>
  <c r="E28" i="148"/>
  <c r="Q28" i="148"/>
  <c r="F29" i="148"/>
  <c r="F31" i="148"/>
  <c r="G32" i="148"/>
  <c r="E34" i="148"/>
  <c r="Q34" i="148"/>
  <c r="F35" i="148"/>
  <c r="N7" i="149"/>
  <c r="F8" i="149"/>
  <c r="J8" i="149"/>
  <c r="K9" i="149"/>
  <c r="Q10" i="149"/>
  <c r="F11" i="149"/>
  <c r="K12" i="149"/>
  <c r="F13" i="149"/>
  <c r="H14" i="149"/>
  <c r="Q14" i="149"/>
  <c r="I15" i="149"/>
  <c r="L16" i="149"/>
  <c r="Q17" i="149"/>
  <c r="T18" i="149"/>
  <c r="F19" i="149"/>
  <c r="E20" i="149"/>
  <c r="Q20" i="149"/>
  <c r="N21" i="149"/>
  <c r="L22" i="149"/>
  <c r="E23" i="149"/>
  <c r="J23" i="149"/>
  <c r="K24" i="149"/>
  <c r="F25" i="149"/>
  <c r="H26" i="149"/>
  <c r="N27" i="149"/>
  <c r="L28" i="149"/>
  <c r="E29" i="149"/>
  <c r="I29" i="149"/>
  <c r="H30" i="149"/>
  <c r="L30" i="149"/>
  <c r="F31" i="149"/>
  <c r="H32" i="149"/>
  <c r="J33" i="149"/>
  <c r="Q34" i="149"/>
  <c r="G35" i="149"/>
  <c r="Q35" i="149"/>
  <c r="H36" i="149"/>
  <c r="L36" i="149"/>
  <c r="F7" i="150"/>
  <c r="Q7" i="150"/>
  <c r="F8" i="150"/>
  <c r="P8" i="150"/>
  <c r="K9" i="150"/>
  <c r="F10" i="150"/>
  <c r="P11" i="150"/>
  <c r="V11" i="150"/>
  <c r="P13" i="150"/>
  <c r="E14" i="150"/>
  <c r="Q14" i="150"/>
  <c r="F16" i="150"/>
  <c r="Q16" i="150"/>
  <c r="F17" i="150"/>
  <c r="K17" i="150"/>
  <c r="I18" i="150"/>
  <c r="N19" i="150"/>
  <c r="P20" i="150"/>
  <c r="E22" i="150"/>
  <c r="Q22" i="150"/>
  <c r="F23" i="150"/>
  <c r="N25" i="150"/>
  <c r="G26" i="150"/>
  <c r="P26" i="150"/>
  <c r="J27" i="150"/>
  <c r="E28" i="150"/>
  <c r="P28" i="150"/>
  <c r="E29" i="150"/>
  <c r="Q29" i="150"/>
  <c r="E31" i="150"/>
  <c r="Q31" i="150"/>
  <c r="F32" i="150"/>
  <c r="N34" i="150"/>
  <c r="I35" i="150"/>
  <c r="Q35" i="150"/>
  <c r="K36" i="150"/>
  <c r="F7" i="151"/>
  <c r="Q7" i="151"/>
  <c r="F8" i="151"/>
  <c r="P8" i="151"/>
  <c r="L9" i="151"/>
  <c r="F10" i="151"/>
  <c r="N10" i="151"/>
  <c r="L11" i="151"/>
  <c r="L12" i="151"/>
  <c r="E13" i="151"/>
  <c r="N13" i="151"/>
  <c r="Q14" i="151"/>
  <c r="E16" i="151"/>
  <c r="P16" i="151"/>
  <c r="E17" i="151"/>
  <c r="Q17" i="151"/>
  <c r="N19" i="151"/>
  <c r="Q20" i="151"/>
  <c r="N22" i="151"/>
  <c r="E23" i="151"/>
  <c r="Q23" i="151"/>
  <c r="E25" i="151"/>
  <c r="N25" i="151"/>
  <c r="P26" i="151"/>
  <c r="J27" i="151"/>
  <c r="E28" i="151"/>
  <c r="N28" i="151"/>
  <c r="E29" i="151"/>
  <c r="Q29" i="151"/>
  <c r="G31" i="151"/>
  <c r="G32" i="151"/>
  <c r="F34" i="151"/>
  <c r="Q34" i="151"/>
  <c r="F35" i="151"/>
  <c r="Q7" i="152"/>
  <c r="E8" i="152"/>
  <c r="K8" i="152"/>
  <c r="F10" i="152"/>
  <c r="E11" i="152"/>
  <c r="J11" i="152"/>
  <c r="T11" i="152"/>
  <c r="P12" i="152"/>
  <c r="F13" i="152"/>
  <c r="Q13" i="152"/>
  <c r="G14" i="152"/>
  <c r="Q14" i="152"/>
  <c r="I15" i="152"/>
  <c r="F16" i="152"/>
  <c r="G17" i="152"/>
  <c r="Q19" i="152"/>
  <c r="G20" i="152"/>
  <c r="Q20" i="152"/>
  <c r="I21" i="152"/>
  <c r="G22" i="152"/>
  <c r="E23" i="152"/>
  <c r="K23" i="152"/>
  <c r="T24" i="152"/>
  <c r="G25" i="152"/>
  <c r="J26" i="152"/>
  <c r="Q28" i="152"/>
  <c r="G29" i="152"/>
  <c r="Q29" i="152"/>
  <c r="F31" i="152"/>
  <c r="J32" i="152"/>
  <c r="T32" i="152"/>
  <c r="N33" i="152"/>
  <c r="F34" i="152"/>
  <c r="Q34" i="152"/>
  <c r="G35" i="152"/>
  <c r="Q35" i="152"/>
  <c r="K36" i="152"/>
  <c r="N7" i="154"/>
  <c r="P8" i="154"/>
  <c r="N10" i="154"/>
  <c r="P11" i="154"/>
  <c r="J12" i="154"/>
  <c r="E13" i="154"/>
  <c r="P13" i="154"/>
  <c r="E14" i="154"/>
  <c r="Q14" i="154"/>
  <c r="E16" i="154"/>
  <c r="P16" i="154"/>
  <c r="E17" i="154"/>
  <c r="Q17" i="154"/>
  <c r="M19" i="154"/>
  <c r="G20" i="154"/>
  <c r="I21" i="154"/>
  <c r="N22" i="154"/>
  <c r="P23" i="154"/>
  <c r="P25" i="154"/>
  <c r="E26" i="154"/>
  <c r="Q26" i="154"/>
  <c r="N28" i="154"/>
  <c r="P29" i="154"/>
  <c r="J30" i="154"/>
  <c r="E31" i="154"/>
  <c r="Q31" i="154"/>
  <c r="F32" i="154"/>
  <c r="F34" i="154"/>
  <c r="Q34" i="154"/>
  <c r="F35" i="154"/>
  <c r="U36" i="154"/>
  <c r="H21" i="155"/>
  <c r="H32" i="155"/>
  <c r="H24" i="155"/>
  <c r="H17" i="155"/>
  <c r="H36" i="155"/>
  <c r="H26" i="155"/>
  <c r="H15" i="155"/>
  <c r="L36" i="155"/>
  <c r="L30" i="155"/>
  <c r="L28" i="155"/>
  <c r="L22" i="155"/>
  <c r="L19" i="155"/>
  <c r="L16" i="155"/>
  <c r="L33" i="155"/>
  <c r="L25" i="155"/>
  <c r="Q36" i="155"/>
  <c r="Q36" i="160" s="1"/>
  <c r="Q34" i="155"/>
  <c r="Q29" i="155"/>
  <c r="Q26" i="155"/>
  <c r="Q25" i="155"/>
  <c r="Q20" i="155"/>
  <c r="Q35" i="155"/>
  <c r="Q13" i="155"/>
  <c r="Q17" i="155"/>
  <c r="Q14" i="155"/>
  <c r="Q32" i="155"/>
  <c r="Q31" i="155"/>
  <c r="Q28" i="155"/>
  <c r="Q23" i="155"/>
  <c r="Q22" i="155"/>
  <c r="Q19" i="155"/>
  <c r="Q16" i="155"/>
  <c r="G8" i="155"/>
  <c r="Q8" i="155"/>
  <c r="K9" i="155"/>
  <c r="I11" i="155"/>
  <c r="P7" i="147"/>
  <c r="F8" i="147"/>
  <c r="P9" i="147"/>
  <c r="G11" i="147"/>
  <c r="E12" i="147"/>
  <c r="F13" i="147"/>
  <c r="L14" i="147"/>
  <c r="T15" i="147"/>
  <c r="N16" i="147"/>
  <c r="G18" i="147"/>
  <c r="P19" i="147"/>
  <c r="F20" i="147"/>
  <c r="Q20" i="147"/>
  <c r="G21" i="147"/>
  <c r="P22" i="147"/>
  <c r="F23" i="147"/>
  <c r="L24" i="147"/>
  <c r="T25" i="147"/>
  <c r="P26" i="147"/>
  <c r="K27" i="147"/>
  <c r="T27" i="147"/>
  <c r="L28" i="147"/>
  <c r="P29" i="147"/>
  <c r="K30" i="147"/>
  <c r="T31" i="147"/>
  <c r="G32" i="147"/>
  <c r="T33" i="147"/>
  <c r="N34" i="147"/>
  <c r="P35" i="147"/>
  <c r="P7" i="148"/>
  <c r="E8" i="148"/>
  <c r="Q8" i="148"/>
  <c r="P10" i="148"/>
  <c r="E11" i="148"/>
  <c r="Q11" i="148"/>
  <c r="E13" i="148"/>
  <c r="Q13" i="148"/>
  <c r="F14" i="148"/>
  <c r="F16" i="148"/>
  <c r="Q16" i="148"/>
  <c r="F17" i="148"/>
  <c r="N19" i="148"/>
  <c r="I20" i="148"/>
  <c r="K21" i="148"/>
  <c r="F22" i="148"/>
  <c r="G23" i="148"/>
  <c r="N25" i="148"/>
  <c r="P26" i="148"/>
  <c r="F28" i="148"/>
  <c r="G29" i="148"/>
  <c r="N31" i="148"/>
  <c r="P32" i="148"/>
  <c r="F34" i="148"/>
  <c r="G35" i="148"/>
  <c r="E10" i="149"/>
  <c r="G11" i="149"/>
  <c r="N12" i="149"/>
  <c r="L13" i="149"/>
  <c r="E14" i="149"/>
  <c r="I14" i="149"/>
  <c r="J15" i="149"/>
  <c r="N16" i="149"/>
  <c r="E17" i="149"/>
  <c r="N19" i="149"/>
  <c r="F20" i="149"/>
  <c r="N22" i="149"/>
  <c r="F23" i="149"/>
  <c r="Q23" i="149"/>
  <c r="N24" i="149"/>
  <c r="L25" i="149"/>
  <c r="E26" i="149"/>
  <c r="I26" i="149"/>
  <c r="I27" i="149"/>
  <c r="N28" i="149"/>
  <c r="F29" i="149"/>
  <c r="J29" i="149"/>
  <c r="I30" i="149"/>
  <c r="N30" i="149"/>
  <c r="L31" i="149"/>
  <c r="E32" i="149"/>
  <c r="I32" i="149"/>
  <c r="K33" i="149"/>
  <c r="E34" i="149"/>
  <c r="H35" i="149"/>
  <c r="I36" i="149"/>
  <c r="N36" i="149"/>
  <c r="S7" i="150"/>
  <c r="N9" i="150"/>
  <c r="E11" i="150"/>
  <c r="E13" i="150"/>
  <c r="S14" i="150"/>
  <c r="E19" i="150"/>
  <c r="E20" i="150"/>
  <c r="Q20" i="150"/>
  <c r="F22" i="150"/>
  <c r="G23" i="150"/>
  <c r="E25" i="150"/>
  <c r="I26" i="150"/>
  <c r="Q26" i="150"/>
  <c r="K27" i="150"/>
  <c r="F28" i="150"/>
  <c r="Q28" i="150"/>
  <c r="F29" i="150"/>
  <c r="V30" i="150"/>
  <c r="F31" i="150"/>
  <c r="G32" i="150"/>
  <c r="E34" i="150"/>
  <c r="P34" i="150"/>
  <c r="E35" i="150"/>
  <c r="J35" i="150"/>
  <c r="N36" i="150"/>
  <c r="E11" i="151"/>
  <c r="I12" i="151"/>
  <c r="E14" i="151"/>
  <c r="E19" i="151"/>
  <c r="E20" i="151"/>
  <c r="E22" i="151"/>
  <c r="F23" i="151"/>
  <c r="F25" i="151"/>
  <c r="P25" i="151"/>
  <c r="E26" i="151"/>
  <c r="Q26" i="151"/>
  <c r="K27" i="151"/>
  <c r="F28" i="151"/>
  <c r="P28" i="151"/>
  <c r="F29" i="151"/>
  <c r="N31" i="151"/>
  <c r="I32" i="151"/>
  <c r="G34" i="151"/>
  <c r="G35" i="151"/>
  <c r="E7" i="152"/>
  <c r="T9" i="152"/>
  <c r="T12" i="152"/>
  <c r="I14" i="152"/>
  <c r="J15" i="152"/>
  <c r="T16" i="152"/>
  <c r="E19" i="152"/>
  <c r="I20" i="152"/>
  <c r="J21" i="152"/>
  <c r="F23" i="152"/>
  <c r="J24" i="152"/>
  <c r="N25" i="152"/>
  <c r="E26" i="152"/>
  <c r="K26" i="152"/>
  <c r="E28" i="152"/>
  <c r="I29" i="152"/>
  <c r="I30" i="152"/>
  <c r="G31" i="152"/>
  <c r="E32" i="152"/>
  <c r="K32" i="152"/>
  <c r="T33" i="152"/>
  <c r="G34" i="152"/>
  <c r="J35" i="152"/>
  <c r="P7" i="154"/>
  <c r="P10" i="154"/>
  <c r="K12" i="154"/>
  <c r="F13" i="154"/>
  <c r="F14" i="154"/>
  <c r="F16" i="154"/>
  <c r="Q16" i="154"/>
  <c r="F17" i="154"/>
  <c r="E19" i="154"/>
  <c r="N19" i="154"/>
  <c r="P20" i="154"/>
  <c r="J21" i="154"/>
  <c r="E22" i="154"/>
  <c r="P22" i="154"/>
  <c r="E23" i="154"/>
  <c r="Q23" i="154"/>
  <c r="E25" i="154"/>
  <c r="Q25" i="154"/>
  <c r="F26" i="154"/>
  <c r="P28" i="154"/>
  <c r="E29" i="154"/>
  <c r="Q29" i="154"/>
  <c r="K30" i="154"/>
  <c r="F31" i="154"/>
  <c r="G32" i="154"/>
  <c r="L34" i="154"/>
  <c r="G35" i="154"/>
  <c r="L36" i="154"/>
  <c r="E36" i="155"/>
  <c r="E36" i="160" s="1"/>
  <c r="E32" i="155"/>
  <c r="E29" i="155"/>
  <c r="E28" i="155"/>
  <c r="E23" i="155"/>
  <c r="E22" i="155"/>
  <c r="E20" i="155"/>
  <c r="E19" i="155"/>
  <c r="E17" i="155"/>
  <c r="E16" i="155"/>
  <c r="E35" i="155"/>
  <c r="E34" i="155"/>
  <c r="E26" i="155"/>
  <c r="E25" i="155"/>
  <c r="E14" i="155"/>
  <c r="E31" i="155"/>
  <c r="I24" i="155"/>
  <c r="I18" i="155"/>
  <c r="I36" i="155"/>
  <c r="I33" i="155"/>
  <c r="I30" i="155"/>
  <c r="I21" i="155"/>
  <c r="I15" i="155"/>
  <c r="N33" i="155"/>
  <c r="N31" i="155"/>
  <c r="N28" i="155"/>
  <c r="N22" i="155"/>
  <c r="N19" i="155"/>
  <c r="N16" i="155"/>
  <c r="N36" i="155"/>
  <c r="N25" i="155"/>
  <c r="N34" i="155"/>
  <c r="N13" i="155"/>
  <c r="N7" i="155"/>
  <c r="P10" i="155"/>
  <c r="E11" i="155"/>
  <c r="P11" i="155"/>
  <c r="L12" i="155"/>
  <c r="E7" i="147"/>
  <c r="Q7" i="147"/>
  <c r="L8" i="147"/>
  <c r="T8" i="147"/>
  <c r="F10" i="147"/>
  <c r="G12" i="147"/>
  <c r="T12" i="147"/>
  <c r="N13" i="147"/>
  <c r="P14" i="147"/>
  <c r="G15" i="147"/>
  <c r="E17" i="147"/>
  <c r="T17" i="147"/>
  <c r="P18" i="147"/>
  <c r="T19" i="147"/>
  <c r="G20" i="147"/>
  <c r="P21" i="147"/>
  <c r="T22" i="147"/>
  <c r="T23" i="147"/>
  <c r="P24" i="147"/>
  <c r="F25" i="147"/>
  <c r="Q26" i="147"/>
  <c r="L27" i="147"/>
  <c r="N28" i="147"/>
  <c r="F29" i="147"/>
  <c r="Q29" i="147"/>
  <c r="L30" i="147"/>
  <c r="F31" i="147"/>
  <c r="T32" i="147"/>
  <c r="Q35" i="147"/>
  <c r="E7" i="148"/>
  <c r="Q7" i="148"/>
  <c r="F8" i="148"/>
  <c r="E10" i="148"/>
  <c r="Q10" i="148"/>
  <c r="F11" i="148"/>
  <c r="F13" i="148"/>
  <c r="G14" i="148"/>
  <c r="L16" i="148"/>
  <c r="G17" i="148"/>
  <c r="P19" i="148"/>
  <c r="E20" i="148"/>
  <c r="P20" i="148"/>
  <c r="N22" i="148"/>
  <c r="P23" i="148"/>
  <c r="P25" i="148"/>
  <c r="E26" i="148"/>
  <c r="Q26" i="148"/>
  <c r="N28" i="148"/>
  <c r="P29" i="148"/>
  <c r="P31" i="148"/>
  <c r="E32" i="148"/>
  <c r="Q32" i="148"/>
  <c r="N34" i="148"/>
  <c r="P35" i="148"/>
  <c r="E7" i="149"/>
  <c r="H8" i="149"/>
  <c r="Q8" i="149"/>
  <c r="I9" i="149"/>
  <c r="N9" i="149"/>
  <c r="F10" i="149"/>
  <c r="Q11" i="149"/>
  <c r="N13" i="149"/>
  <c r="F14" i="149"/>
  <c r="J14" i="149"/>
  <c r="K15" i="149"/>
  <c r="E16" i="149"/>
  <c r="Q16" i="149"/>
  <c r="F17" i="149"/>
  <c r="Q19" i="149"/>
  <c r="G20" i="149"/>
  <c r="J21" i="149"/>
  <c r="E22" i="149"/>
  <c r="Q22" i="149"/>
  <c r="G23" i="149"/>
  <c r="N25" i="149"/>
  <c r="F26" i="149"/>
  <c r="J26" i="149"/>
  <c r="J27" i="149"/>
  <c r="E28" i="149"/>
  <c r="Q28" i="149"/>
  <c r="G29" i="149"/>
  <c r="Q29" i="149"/>
  <c r="J30" i="149"/>
  <c r="F32" i="149"/>
  <c r="J32" i="149"/>
  <c r="H33" i="149"/>
  <c r="L33" i="149"/>
  <c r="F34" i="149"/>
  <c r="E35" i="149"/>
  <c r="N7" i="150"/>
  <c r="J8" i="150"/>
  <c r="L10" i="150"/>
  <c r="Q10" i="150"/>
  <c r="F11" i="150"/>
  <c r="F13" i="150"/>
  <c r="G14" i="150"/>
  <c r="N16" i="150"/>
  <c r="I17" i="150"/>
  <c r="Q17" i="150"/>
  <c r="K18" i="150"/>
  <c r="F19" i="150"/>
  <c r="Q19" i="150"/>
  <c r="F20" i="150"/>
  <c r="G22" i="150"/>
  <c r="P23" i="150"/>
  <c r="N24" i="150"/>
  <c r="F25" i="150"/>
  <c r="P25" i="150"/>
  <c r="E26" i="150"/>
  <c r="N27" i="150"/>
  <c r="G28" i="150"/>
  <c r="S28" i="150"/>
  <c r="G29" i="150"/>
  <c r="G31" i="150"/>
  <c r="P32" i="150"/>
  <c r="F34" i="150"/>
  <c r="Q34" i="150"/>
  <c r="F35" i="150"/>
  <c r="N7" i="151"/>
  <c r="I8" i="151"/>
  <c r="Q10" i="151"/>
  <c r="F11" i="151"/>
  <c r="Q11" i="151"/>
  <c r="J12" i="151"/>
  <c r="G13" i="151"/>
  <c r="S13" i="151"/>
  <c r="F14" i="151"/>
  <c r="T14" i="151"/>
  <c r="G16" i="151"/>
  <c r="S16" i="151"/>
  <c r="G17" i="151"/>
  <c r="F19" i="151"/>
  <c r="Q19" i="151"/>
  <c r="F20" i="151"/>
  <c r="F22" i="151"/>
  <c r="G23" i="151"/>
  <c r="G25" i="151"/>
  <c r="Q25" i="151"/>
  <c r="F26" i="151"/>
  <c r="S26" i="151"/>
  <c r="L27" i="151"/>
  <c r="G28" i="151"/>
  <c r="Q28" i="151"/>
  <c r="G29" i="151"/>
  <c r="K30" i="151"/>
  <c r="E31" i="151"/>
  <c r="P31" i="151"/>
  <c r="E32" i="151"/>
  <c r="P32" i="151"/>
  <c r="N34" i="151"/>
  <c r="P35" i="151"/>
  <c r="F7" i="152"/>
  <c r="T7" i="152"/>
  <c r="I12" i="152"/>
  <c r="N13" i="152"/>
  <c r="E14" i="152"/>
  <c r="J14" i="152"/>
  <c r="P16" i="152"/>
  <c r="E17" i="152"/>
  <c r="P17" i="152"/>
  <c r="J18" i="152"/>
  <c r="F19" i="152"/>
  <c r="E20" i="152"/>
  <c r="J20" i="152"/>
  <c r="K21" i="152"/>
  <c r="E22" i="152"/>
  <c r="G23" i="152"/>
  <c r="K24" i="152"/>
  <c r="E25" i="152"/>
  <c r="P25" i="152"/>
  <c r="F26" i="152"/>
  <c r="J27" i="152"/>
  <c r="F28" i="152"/>
  <c r="E29" i="152"/>
  <c r="J29" i="152"/>
  <c r="J30" i="152"/>
  <c r="Q31" i="152"/>
  <c r="F32" i="152"/>
  <c r="Q32" i="152"/>
  <c r="J33" i="152"/>
  <c r="N34" i="152"/>
  <c r="E35" i="152"/>
  <c r="F8" i="154"/>
  <c r="F11" i="154"/>
  <c r="L13" i="154"/>
  <c r="G14" i="154"/>
  <c r="L16" i="154"/>
  <c r="G17" i="154"/>
  <c r="F19" i="154"/>
  <c r="P19" i="154"/>
  <c r="E20" i="154"/>
  <c r="Q20" i="154"/>
  <c r="F22" i="154"/>
  <c r="Q22" i="154"/>
  <c r="F23" i="154"/>
  <c r="F25" i="154"/>
  <c r="G26" i="154"/>
  <c r="U27" i="154"/>
  <c r="E28" i="154"/>
  <c r="Q28" i="154"/>
  <c r="F29" i="154"/>
  <c r="N31" i="154"/>
  <c r="P32" i="154"/>
  <c r="N34" i="154"/>
  <c r="P35" i="154"/>
  <c r="F36" i="155"/>
  <c r="F35" i="155"/>
  <c r="F34" i="155"/>
  <c r="F26" i="155"/>
  <c r="F25" i="155"/>
  <c r="F14" i="155"/>
  <c r="F31" i="155"/>
  <c r="F32" i="155"/>
  <c r="F29" i="155"/>
  <c r="F28" i="155"/>
  <c r="F23" i="155"/>
  <c r="F22" i="155"/>
  <c r="F20" i="155"/>
  <c r="F19" i="155"/>
  <c r="F17" i="155"/>
  <c r="F16" i="155"/>
  <c r="J36" i="155"/>
  <c r="J30" i="155"/>
  <c r="J21" i="155"/>
  <c r="J15" i="155"/>
  <c r="J24" i="155"/>
  <c r="J18" i="155"/>
  <c r="O34" i="155"/>
  <c r="T14" i="155"/>
  <c r="T27" i="155"/>
  <c r="T24" i="155"/>
  <c r="T18" i="155"/>
  <c r="T33" i="155"/>
  <c r="T29" i="155"/>
  <c r="T26" i="155"/>
  <c r="T20" i="155"/>
  <c r="T35" i="155"/>
  <c r="P7" i="155"/>
  <c r="E8" i="155"/>
  <c r="I8" i="155"/>
  <c r="I9" i="155"/>
  <c r="T9" i="155"/>
  <c r="E10" i="155"/>
  <c r="F11" i="155"/>
  <c r="Q11" i="155"/>
  <c r="T12" i="155"/>
  <c r="E13" i="155"/>
  <c r="F7" i="156"/>
  <c r="G8" i="156"/>
  <c r="T9" i="156"/>
  <c r="F10" i="156"/>
  <c r="G11" i="156"/>
  <c r="N13" i="156"/>
  <c r="I14" i="156"/>
  <c r="T14" i="156"/>
  <c r="E16" i="156"/>
  <c r="Q16" i="156"/>
  <c r="F17" i="156"/>
  <c r="Q17" i="156"/>
  <c r="N19" i="156"/>
  <c r="P20" i="156"/>
  <c r="H21" i="156"/>
  <c r="E22" i="156"/>
  <c r="Q22" i="156"/>
  <c r="F23" i="156"/>
  <c r="Q23" i="156"/>
  <c r="I24" i="156"/>
  <c r="F25" i="156"/>
  <c r="G26" i="156"/>
  <c r="T27" i="156"/>
  <c r="F28" i="156"/>
  <c r="G29" i="156"/>
  <c r="Q29" i="156"/>
  <c r="T30" i="156"/>
  <c r="F31" i="156"/>
  <c r="G32" i="156"/>
  <c r="N34" i="156"/>
  <c r="P35" i="156"/>
  <c r="I36" i="156"/>
  <c r="H7" i="157"/>
  <c r="I8" i="157"/>
  <c r="T8" i="157"/>
  <c r="E10" i="157"/>
  <c r="Q10" i="157"/>
  <c r="G11" i="157"/>
  <c r="Q11" i="157"/>
  <c r="H12" i="157"/>
  <c r="P12" i="157"/>
  <c r="F13" i="157"/>
  <c r="Q13" i="157"/>
  <c r="F14" i="157"/>
  <c r="J14" i="157"/>
  <c r="J15" i="157"/>
  <c r="P16" i="157"/>
  <c r="E17" i="157"/>
  <c r="K17" i="157"/>
  <c r="T17" i="157"/>
  <c r="T18" i="157"/>
  <c r="G19" i="157"/>
  <c r="F20" i="157"/>
  <c r="K20" i="157"/>
  <c r="K21" i="157"/>
  <c r="E22" i="157"/>
  <c r="G23" i="157"/>
  <c r="Q23" i="157"/>
  <c r="H24" i="157"/>
  <c r="T24" i="157"/>
  <c r="G25" i="157"/>
  <c r="J26" i="157"/>
  <c r="K27" i="157"/>
  <c r="F28" i="157"/>
  <c r="E29" i="157"/>
  <c r="J29" i="157"/>
  <c r="J30" i="157"/>
  <c r="Q31" i="157"/>
  <c r="F32" i="157"/>
  <c r="J32" i="157"/>
  <c r="N33" i="157"/>
  <c r="F34" i="157"/>
  <c r="Q34" i="157"/>
  <c r="G35" i="157"/>
  <c r="Q35" i="157"/>
  <c r="J36" i="157"/>
  <c r="G7" i="158"/>
  <c r="E8" i="158"/>
  <c r="J8" i="158"/>
  <c r="E10" i="158"/>
  <c r="N10" i="158"/>
  <c r="F11" i="158"/>
  <c r="K11" i="158"/>
  <c r="I12" i="158"/>
  <c r="T12" i="158"/>
  <c r="F13" i="158"/>
  <c r="G14" i="158"/>
  <c r="K15" i="158"/>
  <c r="G16" i="158"/>
  <c r="E17" i="158"/>
  <c r="Q17" i="158"/>
  <c r="K18" i="158"/>
  <c r="G19" i="158"/>
  <c r="F20" i="158"/>
  <c r="Q20" i="158"/>
  <c r="N21" i="158"/>
  <c r="F22" i="158"/>
  <c r="I23" i="158"/>
  <c r="Q23" i="158"/>
  <c r="H24" i="158"/>
  <c r="L24" i="158"/>
  <c r="E25" i="158"/>
  <c r="G26" i="158"/>
  <c r="K27" i="158"/>
  <c r="L28" i="158"/>
  <c r="E29" i="158"/>
  <c r="Q29" i="158"/>
  <c r="K30" i="158"/>
  <c r="G31" i="158"/>
  <c r="E32" i="158"/>
  <c r="J32" i="158"/>
  <c r="N34" i="158"/>
  <c r="F35" i="158"/>
  <c r="K35" i="158"/>
  <c r="I36" i="158"/>
  <c r="N7" i="159"/>
  <c r="G8" i="159"/>
  <c r="T8" i="159"/>
  <c r="I9" i="159"/>
  <c r="P10" i="159"/>
  <c r="P11" i="159"/>
  <c r="I12" i="159"/>
  <c r="N13" i="159"/>
  <c r="E14" i="159"/>
  <c r="P14" i="159"/>
  <c r="J15" i="159"/>
  <c r="N16" i="159"/>
  <c r="F17" i="159"/>
  <c r="J18" i="159"/>
  <c r="G19" i="159"/>
  <c r="N20" i="159"/>
  <c r="J21" i="159"/>
  <c r="E22" i="159"/>
  <c r="P23" i="159"/>
  <c r="J24" i="159"/>
  <c r="E25" i="159"/>
  <c r="F26" i="159"/>
  <c r="T27" i="159"/>
  <c r="N28" i="159"/>
  <c r="E29" i="159"/>
  <c r="Q29" i="159"/>
  <c r="J30" i="159"/>
  <c r="N31" i="159"/>
  <c r="N32" i="159"/>
  <c r="T32" i="159"/>
  <c r="G35" i="159"/>
  <c r="N7" i="156"/>
  <c r="I8" i="156"/>
  <c r="T8" i="156"/>
  <c r="N10" i="156"/>
  <c r="I11" i="156"/>
  <c r="H12" i="156"/>
  <c r="P13" i="156"/>
  <c r="E14" i="156"/>
  <c r="P14" i="156"/>
  <c r="T15" i="156"/>
  <c r="F16" i="156"/>
  <c r="G17" i="156"/>
  <c r="P19" i="156"/>
  <c r="E20" i="156"/>
  <c r="Q20" i="156"/>
  <c r="T21" i="156"/>
  <c r="F22" i="156"/>
  <c r="G23" i="156"/>
  <c r="N25" i="156"/>
  <c r="I26" i="156"/>
  <c r="T26" i="156"/>
  <c r="N28" i="156"/>
  <c r="H29" i="156"/>
  <c r="N31" i="156"/>
  <c r="I32" i="156"/>
  <c r="T32" i="156"/>
  <c r="P34" i="156"/>
  <c r="E35" i="156"/>
  <c r="Q35" i="156"/>
  <c r="N36" i="156"/>
  <c r="E7" i="157"/>
  <c r="Q7" i="157"/>
  <c r="E8" i="157"/>
  <c r="J8" i="157"/>
  <c r="F10" i="157"/>
  <c r="I11" i="157"/>
  <c r="I12" i="157"/>
  <c r="T12" i="157"/>
  <c r="G13" i="157"/>
  <c r="G14" i="157"/>
  <c r="K14" i="157"/>
  <c r="K15" i="157"/>
  <c r="E16" i="157"/>
  <c r="Q16" i="157"/>
  <c r="F17" i="157"/>
  <c r="P17" i="157"/>
  <c r="V17" i="157"/>
  <c r="Q19" i="157"/>
  <c r="G20" i="157"/>
  <c r="Q20" i="157"/>
  <c r="H21" i="157"/>
  <c r="V21" i="157"/>
  <c r="F22" i="157"/>
  <c r="H23" i="157"/>
  <c r="I24" i="157"/>
  <c r="V24" i="157"/>
  <c r="N25" i="157"/>
  <c r="E26" i="157"/>
  <c r="K26" i="157"/>
  <c r="T26" i="157"/>
  <c r="T27" i="157"/>
  <c r="G28" i="157"/>
  <c r="F29" i="157"/>
  <c r="K29" i="157"/>
  <c r="K30" i="157"/>
  <c r="E31" i="157"/>
  <c r="G32" i="157"/>
  <c r="Q32" i="157"/>
  <c r="H33" i="157"/>
  <c r="T33" i="157"/>
  <c r="G34" i="157"/>
  <c r="S34" i="157"/>
  <c r="J35" i="157"/>
  <c r="K36" i="157"/>
  <c r="L7" i="158"/>
  <c r="F8" i="158"/>
  <c r="Q8" i="158"/>
  <c r="N9" i="158"/>
  <c r="F10" i="158"/>
  <c r="Q10" i="158"/>
  <c r="G11" i="158"/>
  <c r="Q11" i="158"/>
  <c r="J12" i="158"/>
  <c r="G13" i="158"/>
  <c r="T13" i="158"/>
  <c r="J14" i="158"/>
  <c r="L15" i="158"/>
  <c r="Q16" i="158"/>
  <c r="F17" i="158"/>
  <c r="N18" i="158"/>
  <c r="Q19" i="158"/>
  <c r="G20" i="158"/>
  <c r="T21" i="158"/>
  <c r="G22" i="158"/>
  <c r="E23" i="158"/>
  <c r="J23" i="158"/>
  <c r="I24" i="158"/>
  <c r="T24" i="158"/>
  <c r="F25" i="158"/>
  <c r="T25" i="158"/>
  <c r="J26" i="158"/>
  <c r="E28" i="158"/>
  <c r="Q28" i="158"/>
  <c r="F29" i="158"/>
  <c r="N30" i="158"/>
  <c r="H31" i="158"/>
  <c r="F32" i="158"/>
  <c r="Q32" i="158"/>
  <c r="N33" i="158"/>
  <c r="E34" i="158"/>
  <c r="Q34" i="158"/>
  <c r="G35" i="158"/>
  <c r="Q35" i="158"/>
  <c r="J36" i="158"/>
  <c r="E7" i="159"/>
  <c r="Q7" i="159"/>
  <c r="N8" i="159"/>
  <c r="J9" i="159"/>
  <c r="E10" i="159"/>
  <c r="Q10" i="159"/>
  <c r="E11" i="159"/>
  <c r="Q11" i="159"/>
  <c r="P12" i="159"/>
  <c r="P13" i="159"/>
  <c r="G14" i="159"/>
  <c r="Q14" i="159"/>
  <c r="K15" i="159"/>
  <c r="E16" i="159"/>
  <c r="Q16" i="159"/>
  <c r="G17" i="159"/>
  <c r="F18" i="159"/>
  <c r="K18" i="159"/>
  <c r="J19" i="159"/>
  <c r="E20" i="159"/>
  <c r="Q20" i="159"/>
  <c r="K21" i="159"/>
  <c r="G22" i="159"/>
  <c r="E23" i="159"/>
  <c r="Q23" i="159"/>
  <c r="N25" i="159"/>
  <c r="G26" i="159"/>
  <c r="I27" i="159"/>
  <c r="P28" i="159"/>
  <c r="F29" i="159"/>
  <c r="K30" i="159"/>
  <c r="Q31" i="159"/>
  <c r="P32" i="159"/>
  <c r="J33" i="159"/>
  <c r="N34" i="159"/>
  <c r="N35" i="159"/>
  <c r="T36" i="159"/>
  <c r="P7" i="156"/>
  <c r="E8" i="156"/>
  <c r="P8" i="156"/>
  <c r="H9" i="156"/>
  <c r="P10" i="156"/>
  <c r="E11" i="156"/>
  <c r="P11" i="156"/>
  <c r="I12" i="156"/>
  <c r="E13" i="156"/>
  <c r="Q13" i="156"/>
  <c r="F14" i="156"/>
  <c r="Q14" i="156"/>
  <c r="N16" i="156"/>
  <c r="I17" i="156"/>
  <c r="T17" i="156"/>
  <c r="E19" i="156"/>
  <c r="Q19" i="156"/>
  <c r="F20" i="156"/>
  <c r="N22" i="156"/>
  <c r="I23" i="156"/>
  <c r="T23" i="156"/>
  <c r="P25" i="156"/>
  <c r="E26" i="156"/>
  <c r="P26" i="156"/>
  <c r="H27" i="156"/>
  <c r="P28" i="156"/>
  <c r="E29" i="156"/>
  <c r="I29" i="156"/>
  <c r="H30" i="156"/>
  <c r="P31" i="156"/>
  <c r="E32" i="156"/>
  <c r="P32" i="156"/>
  <c r="E34" i="156"/>
  <c r="Q34" i="156"/>
  <c r="F35" i="156"/>
  <c r="T36" i="156"/>
  <c r="F7" i="157"/>
  <c r="F8" i="157"/>
  <c r="Q8" i="157"/>
  <c r="T9" i="157"/>
  <c r="G10" i="157"/>
  <c r="E11" i="157"/>
  <c r="J11" i="157"/>
  <c r="T11" i="157"/>
  <c r="J12" i="157"/>
  <c r="V12" i="157"/>
  <c r="N13" i="157"/>
  <c r="T13" i="157"/>
  <c r="H14" i="157"/>
  <c r="Q14" i="157"/>
  <c r="H15" i="157"/>
  <c r="F16" i="157"/>
  <c r="G17" i="157"/>
  <c r="Q17" i="157"/>
  <c r="J18" i="157"/>
  <c r="E19" i="157"/>
  <c r="I20" i="157"/>
  <c r="I21" i="157"/>
  <c r="G22" i="157"/>
  <c r="E23" i="157"/>
  <c r="I23" i="157"/>
  <c r="T23" i="157"/>
  <c r="J24" i="157"/>
  <c r="E25" i="157"/>
  <c r="P25" i="157"/>
  <c r="F26" i="157"/>
  <c r="P26" i="157"/>
  <c r="V26" i="157"/>
  <c r="V27" i="157"/>
  <c r="Q28" i="157"/>
  <c r="G29" i="157"/>
  <c r="Q29" i="157"/>
  <c r="H30" i="157"/>
  <c r="F31" i="157"/>
  <c r="H32" i="157"/>
  <c r="I33" i="157"/>
  <c r="V33" i="157"/>
  <c r="N34" i="157"/>
  <c r="E35" i="157"/>
  <c r="K35" i="157"/>
  <c r="T35" i="157"/>
  <c r="T36" i="157"/>
  <c r="E7" i="158"/>
  <c r="Q7" i="158"/>
  <c r="G8" i="158"/>
  <c r="T9" i="158"/>
  <c r="G10" i="158"/>
  <c r="I11" i="158"/>
  <c r="K12" i="158"/>
  <c r="L13" i="158"/>
  <c r="E14" i="158"/>
  <c r="K14" i="158"/>
  <c r="I15" i="158"/>
  <c r="E16" i="158"/>
  <c r="G17" i="158"/>
  <c r="T17" i="158"/>
  <c r="E19" i="158"/>
  <c r="I20" i="158"/>
  <c r="T20" i="158"/>
  <c r="F23" i="158"/>
  <c r="K23" i="158"/>
  <c r="J24" i="158"/>
  <c r="G25" i="158"/>
  <c r="E26" i="158"/>
  <c r="K26" i="158"/>
  <c r="I27" i="158"/>
  <c r="F28" i="158"/>
  <c r="G29" i="158"/>
  <c r="T29" i="158"/>
  <c r="E31" i="158"/>
  <c r="Q31" i="158"/>
  <c r="G32" i="158"/>
  <c r="T33" i="158"/>
  <c r="F34" i="158"/>
  <c r="I35" i="158"/>
  <c r="K36" i="158"/>
  <c r="G7" i="159"/>
  <c r="E8" i="159"/>
  <c r="Q8" i="159"/>
  <c r="F9" i="159"/>
  <c r="G10" i="159"/>
  <c r="G11" i="159"/>
  <c r="T12" i="159"/>
  <c r="E13" i="159"/>
  <c r="Q13" i="159"/>
  <c r="H14" i="159"/>
  <c r="P15" i="159"/>
  <c r="G16" i="159"/>
  <c r="N17" i="159"/>
  <c r="H18" i="159"/>
  <c r="N19" i="159"/>
  <c r="F20" i="159"/>
  <c r="T21" i="159"/>
  <c r="N22" i="159"/>
  <c r="G23" i="159"/>
  <c r="Q25" i="159"/>
  <c r="N26" i="159"/>
  <c r="J27" i="159"/>
  <c r="Q28" i="159"/>
  <c r="G29" i="159"/>
  <c r="T29" i="159"/>
  <c r="E32" i="159"/>
  <c r="Q32" i="159"/>
  <c r="E35" i="159"/>
  <c r="E7" i="156"/>
  <c r="Q7" i="156"/>
  <c r="F8" i="156"/>
  <c r="Q8" i="156"/>
  <c r="I9" i="156"/>
  <c r="E10" i="156"/>
  <c r="Q10" i="156"/>
  <c r="F11" i="156"/>
  <c r="Q11" i="156"/>
  <c r="T12" i="156"/>
  <c r="F13" i="156"/>
  <c r="G14" i="156"/>
  <c r="P16" i="156"/>
  <c r="E17" i="156"/>
  <c r="P17" i="156"/>
  <c r="T18" i="156"/>
  <c r="F19" i="156"/>
  <c r="G20" i="156"/>
  <c r="T20" i="156"/>
  <c r="P22" i="156"/>
  <c r="E23" i="156"/>
  <c r="P23" i="156"/>
  <c r="H24" i="156"/>
  <c r="E25" i="156"/>
  <c r="Q25" i="156"/>
  <c r="F26" i="156"/>
  <c r="Q26" i="156"/>
  <c r="I27" i="156"/>
  <c r="E28" i="156"/>
  <c r="Q28" i="156"/>
  <c r="F29" i="156"/>
  <c r="P29" i="156"/>
  <c r="I30" i="156"/>
  <c r="E31" i="156"/>
  <c r="Q31" i="156"/>
  <c r="F32" i="156"/>
  <c r="Q32" i="156"/>
  <c r="T33" i="156"/>
  <c r="F34" i="156"/>
  <c r="G35" i="156"/>
  <c r="G7" i="157"/>
  <c r="T7" i="157"/>
  <c r="G8" i="157"/>
  <c r="V9" i="157"/>
  <c r="H10" i="157"/>
  <c r="F11" i="157"/>
  <c r="K11" i="157"/>
  <c r="V11" i="157"/>
  <c r="K12" i="157"/>
  <c r="E13" i="157"/>
  <c r="P13" i="157"/>
  <c r="E14" i="157"/>
  <c r="I14" i="157"/>
  <c r="I15" i="157"/>
  <c r="G16" i="157"/>
  <c r="T16" i="157"/>
  <c r="I17" i="157"/>
  <c r="K18" i="157"/>
  <c r="F19" i="157"/>
  <c r="E20" i="157"/>
  <c r="J20" i="157"/>
  <c r="V20" i="157"/>
  <c r="J21" i="157"/>
  <c r="Q22" i="157"/>
  <c r="F23" i="157"/>
  <c r="J23" i="157"/>
  <c r="V23" i="157"/>
  <c r="F25" i="157"/>
  <c r="Q25" i="157"/>
  <c r="G26" i="157"/>
  <c r="Q26" i="157"/>
  <c r="J27" i="157"/>
  <c r="E28" i="157"/>
  <c r="I29" i="157"/>
  <c r="I30" i="157"/>
  <c r="G31" i="157"/>
  <c r="E32" i="157"/>
  <c r="E34" i="157"/>
  <c r="P34" i="157"/>
  <c r="F35" i="157"/>
  <c r="F7" i="158"/>
  <c r="I8" i="158"/>
  <c r="T8" i="158"/>
  <c r="L10" i="158"/>
  <c r="E11" i="158"/>
  <c r="J11" i="158"/>
  <c r="L12" i="158"/>
  <c r="E13" i="158"/>
  <c r="Q13" i="158"/>
  <c r="F14" i="158"/>
  <c r="Q14" i="158"/>
  <c r="J15" i="158"/>
  <c r="F16" i="158"/>
  <c r="T16" i="158"/>
  <c r="J17" i="158"/>
  <c r="F19" i="158"/>
  <c r="E20" i="158"/>
  <c r="J20" i="158"/>
  <c r="E22" i="158"/>
  <c r="Q22" i="158"/>
  <c r="G23" i="158"/>
  <c r="L23" i="158"/>
  <c r="K24" i="158"/>
  <c r="Q25" i="158"/>
  <c r="F26" i="158"/>
  <c r="Q26" i="158"/>
  <c r="J27" i="158"/>
  <c r="G28" i="158"/>
  <c r="T28" i="158"/>
  <c r="J29" i="158"/>
  <c r="F31" i="158"/>
  <c r="T32" i="158"/>
  <c r="G34" i="158"/>
  <c r="E35" i="158"/>
  <c r="L36" i="158"/>
  <c r="J7" i="159"/>
  <c r="T7" i="159"/>
  <c r="F8" i="159"/>
  <c r="N10" i="159"/>
  <c r="T10" i="159"/>
  <c r="N11" i="159"/>
  <c r="T11" i="159"/>
  <c r="G13" i="159"/>
  <c r="N14" i="159"/>
  <c r="I15" i="159"/>
  <c r="T15" i="159"/>
  <c r="J16" i="159"/>
  <c r="E17" i="159"/>
  <c r="Q17" i="159"/>
  <c r="I18" i="159"/>
  <c r="E19" i="159"/>
  <c r="Q19" i="159"/>
  <c r="G20" i="159"/>
  <c r="I21" i="159"/>
  <c r="Q22" i="159"/>
  <c r="N23" i="159"/>
  <c r="T23" i="159"/>
  <c r="E26" i="159"/>
  <c r="Q26" i="159"/>
  <c r="K27" i="159"/>
  <c r="E28" i="159"/>
  <c r="N29" i="159"/>
  <c r="I30" i="159"/>
  <c r="E31" i="159"/>
  <c r="G32" i="159"/>
  <c r="Q35" i="159"/>
  <c r="F7" i="161"/>
  <c r="G8" i="161"/>
  <c r="Q8" i="161"/>
  <c r="J9" i="161"/>
  <c r="P10" i="161"/>
  <c r="E11" i="161"/>
  <c r="I11" i="161"/>
  <c r="I12" i="161"/>
  <c r="F13" i="161"/>
  <c r="G14" i="161"/>
  <c r="N16" i="161"/>
  <c r="I17" i="161"/>
  <c r="T17" i="161"/>
  <c r="F19" i="161"/>
  <c r="G20" i="161"/>
  <c r="S20" i="161"/>
  <c r="J21" i="161"/>
  <c r="E22" i="161"/>
  <c r="Q22" i="161"/>
  <c r="G23" i="161"/>
  <c r="K24" i="161"/>
  <c r="E25" i="161"/>
  <c r="Q25" i="161"/>
  <c r="G26" i="161"/>
  <c r="Q26" i="161"/>
  <c r="F28" i="161"/>
  <c r="P29" i="161"/>
  <c r="H30" i="161"/>
  <c r="N31" i="161"/>
  <c r="E32" i="161"/>
  <c r="P32" i="161"/>
  <c r="J33" i="161"/>
  <c r="N34" i="161"/>
  <c r="E35" i="161"/>
  <c r="Q35" i="161"/>
  <c r="J36" i="161"/>
  <c r="N7" i="162"/>
  <c r="G8" i="162"/>
  <c r="K8" i="162"/>
  <c r="N9" i="162"/>
  <c r="G10" i="162"/>
  <c r="Q10" i="162"/>
  <c r="F11" i="162"/>
  <c r="K12" i="162"/>
  <c r="G13" i="162"/>
  <c r="Q13" i="162"/>
  <c r="G14" i="162"/>
  <c r="L15" i="162"/>
  <c r="E16" i="162"/>
  <c r="J16" i="162"/>
  <c r="E17" i="162"/>
  <c r="N17" i="162"/>
  <c r="H18" i="162"/>
  <c r="N18" i="162"/>
  <c r="F19" i="162"/>
  <c r="S19" i="162"/>
  <c r="K20" i="162"/>
  <c r="N21" i="162"/>
  <c r="Q22" i="162"/>
  <c r="G23" i="162"/>
  <c r="T23" i="162"/>
  <c r="T24" i="162"/>
  <c r="G25" i="162"/>
  <c r="S25" i="162"/>
  <c r="N26" i="162"/>
  <c r="V26" i="162"/>
  <c r="Q28" i="162"/>
  <c r="G29" i="162"/>
  <c r="N30" i="162"/>
  <c r="G31" i="162"/>
  <c r="E32" i="162"/>
  <c r="Q32" i="162"/>
  <c r="J33" i="162"/>
  <c r="E34" i="162"/>
  <c r="Q34" i="162"/>
  <c r="H35" i="162"/>
  <c r="N36" i="162"/>
  <c r="L28" i="163"/>
  <c r="L21" i="163"/>
  <c r="L25" i="163"/>
  <c r="Q36" i="163"/>
  <c r="Q29" i="163"/>
  <c r="Q26" i="163"/>
  <c r="Q22" i="163"/>
  <c r="Q19" i="163"/>
  <c r="Q23" i="163"/>
  <c r="Q20" i="163"/>
  <c r="Q34" i="163"/>
  <c r="Q31" i="163"/>
  <c r="G7" i="163"/>
  <c r="P8" i="163"/>
  <c r="G10" i="163"/>
  <c r="P11" i="163"/>
  <c r="G13" i="163"/>
  <c r="G14" i="163"/>
  <c r="S14" i="163"/>
  <c r="I17" i="163"/>
  <c r="S19" i="163"/>
  <c r="F26" i="163"/>
  <c r="P31" i="163"/>
  <c r="N7" i="161"/>
  <c r="H8" i="161"/>
  <c r="K9" i="161"/>
  <c r="E10" i="161"/>
  <c r="Q10" i="161"/>
  <c r="F11" i="161"/>
  <c r="P11" i="161"/>
  <c r="J12" i="161"/>
  <c r="N13" i="161"/>
  <c r="I14" i="161"/>
  <c r="T14" i="161"/>
  <c r="P16" i="161"/>
  <c r="E17" i="161"/>
  <c r="P17" i="161"/>
  <c r="H18" i="161"/>
  <c r="N19" i="161"/>
  <c r="I20" i="161"/>
  <c r="T20" i="161"/>
  <c r="F22" i="161"/>
  <c r="I23" i="161"/>
  <c r="H24" i="161"/>
  <c r="T24" i="161"/>
  <c r="F25" i="161"/>
  <c r="H26" i="161"/>
  <c r="N28" i="161"/>
  <c r="E29" i="161"/>
  <c r="Q29" i="161"/>
  <c r="I30" i="161"/>
  <c r="P31" i="161"/>
  <c r="F32" i="161"/>
  <c r="Q32" i="161"/>
  <c r="K33" i="161"/>
  <c r="P34" i="161"/>
  <c r="F35" i="161"/>
  <c r="N36" i="161"/>
  <c r="E7" i="162"/>
  <c r="Q7" i="162"/>
  <c r="H8" i="162"/>
  <c r="N8" i="162"/>
  <c r="J10" i="162"/>
  <c r="S10" i="162"/>
  <c r="G11" i="162"/>
  <c r="V11" i="162"/>
  <c r="N12" i="162"/>
  <c r="J13" i="162"/>
  <c r="S13" i="162"/>
  <c r="N14" i="162"/>
  <c r="I15" i="162"/>
  <c r="N15" i="162"/>
  <c r="F16" i="162"/>
  <c r="Q16" i="162"/>
  <c r="G17" i="162"/>
  <c r="Q17" i="162"/>
  <c r="I18" i="162"/>
  <c r="G19" i="162"/>
  <c r="E20" i="162"/>
  <c r="N20" i="162"/>
  <c r="J21" i="162"/>
  <c r="E22" i="162"/>
  <c r="I23" i="162"/>
  <c r="V23" i="162"/>
  <c r="V24" i="162"/>
  <c r="L25" i="162"/>
  <c r="E26" i="162"/>
  <c r="Q26" i="162"/>
  <c r="E28" i="162"/>
  <c r="N29" i="162"/>
  <c r="I30" i="162"/>
  <c r="V30" i="162"/>
  <c r="Q31" i="162"/>
  <c r="G32" i="162"/>
  <c r="K33" i="162"/>
  <c r="G34" i="162"/>
  <c r="S34" i="162"/>
  <c r="Q35" i="162"/>
  <c r="T36" i="162"/>
  <c r="E36" i="163"/>
  <c r="E29" i="163"/>
  <c r="E28" i="163"/>
  <c r="E26" i="163"/>
  <c r="E25" i="163"/>
  <c r="E23" i="163"/>
  <c r="E22" i="163"/>
  <c r="E20" i="163"/>
  <c r="E34" i="163"/>
  <c r="N24" i="163"/>
  <c r="N21" i="163"/>
  <c r="N28" i="163"/>
  <c r="N25" i="163"/>
  <c r="N22" i="163"/>
  <c r="N19" i="163"/>
  <c r="S20" i="163"/>
  <c r="S34" i="163"/>
  <c r="S32" i="163"/>
  <c r="P7" i="163"/>
  <c r="E8" i="163"/>
  <c r="Q8" i="163"/>
  <c r="P10" i="163"/>
  <c r="E11" i="163"/>
  <c r="Q11" i="163"/>
  <c r="N13" i="163"/>
  <c r="J14" i="163"/>
  <c r="L15" i="163"/>
  <c r="E16" i="163"/>
  <c r="P16" i="163"/>
  <c r="E17" i="163"/>
  <c r="G23" i="163"/>
  <c r="G25" i="163"/>
  <c r="S26" i="163"/>
  <c r="Q28" i="163"/>
  <c r="Q35" i="163"/>
  <c r="P7" i="161"/>
  <c r="E8" i="161"/>
  <c r="I8" i="161"/>
  <c r="H9" i="161"/>
  <c r="T9" i="161"/>
  <c r="F10" i="161"/>
  <c r="G11" i="161"/>
  <c r="Q11" i="161"/>
  <c r="K12" i="161"/>
  <c r="P13" i="161"/>
  <c r="E14" i="161"/>
  <c r="P14" i="161"/>
  <c r="T15" i="161"/>
  <c r="E16" i="161"/>
  <c r="Q16" i="161"/>
  <c r="F17" i="161"/>
  <c r="Q17" i="161"/>
  <c r="I18" i="161"/>
  <c r="P19" i="161"/>
  <c r="E20" i="161"/>
  <c r="P20" i="161"/>
  <c r="H21" i="161"/>
  <c r="N22" i="161"/>
  <c r="E23" i="161"/>
  <c r="P23" i="161"/>
  <c r="I24" i="161"/>
  <c r="N25" i="161"/>
  <c r="E26" i="161"/>
  <c r="I26" i="161"/>
  <c r="T26" i="161"/>
  <c r="P28" i="161"/>
  <c r="F29" i="161"/>
  <c r="J30" i="161"/>
  <c r="E31" i="161"/>
  <c r="Q31" i="161"/>
  <c r="G32" i="161"/>
  <c r="T33" i="161"/>
  <c r="E34" i="161"/>
  <c r="Q34" i="161"/>
  <c r="G35" i="161"/>
  <c r="T35" i="161"/>
  <c r="G7" i="162"/>
  <c r="I8" i="162"/>
  <c r="Q8" i="162"/>
  <c r="F9" i="162"/>
  <c r="E10" i="162"/>
  <c r="L10" i="162"/>
  <c r="I11" i="162"/>
  <c r="E13" i="162"/>
  <c r="L13" i="162"/>
  <c r="V13" i="162"/>
  <c r="Q14" i="162"/>
  <c r="J15" i="162"/>
  <c r="G16" i="162"/>
  <c r="S16" i="162"/>
  <c r="J17" i="162"/>
  <c r="J18" i="162"/>
  <c r="J19" i="162"/>
  <c r="F20" i="162"/>
  <c r="Q20" i="162"/>
  <c r="K21" i="162"/>
  <c r="G22" i="162"/>
  <c r="V22" i="162"/>
  <c r="Q23" i="162"/>
  <c r="N25" i="162"/>
  <c r="G26" i="162"/>
  <c r="S26" i="162"/>
  <c r="T27" i="162"/>
  <c r="G28" i="162"/>
  <c r="V28" i="162"/>
  <c r="Q29" i="162"/>
  <c r="J30" i="162"/>
  <c r="K32" i="162"/>
  <c r="L33" i="162"/>
  <c r="J34" i="162"/>
  <c r="E35" i="162"/>
  <c r="S35" i="162"/>
  <c r="F36" i="163"/>
  <c r="F25" i="163"/>
  <c r="F23" i="163"/>
  <c r="F22" i="163"/>
  <c r="F20" i="163"/>
  <c r="F19" i="163"/>
  <c r="F34" i="163"/>
  <c r="F35" i="163"/>
  <c r="F32" i="163"/>
  <c r="F31" i="163"/>
  <c r="J35" i="163"/>
  <c r="J24" i="163"/>
  <c r="F8" i="163"/>
  <c r="E10" i="163"/>
  <c r="F11" i="163"/>
  <c r="E13" i="163"/>
  <c r="P13" i="163"/>
  <c r="E14" i="163"/>
  <c r="P14" i="163"/>
  <c r="N15" i="163"/>
  <c r="F16" i="163"/>
  <c r="Q16" i="163"/>
  <c r="F17" i="163"/>
  <c r="P17" i="163"/>
  <c r="L18" i="163"/>
  <c r="E19" i="163"/>
  <c r="G20" i="163"/>
  <c r="I24" i="163"/>
  <c r="Q25" i="163"/>
  <c r="E32" i="163"/>
  <c r="F36" i="164"/>
  <c r="F26" i="164"/>
  <c r="F23" i="164"/>
  <c r="F16" i="164"/>
  <c r="F14" i="164"/>
  <c r="F7" i="164"/>
  <c r="F19" i="164"/>
  <c r="F17" i="164"/>
  <c r="F8" i="164"/>
  <c r="F35" i="164"/>
  <c r="F34" i="164"/>
  <c r="F31" i="164"/>
  <c r="F25" i="164"/>
  <c r="F20" i="164"/>
  <c r="F32" i="164"/>
  <c r="F29" i="164"/>
  <c r="F28" i="164"/>
  <c r="F22" i="164"/>
  <c r="F13" i="164"/>
  <c r="F11" i="164"/>
  <c r="F10" i="164"/>
  <c r="J33" i="164"/>
  <c r="J12" i="164"/>
  <c r="J27" i="164"/>
  <c r="E7" i="161"/>
  <c r="F8" i="161"/>
  <c r="P8" i="161"/>
  <c r="I9" i="161"/>
  <c r="N10" i="161"/>
  <c r="H11" i="161"/>
  <c r="T12" i="161"/>
  <c r="E13" i="161"/>
  <c r="Q13" i="161"/>
  <c r="F14" i="161"/>
  <c r="Q14" i="161"/>
  <c r="F16" i="161"/>
  <c r="G17" i="161"/>
  <c r="T18" i="161"/>
  <c r="E19" i="161"/>
  <c r="Q19" i="161"/>
  <c r="F20" i="161"/>
  <c r="Q20" i="161"/>
  <c r="I21" i="161"/>
  <c r="P22" i="161"/>
  <c r="F23" i="161"/>
  <c r="Q23" i="161"/>
  <c r="J24" i="161"/>
  <c r="P25" i="161"/>
  <c r="F26" i="161"/>
  <c r="P26" i="161"/>
  <c r="T27" i="161"/>
  <c r="E28" i="161"/>
  <c r="Q28" i="161"/>
  <c r="G29" i="161"/>
  <c r="F31" i="161"/>
  <c r="I32" i="161"/>
  <c r="I33" i="161"/>
  <c r="F34" i="161"/>
  <c r="P35" i="161"/>
  <c r="J7" i="162"/>
  <c r="E8" i="162"/>
  <c r="J8" i="162"/>
  <c r="L9" i="162"/>
  <c r="F10" i="162"/>
  <c r="N10" i="162"/>
  <c r="E11" i="162"/>
  <c r="Q11" i="162"/>
  <c r="F13" i="162"/>
  <c r="N13" i="162"/>
  <c r="E14" i="162"/>
  <c r="K15" i="162"/>
  <c r="H16" i="162"/>
  <c r="K17" i="162"/>
  <c r="K18" i="162"/>
  <c r="E19" i="162"/>
  <c r="Q19" i="162"/>
  <c r="G20" i="162"/>
  <c r="L21" i="162"/>
  <c r="N22" i="162"/>
  <c r="E23" i="162"/>
  <c r="N24" i="162"/>
  <c r="E25" i="162"/>
  <c r="Q25" i="162"/>
  <c r="K26" i="162"/>
  <c r="V27" i="162"/>
  <c r="N28" i="162"/>
  <c r="E29" i="162"/>
  <c r="E31" i="162"/>
  <c r="N32" i="162"/>
  <c r="N33" i="162"/>
  <c r="N34" i="162"/>
  <c r="G35" i="162"/>
  <c r="G36" i="163"/>
  <c r="G34" i="163"/>
  <c r="G35" i="163"/>
  <c r="G32" i="163"/>
  <c r="G31" i="163"/>
  <c r="G29" i="163"/>
  <c r="G28" i="163"/>
  <c r="G26" i="163"/>
  <c r="K36" i="163"/>
  <c r="K24" i="163"/>
  <c r="K21" i="163"/>
  <c r="P36" i="163"/>
  <c r="P35" i="163"/>
  <c r="P32" i="163"/>
  <c r="P28" i="163"/>
  <c r="P25" i="163"/>
  <c r="P29" i="163"/>
  <c r="P26" i="163"/>
  <c r="P22" i="163"/>
  <c r="P19" i="163"/>
  <c r="P23" i="163"/>
  <c r="P20" i="163"/>
  <c r="F7" i="163"/>
  <c r="S7" i="163"/>
  <c r="G8" i="163"/>
  <c r="N9" i="163"/>
  <c r="F10" i="163"/>
  <c r="S10" i="163"/>
  <c r="G11" i="163"/>
  <c r="N12" i="163"/>
  <c r="F13" i="163"/>
  <c r="Q13" i="163"/>
  <c r="F14" i="163"/>
  <c r="Q14" i="163"/>
  <c r="G16" i="163"/>
  <c r="S16" i="163"/>
  <c r="G17" i="163"/>
  <c r="Q17" i="163"/>
  <c r="N18" i="163"/>
  <c r="G19" i="163"/>
  <c r="J21" i="163"/>
  <c r="F29" i="163"/>
  <c r="E31" i="163"/>
  <c r="Q32" i="163"/>
  <c r="G7" i="164"/>
  <c r="L8" i="164"/>
  <c r="L9" i="164"/>
  <c r="P10" i="164"/>
  <c r="L12" i="164"/>
  <c r="G14" i="164"/>
  <c r="G16" i="164"/>
  <c r="Q17" i="164"/>
  <c r="N19" i="164"/>
  <c r="E20" i="164"/>
  <c r="G23" i="164"/>
  <c r="E25" i="164"/>
  <c r="Q25" i="164"/>
  <c r="G26" i="164"/>
  <c r="P28" i="164"/>
  <c r="E31" i="164"/>
  <c r="P31" i="164"/>
  <c r="Q32" i="164"/>
  <c r="E34" i="164"/>
  <c r="P34" i="164"/>
  <c r="E35" i="164"/>
  <c r="N7" i="165"/>
  <c r="J8" i="165"/>
  <c r="N9" i="165"/>
  <c r="F10" i="165"/>
  <c r="Q10" i="165"/>
  <c r="F11" i="165"/>
  <c r="P11" i="165"/>
  <c r="L12" i="165"/>
  <c r="E13" i="165"/>
  <c r="P13" i="165"/>
  <c r="E14" i="165"/>
  <c r="I14" i="165"/>
  <c r="N15" i="165"/>
  <c r="F16" i="165"/>
  <c r="Q16" i="165"/>
  <c r="F17" i="165"/>
  <c r="J17" i="165"/>
  <c r="I18" i="165"/>
  <c r="N18" i="165"/>
  <c r="F19" i="165"/>
  <c r="P19" i="165"/>
  <c r="E20" i="165"/>
  <c r="Q20" i="165"/>
  <c r="J21" i="165"/>
  <c r="G22" i="165"/>
  <c r="G23" i="165"/>
  <c r="L24" i="165"/>
  <c r="E25" i="165"/>
  <c r="P25" i="165"/>
  <c r="E26" i="165"/>
  <c r="Q26" i="165"/>
  <c r="L28" i="165"/>
  <c r="G29" i="165"/>
  <c r="T29" i="165"/>
  <c r="G31" i="165"/>
  <c r="P32" i="165"/>
  <c r="N34" i="165"/>
  <c r="P35" i="165"/>
  <c r="I7" i="166"/>
  <c r="Q8" i="166"/>
  <c r="H9" i="166"/>
  <c r="L9" i="166"/>
  <c r="H10" i="166"/>
  <c r="N11" i="166"/>
  <c r="J12" i="166"/>
  <c r="G14" i="166"/>
  <c r="K15" i="166"/>
  <c r="I16" i="166"/>
  <c r="G17" i="166"/>
  <c r="J18" i="166"/>
  <c r="I19" i="166"/>
  <c r="J20" i="166"/>
  <c r="I21" i="166"/>
  <c r="G23" i="166"/>
  <c r="T23" i="166"/>
  <c r="K24" i="166"/>
  <c r="I25" i="166"/>
  <c r="I26" i="166"/>
  <c r="J30" i="166"/>
  <c r="I31" i="166"/>
  <c r="J32" i="166"/>
  <c r="I33" i="166"/>
  <c r="G35" i="166"/>
  <c r="T35" i="166"/>
  <c r="N7" i="164"/>
  <c r="E8" i="164"/>
  <c r="P8" i="164"/>
  <c r="P9" i="164"/>
  <c r="G10" i="164"/>
  <c r="Q10" i="164"/>
  <c r="G11" i="164"/>
  <c r="I12" i="164"/>
  <c r="P12" i="164"/>
  <c r="G13" i="164"/>
  <c r="Q14" i="164"/>
  <c r="N16" i="164"/>
  <c r="E17" i="164"/>
  <c r="E19" i="164"/>
  <c r="Q19" i="164"/>
  <c r="G22" i="164"/>
  <c r="Q23" i="164"/>
  <c r="P26" i="164"/>
  <c r="K27" i="164"/>
  <c r="G28" i="164"/>
  <c r="Q28" i="164"/>
  <c r="G29" i="164"/>
  <c r="K30" i="164"/>
  <c r="Q31" i="164"/>
  <c r="G32" i="164"/>
  <c r="Q34" i="164"/>
  <c r="E7" i="165"/>
  <c r="P7" i="165"/>
  <c r="E8" i="165"/>
  <c r="P8" i="165"/>
  <c r="G10" i="165"/>
  <c r="G11" i="165"/>
  <c r="Q11" i="165"/>
  <c r="N12" i="165"/>
  <c r="F13" i="165"/>
  <c r="Q13" i="165"/>
  <c r="F14" i="165"/>
  <c r="J14" i="165"/>
  <c r="J15" i="165"/>
  <c r="G16" i="165"/>
  <c r="G17" i="165"/>
  <c r="P17" i="165"/>
  <c r="J18" i="165"/>
  <c r="G19" i="165"/>
  <c r="Q19" i="165"/>
  <c r="F20" i="165"/>
  <c r="K21" i="165"/>
  <c r="N22" i="165"/>
  <c r="P23" i="165"/>
  <c r="I24" i="165"/>
  <c r="N24" i="165"/>
  <c r="F25" i="165"/>
  <c r="Q25" i="165"/>
  <c r="F26" i="165"/>
  <c r="E28" i="165"/>
  <c r="N28" i="165"/>
  <c r="P29" i="165"/>
  <c r="P31" i="165"/>
  <c r="E32" i="165"/>
  <c r="Q32" i="165"/>
  <c r="N33" i="165"/>
  <c r="E34" i="165"/>
  <c r="P34" i="165"/>
  <c r="E35" i="165"/>
  <c r="Q35" i="165"/>
  <c r="J7" i="166"/>
  <c r="I9" i="166"/>
  <c r="I10" i="166"/>
  <c r="G11" i="166"/>
  <c r="K12" i="166"/>
  <c r="I13" i="166"/>
  <c r="I14" i="166"/>
  <c r="F15" i="166"/>
  <c r="T15" i="166"/>
  <c r="J16" i="166"/>
  <c r="I17" i="166"/>
  <c r="T17" i="166"/>
  <c r="T18" i="166"/>
  <c r="T19" i="166"/>
  <c r="J21" i="166"/>
  <c r="F22" i="166"/>
  <c r="I23" i="166"/>
  <c r="L24" i="166"/>
  <c r="F26" i="166"/>
  <c r="J26" i="166"/>
  <c r="N27" i="166"/>
  <c r="G29" i="166"/>
  <c r="T30" i="166"/>
  <c r="L32" i="166"/>
  <c r="J33" i="166"/>
  <c r="F34" i="166"/>
  <c r="I35" i="166"/>
  <c r="E7" i="164"/>
  <c r="P7" i="164"/>
  <c r="Q8" i="164"/>
  <c r="L10" i="164"/>
  <c r="P11" i="164"/>
  <c r="N13" i="164"/>
  <c r="E14" i="164"/>
  <c r="E16" i="164"/>
  <c r="Q16" i="164"/>
  <c r="G20" i="164"/>
  <c r="N22" i="164"/>
  <c r="E23" i="164"/>
  <c r="G25" i="164"/>
  <c r="E26" i="164"/>
  <c r="Q26" i="164"/>
  <c r="L28" i="164"/>
  <c r="P29" i="164"/>
  <c r="L30" i="164"/>
  <c r="G31" i="164"/>
  <c r="I32" i="164"/>
  <c r="G34" i="164"/>
  <c r="G35" i="164"/>
  <c r="F7" i="165"/>
  <c r="Q7" i="165"/>
  <c r="F8" i="165"/>
  <c r="Q8" i="165"/>
  <c r="N10" i="165"/>
  <c r="I11" i="165"/>
  <c r="G13" i="165"/>
  <c r="G14" i="165"/>
  <c r="P14" i="165"/>
  <c r="K15" i="165"/>
  <c r="N16" i="165"/>
  <c r="H17" i="165"/>
  <c r="Q17" i="165"/>
  <c r="K18" i="165"/>
  <c r="L19" i="165"/>
  <c r="G20" i="165"/>
  <c r="H21" i="165"/>
  <c r="L21" i="165"/>
  <c r="E22" i="165"/>
  <c r="P22" i="165"/>
  <c r="E23" i="165"/>
  <c r="Q23" i="165"/>
  <c r="J24" i="165"/>
  <c r="G25" i="165"/>
  <c r="G26" i="165"/>
  <c r="F28" i="165"/>
  <c r="P28" i="165"/>
  <c r="E29" i="165"/>
  <c r="Q29" i="165"/>
  <c r="N30" i="165"/>
  <c r="E31" i="165"/>
  <c r="Q31" i="165"/>
  <c r="F32" i="165"/>
  <c r="F34" i="165"/>
  <c r="Q34" i="165"/>
  <c r="F35" i="165"/>
  <c r="F7" i="166"/>
  <c r="T8" i="166"/>
  <c r="J9" i="166"/>
  <c r="J10" i="166"/>
  <c r="I11" i="166"/>
  <c r="H12" i="166"/>
  <c r="T12" i="166"/>
  <c r="T13" i="166"/>
  <c r="J14" i="166"/>
  <c r="I15" i="166"/>
  <c r="J17" i="166"/>
  <c r="G20" i="166"/>
  <c r="K21" i="166"/>
  <c r="I22" i="166"/>
  <c r="J23" i="166"/>
  <c r="H24" i="166"/>
  <c r="G26" i="166"/>
  <c r="T27" i="166"/>
  <c r="I29" i="166"/>
  <c r="H30" i="166"/>
  <c r="T31" i="166"/>
  <c r="K33" i="166"/>
  <c r="I34" i="166"/>
  <c r="J35" i="166"/>
  <c r="I36" i="166"/>
  <c r="P32" i="164"/>
  <c r="G7" i="165"/>
  <c r="G8" i="165"/>
  <c r="K12" i="165"/>
  <c r="N13" i="165"/>
  <c r="H14" i="165"/>
  <c r="Q14" i="165"/>
  <c r="L15" i="165"/>
  <c r="E16" i="165"/>
  <c r="P16" i="165"/>
  <c r="E17" i="165"/>
  <c r="I17" i="165"/>
  <c r="L18" i="165"/>
  <c r="E19" i="165"/>
  <c r="N19" i="165"/>
  <c r="P20" i="165"/>
  <c r="N21" i="165"/>
  <c r="F22" i="165"/>
  <c r="Q22" i="165"/>
  <c r="F23" i="165"/>
  <c r="P26" i="165"/>
  <c r="G28" i="165"/>
  <c r="Q28" i="165"/>
  <c r="F29" i="165"/>
  <c r="F31" i="165"/>
  <c r="G32" i="165"/>
  <c r="G34" i="165"/>
  <c r="G35" i="165"/>
  <c r="H7" i="166"/>
  <c r="G8" i="166"/>
  <c r="K9" i="166"/>
  <c r="F10" i="166"/>
  <c r="T10" i="166"/>
  <c r="J11" i="166"/>
  <c r="I12" i="166"/>
  <c r="J15" i="166"/>
  <c r="T16" i="166"/>
  <c r="L17" i="166"/>
  <c r="I18" i="166"/>
  <c r="H20" i="166"/>
  <c r="H21" i="166"/>
  <c r="T21" i="166"/>
  <c r="T22" i="166"/>
  <c r="I24" i="166"/>
  <c r="F25" i="166"/>
  <c r="H26" i="166"/>
  <c r="T26" i="166"/>
  <c r="J29" i="166"/>
  <c r="I30" i="166"/>
  <c r="G32" i="166"/>
  <c r="T33" i="166"/>
  <c r="T34" i="166"/>
  <c r="K36" i="166"/>
  <c r="G11" i="168"/>
  <c r="G13" i="168"/>
  <c r="S13" i="168"/>
  <c r="G14" i="168"/>
  <c r="Q14" i="168"/>
  <c r="H15" i="168"/>
  <c r="F16" i="168"/>
  <c r="Q16" i="168"/>
  <c r="F17" i="168"/>
  <c r="P17" i="168"/>
  <c r="T18" i="168"/>
  <c r="Q19" i="168"/>
  <c r="G20" i="168"/>
  <c r="K20" i="168"/>
  <c r="F22" i="168"/>
  <c r="H23" i="168"/>
  <c r="I24" i="168"/>
  <c r="N25" i="168"/>
  <c r="E26" i="168"/>
  <c r="J26" i="168"/>
  <c r="S26" i="168"/>
  <c r="K27" i="168"/>
  <c r="G28" i="168"/>
  <c r="F29" i="168"/>
  <c r="K29" i="168"/>
  <c r="F31" i="168"/>
  <c r="H32" i="168"/>
  <c r="S32" i="168"/>
  <c r="K33" i="168"/>
  <c r="E34" i="168"/>
  <c r="P34" i="168"/>
  <c r="F35" i="168"/>
  <c r="K35" i="168"/>
  <c r="T35" i="168"/>
  <c r="T36" i="168"/>
  <c r="E36" i="169"/>
  <c r="E34" i="169"/>
  <c r="E32" i="169"/>
  <c r="E28" i="169"/>
  <c r="I36" i="169"/>
  <c r="I33" i="169"/>
  <c r="I30" i="169"/>
  <c r="S28" i="169"/>
  <c r="E8" i="169"/>
  <c r="P8" i="169"/>
  <c r="F10" i="169"/>
  <c r="T10" i="169"/>
  <c r="G11" i="169"/>
  <c r="J12" i="169"/>
  <c r="G14" i="169"/>
  <c r="S14" i="169"/>
  <c r="F16" i="169"/>
  <c r="S16" i="169"/>
  <c r="G17" i="169"/>
  <c r="T18" i="169"/>
  <c r="Q19" i="169"/>
  <c r="G20" i="169"/>
  <c r="I21" i="169"/>
  <c r="G22" i="169"/>
  <c r="E23" i="169"/>
  <c r="Q23" i="169"/>
  <c r="I24" i="169"/>
  <c r="E25" i="169"/>
  <c r="P25" i="169"/>
  <c r="I27" i="169"/>
  <c r="G28" i="169"/>
  <c r="G29" i="169"/>
  <c r="T29" i="169"/>
  <c r="T30" i="169"/>
  <c r="E31" i="169"/>
  <c r="S32" i="169"/>
  <c r="T33" i="169"/>
  <c r="N34" i="169"/>
  <c r="G35" i="169"/>
  <c r="S35" i="169"/>
  <c r="F36" i="170"/>
  <c r="F31" i="170"/>
  <c r="F35" i="170"/>
  <c r="F25" i="170"/>
  <c r="F23" i="170"/>
  <c r="F32" i="170"/>
  <c r="F26" i="170"/>
  <c r="F29" i="170"/>
  <c r="F22" i="170"/>
  <c r="F34" i="170"/>
  <c r="F28" i="170"/>
  <c r="J33" i="170"/>
  <c r="J35" i="170"/>
  <c r="J36" i="170"/>
  <c r="J30" i="170"/>
  <c r="J21" i="170"/>
  <c r="J26" i="170"/>
  <c r="J29" i="170"/>
  <c r="J27" i="170"/>
  <c r="J15" i="170"/>
  <c r="J14" i="170"/>
  <c r="J11" i="170"/>
  <c r="P26" i="170"/>
  <c r="P35" i="170"/>
  <c r="P25" i="170"/>
  <c r="P34" i="170"/>
  <c r="P16" i="170"/>
  <c r="P13" i="170"/>
  <c r="V36" i="170"/>
  <c r="V33" i="170"/>
  <c r="V32" i="170"/>
  <c r="V30" i="170"/>
  <c r="V20" i="170"/>
  <c r="V24" i="170"/>
  <c r="V23" i="170"/>
  <c r="V21" i="170"/>
  <c r="V29" i="170"/>
  <c r="F8" i="170"/>
  <c r="T8" i="170"/>
  <c r="F10" i="170"/>
  <c r="F11" i="170"/>
  <c r="J12" i="170"/>
  <c r="F13" i="170"/>
  <c r="I14" i="170"/>
  <c r="E16" i="170"/>
  <c r="I17" i="170"/>
  <c r="I18" i="170"/>
  <c r="F19" i="170"/>
  <c r="F20" i="170"/>
  <c r="T20" i="170"/>
  <c r="F7" i="168"/>
  <c r="S7" i="168"/>
  <c r="F8" i="168"/>
  <c r="J8" i="168"/>
  <c r="F10" i="168"/>
  <c r="S10" i="168"/>
  <c r="I11" i="168"/>
  <c r="J12" i="168"/>
  <c r="N13" i="168"/>
  <c r="T13" i="168"/>
  <c r="I14" i="168"/>
  <c r="S14" i="168"/>
  <c r="I15" i="168"/>
  <c r="G16" i="168"/>
  <c r="S16" i="168"/>
  <c r="G17" i="168"/>
  <c r="Q17" i="168"/>
  <c r="I18" i="168"/>
  <c r="E19" i="168"/>
  <c r="S19" i="168"/>
  <c r="H20" i="168"/>
  <c r="Q20" i="168"/>
  <c r="I21" i="168"/>
  <c r="G22" i="168"/>
  <c r="E23" i="168"/>
  <c r="I23" i="168"/>
  <c r="T23" i="168"/>
  <c r="K24" i="168"/>
  <c r="E25" i="168"/>
  <c r="P25" i="168"/>
  <c r="F26" i="168"/>
  <c r="K26" i="168"/>
  <c r="T26" i="168"/>
  <c r="T27" i="168"/>
  <c r="Q28" i="168"/>
  <c r="G29" i="168"/>
  <c r="Q29" i="168"/>
  <c r="I30" i="168"/>
  <c r="G31" i="168"/>
  <c r="E32" i="168"/>
  <c r="I32" i="168"/>
  <c r="T32" i="168"/>
  <c r="N33" i="168"/>
  <c r="F34" i="168"/>
  <c r="Q34" i="168"/>
  <c r="G35" i="168"/>
  <c r="P35" i="168"/>
  <c r="I36" i="168"/>
  <c r="F36" i="169"/>
  <c r="F35" i="169"/>
  <c r="E7" i="169"/>
  <c r="S7" i="169"/>
  <c r="F8" i="169"/>
  <c r="Q8" i="169"/>
  <c r="T9" i="169"/>
  <c r="G10" i="169"/>
  <c r="I11" i="169"/>
  <c r="T11" i="169"/>
  <c r="N12" i="169"/>
  <c r="E13" i="169"/>
  <c r="N13" i="169"/>
  <c r="T13" i="169"/>
  <c r="I14" i="169"/>
  <c r="T14" i="169"/>
  <c r="I15" i="169"/>
  <c r="G16" i="169"/>
  <c r="T16" i="169"/>
  <c r="J17" i="169"/>
  <c r="T17" i="169"/>
  <c r="E19" i="169"/>
  <c r="S19" i="169"/>
  <c r="I20" i="169"/>
  <c r="T20" i="169"/>
  <c r="J21" i="169"/>
  <c r="Q22" i="169"/>
  <c r="F23" i="169"/>
  <c r="N24" i="169"/>
  <c r="F25" i="169"/>
  <c r="Q25" i="169"/>
  <c r="Q26" i="169"/>
  <c r="J27" i="169"/>
  <c r="Q28" i="169"/>
  <c r="I29" i="169"/>
  <c r="F31" i="169"/>
  <c r="F32" i="169"/>
  <c r="T32" i="169"/>
  <c r="Q34" i="169"/>
  <c r="I35" i="169"/>
  <c r="T35" i="169"/>
  <c r="V8" i="170"/>
  <c r="P12" i="170"/>
  <c r="T13" i="170"/>
  <c r="V15" i="170"/>
  <c r="F16" i="170"/>
  <c r="T16" i="170"/>
  <c r="P17" i="170"/>
  <c r="J18" i="170"/>
  <c r="I20" i="170"/>
  <c r="G10" i="168"/>
  <c r="J11" i="168"/>
  <c r="K12" i="168"/>
  <c r="P13" i="168"/>
  <c r="E14" i="168"/>
  <c r="J14" i="168"/>
  <c r="J15" i="168"/>
  <c r="H16" i="168"/>
  <c r="T16" i="168"/>
  <c r="I17" i="168"/>
  <c r="J18" i="168"/>
  <c r="F19" i="168"/>
  <c r="E20" i="168"/>
  <c r="I20" i="168"/>
  <c r="J21" i="168"/>
  <c r="Q22" i="168"/>
  <c r="F23" i="168"/>
  <c r="K23" i="168"/>
  <c r="V23" i="168"/>
  <c r="N24" i="168"/>
  <c r="F25" i="168"/>
  <c r="Q25" i="168"/>
  <c r="G26" i="168"/>
  <c r="P26" i="168"/>
  <c r="I27" i="168"/>
  <c r="E28" i="168"/>
  <c r="S28" i="168"/>
  <c r="I29" i="168"/>
  <c r="J30" i="168"/>
  <c r="Q31" i="168"/>
  <c r="F32" i="168"/>
  <c r="K32" i="168"/>
  <c r="T33" i="168"/>
  <c r="G34" i="168"/>
  <c r="I35" i="168"/>
  <c r="Q35" i="168"/>
  <c r="J36" i="168"/>
  <c r="G36" i="169"/>
  <c r="G31" i="169"/>
  <c r="P35" i="169"/>
  <c r="P34" i="169"/>
  <c r="F7" i="169"/>
  <c r="G8" i="169"/>
  <c r="Q10" i="169"/>
  <c r="E11" i="169"/>
  <c r="J11" i="169"/>
  <c r="P12" i="169"/>
  <c r="F13" i="169"/>
  <c r="P13" i="169"/>
  <c r="E14" i="169"/>
  <c r="J14" i="169"/>
  <c r="J15" i="169"/>
  <c r="P16" i="169"/>
  <c r="E17" i="169"/>
  <c r="P17" i="169"/>
  <c r="I18" i="169"/>
  <c r="F19" i="169"/>
  <c r="E20" i="169"/>
  <c r="J20" i="169"/>
  <c r="T21" i="169"/>
  <c r="E22" i="169"/>
  <c r="G23" i="169"/>
  <c r="T23" i="169"/>
  <c r="T24" i="169"/>
  <c r="G25" i="169"/>
  <c r="S25" i="169"/>
  <c r="I26" i="169"/>
  <c r="T27" i="169"/>
  <c r="E29" i="169"/>
  <c r="J29" i="169"/>
  <c r="G32" i="169"/>
  <c r="F34" i="169"/>
  <c r="S34" i="169"/>
  <c r="J35" i="169"/>
  <c r="J36" i="169"/>
  <c r="T7" i="170"/>
  <c r="I8" i="170"/>
  <c r="V9" i="170"/>
  <c r="V11" i="170"/>
  <c r="F14" i="170"/>
  <c r="F17" i="170"/>
  <c r="J20" i="170"/>
  <c r="H7" i="168"/>
  <c r="H8" i="168"/>
  <c r="H10" i="168"/>
  <c r="F11" i="168"/>
  <c r="K11" i="168"/>
  <c r="P12" i="168"/>
  <c r="F13" i="168"/>
  <c r="Q13" i="168"/>
  <c r="F14" i="168"/>
  <c r="K14" i="168"/>
  <c r="K15" i="168"/>
  <c r="E16" i="168"/>
  <c r="E17" i="168"/>
  <c r="K17" i="168"/>
  <c r="T17" i="168"/>
  <c r="K18" i="168"/>
  <c r="G19" i="168"/>
  <c r="F20" i="168"/>
  <c r="J20" i="168"/>
  <c r="K21" i="168"/>
  <c r="E22" i="168"/>
  <c r="S22" i="168"/>
  <c r="G23" i="168"/>
  <c r="Q23" i="168"/>
  <c r="H24" i="168"/>
  <c r="G25" i="168"/>
  <c r="I26" i="168"/>
  <c r="Q26" i="168"/>
  <c r="J27" i="168"/>
  <c r="F28" i="168"/>
  <c r="E29" i="168"/>
  <c r="J29" i="168"/>
  <c r="K30" i="168"/>
  <c r="E31" i="168"/>
  <c r="S31" i="168"/>
  <c r="G32" i="168"/>
  <c r="Q32" i="168"/>
  <c r="E35" i="168"/>
  <c r="J35" i="168"/>
  <c r="K36" i="168"/>
  <c r="Q36" i="169"/>
  <c r="Q32" i="169"/>
  <c r="G7" i="169"/>
  <c r="I8" i="169"/>
  <c r="T8" i="169"/>
  <c r="E10" i="169"/>
  <c r="F11" i="169"/>
  <c r="Q11" i="169"/>
  <c r="I12" i="169"/>
  <c r="T12" i="169"/>
  <c r="G13" i="169"/>
  <c r="Q13" i="169"/>
  <c r="F14" i="169"/>
  <c r="Q14" i="169"/>
  <c r="T15" i="169"/>
  <c r="E16" i="169"/>
  <c r="Q16" i="169"/>
  <c r="F17" i="169"/>
  <c r="Q17" i="169"/>
  <c r="J18" i="169"/>
  <c r="G19" i="169"/>
  <c r="F20" i="169"/>
  <c r="Q20" i="169"/>
  <c r="F22" i="169"/>
  <c r="I23" i="169"/>
  <c r="N25" i="169"/>
  <c r="E26" i="169"/>
  <c r="J26" i="169"/>
  <c r="T26" i="169"/>
  <c r="F28" i="169"/>
  <c r="F29" i="169"/>
  <c r="Q29" i="169"/>
  <c r="J30" i="169"/>
  <c r="I32" i="169"/>
  <c r="G34" i="169"/>
  <c r="E35" i="169"/>
  <c r="Q35" i="169"/>
  <c r="E36" i="170"/>
  <c r="E35" i="170"/>
  <c r="E31" i="170"/>
  <c r="E34" i="170"/>
  <c r="E28" i="170"/>
  <c r="E25" i="170"/>
  <c r="E23" i="170"/>
  <c r="E32" i="170"/>
  <c r="E26" i="170"/>
  <c r="E29" i="170"/>
  <c r="E22" i="170"/>
  <c r="E17" i="170"/>
  <c r="E14" i="170"/>
  <c r="E13" i="170"/>
  <c r="E11" i="170"/>
  <c r="E8" i="170"/>
  <c r="I32" i="170"/>
  <c r="I30" i="170"/>
  <c r="I35" i="170"/>
  <c r="I29" i="170"/>
  <c r="I27" i="170"/>
  <c r="I24" i="170"/>
  <c r="I33" i="170"/>
  <c r="I23" i="170"/>
  <c r="I21" i="170"/>
  <c r="I36" i="170"/>
  <c r="I26" i="170"/>
  <c r="N34" i="170"/>
  <c r="N24" i="170"/>
  <c r="N33" i="170"/>
  <c r="N25" i="170"/>
  <c r="T33" i="170"/>
  <c r="T32" i="170"/>
  <c r="T30" i="170"/>
  <c r="T35" i="170"/>
  <c r="T29" i="170"/>
  <c r="T27" i="170"/>
  <c r="T26" i="170"/>
  <c r="T36" i="170"/>
  <c r="T24" i="170"/>
  <c r="T23" i="170"/>
  <c r="T21" i="170"/>
  <c r="T18" i="170"/>
  <c r="T17" i="170"/>
  <c r="T11" i="170"/>
  <c r="T9" i="170"/>
  <c r="F7" i="170"/>
  <c r="E10" i="170"/>
  <c r="T10" i="170"/>
  <c r="I12" i="170"/>
  <c r="V12" i="170"/>
  <c r="I15" i="170"/>
  <c r="E19" i="170"/>
  <c r="E20" i="170"/>
  <c r="G36" i="170"/>
  <c r="G34" i="170"/>
  <c r="G32" i="170"/>
  <c r="K33" i="170"/>
  <c r="K36" i="170"/>
  <c r="Q36" i="170"/>
  <c r="Q35" i="170"/>
  <c r="Q29" i="170"/>
  <c r="Q7" i="170"/>
  <c r="Q8" i="170"/>
  <c r="G10" i="170"/>
  <c r="K12" i="170"/>
  <c r="K17" i="170"/>
  <c r="Q19" i="170"/>
  <c r="G20" i="170"/>
  <c r="Q20" i="170"/>
  <c r="G23" i="170"/>
  <c r="G25" i="170"/>
  <c r="Q26" i="170"/>
  <c r="G35" i="170"/>
  <c r="E8" i="171"/>
  <c r="N10" i="171"/>
  <c r="J15" i="171"/>
  <c r="P19" i="171"/>
  <c r="I23" i="171"/>
  <c r="I30" i="171"/>
  <c r="F7" i="172"/>
  <c r="K8" i="172"/>
  <c r="Q14" i="172"/>
  <c r="G16" i="172"/>
  <c r="Q17" i="172"/>
  <c r="P20" i="172"/>
  <c r="K26" i="172"/>
  <c r="Q32" i="172"/>
  <c r="G34" i="172"/>
  <c r="K18" i="173"/>
  <c r="Q23" i="173"/>
  <c r="E36" i="171"/>
  <c r="E29" i="171"/>
  <c r="E26" i="171"/>
  <c r="E25" i="171"/>
  <c r="E17" i="171"/>
  <c r="E10" i="171"/>
  <c r="E35" i="171"/>
  <c r="E31" i="171"/>
  <c r="E28" i="171"/>
  <c r="E23" i="171"/>
  <c r="E14" i="171"/>
  <c r="E13" i="171"/>
  <c r="I33" i="171"/>
  <c r="I32" i="171"/>
  <c r="I11" i="171"/>
  <c r="I9" i="171"/>
  <c r="I8" i="171"/>
  <c r="N36" i="171"/>
  <c r="N19" i="171"/>
  <c r="N16" i="171"/>
  <c r="N13" i="171"/>
  <c r="N8" i="171"/>
  <c r="N34" i="171"/>
  <c r="N29" i="171"/>
  <c r="N26" i="171"/>
  <c r="N22" i="171"/>
  <c r="N20" i="171"/>
  <c r="N17" i="171"/>
  <c r="T11" i="171"/>
  <c r="T21" i="171"/>
  <c r="T18" i="171"/>
  <c r="E7" i="171"/>
  <c r="T12" i="171"/>
  <c r="I14" i="171"/>
  <c r="J18" i="171"/>
  <c r="N23" i="171"/>
  <c r="N25" i="171"/>
  <c r="I26" i="171"/>
  <c r="E34" i="171"/>
  <c r="I35" i="171"/>
  <c r="F36" i="172"/>
  <c r="F35" i="172"/>
  <c r="F34" i="172"/>
  <c r="F23" i="172"/>
  <c r="F19" i="172"/>
  <c r="F17" i="172"/>
  <c r="F16" i="172"/>
  <c r="F32" i="172"/>
  <c r="F28" i="172"/>
  <c r="F20" i="172"/>
  <c r="F14" i="172"/>
  <c r="F10" i="172"/>
  <c r="F29" i="172"/>
  <c r="F22" i="172"/>
  <c r="F11" i="172"/>
  <c r="J26" i="172"/>
  <c r="J18" i="172"/>
  <c r="J35" i="172"/>
  <c r="J27" i="172"/>
  <c r="J17" i="172"/>
  <c r="P13" i="172"/>
  <c r="P29" i="172"/>
  <c r="P25" i="172"/>
  <c r="P17" i="172"/>
  <c r="P34" i="172"/>
  <c r="P19" i="172"/>
  <c r="P16" i="172"/>
  <c r="P7" i="172"/>
  <c r="P28" i="172"/>
  <c r="P26" i="172"/>
  <c r="P8" i="172"/>
  <c r="F8" i="172"/>
  <c r="J12" i="172"/>
  <c r="F13" i="172"/>
  <c r="Q25" i="172"/>
  <c r="J36" i="172"/>
  <c r="J31" i="171"/>
  <c r="J28" i="171"/>
  <c r="J12" i="171"/>
  <c r="J9" i="171"/>
  <c r="J36" i="171"/>
  <c r="J30" i="171"/>
  <c r="J27" i="171"/>
  <c r="J19" i="171"/>
  <c r="J16" i="171"/>
  <c r="N7" i="171"/>
  <c r="E11" i="171"/>
  <c r="N14" i="171"/>
  <c r="E16" i="171"/>
  <c r="J24" i="171"/>
  <c r="N28" i="171"/>
  <c r="I29" i="171"/>
  <c r="E32" i="171"/>
  <c r="J33" i="171"/>
  <c r="J34" i="171"/>
  <c r="N35" i="171"/>
  <c r="G36" i="172"/>
  <c r="G32" i="172"/>
  <c r="G28" i="172"/>
  <c r="G20" i="172"/>
  <c r="G14" i="172"/>
  <c r="G29" i="172"/>
  <c r="G22" i="172"/>
  <c r="G11" i="172"/>
  <c r="G31" i="172"/>
  <c r="G26" i="172"/>
  <c r="G25" i="172"/>
  <c r="K30" i="172"/>
  <c r="K35" i="172"/>
  <c r="K27" i="172"/>
  <c r="K17" i="172"/>
  <c r="K36" i="172"/>
  <c r="K12" i="172"/>
  <c r="Q36" i="172"/>
  <c r="Q34" i="172"/>
  <c r="Q22" i="172"/>
  <c r="Q19" i="172"/>
  <c r="Q16" i="172"/>
  <c r="Q31" i="172"/>
  <c r="Q28" i="172"/>
  <c r="Q26" i="172"/>
  <c r="Q8" i="172"/>
  <c r="Q35" i="172"/>
  <c r="Q23" i="172"/>
  <c r="Q20" i="172"/>
  <c r="Q13" i="172"/>
  <c r="Q11" i="172"/>
  <c r="Q10" i="172"/>
  <c r="Q7" i="172"/>
  <c r="G8" i="172"/>
  <c r="G10" i="172"/>
  <c r="K11" i="172"/>
  <c r="G13" i="172"/>
  <c r="G19" i="172"/>
  <c r="F31" i="172"/>
  <c r="J10" i="171"/>
  <c r="N11" i="171"/>
  <c r="I15" i="171"/>
  <c r="I17" i="171"/>
  <c r="E19" i="171"/>
  <c r="E20" i="171"/>
  <c r="I27" i="171"/>
  <c r="N31" i="171"/>
  <c r="F32" i="171"/>
  <c r="F36" i="171"/>
  <c r="J8" i="172"/>
  <c r="P10" i="172"/>
  <c r="P11" i="172"/>
  <c r="P12" i="172"/>
  <c r="G17" i="172"/>
  <c r="G23" i="172"/>
  <c r="F26" i="172"/>
  <c r="G35" i="172"/>
  <c r="G36" i="173"/>
  <c r="G8" i="173"/>
  <c r="G32" i="173"/>
  <c r="G26" i="173"/>
  <c r="G20" i="173"/>
  <c r="G14" i="173"/>
  <c r="G35" i="173"/>
  <c r="G29" i="173"/>
  <c r="G17" i="173"/>
  <c r="G11" i="173"/>
  <c r="K27" i="173"/>
  <c r="K21" i="173"/>
  <c r="K9" i="173"/>
  <c r="K24" i="173"/>
  <c r="Q36" i="173"/>
  <c r="Q35" i="173"/>
  <c r="Q22" i="173"/>
  <c r="Q17" i="173"/>
  <c r="Q8" i="173"/>
  <c r="Q26" i="173"/>
  <c r="Q7" i="173"/>
  <c r="Q32" i="173"/>
  <c r="Q31" i="173"/>
  <c r="Q29" i="173"/>
  <c r="Q25" i="173"/>
  <c r="Q20" i="173"/>
  <c r="Q19" i="173"/>
  <c r="Q14" i="173"/>
  <c r="Q13" i="173"/>
  <c r="Q11" i="173"/>
  <c r="K12" i="173"/>
  <c r="Q16" i="173"/>
  <c r="G23" i="173"/>
  <c r="K30" i="173"/>
  <c r="Q34" i="173"/>
  <c r="Q7" i="171"/>
  <c r="Q10" i="171"/>
  <c r="G11" i="171"/>
  <c r="Q14" i="171"/>
  <c r="K15" i="171"/>
  <c r="Q23" i="171"/>
  <c r="V31" i="171"/>
  <c r="G32" i="171"/>
  <c r="Q35" i="171"/>
  <c r="N7" i="172"/>
  <c r="H8" i="172"/>
  <c r="E10" i="172"/>
  <c r="E14" i="172"/>
  <c r="N16" i="172"/>
  <c r="N18" i="172"/>
  <c r="N19" i="172"/>
  <c r="E20" i="172"/>
  <c r="E28" i="172"/>
  <c r="E32" i="172"/>
  <c r="N34" i="172"/>
  <c r="I35" i="172"/>
  <c r="E8" i="173"/>
  <c r="I8" i="173"/>
  <c r="I9" i="173"/>
  <c r="F10" i="173"/>
  <c r="T12" i="173"/>
  <c r="E13" i="173"/>
  <c r="F14" i="173"/>
  <c r="F16" i="173"/>
  <c r="T17" i="173"/>
  <c r="T18" i="173"/>
  <c r="E19" i="173"/>
  <c r="F20" i="173"/>
  <c r="I21" i="173"/>
  <c r="N22" i="173"/>
  <c r="H23" i="173"/>
  <c r="J24" i="173"/>
  <c r="E25" i="173"/>
  <c r="F26" i="173"/>
  <c r="P26" i="173"/>
  <c r="I27" i="173"/>
  <c r="F28" i="173"/>
  <c r="T30" i="173"/>
  <c r="E31" i="173"/>
  <c r="F32" i="173"/>
  <c r="F34" i="173"/>
  <c r="T35" i="173"/>
  <c r="T36" i="173"/>
  <c r="G14" i="171"/>
  <c r="Q17" i="171"/>
  <c r="Q20" i="171"/>
  <c r="Q22" i="171"/>
  <c r="G23" i="171"/>
  <c r="Q26" i="171"/>
  <c r="K27" i="171"/>
  <c r="Q29" i="171"/>
  <c r="K30" i="171"/>
  <c r="Q34" i="171"/>
  <c r="G35" i="171"/>
  <c r="E7" i="172"/>
  <c r="E8" i="172"/>
  <c r="I8" i="172"/>
  <c r="L12" i="172"/>
  <c r="E13" i="172"/>
  <c r="E16" i="172"/>
  <c r="E17" i="172"/>
  <c r="I18" i="172"/>
  <c r="E19" i="172"/>
  <c r="E23" i="172"/>
  <c r="N25" i="172"/>
  <c r="I26" i="172"/>
  <c r="E34" i="172"/>
  <c r="E35" i="172"/>
  <c r="N36" i="172"/>
  <c r="E7" i="173"/>
  <c r="J9" i="173"/>
  <c r="N10" i="173"/>
  <c r="H11" i="173"/>
  <c r="F13" i="173"/>
  <c r="N16" i="173"/>
  <c r="P17" i="173"/>
  <c r="H18" i="173"/>
  <c r="F19" i="173"/>
  <c r="J21" i="173"/>
  <c r="P22" i="173"/>
  <c r="E23" i="173"/>
  <c r="I23" i="173"/>
  <c r="T23" i="173"/>
  <c r="F25" i="173"/>
  <c r="J27" i="173"/>
  <c r="N28" i="173"/>
  <c r="H29" i="173"/>
  <c r="F31" i="173"/>
  <c r="N34" i="173"/>
  <c r="P35" i="173"/>
  <c r="H36" i="173"/>
  <c r="T13" i="172"/>
  <c r="N15" i="172"/>
  <c r="E25" i="172"/>
  <c r="E26" i="172"/>
  <c r="L27" i="172"/>
  <c r="E31" i="172"/>
  <c r="N33" i="172"/>
  <c r="I36" i="172"/>
  <c r="F7" i="173"/>
  <c r="P10" i="173"/>
  <c r="E11" i="173"/>
  <c r="I11" i="173"/>
  <c r="J12" i="173"/>
  <c r="N13" i="173"/>
  <c r="I14" i="173"/>
  <c r="T14" i="173"/>
  <c r="P16" i="173"/>
  <c r="E17" i="173"/>
  <c r="J18" i="173"/>
  <c r="N19" i="173"/>
  <c r="I20" i="173"/>
  <c r="T20" i="173"/>
  <c r="E22" i="173"/>
  <c r="F23" i="173"/>
  <c r="P23" i="173"/>
  <c r="H24" i="173"/>
  <c r="N25" i="173"/>
  <c r="H26" i="173"/>
  <c r="P28" i="173"/>
  <c r="E29" i="173"/>
  <c r="I29" i="173"/>
  <c r="J30" i="173"/>
  <c r="N31" i="173"/>
  <c r="I32" i="173"/>
  <c r="P34" i="173"/>
  <c r="E35" i="173"/>
  <c r="AD37" i="146"/>
  <c r="E12" i="176" s="1"/>
  <c r="AP37" i="146"/>
  <c r="G23" i="176" s="1"/>
  <c r="AC37" i="146"/>
  <c r="D12" i="176" s="1"/>
  <c r="W37" i="146"/>
  <c r="C5" i="176" s="1"/>
  <c r="AA37" i="175"/>
  <c r="CS5" i="176" s="1"/>
  <c r="AK37" i="175"/>
  <c r="CS18" i="176" s="1"/>
  <c r="AG37" i="175"/>
  <c r="CO18" i="176" s="1"/>
  <c r="AE37" i="146"/>
  <c r="F12" i="176" s="1"/>
  <c r="AQ37" i="146"/>
  <c r="AB37" i="175"/>
  <c r="CO12" i="176" s="1"/>
  <c r="AE37" i="175"/>
  <c r="CR12" i="176" s="1"/>
  <c r="AQ37" i="175"/>
  <c r="AO37" i="175"/>
  <c r="CR23" i="176" s="1"/>
  <c r="Y37" i="175"/>
  <c r="CQ5" i="176" s="1"/>
  <c r="AF37" i="146"/>
  <c r="G12" i="176" s="1"/>
  <c r="AR37" i="146"/>
  <c r="AA37" i="146"/>
  <c r="G5" i="176" s="1"/>
  <c r="AB37" i="146"/>
  <c r="C12" i="176" s="1"/>
  <c r="AO37" i="146"/>
  <c r="F23" i="176" s="1"/>
  <c r="AR37" i="175"/>
  <c r="AP37" i="175"/>
  <c r="CS23" i="176" s="1"/>
  <c r="AG37" i="146"/>
  <c r="C18" i="176" s="1"/>
  <c r="AS37" i="146"/>
  <c r="Z37" i="175"/>
  <c r="CR5" i="176" s="1"/>
  <c r="AL37" i="175"/>
  <c r="CO23" i="176" s="1"/>
  <c r="AS37" i="175"/>
  <c r="AJ37" i="175"/>
  <c r="CR18" i="176" s="1"/>
  <c r="L33" i="156"/>
  <c r="L18" i="171"/>
  <c r="L31" i="148"/>
  <c r="L13" i="156"/>
  <c r="L25" i="171"/>
  <c r="L31" i="171"/>
  <c r="L18" i="150"/>
  <c r="L31" i="156"/>
  <c r="L12" i="166"/>
  <c r="L36" i="166"/>
  <c r="L30" i="171"/>
  <c r="L34" i="171"/>
  <c r="L21" i="148"/>
  <c r="L27" i="150"/>
  <c r="L25" i="154"/>
  <c r="L31" i="158"/>
  <c r="L19" i="166"/>
  <c r="L21" i="166"/>
  <c r="L29" i="166"/>
  <c r="L8" i="172"/>
  <c r="L36" i="172"/>
  <c r="L27" i="143"/>
  <c r="L33" i="143"/>
  <c r="L18" i="149"/>
  <c r="L24" i="149"/>
  <c r="L36" i="150"/>
  <c r="L7" i="154"/>
  <c r="L9" i="154"/>
  <c r="L31" i="154"/>
  <c r="L19" i="158"/>
  <c r="L27" i="158"/>
  <c r="L7" i="171"/>
  <c r="L24" i="171"/>
  <c r="L17" i="172"/>
  <c r="L19" i="172"/>
  <c r="L18" i="148"/>
  <c r="L33" i="148"/>
  <c r="L30" i="158"/>
  <c r="L8" i="149"/>
  <c r="L21" i="149"/>
  <c r="L10" i="154"/>
  <c r="L22" i="154"/>
  <c r="L24" i="155"/>
  <c r="L34" i="155"/>
  <c r="L16" i="158"/>
  <c r="L22" i="158"/>
  <c r="L34" i="158"/>
  <c r="L7" i="162"/>
  <c r="L18" i="162"/>
  <c r="L22" i="162"/>
  <c r="L22" i="163"/>
  <c r="L25" i="164"/>
  <c r="L27" i="164"/>
  <c r="L25" i="166"/>
  <c r="L9" i="165"/>
  <c r="L15" i="149"/>
  <c r="L9" i="150"/>
  <c r="L21" i="155"/>
  <c r="L31" i="155"/>
  <c r="L14" i="158"/>
  <c r="L18" i="158"/>
  <c r="L24" i="162"/>
  <c r="L36" i="162"/>
  <c r="L11" i="164"/>
  <c r="L8" i="166"/>
  <c r="L28" i="166"/>
  <c r="L8" i="171"/>
  <c r="L21" i="171"/>
  <c r="L11" i="172"/>
  <c r="L18" i="172"/>
  <c r="L19" i="150"/>
  <c r="L14" i="171"/>
  <c r="L26" i="158"/>
  <c r="L12" i="171"/>
  <c r="L7" i="149"/>
  <c r="L12" i="149"/>
  <c r="L27" i="149"/>
  <c r="L34" i="149"/>
  <c r="L7" i="155"/>
  <c r="L10" i="155"/>
  <c r="L18" i="155"/>
  <c r="L11" i="158"/>
  <c r="L25" i="158"/>
  <c r="L12" i="162"/>
  <c r="L13" i="164"/>
  <c r="L25" i="165"/>
  <c r="L14" i="166"/>
  <c r="L33" i="166"/>
  <c r="L28" i="172"/>
  <c r="L7" i="166"/>
  <c r="L20" i="166"/>
  <c r="L27" i="171"/>
  <c r="L13" i="148"/>
  <c r="L15" i="155"/>
  <c r="L14" i="162"/>
  <c r="L17" i="162"/>
  <c r="L30" i="162"/>
  <c r="L34" i="162"/>
  <c r="L19" i="163"/>
  <c r="L24" i="163"/>
  <c r="L13" i="165"/>
  <c r="L16" i="165"/>
  <c r="L31" i="166"/>
  <c r="L13" i="171"/>
  <c r="L28" i="171"/>
  <c r="U24" i="141"/>
  <c r="U26" i="141"/>
  <c r="M30" i="142"/>
  <c r="M34" i="142"/>
  <c r="M24" i="142"/>
  <c r="M31" i="142"/>
  <c r="H29" i="141"/>
  <c r="H22" i="141"/>
  <c r="H13" i="141"/>
  <c r="H12" i="141"/>
  <c r="H30" i="141"/>
  <c r="H21" i="141"/>
  <c r="H35" i="141"/>
  <c r="H14" i="141"/>
  <c r="H8" i="141"/>
  <c r="H32" i="141"/>
  <c r="H28" i="141"/>
  <c r="H34" i="141"/>
  <c r="H31" i="141"/>
  <c r="H17" i="141"/>
  <c r="H36" i="141"/>
  <c r="H33" i="141"/>
  <c r="H9" i="141"/>
  <c r="H37" i="141"/>
  <c r="H23" i="141"/>
  <c r="H16" i="141"/>
  <c r="H15" i="141"/>
  <c r="H10" i="141"/>
  <c r="H18" i="141"/>
  <c r="H25" i="141"/>
  <c r="H24" i="141"/>
  <c r="H11" i="141"/>
  <c r="H19" i="141"/>
  <c r="H26" i="141"/>
  <c r="H20" i="141"/>
  <c r="H26" i="147"/>
  <c r="H36" i="147"/>
  <c r="H35" i="147"/>
  <c r="H22" i="147"/>
  <c r="H14" i="147"/>
  <c r="H24" i="147"/>
  <c r="H9" i="147"/>
  <c r="H29" i="147"/>
  <c r="H15" i="147"/>
  <c r="H10" i="147"/>
  <c r="H13" i="147"/>
  <c r="O13" i="168"/>
  <c r="O24" i="168"/>
  <c r="U35" i="171"/>
  <c r="U18" i="171"/>
  <c r="U30" i="171"/>
  <c r="U23" i="171"/>
  <c r="U14" i="152"/>
  <c r="O35" i="163"/>
  <c r="O34" i="163"/>
  <c r="O19" i="163"/>
  <c r="O16" i="163"/>
  <c r="O13" i="163"/>
  <c r="O22" i="163"/>
  <c r="O28" i="163"/>
  <c r="O25" i="163"/>
  <c r="O7" i="163"/>
  <c r="H36" i="152"/>
  <c r="H14" i="152"/>
  <c r="H7" i="152"/>
  <c r="H12" i="152"/>
  <c r="H10" i="152"/>
  <c r="H18" i="143"/>
  <c r="O35" i="151"/>
  <c r="O34" i="151"/>
  <c r="H29" i="152"/>
  <c r="H29" i="159"/>
  <c r="H20" i="159"/>
  <c r="H7" i="159"/>
  <c r="H30" i="159"/>
  <c r="H17" i="159"/>
  <c r="H35" i="159"/>
  <c r="H26" i="159"/>
  <c r="H16" i="159"/>
  <c r="H7" i="143"/>
  <c r="H15" i="143"/>
  <c r="H24" i="143"/>
  <c r="M28" i="147"/>
  <c r="M14" i="147"/>
  <c r="M25" i="147"/>
  <c r="M13" i="147"/>
  <c r="H21" i="152"/>
  <c r="H11" i="143"/>
  <c r="U33" i="149"/>
  <c r="O13" i="169"/>
  <c r="O12" i="169"/>
  <c r="O34" i="169"/>
  <c r="O33" i="169"/>
  <c r="O16" i="169"/>
  <c r="O24" i="169"/>
  <c r="H14" i="143"/>
  <c r="H30" i="143"/>
  <c r="O28" i="147"/>
  <c r="O7" i="147"/>
  <c r="O31" i="147"/>
  <c r="O11" i="147"/>
  <c r="U35" i="158"/>
  <c r="H23" i="143"/>
  <c r="H27" i="143"/>
  <c r="H34" i="143"/>
  <c r="H21" i="144"/>
  <c r="H7" i="144"/>
  <c r="H30" i="144"/>
  <c r="H23" i="144"/>
  <c r="H17" i="144"/>
  <c r="M28" i="145"/>
  <c r="M34" i="145"/>
  <c r="M18" i="145"/>
  <c r="M10" i="145"/>
  <c r="H11" i="152"/>
  <c r="M33" i="154"/>
  <c r="M31" i="154"/>
  <c r="M28" i="154"/>
  <c r="M25" i="154"/>
  <c r="M13" i="154"/>
  <c r="M10" i="154"/>
  <c r="M34" i="154"/>
  <c r="M16" i="154"/>
  <c r="M2" i="169"/>
  <c r="M2" i="167"/>
  <c r="M2" i="170"/>
  <c r="M11" i="170" s="1"/>
  <c r="M2" i="172"/>
  <c r="M11" i="172" s="1"/>
  <c r="M2" i="171"/>
  <c r="M2" i="168"/>
  <c r="M2" i="162"/>
  <c r="M11" i="162" s="1"/>
  <c r="M2" i="173"/>
  <c r="M24" i="173" s="1"/>
  <c r="M2" i="165"/>
  <c r="M2" i="161"/>
  <c r="M19" i="161" s="1"/>
  <c r="M2" i="157"/>
  <c r="M2" i="175"/>
  <c r="M2" i="156"/>
  <c r="M2" i="174"/>
  <c r="M2" i="166"/>
  <c r="M2" i="159"/>
  <c r="M15" i="159" s="1"/>
  <c r="M2" i="153"/>
  <c r="M2" i="151"/>
  <c r="M18" i="151" s="1"/>
  <c r="M2" i="150"/>
  <c r="M23" i="150" s="1"/>
  <c r="M2" i="155"/>
  <c r="M2" i="148"/>
  <c r="M2" i="163"/>
  <c r="M13" i="163" s="1"/>
  <c r="M2" i="143"/>
  <c r="M22" i="143" s="1"/>
  <c r="M2" i="164"/>
  <c r="M35" i="164" s="1"/>
  <c r="M2" i="158"/>
  <c r="M2" i="152"/>
  <c r="M18" i="152" s="1"/>
  <c r="M2" i="160"/>
  <c r="M2" i="144"/>
  <c r="M3" i="141"/>
  <c r="M31" i="141" s="1"/>
  <c r="H20" i="143"/>
  <c r="O19" i="147"/>
  <c r="M2" i="149"/>
  <c r="M11" i="149" s="1"/>
  <c r="H33" i="151"/>
  <c r="H12" i="151"/>
  <c r="U12" i="152"/>
  <c r="M7" i="154"/>
  <c r="H28" i="143"/>
  <c r="H21" i="143"/>
  <c r="H17" i="143"/>
  <c r="H13" i="143"/>
  <c r="H22" i="143"/>
  <c r="H15" i="152"/>
  <c r="O22" i="155"/>
  <c r="O31" i="155"/>
  <c r="O26" i="155"/>
  <c r="O13" i="155"/>
  <c r="H34" i="158"/>
  <c r="H36" i="158"/>
  <c r="H11" i="158"/>
  <c r="H27" i="158"/>
  <c r="H8" i="158"/>
  <c r="H15" i="158"/>
  <c r="H7" i="158"/>
  <c r="H35" i="158"/>
  <c r="H32" i="158"/>
  <c r="H23" i="158"/>
  <c r="H12" i="158"/>
  <c r="H28" i="158"/>
  <c r="H19" i="158"/>
  <c r="H20" i="158"/>
  <c r="H20" i="152"/>
  <c r="O10" i="163"/>
  <c r="O2" i="174"/>
  <c r="O2" i="167"/>
  <c r="O2" i="171"/>
  <c r="O18" i="171" s="1"/>
  <c r="O2" i="173"/>
  <c r="O9" i="173" s="1"/>
  <c r="O2" i="166"/>
  <c r="O18" i="166" s="1"/>
  <c r="O2" i="170"/>
  <c r="O2" i="175"/>
  <c r="O2" i="165"/>
  <c r="O30" i="165" s="1"/>
  <c r="O2" i="172"/>
  <c r="O2" i="160"/>
  <c r="O2" i="161"/>
  <c r="O24" i="161" s="1"/>
  <c r="O2" i="164"/>
  <c r="O9" i="164" s="1"/>
  <c r="O2" i="162"/>
  <c r="O20" i="162" s="1"/>
  <c r="O2" i="158"/>
  <c r="O23" i="158" s="1"/>
  <c r="O2" i="159"/>
  <c r="O14" i="159" s="1"/>
  <c r="O2" i="156"/>
  <c r="O21" i="156" s="1"/>
  <c r="O2" i="154"/>
  <c r="O9" i="154" s="1"/>
  <c r="O2" i="152"/>
  <c r="O2" i="157"/>
  <c r="O2" i="148"/>
  <c r="O2" i="153"/>
  <c r="H26" i="143"/>
  <c r="H29" i="143"/>
  <c r="H33" i="143"/>
  <c r="H15" i="144"/>
  <c r="H27" i="144"/>
  <c r="H34" i="144"/>
  <c r="H36" i="144"/>
  <c r="O2" i="145"/>
  <c r="O28" i="145" s="1"/>
  <c r="O35" i="147"/>
  <c r="O25" i="169"/>
  <c r="H32" i="170"/>
  <c r="H16" i="170"/>
  <c r="H10" i="170"/>
  <c r="H33" i="170"/>
  <c r="H20" i="170"/>
  <c r="H18" i="170"/>
  <c r="H14" i="170"/>
  <c r="H7" i="170"/>
  <c r="H8" i="170"/>
  <c r="H12" i="170"/>
  <c r="H26" i="170"/>
  <c r="H23" i="170"/>
  <c r="H13" i="170"/>
  <c r="H27" i="170"/>
  <c r="H21" i="170"/>
  <c r="H35" i="170"/>
  <c r="H24" i="170"/>
  <c r="H29" i="170"/>
  <c r="H36" i="170"/>
  <c r="H30" i="170"/>
  <c r="H23" i="156"/>
  <c r="H21" i="169"/>
  <c r="H18" i="169"/>
  <c r="H26" i="169"/>
  <c r="H11" i="169"/>
  <c r="H8" i="169"/>
  <c r="H14" i="169"/>
  <c r="H30" i="169"/>
  <c r="H27" i="169"/>
  <c r="H13" i="169"/>
  <c r="H12" i="169"/>
  <c r="H35" i="169"/>
  <c r="H23" i="169"/>
  <c r="H7" i="169"/>
  <c r="H15" i="169"/>
  <c r="H36" i="169"/>
  <c r="H33" i="169"/>
  <c r="H17" i="169"/>
  <c r="H24" i="169"/>
  <c r="H10" i="169"/>
  <c r="H20" i="169"/>
  <c r="H16" i="169"/>
  <c r="H32" i="169"/>
  <c r="U2" i="175"/>
  <c r="U2" i="173"/>
  <c r="U31" i="173" s="1"/>
  <c r="U2" i="174"/>
  <c r="U2" i="163"/>
  <c r="U21" i="163" s="1"/>
  <c r="U2" i="172"/>
  <c r="U2" i="168"/>
  <c r="U31" i="168" s="1"/>
  <c r="U2" i="162"/>
  <c r="U28" i="162" s="1"/>
  <c r="U2" i="170"/>
  <c r="U25" i="170" s="1"/>
  <c r="U2" i="165"/>
  <c r="U2" i="167"/>
  <c r="U2" i="166"/>
  <c r="U24" i="166" s="1"/>
  <c r="U2" i="169"/>
  <c r="U2" i="164"/>
  <c r="U2" i="161"/>
  <c r="U25" i="161" s="1"/>
  <c r="U2" i="157"/>
  <c r="U28" i="157" s="1"/>
  <c r="U2" i="156"/>
  <c r="U19" i="156" s="1"/>
  <c r="H11" i="170"/>
  <c r="U2" i="142"/>
  <c r="U25" i="142" s="1"/>
  <c r="U2" i="145"/>
  <c r="H35" i="156"/>
  <c r="H14" i="156"/>
  <c r="H32" i="156"/>
  <c r="H18" i="156"/>
  <c r="H8" i="156"/>
  <c r="H26" i="156"/>
  <c r="H17" i="156"/>
  <c r="H11" i="156"/>
  <c r="H36" i="171"/>
  <c r="H9" i="171"/>
  <c r="H26" i="171"/>
  <c r="H32" i="171"/>
  <c r="H29" i="171"/>
  <c r="H14" i="171"/>
  <c r="H10" i="171"/>
  <c r="H16" i="157"/>
  <c r="H20" i="157"/>
  <c r="H8" i="157"/>
  <c r="H29" i="157"/>
  <c r="H34" i="166"/>
  <c r="H11" i="155"/>
  <c r="H23" i="155"/>
  <c r="H30" i="155"/>
  <c r="H18" i="166"/>
  <c r="H32" i="166"/>
  <c r="H29" i="166"/>
  <c r="H25" i="166"/>
  <c r="H15" i="166"/>
  <c r="H33" i="166"/>
  <c r="H14" i="166"/>
  <c r="H36" i="166"/>
  <c r="H17" i="166"/>
  <c r="H22" i="166"/>
  <c r="H23" i="161"/>
  <c r="H30" i="162"/>
  <c r="H11" i="162"/>
  <c r="H10" i="162"/>
  <c r="H15" i="162"/>
  <c r="H20" i="161"/>
  <c r="H32" i="161"/>
  <c r="H14" i="168"/>
  <c r="H9" i="173"/>
  <c r="H12" i="168"/>
  <c r="H30" i="168"/>
  <c r="H11" i="168"/>
  <c r="H21" i="168"/>
  <c r="H29" i="168"/>
  <c r="AL12" i="176"/>
  <c r="T18" i="176"/>
  <c r="T5" i="176"/>
  <c r="T12" i="176"/>
  <c r="T23" i="176"/>
  <c r="AH37" i="175"/>
  <c r="CP18" i="176" s="1"/>
  <c r="W37" i="175"/>
  <c r="CO5" i="176" s="1"/>
  <c r="AI37" i="175"/>
  <c r="CQ18" i="176" s="1"/>
  <c r="AF37" i="175"/>
  <c r="CS12" i="176" s="1"/>
  <c r="Z37" i="174"/>
  <c r="AL37" i="174"/>
  <c r="AA37" i="174"/>
  <c r="AM37" i="174"/>
  <c r="AB37" i="174"/>
  <c r="AN37" i="174"/>
  <c r="AC37" i="174"/>
  <c r="AO37" i="174"/>
  <c r="AH37" i="174"/>
  <c r="W37" i="174"/>
  <c r="AI37" i="174"/>
  <c r="X37" i="174"/>
  <c r="AJ37" i="174"/>
  <c r="Y37" i="174"/>
  <c r="AK37" i="174"/>
  <c r="I18" i="173"/>
  <c r="L19" i="173"/>
  <c r="H34" i="173"/>
  <c r="H31" i="173"/>
  <c r="H28" i="173"/>
  <c r="H25" i="173"/>
  <c r="H22" i="173"/>
  <c r="H19" i="173"/>
  <c r="H16" i="173"/>
  <c r="H13" i="173"/>
  <c r="H10" i="173"/>
  <c r="H7" i="173"/>
  <c r="T34" i="173"/>
  <c r="T31" i="173"/>
  <c r="T28" i="173"/>
  <c r="T25" i="173"/>
  <c r="T22" i="173"/>
  <c r="T19" i="173"/>
  <c r="T16" i="173"/>
  <c r="T13" i="173"/>
  <c r="T10" i="173"/>
  <c r="T7" i="173"/>
  <c r="T11" i="173"/>
  <c r="H15" i="173"/>
  <c r="L21" i="173"/>
  <c r="T24" i="173"/>
  <c r="T29" i="173"/>
  <c r="H33" i="173"/>
  <c r="I34" i="173"/>
  <c r="I31" i="173"/>
  <c r="I28" i="173"/>
  <c r="I25" i="173"/>
  <c r="I22" i="173"/>
  <c r="I19" i="173"/>
  <c r="I16" i="173"/>
  <c r="I13" i="173"/>
  <c r="I10" i="173"/>
  <c r="I7" i="173"/>
  <c r="U28" i="173"/>
  <c r="U11" i="173"/>
  <c r="I15" i="173"/>
  <c r="L16" i="173"/>
  <c r="H17" i="173"/>
  <c r="M21" i="173"/>
  <c r="I33" i="173"/>
  <c r="L34" i="173"/>
  <c r="H35" i="173"/>
  <c r="J34" i="173"/>
  <c r="J31" i="173"/>
  <c r="J28" i="173"/>
  <c r="J25" i="173"/>
  <c r="J22" i="173"/>
  <c r="J19" i="173"/>
  <c r="J16" i="173"/>
  <c r="J13" i="173"/>
  <c r="J10" i="173"/>
  <c r="J7" i="173"/>
  <c r="J35" i="173"/>
  <c r="J32" i="173"/>
  <c r="J29" i="173"/>
  <c r="J26" i="173"/>
  <c r="J23" i="173"/>
  <c r="J20" i="173"/>
  <c r="J17" i="173"/>
  <c r="J14" i="173"/>
  <c r="J11" i="173"/>
  <c r="J8" i="173"/>
  <c r="T8" i="173"/>
  <c r="H12" i="173"/>
  <c r="J15" i="173"/>
  <c r="I17" i="173"/>
  <c r="L18" i="173"/>
  <c r="T21" i="173"/>
  <c r="T26" i="173"/>
  <c r="H30" i="173"/>
  <c r="J33" i="173"/>
  <c r="I35" i="173"/>
  <c r="L35" i="173"/>
  <c r="L32" i="173"/>
  <c r="L29" i="173"/>
  <c r="L26" i="173"/>
  <c r="L23" i="173"/>
  <c r="L20" i="173"/>
  <c r="L17" i="173"/>
  <c r="L14" i="173"/>
  <c r="L11" i="173"/>
  <c r="L8" i="173"/>
  <c r="L15" i="173"/>
  <c r="L33" i="173"/>
  <c r="M23" i="173"/>
  <c r="M8" i="173"/>
  <c r="L10" i="173"/>
  <c r="L28" i="173"/>
  <c r="L12" i="173"/>
  <c r="L30" i="173"/>
  <c r="L7" i="173"/>
  <c r="L25" i="173"/>
  <c r="L9" i="173"/>
  <c r="L27" i="173"/>
  <c r="L22" i="173"/>
  <c r="L24" i="173"/>
  <c r="K34" i="173"/>
  <c r="K31" i="173"/>
  <c r="K28" i="173"/>
  <c r="K25" i="173"/>
  <c r="K22" i="173"/>
  <c r="K19" i="173"/>
  <c r="K16" i="173"/>
  <c r="K13" i="173"/>
  <c r="K10" i="173"/>
  <c r="K7" i="173"/>
  <c r="K35" i="173"/>
  <c r="K32" i="173"/>
  <c r="K29" i="173"/>
  <c r="K26" i="173"/>
  <c r="K23" i="173"/>
  <c r="K20" i="173"/>
  <c r="K17" i="173"/>
  <c r="K14" i="173"/>
  <c r="K11" i="173"/>
  <c r="K8" i="173"/>
  <c r="I12" i="173"/>
  <c r="L13" i="173"/>
  <c r="H14" i="173"/>
  <c r="K15" i="173"/>
  <c r="I30" i="173"/>
  <c r="L31" i="173"/>
  <c r="H32" i="173"/>
  <c r="K33" i="173"/>
  <c r="N9" i="173"/>
  <c r="N12" i="173"/>
  <c r="N15" i="173"/>
  <c r="N18" i="173"/>
  <c r="N21" i="173"/>
  <c r="N24" i="173"/>
  <c r="N27" i="173"/>
  <c r="N30" i="173"/>
  <c r="N33" i="173"/>
  <c r="N36" i="173"/>
  <c r="G7" i="173"/>
  <c r="C9" i="173"/>
  <c r="G10" i="173"/>
  <c r="C12" i="173"/>
  <c r="G13" i="173"/>
  <c r="C15" i="173"/>
  <c r="G16" i="173"/>
  <c r="C18" i="173"/>
  <c r="G19" i="173"/>
  <c r="C21" i="173"/>
  <c r="G22" i="173"/>
  <c r="C24" i="173"/>
  <c r="G25" i="173"/>
  <c r="C27" i="173"/>
  <c r="G28" i="173"/>
  <c r="C30" i="173"/>
  <c r="G31" i="173"/>
  <c r="C33" i="173"/>
  <c r="G34" i="173"/>
  <c r="D9" i="173"/>
  <c r="P9" i="173"/>
  <c r="D12" i="173"/>
  <c r="P12" i="173"/>
  <c r="D15" i="173"/>
  <c r="P15" i="173"/>
  <c r="D18" i="173"/>
  <c r="P18" i="173"/>
  <c r="D21" i="173"/>
  <c r="P21" i="173"/>
  <c r="D24" i="173"/>
  <c r="P24" i="173"/>
  <c r="D27" i="173"/>
  <c r="P27" i="173"/>
  <c r="D30" i="173"/>
  <c r="P30" i="173"/>
  <c r="D33" i="173"/>
  <c r="P33" i="173"/>
  <c r="E9" i="173"/>
  <c r="Q9" i="173"/>
  <c r="E12" i="173"/>
  <c r="Q12" i="173"/>
  <c r="E15" i="173"/>
  <c r="Q15" i="173"/>
  <c r="E18" i="173"/>
  <c r="Q18" i="173"/>
  <c r="E21" i="173"/>
  <c r="Q21" i="173"/>
  <c r="E24" i="173"/>
  <c r="Q24" i="173"/>
  <c r="E27" i="173"/>
  <c r="Q27" i="173"/>
  <c r="E30" i="173"/>
  <c r="Q30" i="173"/>
  <c r="E33" i="173"/>
  <c r="Q33" i="173"/>
  <c r="N8" i="173"/>
  <c r="F9" i="173"/>
  <c r="N11" i="173"/>
  <c r="F12" i="173"/>
  <c r="N14" i="173"/>
  <c r="F15" i="173"/>
  <c r="N17" i="173"/>
  <c r="F18" i="173"/>
  <c r="N20" i="173"/>
  <c r="F21" i="173"/>
  <c r="N23" i="173"/>
  <c r="F24" i="173"/>
  <c r="N26" i="173"/>
  <c r="F27" i="173"/>
  <c r="N29" i="173"/>
  <c r="F30" i="173"/>
  <c r="N32" i="173"/>
  <c r="F33" i="173"/>
  <c r="G9" i="173"/>
  <c r="G12" i="173"/>
  <c r="G15" i="173"/>
  <c r="G18" i="173"/>
  <c r="G21" i="173"/>
  <c r="G24" i="173"/>
  <c r="G27" i="173"/>
  <c r="G30" i="173"/>
  <c r="G33" i="173"/>
  <c r="L14" i="172"/>
  <c r="L35" i="172"/>
  <c r="L32" i="172"/>
  <c r="L29" i="172"/>
  <c r="L26" i="172"/>
  <c r="L23" i="172"/>
  <c r="L20" i="172"/>
  <c r="L9" i="172"/>
  <c r="T11" i="172"/>
  <c r="H14" i="172"/>
  <c r="H15" i="172"/>
  <c r="K20" i="172"/>
  <c r="K21" i="172"/>
  <c r="K29" i="172"/>
  <c r="T7" i="172"/>
  <c r="H10" i="172"/>
  <c r="I14" i="172"/>
  <c r="T17" i="172"/>
  <c r="T18" i="172"/>
  <c r="L21" i="172"/>
  <c r="L22" i="172"/>
  <c r="H23" i="172"/>
  <c r="H24" i="172"/>
  <c r="T26" i="172"/>
  <c r="T27" i="172"/>
  <c r="L30" i="172"/>
  <c r="L31" i="172"/>
  <c r="H32" i="172"/>
  <c r="T35" i="172"/>
  <c r="H16" i="172"/>
  <c r="H34" i="172"/>
  <c r="H31" i="172"/>
  <c r="H28" i="172"/>
  <c r="H25" i="172"/>
  <c r="H22" i="172"/>
  <c r="H19" i="172"/>
  <c r="T19" i="172"/>
  <c r="T16" i="172"/>
  <c r="T34" i="172"/>
  <c r="T31" i="172"/>
  <c r="T28" i="172"/>
  <c r="T25" i="172"/>
  <c r="T22" i="172"/>
  <c r="H9" i="172"/>
  <c r="T14" i="172"/>
  <c r="T15" i="172"/>
  <c r="I34" i="172"/>
  <c r="I31" i="172"/>
  <c r="I28" i="172"/>
  <c r="I25" i="172"/>
  <c r="I22" i="172"/>
  <c r="I19" i="172"/>
  <c r="I16" i="172"/>
  <c r="I13" i="172"/>
  <c r="I10" i="172"/>
  <c r="I7" i="172"/>
  <c r="I9" i="172"/>
  <c r="H20" i="172"/>
  <c r="H21" i="172"/>
  <c r="T23" i="172"/>
  <c r="T24" i="172"/>
  <c r="H29" i="172"/>
  <c r="H30" i="172"/>
  <c r="T32" i="172"/>
  <c r="T33" i="172"/>
  <c r="J34" i="172"/>
  <c r="J31" i="172"/>
  <c r="J28" i="172"/>
  <c r="J25" i="172"/>
  <c r="J22" i="172"/>
  <c r="J19" i="172"/>
  <c r="J16" i="172"/>
  <c r="J13" i="172"/>
  <c r="J10" i="172"/>
  <c r="J7" i="172"/>
  <c r="V34" i="172"/>
  <c r="J9" i="172"/>
  <c r="T10" i="172"/>
  <c r="H13" i="172"/>
  <c r="I20" i="172"/>
  <c r="I21" i="172"/>
  <c r="I29" i="172"/>
  <c r="I30" i="172"/>
  <c r="K34" i="172"/>
  <c r="K31" i="172"/>
  <c r="K28" i="172"/>
  <c r="K25" i="172"/>
  <c r="K22" i="172"/>
  <c r="K19" i="172"/>
  <c r="K16" i="172"/>
  <c r="K13" i="172"/>
  <c r="K10" i="172"/>
  <c r="K7" i="172"/>
  <c r="K9" i="172"/>
  <c r="J20" i="172"/>
  <c r="J21" i="172"/>
  <c r="J29" i="172"/>
  <c r="J30" i="172"/>
  <c r="N35" i="172"/>
  <c r="N32" i="172"/>
  <c r="N29" i="172"/>
  <c r="N26" i="172"/>
  <c r="N23" i="172"/>
  <c r="N20" i="172"/>
  <c r="N17" i="172"/>
  <c r="N14" i="172"/>
  <c r="N11" i="172"/>
  <c r="N8" i="172"/>
  <c r="N9" i="172"/>
  <c r="L10" i="172"/>
  <c r="T12" i="172"/>
  <c r="J14" i="172"/>
  <c r="J15" i="172"/>
  <c r="I23" i="172"/>
  <c r="I24" i="172"/>
  <c r="I32" i="172"/>
  <c r="I33" i="172"/>
  <c r="C35" i="172"/>
  <c r="C32" i="172"/>
  <c r="C29" i="172"/>
  <c r="C26" i="172"/>
  <c r="C23" i="172"/>
  <c r="C20" i="172"/>
  <c r="C17" i="172"/>
  <c r="C14" i="172"/>
  <c r="C11" i="172"/>
  <c r="C8" i="172"/>
  <c r="T8" i="172"/>
  <c r="H11" i="172"/>
  <c r="C12" i="172"/>
  <c r="K14" i="172"/>
  <c r="K15" i="172"/>
  <c r="N21" i="172"/>
  <c r="N22" i="172"/>
  <c r="J23" i="172"/>
  <c r="J24" i="172"/>
  <c r="N30" i="172"/>
  <c r="N31" i="172"/>
  <c r="J32" i="172"/>
  <c r="J33" i="172"/>
  <c r="D15" i="172"/>
  <c r="D36" i="172"/>
  <c r="D33" i="172"/>
  <c r="D30" i="172"/>
  <c r="D27" i="172"/>
  <c r="D24" i="172"/>
  <c r="D21" i="172"/>
  <c r="D18" i="172"/>
  <c r="P15" i="172"/>
  <c r="P36" i="172"/>
  <c r="P33" i="172"/>
  <c r="P30" i="172"/>
  <c r="P27" i="172"/>
  <c r="P24" i="172"/>
  <c r="P21" i="172"/>
  <c r="P18" i="172"/>
  <c r="H7" i="172"/>
  <c r="P9" i="172"/>
  <c r="N10" i="172"/>
  <c r="I11" i="172"/>
  <c r="D12" i="172"/>
  <c r="P14" i="172"/>
  <c r="L15" i="172"/>
  <c r="L16" i="172"/>
  <c r="H17" i="172"/>
  <c r="C18" i="172"/>
  <c r="C19" i="172"/>
  <c r="K23" i="172"/>
  <c r="K24" i="172"/>
  <c r="C27" i="172"/>
  <c r="C28" i="172"/>
  <c r="K32" i="172"/>
  <c r="K33" i="172"/>
  <c r="C36" i="172"/>
  <c r="L7" i="172"/>
  <c r="T9" i="172"/>
  <c r="J11" i="172"/>
  <c r="H12" i="172"/>
  <c r="C13" i="172"/>
  <c r="M16" i="172"/>
  <c r="I17" i="172"/>
  <c r="H18" i="172"/>
  <c r="D19" i="172"/>
  <c r="D20" i="172"/>
  <c r="T20" i="172"/>
  <c r="T21" i="172"/>
  <c r="P22" i="172"/>
  <c r="P23" i="172"/>
  <c r="L24" i="172"/>
  <c r="L25" i="172"/>
  <c r="H26" i="172"/>
  <c r="H27" i="172"/>
  <c r="D28" i="172"/>
  <c r="D29" i="172"/>
  <c r="T29" i="172"/>
  <c r="T30" i="172"/>
  <c r="P31" i="172"/>
  <c r="P32" i="172"/>
  <c r="L33" i="172"/>
  <c r="L34" i="172"/>
  <c r="H35" i="172"/>
  <c r="H36" i="172"/>
  <c r="E9" i="172"/>
  <c r="Q9" i="172"/>
  <c r="E12" i="172"/>
  <c r="Q12" i="172"/>
  <c r="E15" i="172"/>
  <c r="Q15" i="172"/>
  <c r="E18" i="172"/>
  <c r="Q18" i="172"/>
  <c r="E21" i="172"/>
  <c r="Q21" i="172"/>
  <c r="E24" i="172"/>
  <c r="Q24" i="172"/>
  <c r="E27" i="172"/>
  <c r="Q27" i="172"/>
  <c r="E30" i="172"/>
  <c r="Q30" i="172"/>
  <c r="E33" i="172"/>
  <c r="Q33" i="172"/>
  <c r="F9" i="172"/>
  <c r="F12" i="172"/>
  <c r="F15" i="172"/>
  <c r="F18" i="172"/>
  <c r="F21" i="172"/>
  <c r="F24" i="172"/>
  <c r="F27" i="172"/>
  <c r="F30" i="172"/>
  <c r="F33" i="172"/>
  <c r="G9" i="172"/>
  <c r="G12" i="172"/>
  <c r="G15" i="172"/>
  <c r="G18" i="172"/>
  <c r="G21" i="172"/>
  <c r="G24" i="172"/>
  <c r="G27" i="172"/>
  <c r="G30" i="172"/>
  <c r="G33" i="172"/>
  <c r="H34" i="171"/>
  <c r="H31" i="171"/>
  <c r="H28" i="171"/>
  <c r="H25" i="171"/>
  <c r="H22" i="171"/>
  <c r="H19" i="171"/>
  <c r="H27" i="171"/>
  <c r="H23" i="171"/>
  <c r="H24" i="171"/>
  <c r="H20" i="171"/>
  <c r="H13" i="171"/>
  <c r="H7" i="171"/>
  <c r="H21" i="171"/>
  <c r="H18" i="171"/>
  <c r="H12" i="171"/>
  <c r="H17" i="171"/>
  <c r="H11" i="171"/>
  <c r="T10" i="171"/>
  <c r="D34" i="171"/>
  <c r="H35" i="171"/>
  <c r="T34" i="171"/>
  <c r="T31" i="171"/>
  <c r="T28" i="171"/>
  <c r="T25" i="171"/>
  <c r="T22" i="171"/>
  <c r="T19" i="171"/>
  <c r="T35" i="171"/>
  <c r="T32" i="171"/>
  <c r="T15" i="171"/>
  <c r="T14" i="171"/>
  <c r="T9" i="171"/>
  <c r="T8" i="171"/>
  <c r="T36" i="171"/>
  <c r="T29" i="171"/>
  <c r="T33" i="171"/>
  <c r="T26" i="171"/>
  <c r="T30" i="171"/>
  <c r="T23" i="171"/>
  <c r="T24" i="171"/>
  <c r="T27" i="171"/>
  <c r="T20" i="171"/>
  <c r="T13" i="171"/>
  <c r="T7" i="171"/>
  <c r="H16" i="171"/>
  <c r="H8" i="171"/>
  <c r="P13" i="171"/>
  <c r="D15" i="171"/>
  <c r="P17" i="171"/>
  <c r="H30" i="171"/>
  <c r="F35" i="171"/>
  <c r="T16" i="171"/>
  <c r="D36" i="171"/>
  <c r="D33" i="171"/>
  <c r="D30" i="171"/>
  <c r="D27" i="171"/>
  <c r="D24" i="171"/>
  <c r="D21" i="171"/>
  <c r="D35" i="171"/>
  <c r="D31" i="171"/>
  <c r="D32" i="171"/>
  <c r="D28" i="171"/>
  <c r="D29" i="171"/>
  <c r="D25" i="171"/>
  <c r="D14" i="171"/>
  <c r="D8" i="171"/>
  <c r="D26" i="171"/>
  <c r="D22" i="171"/>
  <c r="D13" i="171"/>
  <c r="D7" i="171"/>
  <c r="D23" i="171"/>
  <c r="D19" i="171"/>
  <c r="D20" i="171"/>
  <c r="D18" i="171"/>
  <c r="D12" i="171"/>
  <c r="P36" i="171"/>
  <c r="P33" i="171"/>
  <c r="P30" i="171"/>
  <c r="P27" i="171"/>
  <c r="P24" i="171"/>
  <c r="P21" i="171"/>
  <c r="P18" i="171"/>
  <c r="P16" i="171"/>
  <c r="P10" i="171"/>
  <c r="P15" i="171"/>
  <c r="P9" i="171"/>
  <c r="P26" i="171"/>
  <c r="P25" i="171"/>
  <c r="P35" i="171"/>
  <c r="P34" i="171"/>
  <c r="P28" i="171"/>
  <c r="P32" i="171"/>
  <c r="P31" i="171"/>
  <c r="P14" i="171"/>
  <c r="P8" i="171"/>
  <c r="P29" i="171"/>
  <c r="D17" i="171"/>
  <c r="P7" i="171"/>
  <c r="D9" i="171"/>
  <c r="P11" i="171"/>
  <c r="F34" i="171"/>
  <c r="F31" i="171"/>
  <c r="F28" i="171"/>
  <c r="F25" i="171"/>
  <c r="F22" i="171"/>
  <c r="F19" i="171"/>
  <c r="F16" i="171"/>
  <c r="F13" i="171"/>
  <c r="F10" i="171"/>
  <c r="F7" i="171"/>
  <c r="F30" i="171"/>
  <c r="F29" i="171"/>
  <c r="F14" i="171"/>
  <c r="F8" i="171"/>
  <c r="F27" i="171"/>
  <c r="F26" i="171"/>
  <c r="F24" i="171"/>
  <c r="F23" i="171"/>
  <c r="F21" i="171"/>
  <c r="F20" i="171"/>
  <c r="F18" i="171"/>
  <c r="F12" i="171"/>
  <c r="F17" i="171"/>
  <c r="F11" i="171"/>
  <c r="F9" i="171"/>
  <c r="D16" i="171"/>
  <c r="D11" i="171"/>
  <c r="F15" i="171"/>
  <c r="P20" i="171"/>
  <c r="P23" i="171"/>
  <c r="H15" i="171"/>
  <c r="T17" i="171"/>
  <c r="P22" i="171"/>
  <c r="H33" i="171"/>
  <c r="U34" i="171"/>
  <c r="U31" i="171"/>
  <c r="U28" i="171"/>
  <c r="U25" i="171"/>
  <c r="U22" i="171"/>
  <c r="U19" i="171"/>
  <c r="U16" i="171"/>
  <c r="U13" i="171"/>
  <c r="U10" i="171"/>
  <c r="U7" i="171"/>
  <c r="U12" i="171"/>
  <c r="U21" i="171"/>
  <c r="J35" i="171"/>
  <c r="J32" i="171"/>
  <c r="J29" i="171"/>
  <c r="J26" i="171"/>
  <c r="J23" i="171"/>
  <c r="J20" i="171"/>
  <c r="J17" i="171"/>
  <c r="J14" i="171"/>
  <c r="J11" i="171"/>
  <c r="J8" i="171"/>
  <c r="V26" i="171"/>
  <c r="L9" i="171"/>
  <c r="L10" i="171"/>
  <c r="L15" i="171"/>
  <c r="L16" i="171"/>
  <c r="U24" i="171"/>
  <c r="L36" i="171"/>
  <c r="I34" i="171"/>
  <c r="I31" i="171"/>
  <c r="I28" i="171"/>
  <c r="I25" i="171"/>
  <c r="I22" i="171"/>
  <c r="I19" i="171"/>
  <c r="I16" i="171"/>
  <c r="I13" i="171"/>
  <c r="I10" i="171"/>
  <c r="I7" i="171"/>
  <c r="U11" i="171"/>
  <c r="U17" i="171"/>
  <c r="K34" i="171"/>
  <c r="K31" i="171"/>
  <c r="K28" i="171"/>
  <c r="K25" i="171"/>
  <c r="K22" i="171"/>
  <c r="K19" i="171"/>
  <c r="K16" i="171"/>
  <c r="K13" i="171"/>
  <c r="K10" i="171"/>
  <c r="K7" i="171"/>
  <c r="K35" i="171"/>
  <c r="K32" i="171"/>
  <c r="K29" i="171"/>
  <c r="K26" i="171"/>
  <c r="K23" i="171"/>
  <c r="K20" i="171"/>
  <c r="K17" i="171"/>
  <c r="K14" i="171"/>
  <c r="K11" i="171"/>
  <c r="K8" i="171"/>
  <c r="V7" i="171"/>
  <c r="U20" i="171"/>
  <c r="U27" i="171"/>
  <c r="L35" i="171"/>
  <c r="L32" i="171"/>
  <c r="L29" i="171"/>
  <c r="L26" i="171"/>
  <c r="L23" i="171"/>
  <c r="L20" i="171"/>
  <c r="M32" i="171"/>
  <c r="L11" i="171"/>
  <c r="I12" i="171"/>
  <c r="L17" i="171"/>
  <c r="I18" i="171"/>
  <c r="U26" i="171"/>
  <c r="U33" i="171"/>
  <c r="L19" i="171"/>
  <c r="I21" i="171"/>
  <c r="U29" i="171"/>
  <c r="U36" i="171"/>
  <c r="J7" i="171"/>
  <c r="U8" i="171"/>
  <c r="U9" i="171"/>
  <c r="K12" i="171"/>
  <c r="J13" i="171"/>
  <c r="U14" i="171"/>
  <c r="U15" i="171"/>
  <c r="K18" i="171"/>
  <c r="M19" i="171"/>
  <c r="I20" i="171"/>
  <c r="J21" i="171"/>
  <c r="L22" i="171"/>
  <c r="I24" i="171"/>
  <c r="J25" i="171"/>
  <c r="U32" i="171"/>
  <c r="N9" i="171"/>
  <c r="N12" i="171"/>
  <c r="N15" i="171"/>
  <c r="N18" i="171"/>
  <c r="N21" i="171"/>
  <c r="N24" i="171"/>
  <c r="N27" i="171"/>
  <c r="N30" i="171"/>
  <c r="N33" i="171"/>
  <c r="G7" i="171"/>
  <c r="C9" i="171"/>
  <c r="G10" i="171"/>
  <c r="C12" i="171"/>
  <c r="O12" i="171"/>
  <c r="G13" i="171"/>
  <c r="C15" i="171"/>
  <c r="G16" i="171"/>
  <c r="C18" i="171"/>
  <c r="G19" i="171"/>
  <c r="C21" i="171"/>
  <c r="G22" i="171"/>
  <c r="C24" i="171"/>
  <c r="G25" i="171"/>
  <c r="C27" i="171"/>
  <c r="G28" i="171"/>
  <c r="C30" i="171"/>
  <c r="O30" i="171"/>
  <c r="G31" i="171"/>
  <c r="C33" i="171"/>
  <c r="G34" i="171"/>
  <c r="E9" i="171"/>
  <c r="Q9" i="171"/>
  <c r="E12" i="171"/>
  <c r="Q12" i="171"/>
  <c r="E15" i="171"/>
  <c r="Q15" i="171"/>
  <c r="E18" i="171"/>
  <c r="Q18" i="171"/>
  <c r="E21" i="171"/>
  <c r="Q21" i="171"/>
  <c r="E24" i="171"/>
  <c r="Q24" i="171"/>
  <c r="E27" i="171"/>
  <c r="Q27" i="171"/>
  <c r="E30" i="171"/>
  <c r="Q30" i="171"/>
  <c r="E33" i="171"/>
  <c r="Q33" i="171"/>
  <c r="G9" i="171"/>
  <c r="G12" i="171"/>
  <c r="G15" i="171"/>
  <c r="G18" i="171"/>
  <c r="G21" i="171"/>
  <c r="G24" i="171"/>
  <c r="G27" i="171"/>
  <c r="S27" i="171"/>
  <c r="G30" i="171"/>
  <c r="G33" i="171"/>
  <c r="L35" i="170"/>
  <c r="L32" i="170"/>
  <c r="L29" i="170"/>
  <c r="L26" i="170"/>
  <c r="L23" i="170"/>
  <c r="L20" i="170"/>
  <c r="L9" i="170"/>
  <c r="L17" i="170"/>
  <c r="N35" i="170"/>
  <c r="N32" i="170"/>
  <c r="N29" i="170"/>
  <c r="N26" i="170"/>
  <c r="N23" i="170"/>
  <c r="N20" i="170"/>
  <c r="N17" i="170"/>
  <c r="N14" i="170"/>
  <c r="N11" i="170"/>
  <c r="N8" i="170"/>
  <c r="N9" i="170"/>
  <c r="L10" i="170"/>
  <c r="L18" i="170"/>
  <c r="L19" i="170"/>
  <c r="L27" i="170"/>
  <c r="L28" i="170"/>
  <c r="L36" i="170"/>
  <c r="C35" i="170"/>
  <c r="C32" i="170"/>
  <c r="C29" i="170"/>
  <c r="C26" i="170"/>
  <c r="C23" i="170"/>
  <c r="C20" i="170"/>
  <c r="C17" i="170"/>
  <c r="C14" i="170"/>
  <c r="C11" i="170"/>
  <c r="C8" i="170"/>
  <c r="C12" i="170"/>
  <c r="D36" i="170"/>
  <c r="D33" i="170"/>
  <c r="D30" i="170"/>
  <c r="D27" i="170"/>
  <c r="D24" i="170"/>
  <c r="D21" i="170"/>
  <c r="D18" i="170"/>
  <c r="P36" i="170"/>
  <c r="P33" i="170"/>
  <c r="P30" i="170"/>
  <c r="P27" i="170"/>
  <c r="P24" i="170"/>
  <c r="P21" i="170"/>
  <c r="P18" i="170"/>
  <c r="P9" i="170"/>
  <c r="N10" i="170"/>
  <c r="D12" i="170"/>
  <c r="L14" i="170"/>
  <c r="N18" i="170"/>
  <c r="N19" i="170"/>
  <c r="N27" i="170"/>
  <c r="N28" i="170"/>
  <c r="N36" i="170"/>
  <c r="L7" i="170"/>
  <c r="C13" i="170"/>
  <c r="P14" i="170"/>
  <c r="D17" i="170"/>
  <c r="C24" i="170"/>
  <c r="C25" i="170"/>
  <c r="C33" i="170"/>
  <c r="C34" i="170"/>
  <c r="C9" i="170"/>
  <c r="P10" i="170"/>
  <c r="D13" i="170"/>
  <c r="L15" i="170"/>
  <c r="P19" i="170"/>
  <c r="P20" i="170"/>
  <c r="L21" i="170"/>
  <c r="L22" i="170"/>
  <c r="D25" i="170"/>
  <c r="D26" i="170"/>
  <c r="P28" i="170"/>
  <c r="P29" i="170"/>
  <c r="L30" i="170"/>
  <c r="L31" i="170"/>
  <c r="D34" i="170"/>
  <c r="D35" i="170"/>
  <c r="N7" i="170"/>
  <c r="D9" i="170"/>
  <c r="L11" i="170"/>
  <c r="H34" i="170"/>
  <c r="H31" i="170"/>
  <c r="H28" i="170"/>
  <c r="H25" i="170"/>
  <c r="H22" i="170"/>
  <c r="H19" i="170"/>
  <c r="T34" i="170"/>
  <c r="T31" i="170"/>
  <c r="T28" i="170"/>
  <c r="T25" i="170"/>
  <c r="T22" i="170"/>
  <c r="T19" i="170"/>
  <c r="J8" i="170"/>
  <c r="H9" i="170"/>
  <c r="C10" i="170"/>
  <c r="P11" i="170"/>
  <c r="D14" i="170"/>
  <c r="N15" i="170"/>
  <c r="L16" i="170"/>
  <c r="V17" i="170"/>
  <c r="V18" i="170"/>
  <c r="N21" i="170"/>
  <c r="N22" i="170"/>
  <c r="J23" i="170"/>
  <c r="J24" i="170"/>
  <c r="V26" i="170"/>
  <c r="V27" i="170"/>
  <c r="N30" i="170"/>
  <c r="N31" i="170"/>
  <c r="J32" i="170"/>
  <c r="V35" i="170"/>
  <c r="I34" i="170"/>
  <c r="I31" i="170"/>
  <c r="I28" i="170"/>
  <c r="I25" i="170"/>
  <c r="I22" i="170"/>
  <c r="I19" i="170"/>
  <c r="I16" i="170"/>
  <c r="I13" i="170"/>
  <c r="I10" i="170"/>
  <c r="I7" i="170"/>
  <c r="P7" i="170"/>
  <c r="K8" i="170"/>
  <c r="I9" i="170"/>
  <c r="D10" i="170"/>
  <c r="L12" i="170"/>
  <c r="T14" i="170"/>
  <c r="H17" i="170"/>
  <c r="C18" i="170"/>
  <c r="C19" i="170"/>
  <c r="K23" i="170"/>
  <c r="K24" i="170"/>
  <c r="C27" i="170"/>
  <c r="C28" i="170"/>
  <c r="K32" i="170"/>
  <c r="C36" i="170"/>
  <c r="J34" i="170"/>
  <c r="J31" i="170"/>
  <c r="J28" i="170"/>
  <c r="J25" i="170"/>
  <c r="J22" i="170"/>
  <c r="J19" i="170"/>
  <c r="J16" i="170"/>
  <c r="J13" i="170"/>
  <c r="J10" i="170"/>
  <c r="J7" i="170"/>
  <c r="V34" i="170"/>
  <c r="V31" i="170"/>
  <c r="V28" i="170"/>
  <c r="V25" i="170"/>
  <c r="V22" i="170"/>
  <c r="V19" i="170"/>
  <c r="V16" i="170"/>
  <c r="V13" i="170"/>
  <c r="V10" i="170"/>
  <c r="V7" i="170"/>
  <c r="L8" i="170"/>
  <c r="J9" i="170"/>
  <c r="P15" i="170"/>
  <c r="N16" i="170"/>
  <c r="D19" i="170"/>
  <c r="D20" i="170"/>
  <c r="P22" i="170"/>
  <c r="P23" i="170"/>
  <c r="L24" i="170"/>
  <c r="L25" i="170"/>
  <c r="D28" i="170"/>
  <c r="D29" i="170"/>
  <c r="P31" i="170"/>
  <c r="P32" i="170"/>
  <c r="L33" i="170"/>
  <c r="L34" i="170"/>
  <c r="K34" i="170"/>
  <c r="K31" i="170"/>
  <c r="K28" i="170"/>
  <c r="K25" i="170"/>
  <c r="K22" i="170"/>
  <c r="K19" i="170"/>
  <c r="K16" i="170"/>
  <c r="K13" i="170"/>
  <c r="K10" i="170"/>
  <c r="K7" i="170"/>
  <c r="C7" i="170"/>
  <c r="P8" i="170"/>
  <c r="K9" i="170"/>
  <c r="D11" i="170"/>
  <c r="N12" i="170"/>
  <c r="L13" i="170"/>
  <c r="V14" i="170"/>
  <c r="T15" i="170"/>
  <c r="J17" i="170"/>
  <c r="E9" i="170"/>
  <c r="Q9" i="170"/>
  <c r="E12" i="170"/>
  <c r="Q12" i="170"/>
  <c r="E15" i="170"/>
  <c r="Q15" i="170"/>
  <c r="E18" i="170"/>
  <c r="Q18" i="170"/>
  <c r="E21" i="170"/>
  <c r="Q21" i="170"/>
  <c r="E24" i="170"/>
  <c r="Q24" i="170"/>
  <c r="E27" i="170"/>
  <c r="Q27" i="170"/>
  <c r="E30" i="170"/>
  <c r="Q30" i="170"/>
  <c r="E33" i="170"/>
  <c r="Q33" i="170"/>
  <c r="F9" i="170"/>
  <c r="F12" i="170"/>
  <c r="F15" i="170"/>
  <c r="F18" i="170"/>
  <c r="F21" i="170"/>
  <c r="F24" i="170"/>
  <c r="F27" i="170"/>
  <c r="F30" i="170"/>
  <c r="F33" i="170"/>
  <c r="G9" i="170"/>
  <c r="G12" i="170"/>
  <c r="G15" i="170"/>
  <c r="G18" i="170"/>
  <c r="G21" i="170"/>
  <c r="G24" i="170"/>
  <c r="G27" i="170"/>
  <c r="G30" i="170"/>
  <c r="G33" i="170"/>
  <c r="K34" i="169"/>
  <c r="K31" i="169"/>
  <c r="K28" i="169"/>
  <c r="K25" i="169"/>
  <c r="K22" i="169"/>
  <c r="K19" i="169"/>
  <c r="K16" i="169"/>
  <c r="K13" i="169"/>
  <c r="K10" i="169"/>
  <c r="K7" i="169"/>
  <c r="K9" i="169"/>
  <c r="L35" i="169"/>
  <c r="L32" i="169"/>
  <c r="L29" i="169"/>
  <c r="L26" i="169"/>
  <c r="L23" i="169"/>
  <c r="L20" i="169"/>
  <c r="L9" i="169"/>
  <c r="K17" i="169"/>
  <c r="M29" i="169"/>
  <c r="M23" i="169"/>
  <c r="L17" i="169"/>
  <c r="K18" i="169"/>
  <c r="K26" i="169"/>
  <c r="K27" i="169"/>
  <c r="K35" i="169"/>
  <c r="K36" i="169"/>
  <c r="N35" i="169"/>
  <c r="N32" i="169"/>
  <c r="N29" i="169"/>
  <c r="N26" i="169"/>
  <c r="N23" i="169"/>
  <c r="N20" i="169"/>
  <c r="N17" i="169"/>
  <c r="N14" i="169"/>
  <c r="N11" i="169"/>
  <c r="N8" i="169"/>
  <c r="N9" i="169"/>
  <c r="L10" i="169"/>
  <c r="L18" i="169"/>
  <c r="L19" i="169"/>
  <c r="L27" i="169"/>
  <c r="L28" i="169"/>
  <c r="L36" i="169"/>
  <c r="C35" i="169"/>
  <c r="C32" i="169"/>
  <c r="C29" i="169"/>
  <c r="C26" i="169"/>
  <c r="C23" i="169"/>
  <c r="C20" i="169"/>
  <c r="C17" i="169"/>
  <c r="C14" i="169"/>
  <c r="C11" i="169"/>
  <c r="C8" i="169"/>
  <c r="O35" i="169"/>
  <c r="O32" i="169"/>
  <c r="O29" i="169"/>
  <c r="O26" i="169"/>
  <c r="O23" i="169"/>
  <c r="O20" i="169"/>
  <c r="O17" i="169"/>
  <c r="O14" i="169"/>
  <c r="O11" i="169"/>
  <c r="O8" i="169"/>
  <c r="O9" i="169"/>
  <c r="C12" i="169"/>
  <c r="K14" i="169"/>
  <c r="M27" i="169"/>
  <c r="D36" i="169"/>
  <c r="D33" i="169"/>
  <c r="D30" i="169"/>
  <c r="D27" i="169"/>
  <c r="D24" i="169"/>
  <c r="D21" i="169"/>
  <c r="D18" i="169"/>
  <c r="P36" i="169"/>
  <c r="P33" i="169"/>
  <c r="P30" i="169"/>
  <c r="P27" i="169"/>
  <c r="P24" i="169"/>
  <c r="P21" i="169"/>
  <c r="P18" i="169"/>
  <c r="P9" i="169"/>
  <c r="N10" i="169"/>
  <c r="D12" i="169"/>
  <c r="L14" i="169"/>
  <c r="N18" i="169"/>
  <c r="N19" i="169"/>
  <c r="N27" i="169"/>
  <c r="N28" i="169"/>
  <c r="N36" i="169"/>
  <c r="L7" i="169"/>
  <c r="O10" i="169"/>
  <c r="C13" i="169"/>
  <c r="P14" i="169"/>
  <c r="K15" i="169"/>
  <c r="D17" i="169"/>
  <c r="O18" i="169"/>
  <c r="O19" i="169"/>
  <c r="K20" i="169"/>
  <c r="K21" i="169"/>
  <c r="C24" i="169"/>
  <c r="C25" i="169"/>
  <c r="O27" i="169"/>
  <c r="O28" i="169"/>
  <c r="K29" i="169"/>
  <c r="K30" i="169"/>
  <c r="C33" i="169"/>
  <c r="C34" i="169"/>
  <c r="O36" i="169"/>
  <c r="C9" i="169"/>
  <c r="P10" i="169"/>
  <c r="K11" i="169"/>
  <c r="D13" i="169"/>
  <c r="L15" i="169"/>
  <c r="P19" i="169"/>
  <c r="P20" i="169"/>
  <c r="L21" i="169"/>
  <c r="L22" i="169"/>
  <c r="D25" i="169"/>
  <c r="D26" i="169"/>
  <c r="P28" i="169"/>
  <c r="P29" i="169"/>
  <c r="L30" i="169"/>
  <c r="L31" i="169"/>
  <c r="D34" i="169"/>
  <c r="D35" i="169"/>
  <c r="N7" i="169"/>
  <c r="D9" i="169"/>
  <c r="L11" i="169"/>
  <c r="M15" i="169"/>
  <c r="H34" i="169"/>
  <c r="H31" i="169"/>
  <c r="H28" i="169"/>
  <c r="H25" i="169"/>
  <c r="H22" i="169"/>
  <c r="H19" i="169"/>
  <c r="T34" i="169"/>
  <c r="T31" i="169"/>
  <c r="T28" i="169"/>
  <c r="T25" i="169"/>
  <c r="T22" i="169"/>
  <c r="T19" i="169"/>
  <c r="O7" i="169"/>
  <c r="J8" i="169"/>
  <c r="H9" i="169"/>
  <c r="C10" i="169"/>
  <c r="P11" i="169"/>
  <c r="K12" i="169"/>
  <c r="D14" i="169"/>
  <c r="N15" i="169"/>
  <c r="L16" i="169"/>
  <c r="N21" i="169"/>
  <c r="N22" i="169"/>
  <c r="J23" i="169"/>
  <c r="J24" i="169"/>
  <c r="N30" i="169"/>
  <c r="N31" i="169"/>
  <c r="J32" i="169"/>
  <c r="I34" i="169"/>
  <c r="I31" i="169"/>
  <c r="I28" i="169"/>
  <c r="I25" i="169"/>
  <c r="I22" i="169"/>
  <c r="I19" i="169"/>
  <c r="I16" i="169"/>
  <c r="I13" i="169"/>
  <c r="I10" i="169"/>
  <c r="I7" i="169"/>
  <c r="P7" i="169"/>
  <c r="K8" i="169"/>
  <c r="I9" i="169"/>
  <c r="D10" i="169"/>
  <c r="L12" i="169"/>
  <c r="O15" i="169"/>
  <c r="C18" i="169"/>
  <c r="C19" i="169"/>
  <c r="O21" i="169"/>
  <c r="O22" i="169"/>
  <c r="K23" i="169"/>
  <c r="K24" i="169"/>
  <c r="C27" i="169"/>
  <c r="C28" i="169"/>
  <c r="O30" i="169"/>
  <c r="O31" i="169"/>
  <c r="K32" i="169"/>
  <c r="K33" i="169"/>
  <c r="C36" i="169"/>
  <c r="J34" i="169"/>
  <c r="J31" i="169"/>
  <c r="J28" i="169"/>
  <c r="J25" i="169"/>
  <c r="J22" i="169"/>
  <c r="J19" i="169"/>
  <c r="J16" i="169"/>
  <c r="J13" i="169"/>
  <c r="J10" i="169"/>
  <c r="J7" i="169"/>
  <c r="L8" i="169"/>
  <c r="J9" i="169"/>
  <c r="P15" i="169"/>
  <c r="N16" i="169"/>
  <c r="I17" i="169"/>
  <c r="D19" i="169"/>
  <c r="D20" i="169"/>
  <c r="P22" i="169"/>
  <c r="P23" i="169"/>
  <c r="L24" i="169"/>
  <c r="L25" i="169"/>
  <c r="D28" i="169"/>
  <c r="D29" i="169"/>
  <c r="P31" i="169"/>
  <c r="P32" i="169"/>
  <c r="L33" i="169"/>
  <c r="L34" i="169"/>
  <c r="E9" i="169"/>
  <c r="Q9" i="169"/>
  <c r="E12" i="169"/>
  <c r="Q12" i="169"/>
  <c r="E15" i="169"/>
  <c r="Q15" i="169"/>
  <c r="E18" i="169"/>
  <c r="Q18" i="169"/>
  <c r="E21" i="169"/>
  <c r="Q21" i="169"/>
  <c r="E24" i="169"/>
  <c r="Q24" i="169"/>
  <c r="E27" i="169"/>
  <c r="Q27" i="169"/>
  <c r="E30" i="169"/>
  <c r="Q30" i="169"/>
  <c r="E33" i="169"/>
  <c r="Q33" i="169"/>
  <c r="F9" i="169"/>
  <c r="F12" i="169"/>
  <c r="F15" i="169"/>
  <c r="F18" i="169"/>
  <c r="F21" i="169"/>
  <c r="F24" i="169"/>
  <c r="F27" i="169"/>
  <c r="F30" i="169"/>
  <c r="F33" i="169"/>
  <c r="G9" i="169"/>
  <c r="G12" i="169"/>
  <c r="S12" i="169"/>
  <c r="G15" i="169"/>
  <c r="G18" i="169"/>
  <c r="S18" i="169"/>
  <c r="G21" i="169"/>
  <c r="G24" i="169"/>
  <c r="S24" i="169"/>
  <c r="G27" i="169"/>
  <c r="G30" i="169"/>
  <c r="S30" i="169"/>
  <c r="G33" i="169"/>
  <c r="L35" i="168"/>
  <c r="L32" i="168"/>
  <c r="L29" i="168"/>
  <c r="L26" i="168"/>
  <c r="L23" i="168"/>
  <c r="L20" i="168"/>
  <c r="L9" i="168"/>
  <c r="L17" i="168"/>
  <c r="N35" i="168"/>
  <c r="N32" i="168"/>
  <c r="N29" i="168"/>
  <c r="N26" i="168"/>
  <c r="N23" i="168"/>
  <c r="N20" i="168"/>
  <c r="N17" i="168"/>
  <c r="N14" i="168"/>
  <c r="N11" i="168"/>
  <c r="N8" i="168"/>
  <c r="N9" i="168"/>
  <c r="L10" i="168"/>
  <c r="C35" i="168"/>
  <c r="C32" i="168"/>
  <c r="C29" i="168"/>
  <c r="C26" i="168"/>
  <c r="C23" i="168"/>
  <c r="C20" i="168"/>
  <c r="C17" i="168"/>
  <c r="C14" i="168"/>
  <c r="C11" i="168"/>
  <c r="C8" i="168"/>
  <c r="O32" i="168"/>
  <c r="O20" i="168"/>
  <c r="O8" i="168"/>
  <c r="C12" i="168"/>
  <c r="L18" i="168"/>
  <c r="L27" i="168"/>
  <c r="L28" i="168"/>
  <c r="L36" i="168"/>
  <c r="D36" i="168"/>
  <c r="D33" i="168"/>
  <c r="D30" i="168"/>
  <c r="D27" i="168"/>
  <c r="D24" i="168"/>
  <c r="D21" i="168"/>
  <c r="P36" i="168"/>
  <c r="P33" i="168"/>
  <c r="P30" i="168"/>
  <c r="P27" i="168"/>
  <c r="P24" i="168"/>
  <c r="P21" i="168"/>
  <c r="P18" i="168"/>
  <c r="P9" i="168"/>
  <c r="N10" i="168"/>
  <c r="D12" i="168"/>
  <c r="L14" i="168"/>
  <c r="L7" i="168"/>
  <c r="C13" i="168"/>
  <c r="P14" i="168"/>
  <c r="D17" i="168"/>
  <c r="N18" i="168"/>
  <c r="N19" i="168"/>
  <c r="N27" i="168"/>
  <c r="N28" i="168"/>
  <c r="N36" i="168"/>
  <c r="C9" i="168"/>
  <c r="P10" i="168"/>
  <c r="D13" i="168"/>
  <c r="L15" i="168"/>
  <c r="C24" i="168"/>
  <c r="C25" i="168"/>
  <c r="C33" i="168"/>
  <c r="C34" i="168"/>
  <c r="N7" i="168"/>
  <c r="D9" i="168"/>
  <c r="L11" i="168"/>
  <c r="P19" i="168"/>
  <c r="P20" i="168"/>
  <c r="L21" i="168"/>
  <c r="L22" i="168"/>
  <c r="D25" i="168"/>
  <c r="D26" i="168"/>
  <c r="P28" i="168"/>
  <c r="P29" i="168"/>
  <c r="L30" i="168"/>
  <c r="L31" i="168"/>
  <c r="D34" i="168"/>
  <c r="D35" i="168"/>
  <c r="H34" i="168"/>
  <c r="H31" i="168"/>
  <c r="H28" i="168"/>
  <c r="H25" i="168"/>
  <c r="H22" i="168"/>
  <c r="H19" i="168"/>
  <c r="T34" i="168"/>
  <c r="T31" i="168"/>
  <c r="T28" i="168"/>
  <c r="T25" i="168"/>
  <c r="T22" i="168"/>
  <c r="T19" i="168"/>
  <c r="H9" i="168"/>
  <c r="C10" i="168"/>
  <c r="P11" i="168"/>
  <c r="D14" i="168"/>
  <c r="N15" i="168"/>
  <c r="L16" i="168"/>
  <c r="I34" i="168"/>
  <c r="I31" i="168"/>
  <c r="I28" i="168"/>
  <c r="I25" i="168"/>
  <c r="I22" i="168"/>
  <c r="I19" i="168"/>
  <c r="I16" i="168"/>
  <c r="I13" i="168"/>
  <c r="I10" i="168"/>
  <c r="I7" i="168"/>
  <c r="U16" i="168"/>
  <c r="P7" i="168"/>
  <c r="I9" i="168"/>
  <c r="D10" i="168"/>
  <c r="L12" i="168"/>
  <c r="T14" i="168"/>
  <c r="O15" i="168"/>
  <c r="H17" i="168"/>
  <c r="C18" i="168"/>
  <c r="N21" i="168"/>
  <c r="N22" i="168"/>
  <c r="J23" i="168"/>
  <c r="J24" i="168"/>
  <c r="N30" i="168"/>
  <c r="N31" i="168"/>
  <c r="J32" i="168"/>
  <c r="J34" i="168"/>
  <c r="J31" i="168"/>
  <c r="J28" i="168"/>
  <c r="J25" i="168"/>
  <c r="J22" i="168"/>
  <c r="J19" i="168"/>
  <c r="J16" i="168"/>
  <c r="J13" i="168"/>
  <c r="J10" i="168"/>
  <c r="J7" i="168"/>
  <c r="V34" i="168"/>
  <c r="L8" i="168"/>
  <c r="J9" i="168"/>
  <c r="T10" i="168"/>
  <c r="H13" i="168"/>
  <c r="P15" i="168"/>
  <c r="N16" i="168"/>
  <c r="D18" i="168"/>
  <c r="C19" i="168"/>
  <c r="C27" i="168"/>
  <c r="C28" i="168"/>
  <c r="C36" i="168"/>
  <c r="L19" i="168"/>
  <c r="K34" i="168"/>
  <c r="K31" i="168"/>
  <c r="K28" i="168"/>
  <c r="K25" i="168"/>
  <c r="K22" i="168"/>
  <c r="K19" i="168"/>
  <c r="K16" i="168"/>
  <c r="K13" i="168"/>
  <c r="K10" i="168"/>
  <c r="K7" i="168"/>
  <c r="C7" i="168"/>
  <c r="P8" i="168"/>
  <c r="K9" i="168"/>
  <c r="D11" i="168"/>
  <c r="N12" i="168"/>
  <c r="L13" i="168"/>
  <c r="V14" i="168"/>
  <c r="T15" i="168"/>
  <c r="J17" i="168"/>
  <c r="H18" i="168"/>
  <c r="D19" i="168"/>
  <c r="D20" i="168"/>
  <c r="T20" i="168"/>
  <c r="T21" i="168"/>
  <c r="P22" i="168"/>
  <c r="P23" i="168"/>
  <c r="L24" i="168"/>
  <c r="L25" i="168"/>
  <c r="H26" i="168"/>
  <c r="H27" i="168"/>
  <c r="D28" i="168"/>
  <c r="D29" i="168"/>
  <c r="T29" i="168"/>
  <c r="T30" i="168"/>
  <c r="P31" i="168"/>
  <c r="P32" i="168"/>
  <c r="L33" i="168"/>
  <c r="L34" i="168"/>
  <c r="H35" i="168"/>
  <c r="H36" i="168"/>
  <c r="E9" i="168"/>
  <c r="Q9" i="168"/>
  <c r="E12" i="168"/>
  <c r="Q12" i="168"/>
  <c r="E15" i="168"/>
  <c r="Q15" i="168"/>
  <c r="E18" i="168"/>
  <c r="Q18" i="168"/>
  <c r="E21" i="168"/>
  <c r="Q21" i="168"/>
  <c r="E24" i="168"/>
  <c r="Q24" i="168"/>
  <c r="E27" i="168"/>
  <c r="Q27" i="168"/>
  <c r="E30" i="168"/>
  <c r="Q30" i="168"/>
  <c r="E33" i="168"/>
  <c r="Q33" i="168"/>
  <c r="F9" i="168"/>
  <c r="F12" i="168"/>
  <c r="F15" i="168"/>
  <c r="F18" i="168"/>
  <c r="F21" i="168"/>
  <c r="F24" i="168"/>
  <c r="F27" i="168"/>
  <c r="F30" i="168"/>
  <c r="F33" i="168"/>
  <c r="G9" i="168"/>
  <c r="G12" i="168"/>
  <c r="S12" i="168"/>
  <c r="G15" i="168"/>
  <c r="G18" i="168"/>
  <c r="S18" i="168"/>
  <c r="G21" i="168"/>
  <c r="G24" i="168"/>
  <c r="S24" i="168"/>
  <c r="G27" i="168"/>
  <c r="G30" i="168"/>
  <c r="S30" i="168"/>
  <c r="G33" i="168"/>
  <c r="AA37" i="167"/>
  <c r="AM37" i="167"/>
  <c r="AB37" i="167"/>
  <c r="AN37" i="167"/>
  <c r="AK37" i="167"/>
  <c r="AH37" i="167"/>
  <c r="W37" i="167"/>
  <c r="AI37" i="167"/>
  <c r="X37" i="167"/>
  <c r="AJ37" i="167"/>
  <c r="Z37" i="167"/>
  <c r="AL37" i="167"/>
  <c r="AD37" i="167"/>
  <c r="AP37" i="167"/>
  <c r="E33" i="166"/>
  <c r="E25" i="166"/>
  <c r="E21" i="166"/>
  <c r="E7" i="166"/>
  <c r="E29" i="166"/>
  <c r="E12" i="166"/>
  <c r="E17" i="166"/>
  <c r="E13" i="166"/>
  <c r="E36" i="166"/>
  <c r="E36" i="167" s="1"/>
  <c r="E28" i="166"/>
  <c r="E24" i="166"/>
  <c r="E9" i="166"/>
  <c r="E27" i="166"/>
  <c r="E19" i="166"/>
  <c r="E16" i="166"/>
  <c r="E35" i="166"/>
  <c r="E32" i="166"/>
  <c r="E20" i="166"/>
  <c r="E14" i="166"/>
  <c r="E31" i="166"/>
  <c r="E11" i="166"/>
  <c r="E23" i="166"/>
  <c r="Q34" i="166"/>
  <c r="Q30" i="166"/>
  <c r="Q22" i="166"/>
  <c r="Q18" i="166"/>
  <c r="Q10" i="166"/>
  <c r="Q26" i="166"/>
  <c r="Q15" i="166"/>
  <c r="Q7" i="166"/>
  <c r="Q33" i="166"/>
  <c r="Q25" i="166"/>
  <c r="Q21" i="166"/>
  <c r="Q12" i="166"/>
  <c r="Q9" i="166"/>
  <c r="Q28" i="166"/>
  <c r="Q14" i="166"/>
  <c r="Q20" i="166"/>
  <c r="Q29" i="166"/>
  <c r="Q17" i="166"/>
  <c r="Q36" i="166"/>
  <c r="Q24" i="166"/>
  <c r="Q32" i="166"/>
  <c r="Q13" i="166"/>
  <c r="D26" i="166"/>
  <c r="D10" i="166"/>
  <c r="E26" i="166"/>
  <c r="P27" i="166"/>
  <c r="E10" i="166"/>
  <c r="E15" i="166"/>
  <c r="Q27" i="166"/>
  <c r="D8" i="166"/>
  <c r="P34" i="166"/>
  <c r="P30" i="166"/>
  <c r="P22" i="166"/>
  <c r="P18" i="166"/>
  <c r="P10" i="166"/>
  <c r="P26" i="166"/>
  <c r="P15" i="166"/>
  <c r="P32" i="166"/>
  <c r="P20" i="166"/>
  <c r="P7" i="166"/>
  <c r="P29" i="166"/>
  <c r="P9" i="166"/>
  <c r="P28" i="166"/>
  <c r="P14" i="166"/>
  <c r="P33" i="166"/>
  <c r="P25" i="166"/>
  <c r="P21" i="166"/>
  <c r="P12" i="166"/>
  <c r="P17" i="166"/>
  <c r="P36" i="166"/>
  <c r="P24" i="166"/>
  <c r="P13" i="166"/>
  <c r="E8" i="166"/>
  <c r="P11" i="166"/>
  <c r="Q16" i="166"/>
  <c r="D18" i="166"/>
  <c r="P23" i="166"/>
  <c r="D15" i="166"/>
  <c r="D33" i="166"/>
  <c r="D25" i="166"/>
  <c r="D21" i="166"/>
  <c r="D7" i="166"/>
  <c r="D29" i="166"/>
  <c r="D12" i="166"/>
  <c r="D35" i="166"/>
  <c r="D23" i="166"/>
  <c r="D17" i="166"/>
  <c r="D20" i="166"/>
  <c r="D14" i="166"/>
  <c r="D27" i="166"/>
  <c r="D19" i="166"/>
  <c r="D16" i="166"/>
  <c r="D36" i="166"/>
  <c r="D28" i="166"/>
  <c r="D24" i="166"/>
  <c r="D9" i="166"/>
  <c r="D32" i="166"/>
  <c r="D31" i="166"/>
  <c r="D11" i="166"/>
  <c r="Q11" i="166"/>
  <c r="E22" i="166"/>
  <c r="P19" i="166"/>
  <c r="E34" i="166"/>
  <c r="Q35" i="166"/>
  <c r="Q19" i="166"/>
  <c r="D30" i="166"/>
  <c r="D13" i="166"/>
  <c r="E18" i="166"/>
  <c r="Q23" i="166"/>
  <c r="D34" i="166"/>
  <c r="P35" i="166"/>
  <c r="N35" i="166"/>
  <c r="N32" i="166"/>
  <c r="N29" i="166"/>
  <c r="N26" i="166"/>
  <c r="N23" i="166"/>
  <c r="N20" i="166"/>
  <c r="N31" i="166"/>
  <c r="N19" i="166"/>
  <c r="N8" i="166"/>
  <c r="N13" i="166"/>
  <c r="N30" i="166"/>
  <c r="N18" i="166"/>
  <c r="N36" i="166"/>
  <c r="N24" i="166"/>
  <c r="N14" i="166"/>
  <c r="N34" i="166"/>
  <c r="N22" i="166"/>
  <c r="N15" i="166"/>
  <c r="N10" i="166"/>
  <c r="N33" i="166"/>
  <c r="N21" i="166"/>
  <c r="N12" i="166"/>
  <c r="N25" i="166"/>
  <c r="N17" i="166"/>
  <c r="N7" i="166"/>
  <c r="N9" i="166"/>
  <c r="P8" i="166"/>
  <c r="N28" i="166"/>
  <c r="E30" i="166"/>
  <c r="P31" i="166"/>
  <c r="F8" i="166"/>
  <c r="F23" i="166"/>
  <c r="L10" i="166"/>
  <c r="T11" i="166"/>
  <c r="F16" i="166"/>
  <c r="L22" i="166"/>
  <c r="H27" i="166"/>
  <c r="K30" i="166"/>
  <c r="L34" i="166"/>
  <c r="I8" i="166"/>
  <c r="H16" i="166"/>
  <c r="L18" i="166"/>
  <c r="H19" i="166"/>
  <c r="T20" i="166"/>
  <c r="H23" i="166"/>
  <c r="L26" i="166"/>
  <c r="I27" i="166"/>
  <c r="T28" i="166"/>
  <c r="L30" i="166"/>
  <c r="H31" i="166"/>
  <c r="T32" i="166"/>
  <c r="H35" i="166"/>
  <c r="F36" i="166"/>
  <c r="F33" i="166"/>
  <c r="F30" i="166"/>
  <c r="F27" i="166"/>
  <c r="F24" i="166"/>
  <c r="F21" i="166"/>
  <c r="F18" i="166"/>
  <c r="F13" i="166"/>
  <c r="F35" i="166"/>
  <c r="H8" i="166"/>
  <c r="F11" i="166"/>
  <c r="L15" i="166"/>
  <c r="T24" i="166"/>
  <c r="F31" i="166"/>
  <c r="T36" i="166"/>
  <c r="J34" i="166"/>
  <c r="J31" i="166"/>
  <c r="J28" i="166"/>
  <c r="J25" i="166"/>
  <c r="J22" i="166"/>
  <c r="J19" i="166"/>
  <c r="J8" i="166"/>
  <c r="T9" i="166"/>
  <c r="H11" i="166"/>
  <c r="L13" i="166"/>
  <c r="F14" i="166"/>
  <c r="T14" i="166"/>
  <c r="F20" i="166"/>
  <c r="J27" i="166"/>
  <c r="F32" i="166"/>
  <c r="K34" i="166"/>
  <c r="K31" i="166"/>
  <c r="K28" i="166"/>
  <c r="K25" i="166"/>
  <c r="K22" i="166"/>
  <c r="K19" i="166"/>
  <c r="K16" i="166"/>
  <c r="K13" i="166"/>
  <c r="K10" i="166"/>
  <c r="K7" i="166"/>
  <c r="K35" i="166"/>
  <c r="K32" i="166"/>
  <c r="K29" i="166"/>
  <c r="K26" i="166"/>
  <c r="K23" i="166"/>
  <c r="K20" i="166"/>
  <c r="K17" i="166"/>
  <c r="K14" i="166"/>
  <c r="K11" i="166"/>
  <c r="K8" i="166"/>
  <c r="F9" i="166"/>
  <c r="K27" i="166"/>
  <c r="F28" i="166"/>
  <c r="L16" i="166"/>
  <c r="F17" i="166"/>
  <c r="L23" i="166"/>
  <c r="T25" i="166"/>
  <c r="L27" i="166"/>
  <c r="H28" i="166"/>
  <c r="T29" i="166"/>
  <c r="L35" i="166"/>
  <c r="F12" i="166"/>
  <c r="I20" i="166"/>
  <c r="J24" i="166"/>
  <c r="I28" i="166"/>
  <c r="F29" i="166"/>
  <c r="J36" i="166"/>
  <c r="G7" i="166"/>
  <c r="C9" i="166"/>
  <c r="G10" i="166"/>
  <c r="C12" i="166"/>
  <c r="G13" i="166"/>
  <c r="C15" i="166"/>
  <c r="G16" i="166"/>
  <c r="C18" i="166"/>
  <c r="G19" i="166"/>
  <c r="C21" i="166"/>
  <c r="G22" i="166"/>
  <c r="C24" i="166"/>
  <c r="G25" i="166"/>
  <c r="C27" i="166"/>
  <c r="G28" i="166"/>
  <c r="C30" i="166"/>
  <c r="G31" i="166"/>
  <c r="C33" i="166"/>
  <c r="G34" i="166"/>
  <c r="C36" i="166"/>
  <c r="C8" i="166"/>
  <c r="G9" i="166"/>
  <c r="C11" i="166"/>
  <c r="G12" i="166"/>
  <c r="C14" i="166"/>
  <c r="G15" i="166"/>
  <c r="C17" i="166"/>
  <c r="G18" i="166"/>
  <c r="C20" i="166"/>
  <c r="G21" i="166"/>
  <c r="S21" i="166"/>
  <c r="C23" i="166"/>
  <c r="G24" i="166"/>
  <c r="C26" i="166"/>
  <c r="G27" i="166"/>
  <c r="C29" i="166"/>
  <c r="G30" i="166"/>
  <c r="C32" i="166"/>
  <c r="G33" i="166"/>
  <c r="H34" i="165"/>
  <c r="H31" i="165"/>
  <c r="H28" i="165"/>
  <c r="H25" i="165"/>
  <c r="H22" i="165"/>
  <c r="H19" i="165"/>
  <c r="H16" i="165"/>
  <c r="H13" i="165"/>
  <c r="H10" i="165"/>
  <c r="H7" i="165"/>
  <c r="T34" i="165"/>
  <c r="T31" i="165"/>
  <c r="T28" i="165"/>
  <c r="T25" i="165"/>
  <c r="T22" i="165"/>
  <c r="T19" i="165"/>
  <c r="T16" i="165"/>
  <c r="T13" i="165"/>
  <c r="T10" i="165"/>
  <c r="T7" i="165"/>
  <c r="H20" i="165"/>
  <c r="H27" i="165"/>
  <c r="T35" i="165"/>
  <c r="I34" i="165"/>
  <c r="I31" i="165"/>
  <c r="I28" i="165"/>
  <c r="I25" i="165"/>
  <c r="I22" i="165"/>
  <c r="I19" i="165"/>
  <c r="I16" i="165"/>
  <c r="I13" i="165"/>
  <c r="I10" i="165"/>
  <c r="I7" i="165"/>
  <c r="T9" i="165"/>
  <c r="I20" i="165"/>
  <c r="H23" i="165"/>
  <c r="I27" i="165"/>
  <c r="J34" i="165"/>
  <c r="J31" i="165"/>
  <c r="J28" i="165"/>
  <c r="J25" i="165"/>
  <c r="J22" i="165"/>
  <c r="J19" i="165"/>
  <c r="J16" i="165"/>
  <c r="J13" i="165"/>
  <c r="J10" i="165"/>
  <c r="J7" i="165"/>
  <c r="V16" i="165"/>
  <c r="T12" i="165"/>
  <c r="J20" i="165"/>
  <c r="I23" i="165"/>
  <c r="H26" i="165"/>
  <c r="J27" i="165"/>
  <c r="I30" i="165"/>
  <c r="H33" i="165"/>
  <c r="K34" i="165"/>
  <c r="K31" i="165"/>
  <c r="K28" i="165"/>
  <c r="K25" i="165"/>
  <c r="K22" i="165"/>
  <c r="K19" i="165"/>
  <c r="K16" i="165"/>
  <c r="K13" i="165"/>
  <c r="K10" i="165"/>
  <c r="K7" i="165"/>
  <c r="K35" i="165"/>
  <c r="K32" i="165"/>
  <c r="K29" i="165"/>
  <c r="K26" i="165"/>
  <c r="K23" i="165"/>
  <c r="K20" i="165"/>
  <c r="K17" i="165"/>
  <c r="K14" i="165"/>
  <c r="K11" i="165"/>
  <c r="K8" i="165"/>
  <c r="T8" i="165"/>
  <c r="T15" i="165"/>
  <c r="J23" i="165"/>
  <c r="I26" i="165"/>
  <c r="K27" i="165"/>
  <c r="H29" i="165"/>
  <c r="J30" i="165"/>
  <c r="I33" i="165"/>
  <c r="L35" i="165"/>
  <c r="L32" i="165"/>
  <c r="L29" i="165"/>
  <c r="L26" i="165"/>
  <c r="L23" i="165"/>
  <c r="L20" i="165"/>
  <c r="L17" i="165"/>
  <c r="L14" i="165"/>
  <c r="L11" i="165"/>
  <c r="L8" i="165"/>
  <c r="T11" i="165"/>
  <c r="T18" i="165"/>
  <c r="J26" i="165"/>
  <c r="L27" i="165"/>
  <c r="I29" i="165"/>
  <c r="K30" i="165"/>
  <c r="L31" i="165"/>
  <c r="H32" i="165"/>
  <c r="J33" i="165"/>
  <c r="I36" i="165"/>
  <c r="M35" i="165"/>
  <c r="M32" i="165"/>
  <c r="M26" i="165"/>
  <c r="M23" i="165"/>
  <c r="M20" i="165"/>
  <c r="M14" i="165"/>
  <c r="M11" i="165"/>
  <c r="M8" i="165"/>
  <c r="V8" i="165"/>
  <c r="T14" i="165"/>
  <c r="T21" i="165"/>
  <c r="J29" i="165"/>
  <c r="L30" i="165"/>
  <c r="M31" i="165"/>
  <c r="I32" i="165"/>
  <c r="K33" i="165"/>
  <c r="L34" i="165"/>
  <c r="H35" i="165"/>
  <c r="J36" i="165"/>
  <c r="N35" i="165"/>
  <c r="N32" i="165"/>
  <c r="N29" i="165"/>
  <c r="N26" i="165"/>
  <c r="N23" i="165"/>
  <c r="N20" i="165"/>
  <c r="N17" i="165"/>
  <c r="N14" i="165"/>
  <c r="N11" i="165"/>
  <c r="N8" i="165"/>
  <c r="N36" i="165"/>
  <c r="H9" i="165"/>
  <c r="T17" i="165"/>
  <c r="T24" i="165"/>
  <c r="N27" i="165"/>
  <c r="M30" i="165"/>
  <c r="N31" i="165"/>
  <c r="J32" i="165"/>
  <c r="L33" i="165"/>
  <c r="M34" i="165"/>
  <c r="I35" i="165"/>
  <c r="K36" i="165"/>
  <c r="H30" i="165"/>
  <c r="I9" i="165"/>
  <c r="H12" i="165"/>
  <c r="T20" i="165"/>
  <c r="T27" i="165"/>
  <c r="J35" i="165"/>
  <c r="L36" i="165"/>
  <c r="L7" i="165"/>
  <c r="H8" i="165"/>
  <c r="J9" i="165"/>
  <c r="I12" i="165"/>
  <c r="H15" i="165"/>
  <c r="T23" i="165"/>
  <c r="V24" i="165"/>
  <c r="T30" i="165"/>
  <c r="H36" i="165"/>
  <c r="M7" i="165"/>
  <c r="I8" i="165"/>
  <c r="K9" i="165"/>
  <c r="L10" i="165"/>
  <c r="H11" i="165"/>
  <c r="J12" i="165"/>
  <c r="I15" i="165"/>
  <c r="H18" i="165"/>
  <c r="T26" i="165"/>
  <c r="V27" i="165"/>
  <c r="T33" i="165"/>
  <c r="T36" i="165"/>
  <c r="C9" i="165"/>
  <c r="C12" i="165"/>
  <c r="C15" i="165"/>
  <c r="C18" i="165"/>
  <c r="C21" i="165"/>
  <c r="C24" i="165"/>
  <c r="C27" i="165"/>
  <c r="C30" i="165"/>
  <c r="C33" i="165"/>
  <c r="C36" i="165"/>
  <c r="D9" i="165"/>
  <c r="P9" i="165"/>
  <c r="D12" i="165"/>
  <c r="P12" i="165"/>
  <c r="D15" i="165"/>
  <c r="P15" i="165"/>
  <c r="D18" i="165"/>
  <c r="P18" i="165"/>
  <c r="D21" i="165"/>
  <c r="P21" i="165"/>
  <c r="D24" i="165"/>
  <c r="P24" i="165"/>
  <c r="D27" i="165"/>
  <c r="P27" i="165"/>
  <c r="D30" i="165"/>
  <c r="P30" i="165"/>
  <c r="D33" i="165"/>
  <c r="P33" i="165"/>
  <c r="E9" i="165"/>
  <c r="Q9" i="165"/>
  <c r="E12" i="165"/>
  <c r="Q12" i="165"/>
  <c r="E15" i="165"/>
  <c r="Q15" i="165"/>
  <c r="E18" i="165"/>
  <c r="Q18" i="165"/>
  <c r="E21" i="165"/>
  <c r="Q21" i="165"/>
  <c r="E24" i="165"/>
  <c r="Q24" i="165"/>
  <c r="E27" i="165"/>
  <c r="Q27" i="165"/>
  <c r="E30" i="165"/>
  <c r="Q30" i="165"/>
  <c r="E33" i="165"/>
  <c r="Q33" i="165"/>
  <c r="F9" i="165"/>
  <c r="F12" i="165"/>
  <c r="F15" i="165"/>
  <c r="F18" i="165"/>
  <c r="F21" i="165"/>
  <c r="F24" i="165"/>
  <c r="F27" i="165"/>
  <c r="F30" i="165"/>
  <c r="F33" i="165"/>
  <c r="C8" i="165"/>
  <c r="G9" i="165"/>
  <c r="C11" i="165"/>
  <c r="G12" i="165"/>
  <c r="C14" i="165"/>
  <c r="G15" i="165"/>
  <c r="C17" i="165"/>
  <c r="G18" i="165"/>
  <c r="C20" i="165"/>
  <c r="G21" i="165"/>
  <c r="C23" i="165"/>
  <c r="O23" i="165"/>
  <c r="G24" i="165"/>
  <c r="C26" i="165"/>
  <c r="G27" i="165"/>
  <c r="C29" i="165"/>
  <c r="G30" i="165"/>
  <c r="C32" i="165"/>
  <c r="G33" i="165"/>
  <c r="M29" i="164"/>
  <c r="M26" i="164"/>
  <c r="M20" i="164"/>
  <c r="M14" i="164"/>
  <c r="M8" i="164"/>
  <c r="T7" i="164"/>
  <c r="T8" i="164"/>
  <c r="I14" i="164"/>
  <c r="K15" i="164"/>
  <c r="H16" i="164"/>
  <c r="I18" i="164"/>
  <c r="K21" i="164"/>
  <c r="M22" i="164"/>
  <c r="I23" i="164"/>
  <c r="V30" i="164"/>
  <c r="T32" i="164"/>
  <c r="H36" i="164"/>
  <c r="D8" i="164"/>
  <c r="T12" i="164"/>
  <c r="L14" i="164"/>
  <c r="L15" i="164"/>
  <c r="L16" i="164"/>
  <c r="J18" i="164"/>
  <c r="L19" i="164"/>
  <c r="H20" i="164"/>
  <c r="L21" i="164"/>
  <c r="P23" i="164"/>
  <c r="T24" i="164"/>
  <c r="P25" i="164"/>
  <c r="I36" i="164"/>
  <c r="D9" i="164"/>
  <c r="D10" i="164"/>
  <c r="P13" i="164"/>
  <c r="H17" i="164"/>
  <c r="K18" i="164"/>
  <c r="M19" i="164"/>
  <c r="I20" i="164"/>
  <c r="M21" i="164"/>
  <c r="T29" i="164"/>
  <c r="D31" i="164"/>
  <c r="H33" i="164"/>
  <c r="J36" i="164"/>
  <c r="D36" i="164"/>
  <c r="D33" i="164"/>
  <c r="D30" i="164"/>
  <c r="D27" i="164"/>
  <c r="D24" i="164"/>
  <c r="D21" i="164"/>
  <c r="D18" i="164"/>
  <c r="P36" i="164"/>
  <c r="P33" i="164"/>
  <c r="P30" i="164"/>
  <c r="P27" i="164"/>
  <c r="P24" i="164"/>
  <c r="P21" i="164"/>
  <c r="P18" i="164"/>
  <c r="H7" i="164"/>
  <c r="H9" i="164"/>
  <c r="T10" i="164"/>
  <c r="T11" i="164"/>
  <c r="V12" i="164"/>
  <c r="P15" i="164"/>
  <c r="I17" i="164"/>
  <c r="L18" i="164"/>
  <c r="P20" i="164"/>
  <c r="T21" i="164"/>
  <c r="P22" i="164"/>
  <c r="T26" i="164"/>
  <c r="D28" i="164"/>
  <c r="I33" i="164"/>
  <c r="K36" i="164"/>
  <c r="L7" i="164"/>
  <c r="I9" i="164"/>
  <c r="D11" i="164"/>
  <c r="L17" i="164"/>
  <c r="M18" i="164"/>
  <c r="D29" i="164"/>
  <c r="H30" i="164"/>
  <c r="L34" i="164"/>
  <c r="H35" i="164"/>
  <c r="P17" i="164"/>
  <c r="I30" i="164"/>
  <c r="M34" i="164"/>
  <c r="M36" i="164"/>
  <c r="H34" i="164"/>
  <c r="H31" i="164"/>
  <c r="H25" i="164"/>
  <c r="H22" i="164"/>
  <c r="H19" i="164"/>
  <c r="T34" i="164"/>
  <c r="T31" i="164"/>
  <c r="T28" i="164"/>
  <c r="T25" i="164"/>
  <c r="T22" i="164"/>
  <c r="T19" i="164"/>
  <c r="T20" i="164"/>
  <c r="H24" i="164"/>
  <c r="H28" i="164"/>
  <c r="I34" i="164"/>
  <c r="I31" i="164"/>
  <c r="I28" i="164"/>
  <c r="I25" i="164"/>
  <c r="I22" i="164"/>
  <c r="I19" i="164"/>
  <c r="I16" i="164"/>
  <c r="I13" i="164"/>
  <c r="I10" i="164"/>
  <c r="I7" i="164"/>
  <c r="H11" i="164"/>
  <c r="I24" i="164"/>
  <c r="H29" i="164"/>
  <c r="T33" i="164"/>
  <c r="J34" i="164"/>
  <c r="J31" i="164"/>
  <c r="J28" i="164"/>
  <c r="J25" i="164"/>
  <c r="J22" i="164"/>
  <c r="J19" i="164"/>
  <c r="J16" i="164"/>
  <c r="J13" i="164"/>
  <c r="J10" i="164"/>
  <c r="J7" i="164"/>
  <c r="J35" i="164"/>
  <c r="J32" i="164"/>
  <c r="J29" i="164"/>
  <c r="J26" i="164"/>
  <c r="J23" i="164"/>
  <c r="J20" i="164"/>
  <c r="J17" i="164"/>
  <c r="J14" i="164"/>
  <c r="J11" i="164"/>
  <c r="J8" i="164"/>
  <c r="V22" i="164"/>
  <c r="V35" i="164"/>
  <c r="V20" i="164"/>
  <c r="I11" i="164"/>
  <c r="H13" i="164"/>
  <c r="H15" i="164"/>
  <c r="T16" i="164"/>
  <c r="T17" i="164"/>
  <c r="H21" i="164"/>
  <c r="J24" i="164"/>
  <c r="H26" i="164"/>
  <c r="I29" i="164"/>
  <c r="K34" i="164"/>
  <c r="K31" i="164"/>
  <c r="K28" i="164"/>
  <c r="K25" i="164"/>
  <c r="K22" i="164"/>
  <c r="K19" i="164"/>
  <c r="K16" i="164"/>
  <c r="K13" i="164"/>
  <c r="K10" i="164"/>
  <c r="K7" i="164"/>
  <c r="K35" i="164"/>
  <c r="K32" i="164"/>
  <c r="K29" i="164"/>
  <c r="K26" i="164"/>
  <c r="K23" i="164"/>
  <c r="K20" i="164"/>
  <c r="K17" i="164"/>
  <c r="K14" i="164"/>
  <c r="K11" i="164"/>
  <c r="K8" i="164"/>
  <c r="T9" i="164"/>
  <c r="I15" i="164"/>
  <c r="I21" i="164"/>
  <c r="K24" i="164"/>
  <c r="I26" i="164"/>
  <c r="T30" i="164"/>
  <c r="T35" i="164"/>
  <c r="L35" i="164"/>
  <c r="L32" i="164"/>
  <c r="L29" i="164"/>
  <c r="L26" i="164"/>
  <c r="L23" i="164"/>
  <c r="L20" i="164"/>
  <c r="H14" i="164"/>
  <c r="J15" i="164"/>
  <c r="H18" i="164"/>
  <c r="J21" i="164"/>
  <c r="L22" i="164"/>
  <c r="H23" i="164"/>
  <c r="L24" i="164"/>
  <c r="T27" i="164"/>
  <c r="M7" i="164"/>
  <c r="H8" i="164"/>
  <c r="J9" i="164"/>
  <c r="D12" i="164"/>
  <c r="D13" i="164"/>
  <c r="P16" i="164"/>
  <c r="T18" i="164"/>
  <c r="P19" i="164"/>
  <c r="T23" i="164"/>
  <c r="D25" i="164"/>
  <c r="D26" i="164"/>
  <c r="I8" i="164"/>
  <c r="K9" i="164"/>
  <c r="H10" i="164"/>
  <c r="H12" i="164"/>
  <c r="T13" i="164"/>
  <c r="T14" i="164"/>
  <c r="I27" i="164"/>
  <c r="J30" i="164"/>
  <c r="L31" i="164"/>
  <c r="H32" i="164"/>
  <c r="L33" i="164"/>
  <c r="P35" i="164"/>
  <c r="T36" i="164"/>
  <c r="N9" i="164"/>
  <c r="N12" i="164"/>
  <c r="N15" i="164"/>
  <c r="N18" i="164"/>
  <c r="N21" i="164"/>
  <c r="N24" i="164"/>
  <c r="N27" i="164"/>
  <c r="N30" i="164"/>
  <c r="N33" i="164"/>
  <c r="N36" i="164"/>
  <c r="C9" i="164"/>
  <c r="C12" i="164"/>
  <c r="C15" i="164"/>
  <c r="C18" i="164"/>
  <c r="C21" i="164"/>
  <c r="C24" i="164"/>
  <c r="C27" i="164"/>
  <c r="C30" i="164"/>
  <c r="C33" i="164"/>
  <c r="C36" i="164"/>
  <c r="E9" i="164"/>
  <c r="Q9" i="164"/>
  <c r="E12" i="164"/>
  <c r="Q12" i="164"/>
  <c r="E15" i="164"/>
  <c r="Q15" i="164"/>
  <c r="E18" i="164"/>
  <c r="Q18" i="164"/>
  <c r="E21" i="164"/>
  <c r="Q21" i="164"/>
  <c r="E24" i="164"/>
  <c r="Q24" i="164"/>
  <c r="E27" i="164"/>
  <c r="Q27" i="164"/>
  <c r="E30" i="164"/>
  <c r="Q30" i="164"/>
  <c r="E33" i="164"/>
  <c r="Q33" i="164"/>
  <c r="N8" i="164"/>
  <c r="F9" i="164"/>
  <c r="N11" i="164"/>
  <c r="F12" i="164"/>
  <c r="N14" i="164"/>
  <c r="F15" i="164"/>
  <c r="N17" i="164"/>
  <c r="F18" i="164"/>
  <c r="N20" i="164"/>
  <c r="F21" i="164"/>
  <c r="N23" i="164"/>
  <c r="F24" i="164"/>
  <c r="N26" i="164"/>
  <c r="F27" i="164"/>
  <c r="N29" i="164"/>
  <c r="F30" i="164"/>
  <c r="N32" i="164"/>
  <c r="F33" i="164"/>
  <c r="C8" i="164"/>
  <c r="G9" i="164"/>
  <c r="C11" i="164"/>
  <c r="G12" i="164"/>
  <c r="C14" i="164"/>
  <c r="G15" i="164"/>
  <c r="C17" i="164"/>
  <c r="G18" i="164"/>
  <c r="C20" i="164"/>
  <c r="G21" i="164"/>
  <c r="C23" i="164"/>
  <c r="G24" i="164"/>
  <c r="C26" i="164"/>
  <c r="G27" i="164"/>
  <c r="C29" i="164"/>
  <c r="G30" i="164"/>
  <c r="C32" i="164"/>
  <c r="G33" i="164"/>
  <c r="L35" i="163"/>
  <c r="L32" i="163"/>
  <c r="L29" i="163"/>
  <c r="L26" i="163"/>
  <c r="L23" i="163"/>
  <c r="L20" i="163"/>
  <c r="L17" i="163"/>
  <c r="L14" i="163"/>
  <c r="L11" i="163"/>
  <c r="L8" i="163"/>
  <c r="T11" i="163"/>
  <c r="V12" i="163"/>
  <c r="T18" i="163"/>
  <c r="J26" i="163"/>
  <c r="L27" i="163"/>
  <c r="I29" i="163"/>
  <c r="K30" i="163"/>
  <c r="L31" i="163"/>
  <c r="H32" i="163"/>
  <c r="J33" i="163"/>
  <c r="U11" i="163"/>
  <c r="T14" i="163"/>
  <c r="T21" i="163"/>
  <c r="J29" i="163"/>
  <c r="L30" i="163"/>
  <c r="I32" i="163"/>
  <c r="K33" i="163"/>
  <c r="L34" i="163"/>
  <c r="H35" i="163"/>
  <c r="J36" i="163"/>
  <c r="N35" i="163"/>
  <c r="N32" i="163"/>
  <c r="N29" i="163"/>
  <c r="N26" i="163"/>
  <c r="N23" i="163"/>
  <c r="N20" i="163"/>
  <c r="N17" i="163"/>
  <c r="N14" i="163"/>
  <c r="N11" i="163"/>
  <c r="N8" i="163"/>
  <c r="H9" i="163"/>
  <c r="T17" i="163"/>
  <c r="T24" i="163"/>
  <c r="N27" i="163"/>
  <c r="N31" i="163"/>
  <c r="J32" i="163"/>
  <c r="L33" i="163"/>
  <c r="I35" i="163"/>
  <c r="T20" i="163"/>
  <c r="N30" i="163"/>
  <c r="N34" i="163"/>
  <c r="L36" i="163"/>
  <c r="H34" i="163"/>
  <c r="H31" i="163"/>
  <c r="H28" i="163"/>
  <c r="H25" i="163"/>
  <c r="H22" i="163"/>
  <c r="H19" i="163"/>
  <c r="H16" i="163"/>
  <c r="H13" i="163"/>
  <c r="H10" i="163"/>
  <c r="H7" i="163"/>
  <c r="T34" i="163"/>
  <c r="T31" i="163"/>
  <c r="T28" i="163"/>
  <c r="T25" i="163"/>
  <c r="T22" i="163"/>
  <c r="T19" i="163"/>
  <c r="T16" i="163"/>
  <c r="T13" i="163"/>
  <c r="T10" i="163"/>
  <c r="T7" i="163"/>
  <c r="H20" i="163"/>
  <c r="H27" i="163"/>
  <c r="T35" i="163"/>
  <c r="I34" i="163"/>
  <c r="I31" i="163"/>
  <c r="I28" i="163"/>
  <c r="I25" i="163"/>
  <c r="I22" i="163"/>
  <c r="I19" i="163"/>
  <c r="I16" i="163"/>
  <c r="I13" i="163"/>
  <c r="I10" i="163"/>
  <c r="I7" i="163"/>
  <c r="T9" i="163"/>
  <c r="I20" i="163"/>
  <c r="H23" i="163"/>
  <c r="I27" i="163"/>
  <c r="H30" i="163"/>
  <c r="J34" i="163"/>
  <c r="J31" i="163"/>
  <c r="J28" i="163"/>
  <c r="J25" i="163"/>
  <c r="J22" i="163"/>
  <c r="J19" i="163"/>
  <c r="J16" i="163"/>
  <c r="J13" i="163"/>
  <c r="J10" i="163"/>
  <c r="J7" i="163"/>
  <c r="V19" i="163"/>
  <c r="T12" i="163"/>
  <c r="J20" i="163"/>
  <c r="I23" i="163"/>
  <c r="H26" i="163"/>
  <c r="J27" i="163"/>
  <c r="I30" i="163"/>
  <c r="H33" i="163"/>
  <c r="K34" i="163"/>
  <c r="K31" i="163"/>
  <c r="K28" i="163"/>
  <c r="K25" i="163"/>
  <c r="K22" i="163"/>
  <c r="K19" i="163"/>
  <c r="K16" i="163"/>
  <c r="K13" i="163"/>
  <c r="K10" i="163"/>
  <c r="K7" i="163"/>
  <c r="K35" i="163"/>
  <c r="K32" i="163"/>
  <c r="K29" i="163"/>
  <c r="K26" i="163"/>
  <c r="K23" i="163"/>
  <c r="K20" i="163"/>
  <c r="K17" i="163"/>
  <c r="K14" i="163"/>
  <c r="K11" i="163"/>
  <c r="K8" i="163"/>
  <c r="T8" i="163"/>
  <c r="T15" i="163"/>
  <c r="J23" i="163"/>
  <c r="I26" i="163"/>
  <c r="K27" i="163"/>
  <c r="H29" i="163"/>
  <c r="J30" i="163"/>
  <c r="I33" i="163"/>
  <c r="L7" i="163"/>
  <c r="H8" i="163"/>
  <c r="J9" i="163"/>
  <c r="I12" i="163"/>
  <c r="H15" i="163"/>
  <c r="T23" i="163"/>
  <c r="T30" i="163"/>
  <c r="N33" i="163"/>
  <c r="I8" i="163"/>
  <c r="K9" i="163"/>
  <c r="L10" i="163"/>
  <c r="H11" i="163"/>
  <c r="J12" i="163"/>
  <c r="I15" i="163"/>
  <c r="H18" i="163"/>
  <c r="T26" i="163"/>
  <c r="T33" i="163"/>
  <c r="N36" i="163"/>
  <c r="H36" i="163"/>
  <c r="I36" i="163"/>
  <c r="N7" i="163"/>
  <c r="J8" i="163"/>
  <c r="L9" i="163"/>
  <c r="I11" i="163"/>
  <c r="K12" i="163"/>
  <c r="L13" i="163"/>
  <c r="H14" i="163"/>
  <c r="J15" i="163"/>
  <c r="I18" i="163"/>
  <c r="H21" i="163"/>
  <c r="T29" i="163"/>
  <c r="T36" i="163"/>
  <c r="N10" i="163"/>
  <c r="J11" i="163"/>
  <c r="L12" i="163"/>
  <c r="I14" i="163"/>
  <c r="K15" i="163"/>
  <c r="L16" i="163"/>
  <c r="H17" i="163"/>
  <c r="J18" i="163"/>
  <c r="I21" i="163"/>
  <c r="H24" i="163"/>
  <c r="T32" i="163"/>
  <c r="C9" i="163"/>
  <c r="O9" i="163"/>
  <c r="C12" i="163"/>
  <c r="O12" i="163"/>
  <c r="C15" i="163"/>
  <c r="O15" i="163"/>
  <c r="C18" i="163"/>
  <c r="O18" i="163"/>
  <c r="C21" i="163"/>
  <c r="O21" i="163"/>
  <c r="C24" i="163"/>
  <c r="O24" i="163"/>
  <c r="C27" i="163"/>
  <c r="O27" i="163"/>
  <c r="C30" i="163"/>
  <c r="O30" i="163"/>
  <c r="C33" i="163"/>
  <c r="O33" i="163"/>
  <c r="C36" i="163"/>
  <c r="O36" i="163"/>
  <c r="D9" i="163"/>
  <c r="P9" i="163"/>
  <c r="D12" i="163"/>
  <c r="P12" i="163"/>
  <c r="D15" i="163"/>
  <c r="P15" i="163"/>
  <c r="D18" i="163"/>
  <c r="P18" i="163"/>
  <c r="D21" i="163"/>
  <c r="P21" i="163"/>
  <c r="D24" i="163"/>
  <c r="P24" i="163"/>
  <c r="D27" i="163"/>
  <c r="P27" i="163"/>
  <c r="D30" i="163"/>
  <c r="P30" i="163"/>
  <c r="D33" i="163"/>
  <c r="P33" i="163"/>
  <c r="E9" i="163"/>
  <c r="Q9" i="163"/>
  <c r="E12" i="163"/>
  <c r="Q12" i="163"/>
  <c r="E15" i="163"/>
  <c r="Q15" i="163"/>
  <c r="E18" i="163"/>
  <c r="Q18" i="163"/>
  <c r="E21" i="163"/>
  <c r="Q21" i="163"/>
  <c r="E24" i="163"/>
  <c r="Q24" i="163"/>
  <c r="E27" i="163"/>
  <c r="Q27" i="163"/>
  <c r="E30" i="163"/>
  <c r="Q30" i="163"/>
  <c r="E33" i="163"/>
  <c r="Q33" i="163"/>
  <c r="F9" i="163"/>
  <c r="F12" i="163"/>
  <c r="F15" i="163"/>
  <c r="F18" i="163"/>
  <c r="F21" i="163"/>
  <c r="F24" i="163"/>
  <c r="F27" i="163"/>
  <c r="F30" i="163"/>
  <c r="F33" i="163"/>
  <c r="C8" i="163"/>
  <c r="O8" i="163"/>
  <c r="G9" i="163"/>
  <c r="S9" i="163"/>
  <c r="C11" i="163"/>
  <c r="O11" i="163"/>
  <c r="G12" i="163"/>
  <c r="S12" i="163"/>
  <c r="C14" i="163"/>
  <c r="O14" i="163"/>
  <c r="G15" i="163"/>
  <c r="S15" i="163"/>
  <c r="C17" i="163"/>
  <c r="O17" i="163"/>
  <c r="G18" i="163"/>
  <c r="S18" i="163"/>
  <c r="C20" i="163"/>
  <c r="O20" i="163"/>
  <c r="G21" i="163"/>
  <c r="S21" i="163"/>
  <c r="C23" i="163"/>
  <c r="O23" i="163"/>
  <c r="G24" i="163"/>
  <c r="S24" i="163"/>
  <c r="C26" i="163"/>
  <c r="O26" i="163"/>
  <c r="G27" i="163"/>
  <c r="S27" i="163"/>
  <c r="C29" i="163"/>
  <c r="O29" i="163"/>
  <c r="G30" i="163"/>
  <c r="S30" i="163"/>
  <c r="C32" i="163"/>
  <c r="O32" i="163"/>
  <c r="G33" i="163"/>
  <c r="S33" i="163"/>
  <c r="D36" i="162"/>
  <c r="D33" i="162"/>
  <c r="D30" i="162"/>
  <c r="D27" i="162"/>
  <c r="D24" i="162"/>
  <c r="D21" i="162"/>
  <c r="D26" i="162"/>
  <c r="D25" i="162"/>
  <c r="D29" i="162"/>
  <c r="D12" i="162"/>
  <c r="D7" i="162"/>
  <c r="D15" i="162"/>
  <c r="D10" i="162"/>
  <c r="P36" i="162"/>
  <c r="P33" i="162"/>
  <c r="P30" i="162"/>
  <c r="P27" i="162"/>
  <c r="P24" i="162"/>
  <c r="P21" i="162"/>
  <c r="P18" i="162"/>
  <c r="P35" i="162"/>
  <c r="P23" i="162"/>
  <c r="P22" i="162"/>
  <c r="P26" i="162"/>
  <c r="P15" i="162"/>
  <c r="P10" i="162"/>
  <c r="P13" i="162"/>
  <c r="P8" i="162"/>
  <c r="P34" i="162"/>
  <c r="D14" i="162"/>
  <c r="P25" i="162"/>
  <c r="D32" i="162"/>
  <c r="F25" i="162"/>
  <c r="F15" i="162"/>
  <c r="F12" i="162"/>
  <c r="F28" i="162"/>
  <c r="F17" i="162"/>
  <c r="F36" i="162"/>
  <c r="F33" i="162"/>
  <c r="F29" i="162"/>
  <c r="F21" i="162"/>
  <c r="F7" i="162"/>
  <c r="F14" i="162"/>
  <c r="F30" i="162"/>
  <c r="D31" i="162"/>
  <c r="F32" i="162"/>
  <c r="P20" i="162"/>
  <c r="D28" i="162"/>
  <c r="H34" i="162"/>
  <c r="H31" i="162"/>
  <c r="H28" i="162"/>
  <c r="H25" i="162"/>
  <c r="H22" i="162"/>
  <c r="H19" i="162"/>
  <c r="H33" i="162"/>
  <c r="H21" i="162"/>
  <c r="H20" i="162"/>
  <c r="H36" i="162"/>
  <c r="H24" i="162"/>
  <c r="H14" i="162"/>
  <c r="H9" i="162"/>
  <c r="H17" i="162"/>
  <c r="H12" i="162"/>
  <c r="H32" i="162"/>
  <c r="T34" i="162"/>
  <c r="T31" i="162"/>
  <c r="T28" i="162"/>
  <c r="T25" i="162"/>
  <c r="T22" i="162"/>
  <c r="T19" i="162"/>
  <c r="T30" i="162"/>
  <c r="T18" i="162"/>
  <c r="T29" i="162"/>
  <c r="T33" i="162"/>
  <c r="T21" i="162"/>
  <c r="T17" i="162"/>
  <c r="T12" i="162"/>
  <c r="T15" i="162"/>
  <c r="T7" i="162"/>
  <c r="P7" i="162"/>
  <c r="P19" i="162"/>
  <c r="F26" i="162"/>
  <c r="H29" i="162"/>
  <c r="F31" i="162"/>
  <c r="T35" i="162"/>
  <c r="I34" i="162"/>
  <c r="I31" i="162"/>
  <c r="I28" i="162"/>
  <c r="I25" i="162"/>
  <c r="I22" i="162"/>
  <c r="I19" i="162"/>
  <c r="I16" i="162"/>
  <c r="I13" i="162"/>
  <c r="I10" i="162"/>
  <c r="I7" i="162"/>
  <c r="I17" i="162"/>
  <c r="I12" i="162"/>
  <c r="I9" i="162"/>
  <c r="I35" i="162"/>
  <c r="I32" i="162"/>
  <c r="I20" i="162"/>
  <c r="I36" i="162"/>
  <c r="I24" i="162"/>
  <c r="I14" i="162"/>
  <c r="P9" i="162"/>
  <c r="P11" i="162"/>
  <c r="P16" i="162"/>
  <c r="F27" i="162"/>
  <c r="I29" i="162"/>
  <c r="J32" i="162"/>
  <c r="J20" i="162"/>
  <c r="J35" i="162"/>
  <c r="J23" i="162"/>
  <c r="J11" i="162"/>
  <c r="J36" i="162"/>
  <c r="J28" i="162"/>
  <c r="J24" i="162"/>
  <c r="J14" i="162"/>
  <c r="J9" i="162"/>
  <c r="V29" i="162"/>
  <c r="V7" i="162"/>
  <c r="V32" i="162"/>
  <c r="V20" i="162"/>
  <c r="V14" i="162"/>
  <c r="V9" i="162"/>
  <c r="V36" i="162"/>
  <c r="V33" i="162"/>
  <c r="V25" i="162"/>
  <c r="V21" i="162"/>
  <c r="V17" i="162"/>
  <c r="V12" i="162"/>
  <c r="P14" i="162"/>
  <c r="P17" i="162"/>
  <c r="D22" i="162"/>
  <c r="D23" i="162"/>
  <c r="H26" i="162"/>
  <c r="H27" i="162"/>
  <c r="J29" i="162"/>
  <c r="J31" i="162"/>
  <c r="P32" i="162"/>
  <c r="V35" i="162"/>
  <c r="K34" i="162"/>
  <c r="K31" i="162"/>
  <c r="K28" i="162"/>
  <c r="K25" i="162"/>
  <c r="K22" i="162"/>
  <c r="K19" i="162"/>
  <c r="K16" i="162"/>
  <c r="K13" i="162"/>
  <c r="K10" i="162"/>
  <c r="K7" i="162"/>
  <c r="K36" i="162"/>
  <c r="K24" i="162"/>
  <c r="K14" i="162"/>
  <c r="K9" i="162"/>
  <c r="K23" i="162"/>
  <c r="K11" i="162"/>
  <c r="K27" i="162"/>
  <c r="K35" i="162"/>
  <c r="D8" i="162"/>
  <c r="T8" i="162"/>
  <c r="T9" i="162"/>
  <c r="P12" i="162"/>
  <c r="T20" i="162"/>
  <c r="F24" i="162"/>
  <c r="J25" i="162"/>
  <c r="I26" i="162"/>
  <c r="I27" i="162"/>
  <c r="K29" i="162"/>
  <c r="P31" i="162"/>
  <c r="V34" i="162"/>
  <c r="V19" i="162"/>
  <c r="F22" i="162"/>
  <c r="F23" i="162"/>
  <c r="J26" i="162"/>
  <c r="J27" i="162"/>
  <c r="D34" i="162"/>
  <c r="D35" i="162"/>
  <c r="F8" i="162"/>
  <c r="V8" i="162"/>
  <c r="T10" i="162"/>
  <c r="T11" i="162"/>
  <c r="D13" i="162"/>
  <c r="V15" i="162"/>
  <c r="T16" i="162"/>
  <c r="V18" i="162"/>
  <c r="D20" i="162"/>
  <c r="P28" i="162"/>
  <c r="P29" i="162"/>
  <c r="H7" i="162"/>
  <c r="V10" i="162"/>
  <c r="T13" i="162"/>
  <c r="T14" i="162"/>
  <c r="V16" i="162"/>
  <c r="D18" i="162"/>
  <c r="I21" i="162"/>
  <c r="J22" i="162"/>
  <c r="H23" i="162"/>
  <c r="T32" i="162"/>
  <c r="F34" i="162"/>
  <c r="F35" i="162"/>
  <c r="N16" i="162"/>
  <c r="N19" i="162"/>
  <c r="N23" i="162"/>
  <c r="N31" i="162"/>
  <c r="N35" i="162"/>
  <c r="L35" i="162"/>
  <c r="L32" i="162"/>
  <c r="L29" i="162"/>
  <c r="L26" i="162"/>
  <c r="L23" i="162"/>
  <c r="L20" i="162"/>
  <c r="L8" i="162"/>
  <c r="L16" i="162"/>
  <c r="L19" i="162"/>
  <c r="L31" i="162"/>
  <c r="L27" i="162"/>
  <c r="C35" i="162"/>
  <c r="C32" i="162"/>
  <c r="C29" i="162"/>
  <c r="C26" i="162"/>
  <c r="C23" i="162"/>
  <c r="C20" i="162"/>
  <c r="C17" i="162"/>
  <c r="C14" i="162"/>
  <c r="C11" i="162"/>
  <c r="C8" i="162"/>
  <c r="O17" i="162"/>
  <c r="N11" i="162"/>
  <c r="C13" i="162"/>
  <c r="C18" i="162"/>
  <c r="C22" i="162"/>
  <c r="L28" i="162"/>
  <c r="C34" i="162"/>
  <c r="E9" i="162"/>
  <c r="Q9" i="162"/>
  <c r="E12" i="162"/>
  <c r="Q12" i="162"/>
  <c r="E15" i="162"/>
  <c r="Q15" i="162"/>
  <c r="E18" i="162"/>
  <c r="Q18" i="162"/>
  <c r="E21" i="162"/>
  <c r="Q21" i="162"/>
  <c r="E24" i="162"/>
  <c r="Q24" i="162"/>
  <c r="E27" i="162"/>
  <c r="Q27" i="162"/>
  <c r="E30" i="162"/>
  <c r="Q30" i="162"/>
  <c r="E33" i="162"/>
  <c r="Q33" i="162"/>
  <c r="G9" i="162"/>
  <c r="S9" i="162"/>
  <c r="G12" i="162"/>
  <c r="S12" i="162"/>
  <c r="G15" i="162"/>
  <c r="S15" i="162"/>
  <c r="G18" i="162"/>
  <c r="S18" i="162"/>
  <c r="G21" i="162"/>
  <c r="S21" i="162"/>
  <c r="G24" i="162"/>
  <c r="S24" i="162"/>
  <c r="G27" i="162"/>
  <c r="S27" i="162"/>
  <c r="G30" i="162"/>
  <c r="S30" i="162"/>
  <c r="G33" i="162"/>
  <c r="S33" i="162"/>
  <c r="L10" i="161"/>
  <c r="L9" i="161"/>
  <c r="L24" i="161"/>
  <c r="L22" i="161"/>
  <c r="L31" i="161"/>
  <c r="L19" i="161"/>
  <c r="K21" i="161"/>
  <c r="K30" i="161"/>
  <c r="K36" i="161"/>
  <c r="H34" i="161"/>
  <c r="H31" i="161"/>
  <c r="H28" i="161"/>
  <c r="H25" i="161"/>
  <c r="H22" i="161"/>
  <c r="H19" i="161"/>
  <c r="H16" i="161"/>
  <c r="H13" i="161"/>
  <c r="H10" i="161"/>
  <c r="H7" i="161"/>
  <c r="T34" i="161"/>
  <c r="T31" i="161"/>
  <c r="T28" i="161"/>
  <c r="T25" i="161"/>
  <c r="T22" i="161"/>
  <c r="T19" i="161"/>
  <c r="T16" i="161"/>
  <c r="T13" i="161"/>
  <c r="T10" i="161"/>
  <c r="T7" i="161"/>
  <c r="T11" i="161"/>
  <c r="H15" i="161"/>
  <c r="L21" i="161"/>
  <c r="H27" i="161"/>
  <c r="H29" i="161"/>
  <c r="L30" i="161"/>
  <c r="L35" i="161"/>
  <c r="L32" i="161"/>
  <c r="L29" i="161"/>
  <c r="L26" i="161"/>
  <c r="L23" i="161"/>
  <c r="L20" i="161"/>
  <c r="L17" i="161"/>
  <c r="L14" i="161"/>
  <c r="L11" i="161"/>
  <c r="L8" i="161"/>
  <c r="L15" i="161"/>
  <c r="L27" i="161"/>
  <c r="L7" i="161"/>
  <c r="L33" i="161"/>
  <c r="I34" i="161"/>
  <c r="I31" i="161"/>
  <c r="I28" i="161"/>
  <c r="I25" i="161"/>
  <c r="I22" i="161"/>
  <c r="I19" i="161"/>
  <c r="I16" i="161"/>
  <c r="I13" i="161"/>
  <c r="I10" i="161"/>
  <c r="I7" i="161"/>
  <c r="I35" i="161"/>
  <c r="U31" i="161"/>
  <c r="U16" i="161"/>
  <c r="I15" i="161"/>
  <c r="L16" i="161"/>
  <c r="H17" i="161"/>
  <c r="I27" i="161"/>
  <c r="L28" i="161"/>
  <c r="I29" i="161"/>
  <c r="J34" i="161"/>
  <c r="J31" i="161"/>
  <c r="J28" i="161"/>
  <c r="J25" i="161"/>
  <c r="J22" i="161"/>
  <c r="J19" i="161"/>
  <c r="J16" i="161"/>
  <c r="J13" i="161"/>
  <c r="J10" i="161"/>
  <c r="J7" i="161"/>
  <c r="J35" i="161"/>
  <c r="J32" i="161"/>
  <c r="J29" i="161"/>
  <c r="J26" i="161"/>
  <c r="J23" i="161"/>
  <c r="J20" i="161"/>
  <c r="J17" i="161"/>
  <c r="J14" i="161"/>
  <c r="J11" i="161"/>
  <c r="J8" i="161"/>
  <c r="V19" i="161"/>
  <c r="V20" i="161"/>
  <c r="T8" i="161"/>
  <c r="H12" i="161"/>
  <c r="J15" i="161"/>
  <c r="L18" i="161"/>
  <c r="T21" i="161"/>
  <c r="T23" i="161"/>
  <c r="J27" i="161"/>
  <c r="T30" i="161"/>
  <c r="T32" i="161"/>
  <c r="H35" i="161"/>
  <c r="L25" i="161"/>
  <c r="L12" i="161"/>
  <c r="K34" i="161"/>
  <c r="K31" i="161"/>
  <c r="K28" i="161"/>
  <c r="K25" i="161"/>
  <c r="K22" i="161"/>
  <c r="K19" i="161"/>
  <c r="K16" i="161"/>
  <c r="K13" i="161"/>
  <c r="K10" i="161"/>
  <c r="K7" i="161"/>
  <c r="K35" i="161"/>
  <c r="K32" i="161"/>
  <c r="K29" i="161"/>
  <c r="K26" i="161"/>
  <c r="K23" i="161"/>
  <c r="K20" i="161"/>
  <c r="K17" i="161"/>
  <c r="K14" i="161"/>
  <c r="K11" i="161"/>
  <c r="K8" i="161"/>
  <c r="L13" i="161"/>
  <c r="H14" i="161"/>
  <c r="K15" i="161"/>
  <c r="K27" i="161"/>
  <c r="H33" i="161"/>
  <c r="L34" i="161"/>
  <c r="T36" i="161"/>
  <c r="N9" i="161"/>
  <c r="N12" i="161"/>
  <c r="N15" i="161"/>
  <c r="N18" i="161"/>
  <c r="N21" i="161"/>
  <c r="N24" i="161"/>
  <c r="N27" i="161"/>
  <c r="N30" i="161"/>
  <c r="N33" i="161"/>
  <c r="G7" i="161"/>
  <c r="C9" i="161"/>
  <c r="G10" i="161"/>
  <c r="C12" i="161"/>
  <c r="G13" i="161"/>
  <c r="C15" i="161"/>
  <c r="G16" i="161"/>
  <c r="C18" i="161"/>
  <c r="G19" i="161"/>
  <c r="C21" i="161"/>
  <c r="G22" i="161"/>
  <c r="S22" i="161"/>
  <c r="C24" i="161"/>
  <c r="G25" i="161"/>
  <c r="C27" i="161"/>
  <c r="G28" i="161"/>
  <c r="C30" i="161"/>
  <c r="G31" i="161"/>
  <c r="C33" i="161"/>
  <c r="O33" i="161"/>
  <c r="G34" i="161"/>
  <c r="C36" i="161"/>
  <c r="D9" i="161"/>
  <c r="P9" i="161"/>
  <c r="D12" i="161"/>
  <c r="P12" i="161"/>
  <c r="D15" i="161"/>
  <c r="P15" i="161"/>
  <c r="D18" i="161"/>
  <c r="P18" i="161"/>
  <c r="D21" i="161"/>
  <c r="P21" i="161"/>
  <c r="D24" i="161"/>
  <c r="P24" i="161"/>
  <c r="D27" i="161"/>
  <c r="P27" i="161"/>
  <c r="D30" i="161"/>
  <c r="P30" i="161"/>
  <c r="D33" i="161"/>
  <c r="P33" i="161"/>
  <c r="E9" i="161"/>
  <c r="Q9" i="161"/>
  <c r="E12" i="161"/>
  <c r="Q12" i="161"/>
  <c r="E15" i="161"/>
  <c r="Q15" i="161"/>
  <c r="E18" i="161"/>
  <c r="Q18" i="161"/>
  <c r="E21" i="161"/>
  <c r="Q21" i="161"/>
  <c r="E24" i="161"/>
  <c r="Q24" i="161"/>
  <c r="E27" i="161"/>
  <c r="Q27" i="161"/>
  <c r="E30" i="161"/>
  <c r="Q30" i="161"/>
  <c r="E33" i="161"/>
  <c r="Q33" i="161"/>
  <c r="N8" i="161"/>
  <c r="F9" i="161"/>
  <c r="N11" i="161"/>
  <c r="F12" i="161"/>
  <c r="N14" i="161"/>
  <c r="F15" i="161"/>
  <c r="N17" i="161"/>
  <c r="F18" i="161"/>
  <c r="N20" i="161"/>
  <c r="F21" i="161"/>
  <c r="N23" i="161"/>
  <c r="F24" i="161"/>
  <c r="N26" i="161"/>
  <c r="F27" i="161"/>
  <c r="N29" i="161"/>
  <c r="F30" i="161"/>
  <c r="N32" i="161"/>
  <c r="F33" i="161"/>
  <c r="G9" i="161"/>
  <c r="G12" i="161"/>
  <c r="G15" i="161"/>
  <c r="G18" i="161"/>
  <c r="S18" i="161"/>
  <c r="G21" i="161"/>
  <c r="C23" i="161"/>
  <c r="G24" i="161"/>
  <c r="C26" i="161"/>
  <c r="G27" i="161"/>
  <c r="C29" i="161"/>
  <c r="G30" i="161"/>
  <c r="C32" i="161"/>
  <c r="G33" i="161"/>
  <c r="AI37" i="153"/>
  <c r="AH37" i="153"/>
  <c r="W37" i="153"/>
  <c r="X37" i="160"/>
  <c r="AJ37" i="160"/>
  <c r="Y37" i="160"/>
  <c r="AK37" i="160"/>
  <c r="Z37" i="160"/>
  <c r="AL37" i="160"/>
  <c r="AA37" i="160"/>
  <c r="AM37" i="160"/>
  <c r="AB37" i="160"/>
  <c r="AN37" i="160"/>
  <c r="AC37" i="160"/>
  <c r="AO37" i="160"/>
  <c r="L36" i="159"/>
  <c r="P36" i="159"/>
  <c r="P33" i="159"/>
  <c r="P30" i="159"/>
  <c r="P27" i="159"/>
  <c r="P24" i="159"/>
  <c r="P21" i="159"/>
  <c r="P18" i="159"/>
  <c r="L17" i="159"/>
  <c r="D12" i="159"/>
  <c r="P20" i="159"/>
  <c r="F36" i="159"/>
  <c r="F33" i="159"/>
  <c r="F30" i="159"/>
  <c r="F27" i="159"/>
  <c r="F24" i="159"/>
  <c r="F34" i="159"/>
  <c r="F31" i="159"/>
  <c r="F28" i="159"/>
  <c r="F25" i="159"/>
  <c r="F22" i="159"/>
  <c r="F19" i="159"/>
  <c r="F16" i="159"/>
  <c r="F13" i="159"/>
  <c r="F10" i="159"/>
  <c r="F7" i="159"/>
  <c r="H8" i="159"/>
  <c r="H10" i="159"/>
  <c r="F12" i="159"/>
  <c r="T13" i="159"/>
  <c r="P16" i="159"/>
  <c r="P17" i="159"/>
  <c r="H24" i="159"/>
  <c r="H33" i="159"/>
  <c r="L35" i="159"/>
  <c r="L32" i="159"/>
  <c r="L29" i="159"/>
  <c r="L26" i="159"/>
  <c r="L23" i="159"/>
  <c r="L20" i="159"/>
  <c r="D36" i="159"/>
  <c r="D33" i="159"/>
  <c r="D30" i="159"/>
  <c r="D27" i="159"/>
  <c r="D24" i="159"/>
  <c r="D21" i="159"/>
  <c r="P22" i="159"/>
  <c r="L7" i="159"/>
  <c r="D11" i="159"/>
  <c r="L18" i="159"/>
  <c r="L25" i="159"/>
  <c r="P26" i="159"/>
  <c r="P31" i="159"/>
  <c r="L8" i="159"/>
  <c r="K9" i="159"/>
  <c r="J10" i="159"/>
  <c r="F11" i="159"/>
  <c r="H12" i="159"/>
  <c r="T14" i="159"/>
  <c r="T18" i="159"/>
  <c r="P19" i="159"/>
  <c r="D23" i="159"/>
  <c r="I24" i="159"/>
  <c r="D28" i="159"/>
  <c r="T30" i="159"/>
  <c r="D32" i="159"/>
  <c r="L22" i="159"/>
  <c r="L14" i="159"/>
  <c r="L31" i="159"/>
  <c r="L15" i="159"/>
  <c r="L16" i="159"/>
  <c r="L27" i="159"/>
  <c r="L19" i="159"/>
  <c r="L21" i="159"/>
  <c r="L34" i="159"/>
  <c r="H34" i="159"/>
  <c r="H31" i="159"/>
  <c r="H28" i="159"/>
  <c r="H25" i="159"/>
  <c r="H22" i="159"/>
  <c r="H19" i="159"/>
  <c r="T34" i="159"/>
  <c r="T31" i="159"/>
  <c r="T28" i="159"/>
  <c r="T25" i="159"/>
  <c r="T22" i="159"/>
  <c r="T19" i="159"/>
  <c r="L9" i="159"/>
  <c r="L10" i="159"/>
  <c r="D14" i="159"/>
  <c r="D15" i="159"/>
  <c r="P34" i="159"/>
  <c r="H36" i="159"/>
  <c r="I34" i="159"/>
  <c r="I31" i="159"/>
  <c r="I28" i="159"/>
  <c r="I25" i="159"/>
  <c r="I22" i="159"/>
  <c r="I19" i="159"/>
  <c r="I16" i="159"/>
  <c r="I13" i="159"/>
  <c r="I10" i="159"/>
  <c r="I7" i="159"/>
  <c r="I35" i="159"/>
  <c r="I32" i="159"/>
  <c r="I29" i="159"/>
  <c r="I26" i="159"/>
  <c r="I23" i="159"/>
  <c r="I20" i="159"/>
  <c r="I17" i="159"/>
  <c r="I14" i="159"/>
  <c r="I11" i="159"/>
  <c r="I8" i="159"/>
  <c r="U28" i="159"/>
  <c r="P7" i="159"/>
  <c r="P8" i="159"/>
  <c r="P9" i="159"/>
  <c r="H11" i="159"/>
  <c r="H13" i="159"/>
  <c r="F15" i="159"/>
  <c r="D16" i="159"/>
  <c r="T16" i="159"/>
  <c r="T20" i="159"/>
  <c r="D22" i="159"/>
  <c r="F23" i="159"/>
  <c r="K24" i="159"/>
  <c r="P25" i="159"/>
  <c r="T26" i="159"/>
  <c r="L28" i="159"/>
  <c r="P29" i="159"/>
  <c r="F32" i="159"/>
  <c r="K33" i="159"/>
  <c r="D35" i="159"/>
  <c r="I36" i="159"/>
  <c r="J34" i="159"/>
  <c r="J31" i="159"/>
  <c r="J28" i="159"/>
  <c r="J25" i="159"/>
  <c r="J22" i="159"/>
  <c r="J35" i="159"/>
  <c r="J32" i="159"/>
  <c r="J29" i="159"/>
  <c r="J26" i="159"/>
  <c r="J23" i="159"/>
  <c r="J20" i="159"/>
  <c r="J17" i="159"/>
  <c r="J14" i="159"/>
  <c r="J11" i="159"/>
  <c r="J8" i="159"/>
  <c r="L11" i="159"/>
  <c r="J13" i="159"/>
  <c r="F14" i="159"/>
  <c r="H15" i="159"/>
  <c r="T17" i="159"/>
  <c r="V19" i="159"/>
  <c r="F21" i="159"/>
  <c r="L24" i="159"/>
  <c r="H27" i="159"/>
  <c r="L33" i="159"/>
  <c r="J36" i="159"/>
  <c r="K34" i="159"/>
  <c r="K31" i="159"/>
  <c r="K28" i="159"/>
  <c r="K25" i="159"/>
  <c r="K22" i="159"/>
  <c r="K19" i="159"/>
  <c r="K16" i="159"/>
  <c r="K13" i="159"/>
  <c r="K10" i="159"/>
  <c r="K7" i="159"/>
  <c r="K35" i="159"/>
  <c r="K32" i="159"/>
  <c r="K29" i="159"/>
  <c r="K26" i="159"/>
  <c r="K23" i="159"/>
  <c r="K20" i="159"/>
  <c r="K17" i="159"/>
  <c r="K14" i="159"/>
  <c r="K11" i="159"/>
  <c r="K8" i="159"/>
  <c r="T9" i="159"/>
  <c r="L12" i="159"/>
  <c r="L13" i="159"/>
  <c r="D17" i="159"/>
  <c r="D18" i="159"/>
  <c r="D19" i="159"/>
  <c r="D20" i="159"/>
  <c r="H21" i="159"/>
  <c r="H23" i="159"/>
  <c r="T24" i="159"/>
  <c r="D26" i="159"/>
  <c r="D31" i="159"/>
  <c r="H32" i="159"/>
  <c r="T33" i="159"/>
  <c r="K36" i="159"/>
  <c r="M12" i="159"/>
  <c r="M27" i="159"/>
  <c r="M30" i="159"/>
  <c r="M33" i="159"/>
  <c r="E34" i="159"/>
  <c r="Q34" i="159"/>
  <c r="N9" i="159"/>
  <c r="N12" i="159"/>
  <c r="N15" i="159"/>
  <c r="N18" i="159"/>
  <c r="N21" i="159"/>
  <c r="N24" i="159"/>
  <c r="N27" i="159"/>
  <c r="N30" i="159"/>
  <c r="N33" i="159"/>
  <c r="C9" i="159"/>
  <c r="C12" i="159"/>
  <c r="C15" i="159"/>
  <c r="C18" i="159"/>
  <c r="C21" i="159"/>
  <c r="O21" i="159"/>
  <c r="C24" i="159"/>
  <c r="G25" i="159"/>
  <c r="C27" i="159"/>
  <c r="G28" i="159"/>
  <c r="C30" i="159"/>
  <c r="G31" i="159"/>
  <c r="S31" i="159"/>
  <c r="C33" i="159"/>
  <c r="O33" i="159"/>
  <c r="G34" i="159"/>
  <c r="S34" i="159"/>
  <c r="C36" i="159"/>
  <c r="M8" i="159"/>
  <c r="E9" i="159"/>
  <c r="Q9" i="159"/>
  <c r="E12" i="159"/>
  <c r="Q12" i="159"/>
  <c r="M14" i="159"/>
  <c r="E15" i="159"/>
  <c r="Q15" i="159"/>
  <c r="M17" i="159"/>
  <c r="E18" i="159"/>
  <c r="Q18" i="159"/>
  <c r="M20" i="159"/>
  <c r="E21" i="159"/>
  <c r="Q21" i="159"/>
  <c r="E24" i="159"/>
  <c r="Q24" i="159"/>
  <c r="M26" i="159"/>
  <c r="E27" i="159"/>
  <c r="Q27" i="159"/>
  <c r="M29" i="159"/>
  <c r="E30" i="159"/>
  <c r="Q30" i="159"/>
  <c r="M32" i="159"/>
  <c r="E33" i="159"/>
  <c r="Q33" i="159"/>
  <c r="C8" i="159"/>
  <c r="G9" i="159"/>
  <c r="C11" i="159"/>
  <c r="G12" i="159"/>
  <c r="S12" i="159"/>
  <c r="C14" i="159"/>
  <c r="G15" i="159"/>
  <c r="C17" i="159"/>
  <c r="G18" i="159"/>
  <c r="C20" i="159"/>
  <c r="O20" i="159"/>
  <c r="G21" i="159"/>
  <c r="C23" i="159"/>
  <c r="O23" i="159"/>
  <c r="G24" i="159"/>
  <c r="C26" i="159"/>
  <c r="G27" i="159"/>
  <c r="C29" i="159"/>
  <c r="O29" i="159"/>
  <c r="G30" i="159"/>
  <c r="C32" i="159"/>
  <c r="G33" i="159"/>
  <c r="D24" i="158"/>
  <c r="D8" i="158"/>
  <c r="C16" i="158"/>
  <c r="D17" i="158"/>
  <c r="C9" i="158"/>
  <c r="P14" i="158"/>
  <c r="D16" i="158"/>
  <c r="C28" i="158"/>
  <c r="D29" i="158"/>
  <c r="P13" i="158"/>
  <c r="D20" i="158"/>
  <c r="P26" i="158"/>
  <c r="D28" i="158"/>
  <c r="P10" i="158"/>
  <c r="C21" i="158"/>
  <c r="P25" i="158"/>
  <c r="P9" i="158"/>
  <c r="P17" i="158"/>
  <c r="P22" i="158"/>
  <c r="P33" i="158"/>
  <c r="N35" i="158"/>
  <c r="N32" i="158"/>
  <c r="N29" i="158"/>
  <c r="N26" i="158"/>
  <c r="N23" i="158"/>
  <c r="N20" i="158"/>
  <c r="N17" i="158"/>
  <c r="N14" i="158"/>
  <c r="N11" i="158"/>
  <c r="N8" i="158"/>
  <c r="N25" i="158"/>
  <c r="N13" i="158"/>
  <c r="N24" i="158"/>
  <c r="N12" i="158"/>
  <c r="N28" i="158"/>
  <c r="N16" i="158"/>
  <c r="N36" i="158"/>
  <c r="N27" i="158"/>
  <c r="N15" i="158"/>
  <c r="N31" i="158"/>
  <c r="N19" i="158"/>
  <c r="N7" i="158"/>
  <c r="P21" i="158"/>
  <c r="D36" i="158"/>
  <c r="D27" i="158"/>
  <c r="D15" i="158"/>
  <c r="D31" i="158"/>
  <c r="D19" i="158"/>
  <c r="D7" i="158"/>
  <c r="D23" i="158"/>
  <c r="D11" i="158"/>
  <c r="D35" i="158"/>
  <c r="D30" i="158"/>
  <c r="D18" i="158"/>
  <c r="D34" i="158"/>
  <c r="D22" i="158"/>
  <c r="D10" i="158"/>
  <c r="D26" i="158"/>
  <c r="D14" i="158"/>
  <c r="D33" i="158"/>
  <c r="D21" i="158"/>
  <c r="D9" i="158"/>
  <c r="D25" i="158"/>
  <c r="P36" i="158"/>
  <c r="P24" i="158"/>
  <c r="P12" i="158"/>
  <c r="P28" i="158"/>
  <c r="P16" i="158"/>
  <c r="P32" i="158"/>
  <c r="P20" i="158"/>
  <c r="P8" i="158"/>
  <c r="P27" i="158"/>
  <c r="P15" i="158"/>
  <c r="P31" i="158"/>
  <c r="P19" i="158"/>
  <c r="P7" i="158"/>
  <c r="P23" i="158"/>
  <c r="P11" i="158"/>
  <c r="P30" i="158"/>
  <c r="P18" i="158"/>
  <c r="P35" i="158"/>
  <c r="P34" i="158"/>
  <c r="D12" i="158"/>
  <c r="C35" i="158"/>
  <c r="C32" i="158"/>
  <c r="C29" i="158"/>
  <c r="C26" i="158"/>
  <c r="C23" i="158"/>
  <c r="C20" i="158"/>
  <c r="C17" i="158"/>
  <c r="C14" i="158"/>
  <c r="C11" i="158"/>
  <c r="C8" i="158"/>
  <c r="C36" i="158"/>
  <c r="C27" i="158"/>
  <c r="C15" i="158"/>
  <c r="C31" i="158"/>
  <c r="C19" i="158"/>
  <c r="C7" i="158"/>
  <c r="C30" i="158"/>
  <c r="C18" i="158"/>
  <c r="C34" i="158"/>
  <c r="C22" i="158"/>
  <c r="C10" i="158"/>
  <c r="C33" i="158"/>
  <c r="C12" i="158"/>
  <c r="D13" i="158"/>
  <c r="H9" i="158"/>
  <c r="T18" i="158"/>
  <c r="H21" i="158"/>
  <c r="T30" i="158"/>
  <c r="H33" i="158"/>
  <c r="I34" i="158"/>
  <c r="I31" i="158"/>
  <c r="I25" i="158"/>
  <c r="I19" i="158"/>
  <c r="I13" i="158"/>
  <c r="I7" i="158"/>
  <c r="I28" i="158"/>
  <c r="I22" i="158"/>
  <c r="I16" i="158"/>
  <c r="I10" i="158"/>
  <c r="U25" i="158"/>
  <c r="K8" i="158"/>
  <c r="I9" i="158"/>
  <c r="T14" i="158"/>
  <c r="H17" i="158"/>
  <c r="K20" i="158"/>
  <c r="I21" i="158"/>
  <c r="T26" i="158"/>
  <c r="H29" i="158"/>
  <c r="I33" i="158"/>
  <c r="J34" i="158"/>
  <c r="J31" i="158"/>
  <c r="J28" i="158"/>
  <c r="J25" i="158"/>
  <c r="J22" i="158"/>
  <c r="J19" i="158"/>
  <c r="J16" i="158"/>
  <c r="J13" i="158"/>
  <c r="J10" i="158"/>
  <c r="J7" i="158"/>
  <c r="V13" i="158"/>
  <c r="L8" i="158"/>
  <c r="J9" i="158"/>
  <c r="T10" i="158"/>
  <c r="H13" i="158"/>
  <c r="I17" i="158"/>
  <c r="L20" i="158"/>
  <c r="J21" i="158"/>
  <c r="T22" i="158"/>
  <c r="H25" i="158"/>
  <c r="I29" i="158"/>
  <c r="V30" i="158"/>
  <c r="L32" i="158"/>
  <c r="J33" i="158"/>
  <c r="T35" i="158"/>
  <c r="T36" i="158"/>
  <c r="K34" i="158"/>
  <c r="K31" i="158"/>
  <c r="K28" i="158"/>
  <c r="K25" i="158"/>
  <c r="K22" i="158"/>
  <c r="K19" i="158"/>
  <c r="K16" i="158"/>
  <c r="K13" i="158"/>
  <c r="K10" i="158"/>
  <c r="K7" i="158"/>
  <c r="K9" i="158"/>
  <c r="T15" i="158"/>
  <c r="H18" i="158"/>
  <c r="K21" i="158"/>
  <c r="T27" i="158"/>
  <c r="H30" i="158"/>
  <c r="K33" i="158"/>
  <c r="L9" i="158"/>
  <c r="T11" i="158"/>
  <c r="H14" i="158"/>
  <c r="K17" i="158"/>
  <c r="I18" i="158"/>
  <c r="L21" i="158"/>
  <c r="T23" i="158"/>
  <c r="H26" i="158"/>
  <c r="K29" i="158"/>
  <c r="I30" i="158"/>
  <c r="L33" i="158"/>
  <c r="M35" i="158"/>
  <c r="M20" i="158"/>
  <c r="M14" i="158"/>
  <c r="M8" i="158"/>
  <c r="M29" i="158"/>
  <c r="M23" i="158"/>
  <c r="M17" i="158"/>
  <c r="T7" i="158"/>
  <c r="M9" i="158"/>
  <c r="H10" i="158"/>
  <c r="I14" i="158"/>
  <c r="L17" i="158"/>
  <c r="J18" i="158"/>
  <c r="T19" i="158"/>
  <c r="M21" i="158"/>
  <c r="H22" i="158"/>
  <c r="I26" i="158"/>
  <c r="L29" i="158"/>
  <c r="J30" i="158"/>
  <c r="T31" i="158"/>
  <c r="M33" i="158"/>
  <c r="E9" i="158"/>
  <c r="Q12" i="158"/>
  <c r="E15" i="158"/>
  <c r="Q18" i="158"/>
  <c r="E21" i="158"/>
  <c r="Q24" i="158"/>
  <c r="E27" i="158"/>
  <c r="Q30" i="158"/>
  <c r="F9" i="158"/>
  <c r="F12" i="158"/>
  <c r="F15" i="158"/>
  <c r="F18" i="158"/>
  <c r="F21" i="158"/>
  <c r="F24" i="158"/>
  <c r="F27" i="158"/>
  <c r="F30" i="158"/>
  <c r="F33" i="158"/>
  <c r="Q9" i="158"/>
  <c r="E12" i="158"/>
  <c r="Q15" i="158"/>
  <c r="E18" i="158"/>
  <c r="Q21" i="158"/>
  <c r="E24" i="158"/>
  <c r="Q27" i="158"/>
  <c r="E30" i="158"/>
  <c r="E33" i="158"/>
  <c r="Q33" i="158"/>
  <c r="G9" i="158"/>
  <c r="G12" i="158"/>
  <c r="S12" i="158"/>
  <c r="G15" i="158"/>
  <c r="G18" i="158"/>
  <c r="G21" i="158"/>
  <c r="G24" i="158"/>
  <c r="G27" i="158"/>
  <c r="G30" i="158"/>
  <c r="G33" i="158"/>
  <c r="L35" i="157"/>
  <c r="L32" i="157"/>
  <c r="L29" i="157"/>
  <c r="L26" i="157"/>
  <c r="L23" i="157"/>
  <c r="L20" i="157"/>
  <c r="L9" i="157"/>
  <c r="L17" i="157"/>
  <c r="N35" i="157"/>
  <c r="N32" i="157"/>
  <c r="N29" i="157"/>
  <c r="N26" i="157"/>
  <c r="N23" i="157"/>
  <c r="N20" i="157"/>
  <c r="N17" i="157"/>
  <c r="N14" i="157"/>
  <c r="N11" i="157"/>
  <c r="N8" i="157"/>
  <c r="N9" i="157"/>
  <c r="L10" i="157"/>
  <c r="L18" i="157"/>
  <c r="L19" i="157"/>
  <c r="L27" i="157"/>
  <c r="L28" i="157"/>
  <c r="L36" i="157"/>
  <c r="C35" i="157"/>
  <c r="C32" i="157"/>
  <c r="C29" i="157"/>
  <c r="C26" i="157"/>
  <c r="C23" i="157"/>
  <c r="C20" i="157"/>
  <c r="C17" i="157"/>
  <c r="C14" i="157"/>
  <c r="C11" i="157"/>
  <c r="C8" i="157"/>
  <c r="O29" i="157"/>
  <c r="O8" i="157"/>
  <c r="O9" i="157"/>
  <c r="C12" i="157"/>
  <c r="D36" i="157"/>
  <c r="D33" i="157"/>
  <c r="D30" i="157"/>
  <c r="D27" i="157"/>
  <c r="D24" i="157"/>
  <c r="D21" i="157"/>
  <c r="D18" i="157"/>
  <c r="P36" i="157"/>
  <c r="P33" i="157"/>
  <c r="P30" i="157"/>
  <c r="P27" i="157"/>
  <c r="P24" i="157"/>
  <c r="P21" i="157"/>
  <c r="P18" i="157"/>
  <c r="P9" i="157"/>
  <c r="N10" i="157"/>
  <c r="D12" i="157"/>
  <c r="L14" i="157"/>
  <c r="N18" i="157"/>
  <c r="N19" i="157"/>
  <c r="N27" i="157"/>
  <c r="N28" i="157"/>
  <c r="N36" i="157"/>
  <c r="L7" i="157"/>
  <c r="C13" i="157"/>
  <c r="P14" i="157"/>
  <c r="D17" i="157"/>
  <c r="C24" i="157"/>
  <c r="C25" i="157"/>
  <c r="O27" i="157"/>
  <c r="C33" i="157"/>
  <c r="C34" i="157"/>
  <c r="O36" i="157"/>
  <c r="C9" i="157"/>
  <c r="P10" i="157"/>
  <c r="D13" i="157"/>
  <c r="L15" i="157"/>
  <c r="P19" i="157"/>
  <c r="P20" i="157"/>
  <c r="L21" i="157"/>
  <c r="L22" i="157"/>
  <c r="D25" i="157"/>
  <c r="D26" i="157"/>
  <c r="P28" i="157"/>
  <c r="P29" i="157"/>
  <c r="L30" i="157"/>
  <c r="L31" i="157"/>
  <c r="D34" i="157"/>
  <c r="D35" i="157"/>
  <c r="N7" i="157"/>
  <c r="D9" i="157"/>
  <c r="L11" i="157"/>
  <c r="H34" i="157"/>
  <c r="H31" i="157"/>
  <c r="H28" i="157"/>
  <c r="H25" i="157"/>
  <c r="H22" i="157"/>
  <c r="H19" i="157"/>
  <c r="T34" i="157"/>
  <c r="T31" i="157"/>
  <c r="T28" i="157"/>
  <c r="T25" i="157"/>
  <c r="T22" i="157"/>
  <c r="T19" i="157"/>
  <c r="O7" i="157"/>
  <c r="H9" i="157"/>
  <c r="C10" i="157"/>
  <c r="P11" i="157"/>
  <c r="D14" i="157"/>
  <c r="N15" i="157"/>
  <c r="L16" i="157"/>
  <c r="N21" i="157"/>
  <c r="N22" i="157"/>
  <c r="N30" i="157"/>
  <c r="N31" i="157"/>
  <c r="I34" i="157"/>
  <c r="I31" i="157"/>
  <c r="I28" i="157"/>
  <c r="I25" i="157"/>
  <c r="I22" i="157"/>
  <c r="I19" i="157"/>
  <c r="I16" i="157"/>
  <c r="I13" i="157"/>
  <c r="I10" i="157"/>
  <c r="I7" i="157"/>
  <c r="P7" i="157"/>
  <c r="K8" i="157"/>
  <c r="I9" i="157"/>
  <c r="D10" i="157"/>
  <c r="L12" i="157"/>
  <c r="T14" i="157"/>
  <c r="O15" i="157"/>
  <c r="H17" i="157"/>
  <c r="C18" i="157"/>
  <c r="C19" i="157"/>
  <c r="O21" i="157"/>
  <c r="K23" i="157"/>
  <c r="K24" i="157"/>
  <c r="C27" i="157"/>
  <c r="C28" i="157"/>
  <c r="O30" i="157"/>
  <c r="O31" i="157"/>
  <c r="K32" i="157"/>
  <c r="C36" i="157"/>
  <c r="J34" i="157"/>
  <c r="J31" i="157"/>
  <c r="J28" i="157"/>
  <c r="J25" i="157"/>
  <c r="J22" i="157"/>
  <c r="J19" i="157"/>
  <c r="J16" i="157"/>
  <c r="J13" i="157"/>
  <c r="J10" i="157"/>
  <c r="J7" i="157"/>
  <c r="V34" i="157"/>
  <c r="V31" i="157"/>
  <c r="V28" i="157"/>
  <c r="V25" i="157"/>
  <c r="V22" i="157"/>
  <c r="V19" i="157"/>
  <c r="V16" i="157"/>
  <c r="V13" i="157"/>
  <c r="V10" i="157"/>
  <c r="V7" i="157"/>
  <c r="L8" i="157"/>
  <c r="J9" i="157"/>
  <c r="T10" i="157"/>
  <c r="H13" i="157"/>
  <c r="P15" i="157"/>
  <c r="N16" i="157"/>
  <c r="H18" i="157"/>
  <c r="D19" i="157"/>
  <c r="D20" i="157"/>
  <c r="T20" i="157"/>
  <c r="T21" i="157"/>
  <c r="P22" i="157"/>
  <c r="P23" i="157"/>
  <c r="L24" i="157"/>
  <c r="L25" i="157"/>
  <c r="H26" i="157"/>
  <c r="H27" i="157"/>
  <c r="D28" i="157"/>
  <c r="D29" i="157"/>
  <c r="T29" i="157"/>
  <c r="T30" i="157"/>
  <c r="P31" i="157"/>
  <c r="P32" i="157"/>
  <c r="L33" i="157"/>
  <c r="L34" i="157"/>
  <c r="H35" i="157"/>
  <c r="H36" i="157"/>
  <c r="K34" i="157"/>
  <c r="K31" i="157"/>
  <c r="K28" i="157"/>
  <c r="K25" i="157"/>
  <c r="K22" i="157"/>
  <c r="K19" i="157"/>
  <c r="K16" i="157"/>
  <c r="K13" i="157"/>
  <c r="K10" i="157"/>
  <c r="K7" i="157"/>
  <c r="C7" i="157"/>
  <c r="P8" i="157"/>
  <c r="K9" i="157"/>
  <c r="D11" i="157"/>
  <c r="N12" i="157"/>
  <c r="L13" i="157"/>
  <c r="V14" i="157"/>
  <c r="T15" i="157"/>
  <c r="J17" i="157"/>
  <c r="I18" i="157"/>
  <c r="I26" i="157"/>
  <c r="I27" i="157"/>
  <c r="I35" i="157"/>
  <c r="I36" i="157"/>
  <c r="E9" i="157"/>
  <c r="Q9" i="157"/>
  <c r="E12" i="157"/>
  <c r="Q12" i="157"/>
  <c r="E15" i="157"/>
  <c r="Q15" i="157"/>
  <c r="E18" i="157"/>
  <c r="Q18" i="157"/>
  <c r="E21" i="157"/>
  <c r="Q21" i="157"/>
  <c r="E24" i="157"/>
  <c r="Q24" i="157"/>
  <c r="E27" i="157"/>
  <c r="Q27" i="157"/>
  <c r="E30" i="157"/>
  <c r="Q30" i="157"/>
  <c r="E33" i="157"/>
  <c r="Q33" i="157"/>
  <c r="F9" i="157"/>
  <c r="F12" i="157"/>
  <c r="F15" i="157"/>
  <c r="F18" i="157"/>
  <c r="F21" i="157"/>
  <c r="F24" i="157"/>
  <c r="F27" i="157"/>
  <c r="F30" i="157"/>
  <c r="F33" i="157"/>
  <c r="G9" i="157"/>
  <c r="G12" i="157"/>
  <c r="S12" i="157"/>
  <c r="G15" i="157"/>
  <c r="G18" i="157"/>
  <c r="G21" i="157"/>
  <c r="G24" i="157"/>
  <c r="G27" i="157"/>
  <c r="G30" i="157"/>
  <c r="G33" i="157"/>
  <c r="J34" i="156"/>
  <c r="J31" i="156"/>
  <c r="J28" i="156"/>
  <c r="J25" i="156"/>
  <c r="J22" i="156"/>
  <c r="J19" i="156"/>
  <c r="J16" i="156"/>
  <c r="J13" i="156"/>
  <c r="J10" i="156"/>
  <c r="J7" i="156"/>
  <c r="J35" i="156"/>
  <c r="J32" i="156"/>
  <c r="J29" i="156"/>
  <c r="J26" i="156"/>
  <c r="J23" i="156"/>
  <c r="J20" i="156"/>
  <c r="J17" i="156"/>
  <c r="J14" i="156"/>
  <c r="J11" i="156"/>
  <c r="J8" i="156"/>
  <c r="V31" i="156"/>
  <c r="V13" i="156"/>
  <c r="V29" i="156"/>
  <c r="V14" i="156"/>
  <c r="J15" i="156"/>
  <c r="V24" i="156"/>
  <c r="K34" i="156"/>
  <c r="K31" i="156"/>
  <c r="K28" i="156"/>
  <c r="K25" i="156"/>
  <c r="K22" i="156"/>
  <c r="K19" i="156"/>
  <c r="K16" i="156"/>
  <c r="K13" i="156"/>
  <c r="K10" i="156"/>
  <c r="K7" i="156"/>
  <c r="K35" i="156"/>
  <c r="K32" i="156"/>
  <c r="K29" i="156"/>
  <c r="K26" i="156"/>
  <c r="K23" i="156"/>
  <c r="K20" i="156"/>
  <c r="K17" i="156"/>
  <c r="K14" i="156"/>
  <c r="K11" i="156"/>
  <c r="K8" i="156"/>
  <c r="K15" i="156"/>
  <c r="L35" i="156"/>
  <c r="L32" i="156"/>
  <c r="L29" i="156"/>
  <c r="L26" i="156"/>
  <c r="L23" i="156"/>
  <c r="L20" i="156"/>
  <c r="L17" i="156"/>
  <c r="L14" i="156"/>
  <c r="L11" i="156"/>
  <c r="L8" i="156"/>
  <c r="J12" i="156"/>
  <c r="L15" i="156"/>
  <c r="J30" i="156"/>
  <c r="M32" i="156"/>
  <c r="M29" i="156"/>
  <c r="M26" i="156"/>
  <c r="M20" i="156"/>
  <c r="M17" i="156"/>
  <c r="M14" i="156"/>
  <c r="M8" i="156"/>
  <c r="M33" i="156"/>
  <c r="L10" i="156"/>
  <c r="K12" i="156"/>
  <c r="M15" i="156"/>
  <c r="L28" i="156"/>
  <c r="K30" i="156"/>
  <c r="J9" i="156"/>
  <c r="M10" i="156"/>
  <c r="L12" i="156"/>
  <c r="J27" i="156"/>
  <c r="M28" i="156"/>
  <c r="L30" i="156"/>
  <c r="L7" i="156"/>
  <c r="K9" i="156"/>
  <c r="M12" i="156"/>
  <c r="L25" i="156"/>
  <c r="K27" i="156"/>
  <c r="M30" i="156"/>
  <c r="M7" i="156"/>
  <c r="L9" i="156"/>
  <c r="J24" i="156"/>
  <c r="M25" i="156"/>
  <c r="L27" i="156"/>
  <c r="J36" i="156"/>
  <c r="M9" i="156"/>
  <c r="I21" i="156"/>
  <c r="L22" i="156"/>
  <c r="K24" i="156"/>
  <c r="M27" i="156"/>
  <c r="K36" i="156"/>
  <c r="V12" i="156"/>
  <c r="J21" i="156"/>
  <c r="M22" i="156"/>
  <c r="L24" i="156"/>
  <c r="V30" i="156"/>
  <c r="L36" i="156"/>
  <c r="I18" i="156"/>
  <c r="L19" i="156"/>
  <c r="H20" i="156"/>
  <c r="K21" i="156"/>
  <c r="M24" i="156"/>
  <c r="H33" i="156"/>
  <c r="L34" i="156"/>
  <c r="H34" i="156"/>
  <c r="H31" i="156"/>
  <c r="H28" i="156"/>
  <c r="H25" i="156"/>
  <c r="H22" i="156"/>
  <c r="H19" i="156"/>
  <c r="H16" i="156"/>
  <c r="H13" i="156"/>
  <c r="H10" i="156"/>
  <c r="H7" i="156"/>
  <c r="T34" i="156"/>
  <c r="T31" i="156"/>
  <c r="T28" i="156"/>
  <c r="T25" i="156"/>
  <c r="T22" i="156"/>
  <c r="T19" i="156"/>
  <c r="T16" i="156"/>
  <c r="T13" i="156"/>
  <c r="T10" i="156"/>
  <c r="T7" i="156"/>
  <c r="T11" i="156"/>
  <c r="H15" i="156"/>
  <c r="J18" i="156"/>
  <c r="M19" i="156"/>
  <c r="I20" i="156"/>
  <c r="L21" i="156"/>
  <c r="T24" i="156"/>
  <c r="T29" i="156"/>
  <c r="M34" i="156"/>
  <c r="I34" i="156"/>
  <c r="I31" i="156"/>
  <c r="I28" i="156"/>
  <c r="I25" i="156"/>
  <c r="I22" i="156"/>
  <c r="I19" i="156"/>
  <c r="I16" i="156"/>
  <c r="I13" i="156"/>
  <c r="I10" i="156"/>
  <c r="I7" i="156"/>
  <c r="I35" i="156"/>
  <c r="I15" i="156"/>
  <c r="L16" i="156"/>
  <c r="K18" i="156"/>
  <c r="J33" i="156"/>
  <c r="N9" i="156"/>
  <c r="N12" i="156"/>
  <c r="N15" i="156"/>
  <c r="N18" i="156"/>
  <c r="N21" i="156"/>
  <c r="N24" i="156"/>
  <c r="N27" i="156"/>
  <c r="N30" i="156"/>
  <c r="N33" i="156"/>
  <c r="G7" i="156"/>
  <c r="C9" i="156"/>
  <c r="O9" i="156"/>
  <c r="G10" i="156"/>
  <c r="C12" i="156"/>
  <c r="G13" i="156"/>
  <c r="C15" i="156"/>
  <c r="G16" i="156"/>
  <c r="C18" i="156"/>
  <c r="G19" i="156"/>
  <c r="C21" i="156"/>
  <c r="G22" i="156"/>
  <c r="C24" i="156"/>
  <c r="G25" i="156"/>
  <c r="C27" i="156"/>
  <c r="O27" i="156"/>
  <c r="G28" i="156"/>
  <c r="C30" i="156"/>
  <c r="G31" i="156"/>
  <c r="C33" i="156"/>
  <c r="G34" i="156"/>
  <c r="D9" i="156"/>
  <c r="P9" i="156"/>
  <c r="D12" i="156"/>
  <c r="P12" i="156"/>
  <c r="D15" i="156"/>
  <c r="P15" i="156"/>
  <c r="D18" i="156"/>
  <c r="P18" i="156"/>
  <c r="D21" i="156"/>
  <c r="P21" i="156"/>
  <c r="D24" i="156"/>
  <c r="P24" i="156"/>
  <c r="D27" i="156"/>
  <c r="P27" i="156"/>
  <c r="D30" i="156"/>
  <c r="P30" i="156"/>
  <c r="D33" i="156"/>
  <c r="P33" i="156"/>
  <c r="E9" i="156"/>
  <c r="Q9" i="156"/>
  <c r="E12" i="156"/>
  <c r="Q12" i="156"/>
  <c r="E15" i="156"/>
  <c r="Q15" i="156"/>
  <c r="E18" i="156"/>
  <c r="Q18" i="156"/>
  <c r="E21" i="156"/>
  <c r="Q21" i="156"/>
  <c r="E24" i="156"/>
  <c r="Q24" i="156"/>
  <c r="E27" i="156"/>
  <c r="Q27" i="156"/>
  <c r="E30" i="156"/>
  <c r="Q30" i="156"/>
  <c r="E33" i="156"/>
  <c r="Q33" i="156"/>
  <c r="N8" i="156"/>
  <c r="F9" i="156"/>
  <c r="N11" i="156"/>
  <c r="F12" i="156"/>
  <c r="N14" i="156"/>
  <c r="F15" i="156"/>
  <c r="N17" i="156"/>
  <c r="F18" i="156"/>
  <c r="N20" i="156"/>
  <c r="F21" i="156"/>
  <c r="N23" i="156"/>
  <c r="F24" i="156"/>
  <c r="N26" i="156"/>
  <c r="F27" i="156"/>
  <c r="N29" i="156"/>
  <c r="F30" i="156"/>
  <c r="N32" i="156"/>
  <c r="F33" i="156"/>
  <c r="G9" i="156"/>
  <c r="G12" i="156"/>
  <c r="G15" i="156"/>
  <c r="G18" i="156"/>
  <c r="G21" i="156"/>
  <c r="G24" i="156"/>
  <c r="G27" i="156"/>
  <c r="G30" i="156"/>
  <c r="G33" i="156"/>
  <c r="M33" i="155"/>
  <c r="M30" i="155"/>
  <c r="M27" i="155"/>
  <c r="M24" i="155"/>
  <c r="M21" i="155"/>
  <c r="M18" i="155"/>
  <c r="M15" i="155"/>
  <c r="M12" i="155"/>
  <c r="M35" i="155"/>
  <c r="M32" i="155"/>
  <c r="M29" i="155"/>
  <c r="M26" i="155"/>
  <c r="M23" i="155"/>
  <c r="M20" i="155"/>
  <c r="M17" i="155"/>
  <c r="M14" i="155"/>
  <c r="M11" i="155"/>
  <c r="M8" i="155"/>
  <c r="M10" i="155"/>
  <c r="M25" i="155"/>
  <c r="M7" i="155"/>
  <c r="M31" i="155"/>
  <c r="M9" i="155"/>
  <c r="M16" i="155"/>
  <c r="M22" i="155"/>
  <c r="H34" i="155"/>
  <c r="H31" i="155"/>
  <c r="H28" i="155"/>
  <c r="H25" i="155"/>
  <c r="H22" i="155"/>
  <c r="H19" i="155"/>
  <c r="H16" i="155"/>
  <c r="H13" i="155"/>
  <c r="H10" i="155"/>
  <c r="H7" i="155"/>
  <c r="T34" i="155"/>
  <c r="T31" i="155"/>
  <c r="T28" i="155"/>
  <c r="T25" i="155"/>
  <c r="T22" i="155"/>
  <c r="T19" i="155"/>
  <c r="T16" i="155"/>
  <c r="T13" i="155"/>
  <c r="T10" i="155"/>
  <c r="T7" i="155"/>
  <c r="T11" i="155"/>
  <c r="H27" i="155"/>
  <c r="H29" i="155"/>
  <c r="T30" i="155"/>
  <c r="I35" i="155"/>
  <c r="I32" i="155"/>
  <c r="I29" i="155"/>
  <c r="I26" i="155"/>
  <c r="I23" i="155"/>
  <c r="I20" i="155"/>
  <c r="I17" i="155"/>
  <c r="I14" i="155"/>
  <c r="I34" i="155"/>
  <c r="I31" i="155"/>
  <c r="I28" i="155"/>
  <c r="I25" i="155"/>
  <c r="I22" i="155"/>
  <c r="I19" i="155"/>
  <c r="I16" i="155"/>
  <c r="I13" i="155"/>
  <c r="I10" i="155"/>
  <c r="I7" i="155"/>
  <c r="U28" i="155"/>
  <c r="H12" i="155"/>
  <c r="L13" i="155"/>
  <c r="H14" i="155"/>
  <c r="T15" i="155"/>
  <c r="I27" i="155"/>
  <c r="M28" i="155"/>
  <c r="T32" i="155"/>
  <c r="J35" i="155"/>
  <c r="J32" i="155"/>
  <c r="J29" i="155"/>
  <c r="J26" i="155"/>
  <c r="J23" i="155"/>
  <c r="J20" i="155"/>
  <c r="J17" i="155"/>
  <c r="J14" i="155"/>
  <c r="J11" i="155"/>
  <c r="J8" i="155"/>
  <c r="J34" i="155"/>
  <c r="J31" i="155"/>
  <c r="J28" i="155"/>
  <c r="J25" i="155"/>
  <c r="J22" i="155"/>
  <c r="J19" i="155"/>
  <c r="J16" i="155"/>
  <c r="J13" i="155"/>
  <c r="J10" i="155"/>
  <c r="J7" i="155"/>
  <c r="V23" i="155"/>
  <c r="V28" i="155"/>
  <c r="T8" i="155"/>
  <c r="M13" i="155"/>
  <c r="T17" i="155"/>
  <c r="J27" i="155"/>
  <c r="V30" i="155"/>
  <c r="H33" i="155"/>
  <c r="H35" i="155"/>
  <c r="M36" i="155"/>
  <c r="K34" i="155"/>
  <c r="K31" i="155"/>
  <c r="K28" i="155"/>
  <c r="K25" i="155"/>
  <c r="K22" i="155"/>
  <c r="K19" i="155"/>
  <c r="K16" i="155"/>
  <c r="K13" i="155"/>
  <c r="K10" i="155"/>
  <c r="K7" i="155"/>
  <c r="K35" i="155"/>
  <c r="K32" i="155"/>
  <c r="K29" i="155"/>
  <c r="K26" i="155"/>
  <c r="K23" i="155"/>
  <c r="K20" i="155"/>
  <c r="K17" i="155"/>
  <c r="K14" i="155"/>
  <c r="K11" i="155"/>
  <c r="K8" i="155"/>
  <c r="J12" i="155"/>
  <c r="H18" i="155"/>
  <c r="H20" i="155"/>
  <c r="T21" i="155"/>
  <c r="K27" i="155"/>
  <c r="M34" i="155"/>
  <c r="L35" i="155"/>
  <c r="L32" i="155"/>
  <c r="L29" i="155"/>
  <c r="L26" i="155"/>
  <c r="L23" i="155"/>
  <c r="L20" i="155"/>
  <c r="L17" i="155"/>
  <c r="L14" i="155"/>
  <c r="L11" i="155"/>
  <c r="L8" i="155"/>
  <c r="H9" i="155"/>
  <c r="K12" i="155"/>
  <c r="M19" i="155"/>
  <c r="T23" i="155"/>
  <c r="L27" i="155"/>
  <c r="J33" i="155"/>
  <c r="T36" i="155"/>
  <c r="G7" i="155"/>
  <c r="C9" i="155"/>
  <c r="G10" i="155"/>
  <c r="C12" i="155"/>
  <c r="G13" i="155"/>
  <c r="C15" i="155"/>
  <c r="G16" i="155"/>
  <c r="C18" i="155"/>
  <c r="O18" i="155"/>
  <c r="G19" i="155"/>
  <c r="C21" i="155"/>
  <c r="G22" i="155"/>
  <c r="C24" i="155"/>
  <c r="G25" i="155"/>
  <c r="C27" i="155"/>
  <c r="G28" i="155"/>
  <c r="C30" i="155"/>
  <c r="O30" i="155"/>
  <c r="G31" i="155"/>
  <c r="C33" i="155"/>
  <c r="G34" i="155"/>
  <c r="D9" i="155"/>
  <c r="P9" i="155"/>
  <c r="D12" i="155"/>
  <c r="P12" i="155"/>
  <c r="D15" i="155"/>
  <c r="P15" i="155"/>
  <c r="D18" i="155"/>
  <c r="P18" i="155"/>
  <c r="D21" i="155"/>
  <c r="P21" i="155"/>
  <c r="D24" i="155"/>
  <c r="P24" i="155"/>
  <c r="D27" i="155"/>
  <c r="P27" i="155"/>
  <c r="D30" i="155"/>
  <c r="P30" i="155"/>
  <c r="D33" i="155"/>
  <c r="P33" i="155"/>
  <c r="E9" i="155"/>
  <c r="Q9" i="155"/>
  <c r="E12" i="155"/>
  <c r="Q12" i="155"/>
  <c r="E15" i="155"/>
  <c r="Q15" i="155"/>
  <c r="E18" i="155"/>
  <c r="Q18" i="155"/>
  <c r="E21" i="155"/>
  <c r="Q21" i="155"/>
  <c r="E24" i="155"/>
  <c r="Q24" i="155"/>
  <c r="E27" i="155"/>
  <c r="Q27" i="155"/>
  <c r="E30" i="155"/>
  <c r="Q30" i="155"/>
  <c r="E33" i="155"/>
  <c r="Q33" i="155"/>
  <c r="N8" i="155"/>
  <c r="F9" i="155"/>
  <c r="N11" i="155"/>
  <c r="F12" i="155"/>
  <c r="N14" i="155"/>
  <c r="F15" i="155"/>
  <c r="N17" i="155"/>
  <c r="F18" i="155"/>
  <c r="N20" i="155"/>
  <c r="F21" i="155"/>
  <c r="N23" i="155"/>
  <c r="F24" i="155"/>
  <c r="N26" i="155"/>
  <c r="F27" i="155"/>
  <c r="N29" i="155"/>
  <c r="F30" i="155"/>
  <c r="N32" i="155"/>
  <c r="F33" i="155"/>
  <c r="N35" i="155"/>
  <c r="N9" i="155"/>
  <c r="N12" i="155"/>
  <c r="N15" i="155"/>
  <c r="N18" i="155"/>
  <c r="N21" i="155"/>
  <c r="N24" i="155"/>
  <c r="N27" i="155"/>
  <c r="N30" i="155"/>
  <c r="G9" i="155"/>
  <c r="G12" i="155"/>
  <c r="G15" i="155"/>
  <c r="G18" i="155"/>
  <c r="G21" i="155"/>
  <c r="G24" i="155"/>
  <c r="S24" i="155"/>
  <c r="G27" i="155"/>
  <c r="G30" i="155"/>
  <c r="G33" i="155"/>
  <c r="L33" i="154"/>
  <c r="L30" i="154"/>
  <c r="L27" i="154"/>
  <c r="L24" i="154"/>
  <c r="L21" i="154"/>
  <c r="L18" i="154"/>
  <c r="L15" i="154"/>
  <c r="L12" i="154"/>
  <c r="L35" i="154"/>
  <c r="L32" i="154"/>
  <c r="L29" i="154"/>
  <c r="L26" i="154"/>
  <c r="L23" i="154"/>
  <c r="L20" i="154"/>
  <c r="L17" i="154"/>
  <c r="L14" i="154"/>
  <c r="L11" i="154"/>
  <c r="L8" i="154"/>
  <c r="T15" i="154"/>
  <c r="H18" i="154"/>
  <c r="T24" i="154"/>
  <c r="H27" i="154"/>
  <c r="H35" i="154"/>
  <c r="H32" i="154"/>
  <c r="H29" i="154"/>
  <c r="H26" i="154"/>
  <c r="H23" i="154"/>
  <c r="H20" i="154"/>
  <c r="H17" i="154"/>
  <c r="H14" i="154"/>
  <c r="H34" i="154"/>
  <c r="H31" i="154"/>
  <c r="H28" i="154"/>
  <c r="H25" i="154"/>
  <c r="H22" i="154"/>
  <c r="H19" i="154"/>
  <c r="H16" i="154"/>
  <c r="H13" i="154"/>
  <c r="H10" i="154"/>
  <c r="H7" i="154"/>
  <c r="T35" i="154"/>
  <c r="T32" i="154"/>
  <c r="T29" i="154"/>
  <c r="T26" i="154"/>
  <c r="T23" i="154"/>
  <c r="T20" i="154"/>
  <c r="T17" i="154"/>
  <c r="T14" i="154"/>
  <c r="T11" i="154"/>
  <c r="T34" i="154"/>
  <c r="T31" i="154"/>
  <c r="T28" i="154"/>
  <c r="T25" i="154"/>
  <c r="T22" i="154"/>
  <c r="T19" i="154"/>
  <c r="T16" i="154"/>
  <c r="T13" i="154"/>
  <c r="T10" i="154"/>
  <c r="T7" i="154"/>
  <c r="T12" i="154"/>
  <c r="H15" i="154"/>
  <c r="T21" i="154"/>
  <c r="H24" i="154"/>
  <c r="T30" i="154"/>
  <c r="H33" i="154"/>
  <c r="U35" i="154"/>
  <c r="U32" i="154"/>
  <c r="U29" i="154"/>
  <c r="U26" i="154"/>
  <c r="U23" i="154"/>
  <c r="U20" i="154"/>
  <c r="U17" i="154"/>
  <c r="U14" i="154"/>
  <c r="U11" i="154"/>
  <c r="U8" i="154"/>
  <c r="U34" i="154"/>
  <c r="U31" i="154"/>
  <c r="U28" i="154"/>
  <c r="U25" i="154"/>
  <c r="U22" i="154"/>
  <c r="U19" i="154"/>
  <c r="U16" i="154"/>
  <c r="U13" i="154"/>
  <c r="U10" i="154"/>
  <c r="U7" i="154"/>
  <c r="T8" i="154"/>
  <c r="U12" i="154"/>
  <c r="I15" i="154"/>
  <c r="U21" i="154"/>
  <c r="I24" i="154"/>
  <c r="U30" i="154"/>
  <c r="I33" i="154"/>
  <c r="J34" i="154"/>
  <c r="J31" i="154"/>
  <c r="J28" i="154"/>
  <c r="J25" i="154"/>
  <c r="J22" i="154"/>
  <c r="J19" i="154"/>
  <c r="J16" i="154"/>
  <c r="J13" i="154"/>
  <c r="J10" i="154"/>
  <c r="J7" i="154"/>
  <c r="J35" i="154"/>
  <c r="J32" i="154"/>
  <c r="J29" i="154"/>
  <c r="J26" i="154"/>
  <c r="J23" i="154"/>
  <c r="J20" i="154"/>
  <c r="J17" i="154"/>
  <c r="J14" i="154"/>
  <c r="J11" i="154"/>
  <c r="J8" i="154"/>
  <c r="V28" i="154"/>
  <c r="V13" i="154"/>
  <c r="V26" i="154"/>
  <c r="V11" i="154"/>
  <c r="H9" i="154"/>
  <c r="H11" i="154"/>
  <c r="J15" i="154"/>
  <c r="J24" i="154"/>
  <c r="V30" i="154"/>
  <c r="J33" i="154"/>
  <c r="K34" i="154"/>
  <c r="K31" i="154"/>
  <c r="K28" i="154"/>
  <c r="K25" i="154"/>
  <c r="K22" i="154"/>
  <c r="K19" i="154"/>
  <c r="K16" i="154"/>
  <c r="K13" i="154"/>
  <c r="K10" i="154"/>
  <c r="K7" i="154"/>
  <c r="K35" i="154"/>
  <c r="K32" i="154"/>
  <c r="K29" i="154"/>
  <c r="K26" i="154"/>
  <c r="K23" i="154"/>
  <c r="K20" i="154"/>
  <c r="K17" i="154"/>
  <c r="K14" i="154"/>
  <c r="K11" i="154"/>
  <c r="K8" i="154"/>
  <c r="I9" i="154"/>
  <c r="K15" i="154"/>
  <c r="K24" i="154"/>
  <c r="K33" i="154"/>
  <c r="K9" i="154"/>
  <c r="U15" i="154"/>
  <c r="I18" i="154"/>
  <c r="U24" i="154"/>
  <c r="I27" i="154"/>
  <c r="U33" i="154"/>
  <c r="V15" i="154"/>
  <c r="J18" i="154"/>
  <c r="J27" i="154"/>
  <c r="J36" i="154"/>
  <c r="I35" i="154"/>
  <c r="I32" i="154"/>
  <c r="I29" i="154"/>
  <c r="I26" i="154"/>
  <c r="I23" i="154"/>
  <c r="I20" i="154"/>
  <c r="I17" i="154"/>
  <c r="I14" i="154"/>
  <c r="I11" i="154"/>
  <c r="I8" i="154"/>
  <c r="I34" i="154"/>
  <c r="I31" i="154"/>
  <c r="I28" i="154"/>
  <c r="I25" i="154"/>
  <c r="I22" i="154"/>
  <c r="I19" i="154"/>
  <c r="I16" i="154"/>
  <c r="I13" i="154"/>
  <c r="I10" i="154"/>
  <c r="I7" i="154"/>
  <c r="H8" i="154"/>
  <c r="T9" i="154"/>
  <c r="K18" i="154"/>
  <c r="K27" i="154"/>
  <c r="K36" i="154"/>
  <c r="U9" i="154"/>
  <c r="H12" i="154"/>
  <c r="T18" i="154"/>
  <c r="H21" i="154"/>
  <c r="T27" i="154"/>
  <c r="H30" i="154"/>
  <c r="N9" i="154"/>
  <c r="N12" i="154"/>
  <c r="N15" i="154"/>
  <c r="N18" i="154"/>
  <c r="N21" i="154"/>
  <c r="N24" i="154"/>
  <c r="N27" i="154"/>
  <c r="N30" i="154"/>
  <c r="N33" i="154"/>
  <c r="N36" i="154"/>
  <c r="G7" i="154"/>
  <c r="C9" i="154"/>
  <c r="G10" i="154"/>
  <c r="C12" i="154"/>
  <c r="G13" i="154"/>
  <c r="C15" i="154"/>
  <c r="G16" i="154"/>
  <c r="C18" i="154"/>
  <c r="G19" i="154"/>
  <c r="C21" i="154"/>
  <c r="G22" i="154"/>
  <c r="C24" i="154"/>
  <c r="G25" i="154"/>
  <c r="C27" i="154"/>
  <c r="O27" i="154"/>
  <c r="G28" i="154"/>
  <c r="C30" i="154"/>
  <c r="G31" i="154"/>
  <c r="C33" i="154"/>
  <c r="G34" i="154"/>
  <c r="D9" i="154"/>
  <c r="P9" i="154"/>
  <c r="D12" i="154"/>
  <c r="P12" i="154"/>
  <c r="D15" i="154"/>
  <c r="P15" i="154"/>
  <c r="D18" i="154"/>
  <c r="P18" i="154"/>
  <c r="D21" i="154"/>
  <c r="P21" i="154"/>
  <c r="D24" i="154"/>
  <c r="P24" i="154"/>
  <c r="D27" i="154"/>
  <c r="P27" i="154"/>
  <c r="D30" i="154"/>
  <c r="P30" i="154"/>
  <c r="D33" i="154"/>
  <c r="P33" i="154"/>
  <c r="M8" i="154"/>
  <c r="E9" i="154"/>
  <c r="Q9" i="154"/>
  <c r="M11" i="154"/>
  <c r="E12" i="154"/>
  <c r="Q12" i="154"/>
  <c r="M14" i="154"/>
  <c r="E15" i="154"/>
  <c r="Q15" i="154"/>
  <c r="M17" i="154"/>
  <c r="E18" i="154"/>
  <c r="Q18" i="154"/>
  <c r="M20" i="154"/>
  <c r="E21" i="154"/>
  <c r="Q21" i="154"/>
  <c r="M23" i="154"/>
  <c r="E24" i="154"/>
  <c r="Q24" i="154"/>
  <c r="M26" i="154"/>
  <c r="E27" i="154"/>
  <c r="Q27" i="154"/>
  <c r="M29" i="154"/>
  <c r="E30" i="154"/>
  <c r="Q30" i="154"/>
  <c r="M32" i="154"/>
  <c r="E33" i="154"/>
  <c r="Q33" i="154"/>
  <c r="M35" i="154"/>
  <c r="N8" i="154"/>
  <c r="F9" i="154"/>
  <c r="N11" i="154"/>
  <c r="F12" i="154"/>
  <c r="N14" i="154"/>
  <c r="F15" i="154"/>
  <c r="N17" i="154"/>
  <c r="F18" i="154"/>
  <c r="N20" i="154"/>
  <c r="F21" i="154"/>
  <c r="N23" i="154"/>
  <c r="F24" i="154"/>
  <c r="N26" i="154"/>
  <c r="F27" i="154"/>
  <c r="N29" i="154"/>
  <c r="F30" i="154"/>
  <c r="N32" i="154"/>
  <c r="F33" i="154"/>
  <c r="M9" i="154"/>
  <c r="M12" i="154"/>
  <c r="M15" i="154"/>
  <c r="M18" i="154"/>
  <c r="M21" i="154"/>
  <c r="M24" i="154"/>
  <c r="M27" i="154"/>
  <c r="M30" i="154"/>
  <c r="G9" i="154"/>
  <c r="G12" i="154"/>
  <c r="G15" i="154"/>
  <c r="G18" i="154"/>
  <c r="G21" i="154"/>
  <c r="G24" i="154"/>
  <c r="G27" i="154"/>
  <c r="S27" i="154"/>
  <c r="G30" i="154"/>
  <c r="G33" i="154"/>
  <c r="AK37" i="153"/>
  <c r="AL37" i="153"/>
  <c r="AA37" i="153"/>
  <c r="AM37" i="153"/>
  <c r="X37" i="153"/>
  <c r="Y37" i="153"/>
  <c r="Z37" i="153"/>
  <c r="AB37" i="153"/>
  <c r="AN37" i="153"/>
  <c r="AO37" i="153"/>
  <c r="AJ37" i="153"/>
  <c r="AC37" i="153"/>
  <c r="AF37" i="153"/>
  <c r="AR37" i="153"/>
  <c r="P36" i="152"/>
  <c r="P33" i="152"/>
  <c r="P30" i="152"/>
  <c r="P27" i="152"/>
  <c r="P24" i="152"/>
  <c r="P21" i="152"/>
  <c r="P18" i="152"/>
  <c r="D12" i="152"/>
  <c r="N19" i="152"/>
  <c r="N28" i="152"/>
  <c r="L7" i="152"/>
  <c r="C13" i="152"/>
  <c r="P14" i="152"/>
  <c r="D17" i="152"/>
  <c r="C24" i="152"/>
  <c r="C25" i="152"/>
  <c r="C33" i="152"/>
  <c r="C34" i="152"/>
  <c r="H8" i="152"/>
  <c r="P10" i="152"/>
  <c r="D13" i="152"/>
  <c r="L15" i="152"/>
  <c r="T17" i="152"/>
  <c r="T18" i="152"/>
  <c r="P19" i="152"/>
  <c r="P20" i="152"/>
  <c r="L21" i="152"/>
  <c r="L22" i="152"/>
  <c r="H23" i="152"/>
  <c r="H24" i="152"/>
  <c r="D25" i="152"/>
  <c r="D26" i="152"/>
  <c r="T26" i="152"/>
  <c r="T27" i="152"/>
  <c r="P28" i="152"/>
  <c r="P29" i="152"/>
  <c r="L30" i="152"/>
  <c r="L31" i="152"/>
  <c r="H32" i="152"/>
  <c r="H33" i="152"/>
  <c r="D34" i="152"/>
  <c r="D35" i="152"/>
  <c r="T35" i="152"/>
  <c r="T36" i="152"/>
  <c r="N7" i="152"/>
  <c r="I8" i="152"/>
  <c r="D9" i="152"/>
  <c r="L11" i="152"/>
  <c r="T13" i="152"/>
  <c r="H16" i="152"/>
  <c r="U17" i="152"/>
  <c r="I23" i="152"/>
  <c r="I24" i="152"/>
  <c r="I32" i="152"/>
  <c r="I33" i="152"/>
  <c r="N27" i="152"/>
  <c r="N36" i="152"/>
  <c r="J34" i="152"/>
  <c r="J31" i="152"/>
  <c r="J28" i="152"/>
  <c r="J25" i="152"/>
  <c r="J22" i="152"/>
  <c r="J19" i="152"/>
  <c r="J16" i="152"/>
  <c r="J13" i="152"/>
  <c r="J10" i="152"/>
  <c r="J7" i="152"/>
  <c r="V16" i="152"/>
  <c r="L8" i="152"/>
  <c r="J9" i="152"/>
  <c r="T10" i="152"/>
  <c r="H13" i="152"/>
  <c r="P15" i="152"/>
  <c r="H18" i="152"/>
  <c r="D19" i="152"/>
  <c r="D20" i="152"/>
  <c r="T20" i="152"/>
  <c r="T21" i="152"/>
  <c r="P22" i="152"/>
  <c r="P23" i="152"/>
  <c r="L24" i="152"/>
  <c r="L25" i="152"/>
  <c r="H26" i="152"/>
  <c r="H27" i="152"/>
  <c r="D28" i="152"/>
  <c r="T29" i="152"/>
  <c r="P31" i="152"/>
  <c r="P32" i="152"/>
  <c r="L33" i="152"/>
  <c r="H35" i="152"/>
  <c r="L35" i="152"/>
  <c r="L32" i="152"/>
  <c r="L29" i="152"/>
  <c r="L26" i="152"/>
  <c r="L23" i="152"/>
  <c r="L20" i="152"/>
  <c r="L9" i="152"/>
  <c r="M8" i="152"/>
  <c r="L17" i="152"/>
  <c r="N35" i="152"/>
  <c r="N32" i="152"/>
  <c r="N29" i="152"/>
  <c r="N26" i="152"/>
  <c r="N23" i="152"/>
  <c r="N20" i="152"/>
  <c r="N17" i="152"/>
  <c r="N14" i="152"/>
  <c r="N11" i="152"/>
  <c r="N8" i="152"/>
  <c r="N9" i="152"/>
  <c r="L10" i="152"/>
  <c r="L18" i="152"/>
  <c r="L19" i="152"/>
  <c r="L27" i="152"/>
  <c r="L28" i="152"/>
  <c r="L36" i="152"/>
  <c r="C35" i="152"/>
  <c r="C32" i="152"/>
  <c r="C29" i="152"/>
  <c r="C26" i="152"/>
  <c r="C23" i="152"/>
  <c r="C20" i="152"/>
  <c r="C17" i="152"/>
  <c r="C14" i="152"/>
  <c r="C11" i="152"/>
  <c r="C8" i="152"/>
  <c r="C12" i="152"/>
  <c r="M19" i="152"/>
  <c r="D36" i="152"/>
  <c r="D33" i="152"/>
  <c r="D30" i="152"/>
  <c r="D27" i="152"/>
  <c r="D24" i="152"/>
  <c r="D21" i="152"/>
  <c r="D18" i="152"/>
  <c r="P9" i="152"/>
  <c r="N10" i="152"/>
  <c r="L14" i="152"/>
  <c r="N18" i="152"/>
  <c r="H34" i="152"/>
  <c r="H31" i="152"/>
  <c r="H28" i="152"/>
  <c r="H25" i="152"/>
  <c r="H22" i="152"/>
  <c r="H19" i="152"/>
  <c r="T34" i="152"/>
  <c r="T31" i="152"/>
  <c r="T28" i="152"/>
  <c r="T25" i="152"/>
  <c r="T22" i="152"/>
  <c r="T19" i="152"/>
  <c r="H9" i="152"/>
  <c r="C10" i="152"/>
  <c r="P11" i="152"/>
  <c r="D14" i="152"/>
  <c r="N15" i="152"/>
  <c r="L16" i="152"/>
  <c r="N21" i="152"/>
  <c r="N22" i="152"/>
  <c r="N30" i="152"/>
  <c r="N31" i="152"/>
  <c r="I34" i="152"/>
  <c r="I31" i="152"/>
  <c r="I28" i="152"/>
  <c r="I25" i="152"/>
  <c r="I22" i="152"/>
  <c r="I19" i="152"/>
  <c r="I16" i="152"/>
  <c r="I13" i="152"/>
  <c r="I10" i="152"/>
  <c r="I7" i="152"/>
  <c r="U25" i="152"/>
  <c r="U13" i="152"/>
  <c r="P7" i="152"/>
  <c r="I9" i="152"/>
  <c r="D10" i="152"/>
  <c r="L12" i="152"/>
  <c r="T14" i="152"/>
  <c r="H17" i="152"/>
  <c r="C18" i="152"/>
  <c r="C19" i="152"/>
  <c r="C27" i="152"/>
  <c r="C28" i="152"/>
  <c r="C36" i="152"/>
  <c r="K34" i="152"/>
  <c r="K31" i="152"/>
  <c r="K28" i="152"/>
  <c r="K25" i="152"/>
  <c r="K22" i="152"/>
  <c r="K19" i="152"/>
  <c r="K16" i="152"/>
  <c r="K13" i="152"/>
  <c r="K10" i="152"/>
  <c r="K7" i="152"/>
  <c r="C7" i="152"/>
  <c r="P8" i="152"/>
  <c r="K9" i="152"/>
  <c r="D11" i="152"/>
  <c r="N12" i="152"/>
  <c r="L13" i="152"/>
  <c r="T15" i="152"/>
  <c r="J17" i="152"/>
  <c r="I18" i="152"/>
  <c r="M24" i="152"/>
  <c r="I26" i="152"/>
  <c r="I27" i="152"/>
  <c r="I35" i="152"/>
  <c r="I36" i="152"/>
  <c r="E9" i="152"/>
  <c r="Q9" i="152"/>
  <c r="E12" i="152"/>
  <c r="Q12" i="152"/>
  <c r="E15" i="152"/>
  <c r="Q15" i="152"/>
  <c r="E18" i="152"/>
  <c r="Q18" i="152"/>
  <c r="E21" i="152"/>
  <c r="Q21" i="152"/>
  <c r="E24" i="152"/>
  <c r="Q24" i="152"/>
  <c r="E27" i="152"/>
  <c r="Q27" i="152"/>
  <c r="E30" i="152"/>
  <c r="Q30" i="152"/>
  <c r="E33" i="152"/>
  <c r="Q33" i="152"/>
  <c r="F9" i="152"/>
  <c r="F12" i="152"/>
  <c r="F15" i="152"/>
  <c r="F18" i="152"/>
  <c r="F21" i="152"/>
  <c r="F24" i="152"/>
  <c r="F27" i="152"/>
  <c r="F30" i="152"/>
  <c r="F33" i="152"/>
  <c r="G9" i="152"/>
  <c r="G12" i="152"/>
  <c r="G15" i="152"/>
  <c r="S15" i="152"/>
  <c r="G18" i="152"/>
  <c r="G21" i="152"/>
  <c r="G24" i="152"/>
  <c r="G27" i="152"/>
  <c r="G30" i="152"/>
  <c r="G33" i="152"/>
  <c r="T8" i="151"/>
  <c r="K15" i="151"/>
  <c r="I23" i="151"/>
  <c r="T12" i="151"/>
  <c r="L14" i="151"/>
  <c r="L15" i="151"/>
  <c r="L16" i="151"/>
  <c r="J18" i="151"/>
  <c r="L19" i="151"/>
  <c r="H20" i="151"/>
  <c r="T24" i="151"/>
  <c r="H34" i="151"/>
  <c r="H31" i="151"/>
  <c r="H28" i="151"/>
  <c r="H25" i="151"/>
  <c r="H22" i="151"/>
  <c r="H19" i="151"/>
  <c r="T34" i="151"/>
  <c r="T31" i="151"/>
  <c r="T28" i="151"/>
  <c r="T25" i="151"/>
  <c r="T22" i="151"/>
  <c r="T19" i="151"/>
  <c r="T20" i="151"/>
  <c r="H24" i="151"/>
  <c r="H29" i="151"/>
  <c r="T33" i="151"/>
  <c r="I34" i="151"/>
  <c r="I31" i="151"/>
  <c r="I28" i="151"/>
  <c r="I25" i="151"/>
  <c r="I22" i="151"/>
  <c r="I19" i="151"/>
  <c r="I16" i="151"/>
  <c r="I13" i="151"/>
  <c r="I10" i="151"/>
  <c r="I7" i="151"/>
  <c r="U34" i="151"/>
  <c r="H11" i="151"/>
  <c r="I24" i="151"/>
  <c r="I29" i="151"/>
  <c r="J34" i="151"/>
  <c r="J31" i="151"/>
  <c r="J28" i="151"/>
  <c r="J25" i="151"/>
  <c r="J22" i="151"/>
  <c r="J19" i="151"/>
  <c r="J16" i="151"/>
  <c r="J13" i="151"/>
  <c r="J10" i="151"/>
  <c r="J7" i="151"/>
  <c r="J35" i="151"/>
  <c r="J32" i="151"/>
  <c r="J29" i="151"/>
  <c r="J26" i="151"/>
  <c r="J23" i="151"/>
  <c r="J20" i="151"/>
  <c r="J17" i="151"/>
  <c r="J14" i="151"/>
  <c r="J11" i="151"/>
  <c r="J8" i="151"/>
  <c r="V31" i="151"/>
  <c r="V7" i="151"/>
  <c r="V14" i="151"/>
  <c r="I11" i="151"/>
  <c r="H13" i="151"/>
  <c r="H15" i="151"/>
  <c r="T16" i="151"/>
  <c r="T17" i="151"/>
  <c r="H21" i="151"/>
  <c r="J24" i="151"/>
  <c r="H26" i="151"/>
  <c r="T30" i="151"/>
  <c r="T35" i="151"/>
  <c r="K34" i="151"/>
  <c r="K31" i="151"/>
  <c r="K28" i="151"/>
  <c r="K25" i="151"/>
  <c r="K22" i="151"/>
  <c r="K19" i="151"/>
  <c r="K16" i="151"/>
  <c r="K13" i="151"/>
  <c r="K10" i="151"/>
  <c r="K7" i="151"/>
  <c r="K35" i="151"/>
  <c r="K32" i="151"/>
  <c r="K29" i="151"/>
  <c r="K26" i="151"/>
  <c r="K23" i="151"/>
  <c r="K20" i="151"/>
  <c r="K17" i="151"/>
  <c r="K14" i="151"/>
  <c r="K11" i="151"/>
  <c r="K8" i="151"/>
  <c r="T9" i="151"/>
  <c r="I15" i="151"/>
  <c r="I21" i="151"/>
  <c r="K24" i="151"/>
  <c r="I26" i="151"/>
  <c r="L35" i="151"/>
  <c r="L32" i="151"/>
  <c r="L29" i="151"/>
  <c r="L26" i="151"/>
  <c r="L23" i="151"/>
  <c r="L20" i="151"/>
  <c r="H14" i="151"/>
  <c r="J15" i="151"/>
  <c r="H18" i="151"/>
  <c r="J21" i="151"/>
  <c r="L22" i="151"/>
  <c r="H23" i="151"/>
  <c r="L24" i="151"/>
  <c r="T27" i="151"/>
  <c r="V30" i="151"/>
  <c r="T32" i="151"/>
  <c r="T7" i="151"/>
  <c r="I14" i="151"/>
  <c r="H16" i="151"/>
  <c r="I18" i="151"/>
  <c r="D9" i="151"/>
  <c r="P13" i="151"/>
  <c r="H17" i="151"/>
  <c r="K18" i="151"/>
  <c r="I20" i="151"/>
  <c r="I33" i="151"/>
  <c r="K36" i="151"/>
  <c r="D36" i="151"/>
  <c r="D33" i="151"/>
  <c r="D30" i="151"/>
  <c r="D27" i="151"/>
  <c r="D24" i="151"/>
  <c r="D21" i="151"/>
  <c r="D18" i="151"/>
  <c r="P36" i="151"/>
  <c r="P33" i="151"/>
  <c r="P30" i="151"/>
  <c r="P27" i="151"/>
  <c r="P24" i="151"/>
  <c r="P21" i="151"/>
  <c r="P18" i="151"/>
  <c r="H7" i="151"/>
  <c r="H9" i="151"/>
  <c r="T10" i="151"/>
  <c r="T11" i="151"/>
  <c r="P15" i="151"/>
  <c r="I17" i="151"/>
  <c r="L18" i="151"/>
  <c r="P20" i="151"/>
  <c r="T21" i="151"/>
  <c r="P22" i="151"/>
  <c r="V24" i="151"/>
  <c r="T26" i="151"/>
  <c r="D28" i="151"/>
  <c r="D29" i="151"/>
  <c r="H30" i="151"/>
  <c r="J33" i="151"/>
  <c r="L34" i="151"/>
  <c r="H35" i="151"/>
  <c r="L36" i="151"/>
  <c r="H36" i="151"/>
  <c r="L7" i="151"/>
  <c r="I9" i="151"/>
  <c r="U11" i="151"/>
  <c r="T15" i="151"/>
  <c r="L17" i="151"/>
  <c r="I30" i="151"/>
  <c r="K33" i="151"/>
  <c r="I35" i="151"/>
  <c r="H8" i="151"/>
  <c r="J9" i="151"/>
  <c r="T18" i="151"/>
  <c r="T23" i="151"/>
  <c r="H27" i="151"/>
  <c r="J30" i="151"/>
  <c r="L31" i="151"/>
  <c r="H32" i="151"/>
  <c r="L33" i="151"/>
  <c r="T36" i="151"/>
  <c r="N9" i="151"/>
  <c r="N12" i="151"/>
  <c r="N15" i="151"/>
  <c r="N18" i="151"/>
  <c r="N21" i="151"/>
  <c r="N24" i="151"/>
  <c r="N27" i="151"/>
  <c r="N30" i="151"/>
  <c r="N33" i="151"/>
  <c r="N36" i="151"/>
  <c r="C9" i="151"/>
  <c r="C12" i="151"/>
  <c r="C15" i="151"/>
  <c r="C18" i="151"/>
  <c r="C21" i="151"/>
  <c r="C24" i="151"/>
  <c r="C27" i="151"/>
  <c r="C30" i="151"/>
  <c r="C33" i="151"/>
  <c r="C36" i="151"/>
  <c r="E9" i="151"/>
  <c r="Q9" i="151"/>
  <c r="E12" i="151"/>
  <c r="Q12" i="151"/>
  <c r="E15" i="151"/>
  <c r="Q15" i="151"/>
  <c r="E18" i="151"/>
  <c r="Q18" i="151"/>
  <c r="E21" i="151"/>
  <c r="Q21" i="151"/>
  <c r="E24" i="151"/>
  <c r="Q24" i="151"/>
  <c r="E27" i="151"/>
  <c r="Q27" i="151"/>
  <c r="E30" i="151"/>
  <c r="Q30" i="151"/>
  <c r="E33" i="151"/>
  <c r="Q33" i="151"/>
  <c r="N8" i="151"/>
  <c r="F9" i="151"/>
  <c r="N11" i="151"/>
  <c r="F12" i="151"/>
  <c r="N14" i="151"/>
  <c r="F15" i="151"/>
  <c r="N17" i="151"/>
  <c r="F18" i="151"/>
  <c r="N20" i="151"/>
  <c r="F21" i="151"/>
  <c r="N23" i="151"/>
  <c r="F24" i="151"/>
  <c r="N26" i="151"/>
  <c r="F27" i="151"/>
  <c r="N29" i="151"/>
  <c r="F30" i="151"/>
  <c r="N32" i="151"/>
  <c r="F33" i="151"/>
  <c r="C8" i="151"/>
  <c r="G9" i="151"/>
  <c r="S9" i="151"/>
  <c r="C11" i="151"/>
  <c r="G12" i="151"/>
  <c r="S12" i="151"/>
  <c r="C14" i="151"/>
  <c r="G15" i="151"/>
  <c r="S15" i="151"/>
  <c r="C17" i="151"/>
  <c r="G18" i="151"/>
  <c r="S18" i="151"/>
  <c r="C20" i="151"/>
  <c r="G21" i="151"/>
  <c r="S21" i="151"/>
  <c r="C23" i="151"/>
  <c r="G24" i="151"/>
  <c r="S24" i="151"/>
  <c r="C26" i="151"/>
  <c r="G27" i="151"/>
  <c r="S27" i="151"/>
  <c r="C29" i="151"/>
  <c r="G30" i="151"/>
  <c r="S30" i="151"/>
  <c r="C32" i="151"/>
  <c r="G33" i="151"/>
  <c r="S33" i="151"/>
  <c r="H31" i="150"/>
  <c r="H16" i="150"/>
  <c r="H10" i="150"/>
  <c r="H34" i="150"/>
  <c r="H28" i="150"/>
  <c r="H25" i="150"/>
  <c r="H22" i="150"/>
  <c r="H19" i="150"/>
  <c r="H13" i="150"/>
  <c r="T34" i="150"/>
  <c r="T28" i="150"/>
  <c r="T19" i="150"/>
  <c r="T7" i="150"/>
  <c r="T31" i="150"/>
  <c r="T25" i="150"/>
  <c r="T22" i="150"/>
  <c r="T16" i="150"/>
  <c r="T13" i="150"/>
  <c r="I34" i="150"/>
  <c r="I31" i="150"/>
  <c r="I28" i="150"/>
  <c r="I25" i="150"/>
  <c r="I22" i="150"/>
  <c r="I19" i="150"/>
  <c r="I16" i="150"/>
  <c r="I13" i="150"/>
  <c r="I10" i="150"/>
  <c r="I7" i="150"/>
  <c r="U19" i="150"/>
  <c r="J34" i="150"/>
  <c r="J31" i="150"/>
  <c r="J28" i="150"/>
  <c r="J25" i="150"/>
  <c r="J22" i="150"/>
  <c r="J19" i="150"/>
  <c r="J16" i="150"/>
  <c r="J13" i="150"/>
  <c r="J10" i="150"/>
  <c r="J7" i="150"/>
  <c r="V34" i="150"/>
  <c r="V31" i="150"/>
  <c r="V28" i="150"/>
  <c r="V25" i="150"/>
  <c r="V22" i="150"/>
  <c r="V19" i="150"/>
  <c r="V16" i="150"/>
  <c r="V13" i="150"/>
  <c r="V10" i="150"/>
  <c r="V7" i="150"/>
  <c r="H11" i="150"/>
  <c r="H12" i="150"/>
  <c r="T14" i="150"/>
  <c r="T15" i="150"/>
  <c r="H20" i="150"/>
  <c r="H21" i="150"/>
  <c r="T23" i="150"/>
  <c r="T24" i="150"/>
  <c r="H29" i="150"/>
  <c r="H30" i="150"/>
  <c r="T32" i="150"/>
  <c r="T33" i="150"/>
  <c r="K34" i="150"/>
  <c r="K31" i="150"/>
  <c r="K28" i="150"/>
  <c r="K25" i="150"/>
  <c r="K22" i="150"/>
  <c r="K19" i="150"/>
  <c r="K16" i="150"/>
  <c r="K13" i="150"/>
  <c r="K10" i="150"/>
  <c r="K7" i="150"/>
  <c r="I11" i="150"/>
  <c r="I12" i="150"/>
  <c r="I20" i="150"/>
  <c r="I21" i="150"/>
  <c r="I29" i="150"/>
  <c r="I30" i="150"/>
  <c r="L26" i="150"/>
  <c r="L23" i="150"/>
  <c r="L8" i="150"/>
  <c r="L35" i="150"/>
  <c r="L32" i="150"/>
  <c r="L29" i="150"/>
  <c r="L20" i="150"/>
  <c r="L17" i="150"/>
  <c r="L14" i="150"/>
  <c r="L11" i="150"/>
  <c r="J11" i="150"/>
  <c r="V14" i="150"/>
  <c r="V15" i="150"/>
  <c r="J20" i="150"/>
  <c r="J21" i="150"/>
  <c r="V23" i="150"/>
  <c r="V24" i="150"/>
  <c r="J29" i="150"/>
  <c r="J30" i="150"/>
  <c r="V32" i="150"/>
  <c r="V33" i="150"/>
  <c r="T8" i="150"/>
  <c r="T9" i="150"/>
  <c r="K11" i="150"/>
  <c r="K12" i="150"/>
  <c r="K20" i="150"/>
  <c r="K21" i="150"/>
  <c r="K29" i="150"/>
  <c r="K30" i="150"/>
  <c r="N35" i="150"/>
  <c r="N32" i="150"/>
  <c r="N29" i="150"/>
  <c r="N26" i="150"/>
  <c r="N23" i="150"/>
  <c r="N20" i="150"/>
  <c r="N17" i="150"/>
  <c r="N14" i="150"/>
  <c r="N11" i="150"/>
  <c r="N8" i="150"/>
  <c r="L12" i="150"/>
  <c r="L13" i="150"/>
  <c r="H14" i="150"/>
  <c r="H15" i="150"/>
  <c r="T17" i="150"/>
  <c r="T18" i="150"/>
  <c r="L21" i="150"/>
  <c r="L22" i="150"/>
  <c r="H23" i="150"/>
  <c r="H24" i="150"/>
  <c r="T26" i="150"/>
  <c r="T27" i="150"/>
  <c r="L30" i="150"/>
  <c r="L31" i="150"/>
  <c r="H32" i="150"/>
  <c r="H33" i="150"/>
  <c r="T35" i="150"/>
  <c r="T36" i="150"/>
  <c r="C35" i="150"/>
  <c r="C32" i="150"/>
  <c r="C29" i="150"/>
  <c r="C26" i="150"/>
  <c r="C23" i="150"/>
  <c r="C20" i="150"/>
  <c r="C17" i="150"/>
  <c r="C14" i="150"/>
  <c r="C11" i="150"/>
  <c r="C8" i="150"/>
  <c r="O32" i="150"/>
  <c r="V8" i="150"/>
  <c r="V9" i="150"/>
  <c r="I14" i="150"/>
  <c r="I15" i="150"/>
  <c r="I23" i="150"/>
  <c r="I24" i="150"/>
  <c r="I32" i="150"/>
  <c r="I33" i="150"/>
  <c r="H7" i="150"/>
  <c r="C9" i="150"/>
  <c r="C10" i="150"/>
  <c r="N12" i="150"/>
  <c r="N13" i="150"/>
  <c r="J14" i="150"/>
  <c r="J15" i="150"/>
  <c r="V17" i="150"/>
  <c r="V18" i="150"/>
  <c r="N21" i="150"/>
  <c r="N22" i="150"/>
  <c r="J23" i="150"/>
  <c r="J24" i="150"/>
  <c r="V26" i="150"/>
  <c r="V27" i="150"/>
  <c r="N30" i="150"/>
  <c r="N31" i="150"/>
  <c r="J32" i="150"/>
  <c r="J33" i="150"/>
  <c r="V35" i="150"/>
  <c r="V36" i="150"/>
  <c r="J12" i="150"/>
  <c r="L7" i="150"/>
  <c r="H8" i="150"/>
  <c r="H9" i="150"/>
  <c r="T10" i="150"/>
  <c r="K14" i="150"/>
  <c r="K15" i="150"/>
  <c r="C18" i="150"/>
  <c r="C19" i="150"/>
  <c r="K23" i="150"/>
  <c r="K24" i="150"/>
  <c r="C27" i="150"/>
  <c r="C28" i="150"/>
  <c r="K32" i="150"/>
  <c r="K33" i="150"/>
  <c r="C36" i="150"/>
  <c r="I8" i="150"/>
  <c r="I9" i="150"/>
  <c r="T11" i="150"/>
  <c r="T12" i="150"/>
  <c r="L15" i="150"/>
  <c r="L16" i="150"/>
  <c r="H17" i="150"/>
  <c r="H18" i="150"/>
  <c r="T20" i="150"/>
  <c r="T21" i="150"/>
  <c r="L24" i="150"/>
  <c r="L25" i="150"/>
  <c r="H26" i="150"/>
  <c r="H27" i="150"/>
  <c r="T29" i="150"/>
  <c r="T30" i="150"/>
  <c r="L33" i="150"/>
  <c r="L34" i="150"/>
  <c r="H35" i="150"/>
  <c r="H36" i="150"/>
  <c r="D12" i="150"/>
  <c r="D15" i="150"/>
  <c r="P15" i="150"/>
  <c r="D18" i="150"/>
  <c r="P18" i="150"/>
  <c r="D21" i="150"/>
  <c r="P21" i="150"/>
  <c r="D24" i="150"/>
  <c r="P24" i="150"/>
  <c r="D27" i="150"/>
  <c r="P27" i="150"/>
  <c r="D30" i="150"/>
  <c r="P30" i="150"/>
  <c r="P33" i="150"/>
  <c r="E9" i="150"/>
  <c r="Q9" i="150"/>
  <c r="E12" i="150"/>
  <c r="Q12" i="150"/>
  <c r="E15" i="150"/>
  <c r="Q15" i="150"/>
  <c r="E18" i="150"/>
  <c r="Q18" i="150"/>
  <c r="E21" i="150"/>
  <c r="Q21" i="150"/>
  <c r="E24" i="150"/>
  <c r="Q24" i="150"/>
  <c r="E27" i="150"/>
  <c r="Q27" i="150"/>
  <c r="E30" i="150"/>
  <c r="Q30" i="150"/>
  <c r="E33" i="150"/>
  <c r="Q33" i="150"/>
  <c r="F9" i="150"/>
  <c r="F12" i="150"/>
  <c r="F15" i="150"/>
  <c r="F18" i="150"/>
  <c r="F21" i="150"/>
  <c r="F24" i="150"/>
  <c r="F27" i="150"/>
  <c r="F30" i="150"/>
  <c r="F33" i="150"/>
  <c r="D9" i="150"/>
  <c r="P9" i="150"/>
  <c r="P12" i="150"/>
  <c r="D33" i="150"/>
  <c r="G9" i="150"/>
  <c r="S9" i="150"/>
  <c r="G12" i="150"/>
  <c r="S12" i="150"/>
  <c r="G15" i="150"/>
  <c r="S15" i="150"/>
  <c r="G18" i="150"/>
  <c r="S18" i="150"/>
  <c r="G21" i="150"/>
  <c r="S21" i="150"/>
  <c r="G24" i="150"/>
  <c r="S24" i="150"/>
  <c r="G27" i="150"/>
  <c r="S27" i="150"/>
  <c r="G30" i="150"/>
  <c r="S30" i="150"/>
  <c r="G33" i="150"/>
  <c r="S33" i="150"/>
  <c r="J34" i="149"/>
  <c r="J31" i="149"/>
  <c r="J28" i="149"/>
  <c r="J25" i="149"/>
  <c r="J22" i="149"/>
  <c r="J19" i="149"/>
  <c r="J16" i="149"/>
  <c r="J13" i="149"/>
  <c r="J10" i="149"/>
  <c r="J7" i="149"/>
  <c r="V10" i="149"/>
  <c r="P8" i="149"/>
  <c r="P14" i="149"/>
  <c r="D20" i="149"/>
  <c r="T20" i="149"/>
  <c r="T27" i="149"/>
  <c r="P31" i="149"/>
  <c r="P32" i="149"/>
  <c r="K34" i="149"/>
  <c r="K31" i="149"/>
  <c r="K28" i="149"/>
  <c r="K25" i="149"/>
  <c r="K22" i="149"/>
  <c r="K19" i="149"/>
  <c r="K16" i="149"/>
  <c r="K13" i="149"/>
  <c r="K10" i="149"/>
  <c r="K7" i="149"/>
  <c r="K35" i="149"/>
  <c r="K32" i="149"/>
  <c r="K29" i="149"/>
  <c r="K26" i="149"/>
  <c r="K23" i="149"/>
  <c r="K20" i="149"/>
  <c r="K17" i="149"/>
  <c r="K14" i="149"/>
  <c r="K11" i="149"/>
  <c r="K8" i="149"/>
  <c r="T7" i="149"/>
  <c r="H11" i="149"/>
  <c r="D12" i="149"/>
  <c r="T13" i="149"/>
  <c r="D18" i="149"/>
  <c r="D19" i="149"/>
  <c r="T23" i="149"/>
  <c r="U27" i="149"/>
  <c r="P34" i="149"/>
  <c r="D36" i="149"/>
  <c r="D33" i="149"/>
  <c r="D30" i="149"/>
  <c r="D27" i="149"/>
  <c r="D24" i="149"/>
  <c r="D21" i="149"/>
  <c r="P36" i="149"/>
  <c r="P33" i="149"/>
  <c r="P30" i="149"/>
  <c r="P27" i="149"/>
  <c r="P24" i="149"/>
  <c r="P21" i="149"/>
  <c r="P18" i="149"/>
  <c r="P11" i="149"/>
  <c r="P17" i="149"/>
  <c r="D34" i="149"/>
  <c r="D9" i="149"/>
  <c r="D15" i="149"/>
  <c r="D10" i="149"/>
  <c r="D16" i="149"/>
  <c r="P19" i="149"/>
  <c r="P20" i="149"/>
  <c r="D11" i="149"/>
  <c r="P12" i="149"/>
  <c r="D17" i="149"/>
  <c r="P22" i="149"/>
  <c r="P23" i="149"/>
  <c r="H34" i="149"/>
  <c r="H31" i="149"/>
  <c r="H28" i="149"/>
  <c r="H25" i="149"/>
  <c r="H22" i="149"/>
  <c r="H19" i="149"/>
  <c r="T34" i="149"/>
  <c r="T31" i="149"/>
  <c r="T28" i="149"/>
  <c r="T25" i="149"/>
  <c r="T22" i="149"/>
  <c r="T19" i="149"/>
  <c r="P7" i="149"/>
  <c r="T11" i="149"/>
  <c r="T12" i="149"/>
  <c r="P13" i="149"/>
  <c r="T17" i="149"/>
  <c r="T21" i="149"/>
  <c r="P25" i="149"/>
  <c r="P26" i="149"/>
  <c r="I34" i="149"/>
  <c r="I31" i="149"/>
  <c r="I28" i="149"/>
  <c r="I25" i="149"/>
  <c r="I22" i="149"/>
  <c r="I19" i="149"/>
  <c r="I16" i="149"/>
  <c r="I13" i="149"/>
  <c r="I10" i="149"/>
  <c r="I7" i="149"/>
  <c r="H10" i="149"/>
  <c r="U12" i="149"/>
  <c r="H16" i="149"/>
  <c r="T24" i="149"/>
  <c r="P28" i="149"/>
  <c r="P29" i="149"/>
  <c r="L35" i="149"/>
  <c r="L32" i="149"/>
  <c r="L29" i="149"/>
  <c r="L26" i="149"/>
  <c r="L23" i="149"/>
  <c r="L20" i="149"/>
  <c r="D7" i="149"/>
  <c r="I11" i="149"/>
  <c r="H12" i="149"/>
  <c r="D13" i="149"/>
  <c r="I17" i="149"/>
  <c r="H18" i="149"/>
  <c r="D22" i="149"/>
  <c r="D26" i="149"/>
  <c r="T26" i="149"/>
  <c r="T33" i="149"/>
  <c r="D8" i="149"/>
  <c r="P9" i="149"/>
  <c r="J11" i="149"/>
  <c r="I12" i="149"/>
  <c r="D14" i="149"/>
  <c r="P15" i="149"/>
  <c r="J17" i="149"/>
  <c r="I18" i="149"/>
  <c r="H21" i="149"/>
  <c r="V23" i="149"/>
  <c r="D25" i="149"/>
  <c r="U26" i="149"/>
  <c r="D29" i="149"/>
  <c r="T29" i="149"/>
  <c r="T36" i="149"/>
  <c r="U34" i="149"/>
  <c r="U10" i="149"/>
  <c r="N35" i="149"/>
  <c r="N32" i="149"/>
  <c r="N29" i="149"/>
  <c r="N26" i="149"/>
  <c r="N23" i="149"/>
  <c r="N20" i="149"/>
  <c r="N17" i="149"/>
  <c r="N14" i="149"/>
  <c r="N11" i="149"/>
  <c r="N8" i="149"/>
  <c r="T8" i="149"/>
  <c r="T9" i="149"/>
  <c r="P10" i="149"/>
  <c r="L11" i="149"/>
  <c r="J12" i="149"/>
  <c r="T14" i="149"/>
  <c r="T15" i="149"/>
  <c r="P16" i="149"/>
  <c r="L17" i="149"/>
  <c r="J18" i="149"/>
  <c r="L19" i="149"/>
  <c r="H20" i="149"/>
  <c r="I21" i="149"/>
  <c r="H24" i="149"/>
  <c r="D28" i="149"/>
  <c r="D32" i="149"/>
  <c r="T32" i="149"/>
  <c r="H7" i="149"/>
  <c r="H13" i="149"/>
  <c r="I20" i="149"/>
  <c r="H23" i="149"/>
  <c r="I24" i="149"/>
  <c r="H27" i="149"/>
  <c r="D31" i="149"/>
  <c r="D35" i="149"/>
  <c r="T35" i="149"/>
  <c r="G7" i="149"/>
  <c r="C9" i="149"/>
  <c r="G10" i="149"/>
  <c r="C12" i="149"/>
  <c r="G13" i="149"/>
  <c r="C15" i="149"/>
  <c r="G16" i="149"/>
  <c r="C18" i="149"/>
  <c r="G19" i="149"/>
  <c r="C21" i="149"/>
  <c r="G22" i="149"/>
  <c r="C24" i="149"/>
  <c r="G25" i="149"/>
  <c r="C27" i="149"/>
  <c r="G28" i="149"/>
  <c r="C30" i="149"/>
  <c r="O30" i="149"/>
  <c r="G31" i="149"/>
  <c r="C33" i="149"/>
  <c r="G34" i="149"/>
  <c r="E9" i="149"/>
  <c r="Q9" i="149"/>
  <c r="E12" i="149"/>
  <c r="Q12" i="149"/>
  <c r="E15" i="149"/>
  <c r="Q15" i="149"/>
  <c r="E18" i="149"/>
  <c r="Q18" i="149"/>
  <c r="E21" i="149"/>
  <c r="Q21" i="149"/>
  <c r="E24" i="149"/>
  <c r="Q24" i="149"/>
  <c r="E27" i="149"/>
  <c r="Q27" i="149"/>
  <c r="E30" i="149"/>
  <c r="Q30" i="149"/>
  <c r="E33" i="149"/>
  <c r="Q33" i="149"/>
  <c r="F9" i="149"/>
  <c r="F12" i="149"/>
  <c r="F15" i="149"/>
  <c r="F18" i="149"/>
  <c r="F21" i="149"/>
  <c r="F24" i="149"/>
  <c r="F27" i="149"/>
  <c r="F30" i="149"/>
  <c r="F33" i="149"/>
  <c r="G9" i="149"/>
  <c r="G12" i="149"/>
  <c r="G15" i="149"/>
  <c r="G18" i="149"/>
  <c r="S18" i="149"/>
  <c r="G21" i="149"/>
  <c r="G24" i="149"/>
  <c r="G27" i="149"/>
  <c r="G30" i="149"/>
  <c r="G33" i="149"/>
  <c r="H34" i="148"/>
  <c r="H31" i="148"/>
  <c r="H28" i="148"/>
  <c r="H25" i="148"/>
  <c r="H22" i="148"/>
  <c r="H19" i="148"/>
  <c r="H16" i="148"/>
  <c r="H13" i="148"/>
  <c r="H10" i="148"/>
  <c r="H7" i="148"/>
  <c r="T34" i="148"/>
  <c r="T31" i="148"/>
  <c r="T28" i="148"/>
  <c r="T25" i="148"/>
  <c r="T22" i="148"/>
  <c r="T19" i="148"/>
  <c r="T16" i="148"/>
  <c r="T13" i="148"/>
  <c r="T10" i="148"/>
  <c r="T7" i="148"/>
  <c r="T11" i="148"/>
  <c r="H15" i="148"/>
  <c r="T24" i="148"/>
  <c r="T29" i="148"/>
  <c r="I34" i="148"/>
  <c r="I31" i="148"/>
  <c r="I28" i="148"/>
  <c r="I25" i="148"/>
  <c r="I22" i="148"/>
  <c r="I19" i="148"/>
  <c r="I16" i="148"/>
  <c r="I13" i="148"/>
  <c r="I10" i="148"/>
  <c r="I7" i="148"/>
  <c r="I35" i="148"/>
  <c r="I32" i="148"/>
  <c r="U34" i="148"/>
  <c r="U22" i="148"/>
  <c r="U10" i="148"/>
  <c r="U11" i="148"/>
  <c r="I15" i="148"/>
  <c r="H17" i="148"/>
  <c r="U29" i="148"/>
  <c r="J34" i="148"/>
  <c r="J31" i="148"/>
  <c r="J28" i="148"/>
  <c r="J25" i="148"/>
  <c r="J22" i="148"/>
  <c r="J19" i="148"/>
  <c r="J16" i="148"/>
  <c r="J13" i="148"/>
  <c r="J10" i="148"/>
  <c r="J7" i="148"/>
  <c r="J35" i="148"/>
  <c r="J32" i="148"/>
  <c r="J29" i="148"/>
  <c r="J26" i="148"/>
  <c r="J23" i="148"/>
  <c r="J20" i="148"/>
  <c r="J17" i="148"/>
  <c r="J14" i="148"/>
  <c r="J11" i="148"/>
  <c r="J8" i="148"/>
  <c r="V34" i="148"/>
  <c r="V28" i="148"/>
  <c r="V25" i="148"/>
  <c r="V22" i="148"/>
  <c r="V16" i="148"/>
  <c r="V13" i="148"/>
  <c r="V10" i="148"/>
  <c r="V14" i="148"/>
  <c r="V35" i="148"/>
  <c r="V32" i="148"/>
  <c r="V26" i="148"/>
  <c r="V23" i="148"/>
  <c r="V20" i="148"/>
  <c r="V11" i="148"/>
  <c r="V8" i="148"/>
  <c r="T8" i="148"/>
  <c r="H12" i="148"/>
  <c r="J15" i="148"/>
  <c r="I17" i="148"/>
  <c r="T21" i="148"/>
  <c r="T26" i="148"/>
  <c r="H30" i="148"/>
  <c r="H32" i="148"/>
  <c r="T33" i="148"/>
  <c r="K34" i="148"/>
  <c r="K31" i="148"/>
  <c r="K28" i="148"/>
  <c r="K25" i="148"/>
  <c r="K22" i="148"/>
  <c r="K19" i="148"/>
  <c r="K16" i="148"/>
  <c r="K13" i="148"/>
  <c r="K10" i="148"/>
  <c r="K7" i="148"/>
  <c r="K35" i="148"/>
  <c r="K32" i="148"/>
  <c r="K29" i="148"/>
  <c r="K26" i="148"/>
  <c r="K23" i="148"/>
  <c r="K20" i="148"/>
  <c r="K17" i="148"/>
  <c r="K14" i="148"/>
  <c r="K11" i="148"/>
  <c r="K8" i="148"/>
  <c r="I12" i="148"/>
  <c r="H14" i="148"/>
  <c r="K15" i="148"/>
  <c r="I30" i="148"/>
  <c r="U33" i="148"/>
  <c r="L35" i="148"/>
  <c r="L32" i="148"/>
  <c r="L29" i="148"/>
  <c r="L26" i="148"/>
  <c r="L23" i="148"/>
  <c r="L20" i="148"/>
  <c r="L17" i="148"/>
  <c r="L14" i="148"/>
  <c r="L11" i="148"/>
  <c r="L8" i="148"/>
  <c r="H9" i="148"/>
  <c r="J12" i="148"/>
  <c r="I14" i="148"/>
  <c r="L15" i="148"/>
  <c r="T18" i="148"/>
  <c r="T23" i="148"/>
  <c r="H27" i="148"/>
  <c r="J30" i="148"/>
  <c r="H36" i="148"/>
  <c r="M35" i="148"/>
  <c r="M32" i="148"/>
  <c r="M26" i="148"/>
  <c r="M23" i="148"/>
  <c r="M20" i="148"/>
  <c r="M14" i="148"/>
  <c r="M11" i="148"/>
  <c r="M8" i="148"/>
  <c r="M30" i="148"/>
  <c r="I9" i="148"/>
  <c r="L10" i="148"/>
  <c r="H11" i="148"/>
  <c r="K12" i="148"/>
  <c r="M15" i="148"/>
  <c r="I27" i="148"/>
  <c r="L28" i="148"/>
  <c r="H29" i="148"/>
  <c r="K30" i="148"/>
  <c r="I36" i="148"/>
  <c r="J9" i="148"/>
  <c r="M10" i="148"/>
  <c r="I11" i="148"/>
  <c r="L12" i="148"/>
  <c r="T15" i="148"/>
  <c r="V18" i="148"/>
  <c r="T20" i="148"/>
  <c r="H24" i="148"/>
  <c r="J27" i="148"/>
  <c r="M28" i="148"/>
  <c r="I29" i="148"/>
  <c r="L30" i="148"/>
  <c r="J36" i="148"/>
  <c r="L7" i="148"/>
  <c r="H8" i="148"/>
  <c r="K9" i="148"/>
  <c r="I24" i="148"/>
  <c r="L25" i="148"/>
  <c r="H26" i="148"/>
  <c r="K27" i="148"/>
  <c r="T30" i="148"/>
  <c r="K36" i="148"/>
  <c r="T35" i="148"/>
  <c r="M7" i="148"/>
  <c r="I8" i="148"/>
  <c r="L9" i="148"/>
  <c r="T12" i="148"/>
  <c r="V15" i="148"/>
  <c r="T17" i="148"/>
  <c r="H21" i="148"/>
  <c r="J24" i="148"/>
  <c r="M25" i="148"/>
  <c r="I26" i="148"/>
  <c r="L27" i="148"/>
  <c r="T32" i="148"/>
  <c r="L36" i="148"/>
  <c r="U12" i="148"/>
  <c r="I21" i="148"/>
  <c r="L22" i="148"/>
  <c r="H23" i="148"/>
  <c r="K24" i="148"/>
  <c r="V30" i="148"/>
  <c r="H33" i="148"/>
  <c r="L34" i="148"/>
  <c r="H35" i="148"/>
  <c r="T9" i="148"/>
  <c r="T14" i="148"/>
  <c r="H18" i="148"/>
  <c r="J21" i="148"/>
  <c r="I23" i="148"/>
  <c r="L24" i="148"/>
  <c r="T27" i="148"/>
  <c r="I33" i="148"/>
  <c r="T36" i="148"/>
  <c r="N9" i="148"/>
  <c r="N12" i="148"/>
  <c r="N15" i="148"/>
  <c r="N21" i="148"/>
  <c r="N24" i="148"/>
  <c r="N27" i="148"/>
  <c r="N30" i="148"/>
  <c r="N33" i="148"/>
  <c r="G7" i="148"/>
  <c r="C9" i="148"/>
  <c r="G10" i="148"/>
  <c r="C12" i="148"/>
  <c r="G13" i="148"/>
  <c r="S13" i="148"/>
  <c r="C15" i="148"/>
  <c r="G16" i="148"/>
  <c r="C18" i="148"/>
  <c r="G19" i="148"/>
  <c r="C21" i="148"/>
  <c r="G22" i="148"/>
  <c r="C24" i="148"/>
  <c r="G25" i="148"/>
  <c r="S25" i="148"/>
  <c r="C27" i="148"/>
  <c r="G28" i="148"/>
  <c r="C30" i="148"/>
  <c r="G31" i="148"/>
  <c r="C33" i="148"/>
  <c r="G34" i="148"/>
  <c r="D9" i="148"/>
  <c r="P9" i="148"/>
  <c r="D12" i="148"/>
  <c r="P12" i="148"/>
  <c r="D15" i="148"/>
  <c r="P15" i="148"/>
  <c r="D18" i="148"/>
  <c r="P18" i="148"/>
  <c r="D21" i="148"/>
  <c r="P21" i="148"/>
  <c r="D24" i="148"/>
  <c r="P24" i="148"/>
  <c r="D27" i="148"/>
  <c r="P27" i="148"/>
  <c r="D30" i="148"/>
  <c r="P30" i="148"/>
  <c r="D33" i="148"/>
  <c r="P33" i="148"/>
  <c r="E9" i="148"/>
  <c r="Q9" i="148"/>
  <c r="E12" i="148"/>
  <c r="Q12" i="148"/>
  <c r="E15" i="148"/>
  <c r="Q15" i="148"/>
  <c r="E18" i="148"/>
  <c r="Q18" i="148"/>
  <c r="E21" i="148"/>
  <c r="Q21" i="148"/>
  <c r="E24" i="148"/>
  <c r="Q24" i="148"/>
  <c r="E27" i="148"/>
  <c r="Q27" i="148"/>
  <c r="E30" i="148"/>
  <c r="Q30" i="148"/>
  <c r="E33" i="148"/>
  <c r="Q33" i="148"/>
  <c r="N8" i="148"/>
  <c r="F9" i="148"/>
  <c r="N11" i="148"/>
  <c r="F12" i="148"/>
  <c r="N14" i="148"/>
  <c r="F15" i="148"/>
  <c r="N17" i="148"/>
  <c r="F18" i="148"/>
  <c r="N20" i="148"/>
  <c r="F21" i="148"/>
  <c r="N23" i="148"/>
  <c r="F24" i="148"/>
  <c r="N26" i="148"/>
  <c r="F27" i="148"/>
  <c r="N29" i="148"/>
  <c r="F30" i="148"/>
  <c r="N32" i="148"/>
  <c r="F33" i="148"/>
  <c r="N35" i="148"/>
  <c r="N18" i="148"/>
  <c r="G9" i="148"/>
  <c r="G12" i="148"/>
  <c r="S12" i="148"/>
  <c r="G15" i="148"/>
  <c r="G18" i="148"/>
  <c r="G21" i="148"/>
  <c r="G24" i="148"/>
  <c r="G27" i="148"/>
  <c r="G30" i="148"/>
  <c r="G33" i="148"/>
  <c r="I34" i="147"/>
  <c r="I31" i="147"/>
  <c r="I28" i="147"/>
  <c r="I25" i="147"/>
  <c r="I22" i="147"/>
  <c r="I19" i="147"/>
  <c r="I35" i="147"/>
  <c r="I26" i="147"/>
  <c r="I23" i="147"/>
  <c r="I17" i="147"/>
  <c r="I11" i="147"/>
  <c r="I32" i="147"/>
  <c r="I29" i="147"/>
  <c r="I20" i="147"/>
  <c r="I14" i="147"/>
  <c r="I8" i="147"/>
  <c r="J34" i="147"/>
  <c r="J31" i="147"/>
  <c r="J28" i="147"/>
  <c r="J25" i="147"/>
  <c r="J22" i="147"/>
  <c r="J19" i="147"/>
  <c r="J16" i="147"/>
  <c r="J13" i="147"/>
  <c r="J10" i="147"/>
  <c r="J7" i="147"/>
  <c r="J35" i="147"/>
  <c r="J32" i="147"/>
  <c r="J29" i="147"/>
  <c r="J26" i="147"/>
  <c r="J23" i="147"/>
  <c r="J20" i="147"/>
  <c r="J17" i="147"/>
  <c r="J14" i="147"/>
  <c r="J11" i="147"/>
  <c r="J8" i="147"/>
  <c r="I9" i="147"/>
  <c r="J15" i="147"/>
  <c r="K15" i="147"/>
  <c r="M35" i="147"/>
  <c r="M32" i="147"/>
  <c r="M29" i="147"/>
  <c r="M26" i="147"/>
  <c r="M23" i="147"/>
  <c r="M20" i="147"/>
  <c r="M27" i="147"/>
  <c r="M18" i="147"/>
  <c r="M12" i="147"/>
  <c r="M36" i="147"/>
  <c r="M33" i="147"/>
  <c r="M30" i="147"/>
  <c r="M24" i="147"/>
  <c r="M21" i="147"/>
  <c r="M15" i="147"/>
  <c r="M9" i="147"/>
  <c r="L9" i="147"/>
  <c r="V12" i="147"/>
  <c r="K16" i="147"/>
  <c r="Q8" i="147"/>
  <c r="L10" i="147"/>
  <c r="Q14" i="147"/>
  <c r="L16" i="147"/>
  <c r="E35" i="147"/>
  <c r="H7" i="147"/>
  <c r="Q9" i="147"/>
  <c r="M10" i="147"/>
  <c r="H11" i="147"/>
  <c r="H12" i="147"/>
  <c r="M16" i="147"/>
  <c r="H17" i="147"/>
  <c r="H18" i="147"/>
  <c r="E20" i="147"/>
  <c r="T26" i="147"/>
  <c r="T28" i="147"/>
  <c r="I36" i="147"/>
  <c r="U26" i="147"/>
  <c r="J9" i="147"/>
  <c r="K9" i="147"/>
  <c r="I16" i="147"/>
  <c r="K10" i="147"/>
  <c r="L15" i="147"/>
  <c r="I7" i="147"/>
  <c r="D8" i="147"/>
  <c r="L11" i="147"/>
  <c r="I12" i="147"/>
  <c r="L17" i="147"/>
  <c r="I18" i="147"/>
  <c r="H19" i="147"/>
  <c r="H21" i="147"/>
  <c r="E23" i="147"/>
  <c r="D25" i="147"/>
  <c r="D26" i="147"/>
  <c r="D27" i="147"/>
  <c r="T29" i="147"/>
  <c r="H33" i="147"/>
  <c r="H34" i="147"/>
  <c r="J36" i="147"/>
  <c r="V25" i="147"/>
  <c r="V32" i="147"/>
  <c r="V8" i="147"/>
  <c r="I15" i="147"/>
  <c r="E36" i="147"/>
  <c r="E36" i="153" s="1"/>
  <c r="E33" i="147"/>
  <c r="E30" i="147"/>
  <c r="E27" i="147"/>
  <c r="E24" i="147"/>
  <c r="E21" i="147"/>
  <c r="E34" i="147"/>
  <c r="E31" i="147"/>
  <c r="E25" i="147"/>
  <c r="E22" i="147"/>
  <c r="E16" i="147"/>
  <c r="E10" i="147"/>
  <c r="E28" i="147"/>
  <c r="E19" i="147"/>
  <c r="E13" i="147"/>
  <c r="Q36" i="147"/>
  <c r="Q33" i="147"/>
  <c r="Q30" i="147"/>
  <c r="Q27" i="147"/>
  <c r="Q24" i="147"/>
  <c r="Q21" i="147"/>
  <c r="Q18" i="147"/>
  <c r="Q31" i="147"/>
  <c r="Q28" i="147"/>
  <c r="Q19" i="147"/>
  <c r="Q13" i="147"/>
  <c r="Q34" i="147"/>
  <c r="Q25" i="147"/>
  <c r="Q22" i="147"/>
  <c r="Q16" i="147"/>
  <c r="Q10" i="147"/>
  <c r="K7" i="147"/>
  <c r="E8" i="147"/>
  <c r="M11" i="147"/>
  <c r="J12" i="147"/>
  <c r="M17" i="147"/>
  <c r="J18" i="147"/>
  <c r="K19" i="147"/>
  <c r="I21" i="147"/>
  <c r="E26" i="147"/>
  <c r="I33" i="147"/>
  <c r="L34" i="147"/>
  <c r="K36" i="147"/>
  <c r="L7" i="147"/>
  <c r="K12" i="147"/>
  <c r="I13" i="147"/>
  <c r="E14" i="147"/>
  <c r="K18" i="147"/>
  <c r="L19" i="147"/>
  <c r="H20" i="147"/>
  <c r="J21" i="147"/>
  <c r="K22" i="147"/>
  <c r="I24" i="147"/>
  <c r="H25" i="147"/>
  <c r="H27" i="147"/>
  <c r="E29" i="147"/>
  <c r="H30" i="147"/>
  <c r="H31" i="147"/>
  <c r="J33" i="147"/>
  <c r="M34" i="147"/>
  <c r="L35" i="147"/>
  <c r="L36" i="147"/>
  <c r="G36" i="147"/>
  <c r="G33" i="147"/>
  <c r="G30" i="147"/>
  <c r="G34" i="147"/>
  <c r="G31" i="147"/>
  <c r="G28" i="147"/>
  <c r="G25" i="147"/>
  <c r="G22" i="147"/>
  <c r="G19" i="147"/>
  <c r="G16" i="147"/>
  <c r="G13" i="147"/>
  <c r="G10" i="147"/>
  <c r="G7" i="147"/>
  <c r="M7" i="147"/>
  <c r="G8" i="147"/>
  <c r="E9" i="147"/>
  <c r="V9" i="147"/>
  <c r="P11" i="147"/>
  <c r="L12" i="147"/>
  <c r="K13" i="147"/>
  <c r="E15" i="147"/>
  <c r="P17" i="147"/>
  <c r="L18" i="147"/>
  <c r="M19" i="147"/>
  <c r="L20" i="147"/>
  <c r="K21" i="147"/>
  <c r="L22" i="147"/>
  <c r="H23" i="147"/>
  <c r="J24" i="147"/>
  <c r="K25" i="147"/>
  <c r="G26" i="147"/>
  <c r="I27" i="147"/>
  <c r="H28" i="147"/>
  <c r="I30" i="147"/>
  <c r="L31" i="147"/>
  <c r="H32" i="147"/>
  <c r="K34" i="147"/>
  <c r="K31" i="147"/>
  <c r="K35" i="147"/>
  <c r="K32" i="147"/>
  <c r="K29" i="147"/>
  <c r="K26" i="147"/>
  <c r="K23" i="147"/>
  <c r="K20" i="147"/>
  <c r="K17" i="147"/>
  <c r="K14" i="147"/>
  <c r="K11" i="147"/>
  <c r="K8" i="147"/>
  <c r="I10" i="147"/>
  <c r="H8" i="147"/>
  <c r="T10" i="147"/>
  <c r="Q11" i="147"/>
  <c r="L13" i="147"/>
  <c r="T16" i="147"/>
  <c r="Q17" i="147"/>
  <c r="L21" i="147"/>
  <c r="M22" i="147"/>
  <c r="L23" i="147"/>
  <c r="K24" i="147"/>
  <c r="L25" i="147"/>
  <c r="J27" i="147"/>
  <c r="K28" i="147"/>
  <c r="J30" i="147"/>
  <c r="M31" i="147"/>
  <c r="L32" i="147"/>
  <c r="N9" i="147"/>
  <c r="N12" i="147"/>
  <c r="N15" i="147"/>
  <c r="N18" i="147"/>
  <c r="N21" i="147"/>
  <c r="N24" i="147"/>
  <c r="N27" i="147"/>
  <c r="N30" i="147"/>
  <c r="N33" i="147"/>
  <c r="N36" i="147"/>
  <c r="C9" i="147"/>
  <c r="C12" i="147"/>
  <c r="O12" i="147"/>
  <c r="C15" i="147"/>
  <c r="C18" i="147"/>
  <c r="O18" i="147"/>
  <c r="C21" i="147"/>
  <c r="C24" i="147"/>
  <c r="O24" i="147"/>
  <c r="C27" i="147"/>
  <c r="C30" i="147"/>
  <c r="O30" i="147"/>
  <c r="C33" i="147"/>
  <c r="N8" i="147"/>
  <c r="F9" i="147"/>
  <c r="N11" i="147"/>
  <c r="F12" i="147"/>
  <c r="N14" i="147"/>
  <c r="F15" i="147"/>
  <c r="N17" i="147"/>
  <c r="F18" i="147"/>
  <c r="N20" i="147"/>
  <c r="F21" i="147"/>
  <c r="N23" i="147"/>
  <c r="F24" i="147"/>
  <c r="N26" i="147"/>
  <c r="F27" i="147"/>
  <c r="N29" i="147"/>
  <c r="F30" i="147"/>
  <c r="N32" i="147"/>
  <c r="F33" i="147"/>
  <c r="X37" i="146"/>
  <c r="D5" i="176" s="1"/>
  <c r="AJ37" i="146"/>
  <c r="F18" i="176" s="1"/>
  <c r="Y37" i="146"/>
  <c r="E5" i="176" s="1"/>
  <c r="AK37" i="146"/>
  <c r="G18" i="176" s="1"/>
  <c r="AI37" i="146"/>
  <c r="E18" i="176" s="1"/>
  <c r="Z37" i="146"/>
  <c r="F5" i="176" s="1"/>
  <c r="AL37" i="146"/>
  <c r="C23" i="176" s="1"/>
  <c r="AH37" i="146"/>
  <c r="D18" i="176" s="1"/>
  <c r="N8" i="145"/>
  <c r="H10" i="145"/>
  <c r="D11" i="145"/>
  <c r="M12" i="145"/>
  <c r="K13" i="145"/>
  <c r="D15" i="145"/>
  <c r="Q15" i="145"/>
  <c r="N16" i="145"/>
  <c r="J17" i="145"/>
  <c r="E19" i="145"/>
  <c r="Q19" i="145"/>
  <c r="N20" i="145"/>
  <c r="J21" i="145"/>
  <c r="H22" i="145"/>
  <c r="D23" i="145"/>
  <c r="M24" i="145"/>
  <c r="K25" i="145"/>
  <c r="D27" i="145"/>
  <c r="Q27" i="145"/>
  <c r="N28" i="145"/>
  <c r="J29" i="145"/>
  <c r="E31" i="145"/>
  <c r="Q31" i="145"/>
  <c r="N32" i="145"/>
  <c r="H34" i="145"/>
  <c r="D35" i="145"/>
  <c r="M36" i="145"/>
  <c r="K19" i="145"/>
  <c r="K12" i="145"/>
  <c r="P8" i="145"/>
  <c r="K9" i="145"/>
  <c r="I10" i="145"/>
  <c r="E11" i="145"/>
  <c r="N12" i="145"/>
  <c r="L13" i="145"/>
  <c r="H14" i="145"/>
  <c r="E15" i="145"/>
  <c r="K17" i="145"/>
  <c r="H18" i="145"/>
  <c r="P20" i="145"/>
  <c r="K21" i="145"/>
  <c r="I22" i="145"/>
  <c r="E23" i="145"/>
  <c r="N24" i="145"/>
  <c r="L25" i="145"/>
  <c r="H26" i="145"/>
  <c r="E27" i="145"/>
  <c r="K29" i="145"/>
  <c r="P32" i="145"/>
  <c r="K33" i="145"/>
  <c r="E35" i="145"/>
  <c r="N36" i="145"/>
  <c r="M35" i="145"/>
  <c r="D8" i="145"/>
  <c r="Q8" i="145"/>
  <c r="L9" i="145"/>
  <c r="P12" i="145"/>
  <c r="M13" i="145"/>
  <c r="D16" i="145"/>
  <c r="P16" i="145"/>
  <c r="L17" i="145"/>
  <c r="Q20" i="145"/>
  <c r="L21" i="145"/>
  <c r="P24" i="145"/>
  <c r="M25" i="145"/>
  <c r="D28" i="145"/>
  <c r="P28" i="145"/>
  <c r="L29" i="145"/>
  <c r="Q32" i="145"/>
  <c r="L33" i="145"/>
  <c r="P36" i="145"/>
  <c r="E8" i="145"/>
  <c r="M9" i="145"/>
  <c r="K10" i="145"/>
  <c r="D12" i="145"/>
  <c r="Q12" i="145"/>
  <c r="N13" i="145"/>
  <c r="E16" i="145"/>
  <c r="Q16" i="145"/>
  <c r="N17" i="145"/>
  <c r="D20" i="145"/>
  <c r="M21" i="145"/>
  <c r="K22" i="145"/>
  <c r="D24" i="145"/>
  <c r="Q24" i="145"/>
  <c r="N25" i="145"/>
  <c r="E28" i="145"/>
  <c r="Q28" i="145"/>
  <c r="N29" i="145"/>
  <c r="D32" i="145"/>
  <c r="M33" i="145"/>
  <c r="K34" i="145"/>
  <c r="D36" i="145"/>
  <c r="Q36" i="145"/>
  <c r="K31" i="145"/>
  <c r="K11" i="145"/>
  <c r="K15" i="145"/>
  <c r="L19" i="145"/>
  <c r="K23" i="145"/>
  <c r="K27" i="145"/>
  <c r="L31" i="145"/>
  <c r="K35" i="145"/>
  <c r="L11" i="145"/>
  <c r="L15" i="145"/>
  <c r="M19" i="145"/>
  <c r="L23" i="145"/>
  <c r="L27" i="145"/>
  <c r="M31" i="145"/>
  <c r="L35" i="145"/>
  <c r="K8" i="145"/>
  <c r="N11" i="145"/>
  <c r="M15" i="145"/>
  <c r="K16" i="145"/>
  <c r="N19" i="145"/>
  <c r="N23" i="145"/>
  <c r="M27" i="145"/>
  <c r="K28" i="145"/>
  <c r="N31" i="145"/>
  <c r="N35" i="145"/>
  <c r="L8" i="145"/>
  <c r="N15" i="145"/>
  <c r="L16" i="145"/>
  <c r="K20" i="145"/>
  <c r="K24" i="145"/>
  <c r="N27" i="145"/>
  <c r="L28" i="145"/>
  <c r="K32" i="145"/>
  <c r="K36" i="145"/>
  <c r="Q7" i="145"/>
  <c r="M8" i="145"/>
  <c r="Q11" i="145"/>
  <c r="L12" i="145"/>
  <c r="P15" i="145"/>
  <c r="M16" i="145"/>
  <c r="D19" i="145"/>
  <c r="P19" i="145"/>
  <c r="L20" i="145"/>
  <c r="Q23" i="145"/>
  <c r="L24" i="145"/>
  <c r="P27" i="145"/>
  <c r="P31" i="145"/>
  <c r="L32" i="145"/>
  <c r="L36" i="145"/>
  <c r="N9" i="145"/>
  <c r="L10" i="145"/>
  <c r="E12" i="145"/>
  <c r="K14" i="145"/>
  <c r="P17" i="145"/>
  <c r="K18" i="145"/>
  <c r="E20" i="145"/>
  <c r="N21" i="145"/>
  <c r="L22" i="145"/>
  <c r="E24" i="145"/>
  <c r="K26" i="145"/>
  <c r="E32" i="145"/>
  <c r="K19" i="144"/>
  <c r="K22" i="144"/>
  <c r="D28" i="144"/>
  <c r="D30" i="144"/>
  <c r="K34" i="144"/>
  <c r="K24" i="144"/>
  <c r="K8" i="144"/>
  <c r="K27" i="144"/>
  <c r="K11" i="144"/>
  <c r="K33" i="144"/>
  <c r="K30" i="144"/>
  <c r="K14" i="144"/>
  <c r="K36" i="144"/>
  <c r="K17" i="144"/>
  <c r="K20" i="144"/>
  <c r="K7" i="144"/>
  <c r="K9" i="144"/>
  <c r="K35" i="144"/>
  <c r="L27" i="144"/>
  <c r="L11" i="144"/>
  <c r="L33" i="144"/>
  <c r="L30" i="144"/>
  <c r="L14" i="144"/>
  <c r="L36" i="144"/>
  <c r="L17" i="144"/>
  <c r="L20" i="144"/>
  <c r="L7" i="144"/>
  <c r="L23" i="144"/>
  <c r="L10" i="144"/>
  <c r="L9" i="144"/>
  <c r="L34" i="144"/>
  <c r="L35" i="144"/>
  <c r="M33" i="144"/>
  <c r="M30" i="144"/>
  <c r="M14" i="144"/>
  <c r="M36" i="144"/>
  <c r="M17" i="144"/>
  <c r="M20" i="144"/>
  <c r="M7" i="144"/>
  <c r="M23" i="144"/>
  <c r="M10" i="144"/>
  <c r="M26" i="144"/>
  <c r="M13" i="144"/>
  <c r="M32" i="144"/>
  <c r="M29" i="144"/>
  <c r="M9" i="144"/>
  <c r="K16" i="144"/>
  <c r="M34" i="144"/>
  <c r="M35" i="144"/>
  <c r="N36" i="144"/>
  <c r="N17" i="144"/>
  <c r="N20" i="144"/>
  <c r="N7" i="144"/>
  <c r="N23" i="144"/>
  <c r="N10" i="144"/>
  <c r="N26" i="144"/>
  <c r="N13" i="144"/>
  <c r="N32" i="144"/>
  <c r="N29" i="144"/>
  <c r="N16" i="144"/>
  <c r="N9" i="144"/>
  <c r="N35" i="144"/>
  <c r="L16" i="144"/>
  <c r="K31" i="144"/>
  <c r="N33" i="144"/>
  <c r="N34" i="144"/>
  <c r="O29" i="144"/>
  <c r="K15" i="144"/>
  <c r="M16" i="144"/>
  <c r="M27" i="144"/>
  <c r="K28" i="144"/>
  <c r="N30" i="144"/>
  <c r="L31" i="144"/>
  <c r="K32" i="144"/>
  <c r="D23" i="144"/>
  <c r="D10" i="144"/>
  <c r="D26" i="144"/>
  <c r="D13" i="144"/>
  <c r="D32" i="144"/>
  <c r="D29" i="144"/>
  <c r="D16" i="144"/>
  <c r="D9" i="144"/>
  <c r="D35" i="144"/>
  <c r="D19" i="144"/>
  <c r="D12" i="144"/>
  <c r="D22" i="144"/>
  <c r="D15" i="144"/>
  <c r="P23" i="144"/>
  <c r="P10" i="144"/>
  <c r="P26" i="144"/>
  <c r="P13" i="144"/>
  <c r="P32" i="144"/>
  <c r="P29" i="144"/>
  <c r="P16" i="144"/>
  <c r="P35" i="144"/>
  <c r="P19" i="144"/>
  <c r="P9" i="144"/>
  <c r="P22" i="144"/>
  <c r="P12" i="144"/>
  <c r="D8" i="144"/>
  <c r="N14" i="144"/>
  <c r="L15" i="144"/>
  <c r="K25" i="144"/>
  <c r="K26" i="144"/>
  <c r="N27" i="144"/>
  <c r="L28" i="144"/>
  <c r="K29" i="144"/>
  <c r="P30" i="144"/>
  <c r="M31" i="144"/>
  <c r="L32" i="144"/>
  <c r="P34" i="144"/>
  <c r="E26" i="144"/>
  <c r="E13" i="144"/>
  <c r="E32" i="144"/>
  <c r="E29" i="144"/>
  <c r="E16" i="144"/>
  <c r="E9" i="144"/>
  <c r="E35" i="144"/>
  <c r="E19" i="144"/>
  <c r="E12" i="144"/>
  <c r="E22" i="144"/>
  <c r="E15" i="144"/>
  <c r="E25" i="144"/>
  <c r="E18" i="144"/>
  <c r="E31" i="144"/>
  <c r="D7" i="144"/>
  <c r="E8" i="144"/>
  <c r="K13" i="144"/>
  <c r="M15" i="144"/>
  <c r="D17" i="144"/>
  <c r="L25" i="144"/>
  <c r="L26" i="144"/>
  <c r="P27" i="144"/>
  <c r="M28" i="144"/>
  <c r="L29" i="144"/>
  <c r="N31" i="144"/>
  <c r="E7" i="144"/>
  <c r="L13" i="144"/>
  <c r="P14" i="144"/>
  <c r="N15" i="144"/>
  <c r="E17" i="144"/>
  <c r="D18" i="144"/>
  <c r="M25" i="144"/>
  <c r="N28" i="144"/>
  <c r="D34" i="144"/>
  <c r="M11" i="144"/>
  <c r="K12" i="144"/>
  <c r="P15" i="144"/>
  <c r="L24" i="144"/>
  <c r="N25" i="144"/>
  <c r="P31" i="144"/>
  <c r="D33" i="144"/>
  <c r="E34" i="144"/>
  <c r="K10" i="144"/>
  <c r="M12" i="144"/>
  <c r="D14" i="144"/>
  <c r="K18" i="144"/>
  <c r="L19" i="144"/>
  <c r="P20" i="144"/>
  <c r="K21" i="144"/>
  <c r="L22" i="144"/>
  <c r="N24" i="144"/>
  <c r="P25" i="144"/>
  <c r="D27" i="144"/>
  <c r="E28" i="144"/>
  <c r="E30" i="144"/>
  <c r="Q15" i="144"/>
  <c r="Q25" i="144"/>
  <c r="I11" i="144"/>
  <c r="Q12" i="144"/>
  <c r="F18" i="144"/>
  <c r="Q22" i="144"/>
  <c r="F25" i="144"/>
  <c r="I27" i="144"/>
  <c r="S36" i="144"/>
  <c r="I8" i="144"/>
  <c r="Q9" i="144"/>
  <c r="F15" i="144"/>
  <c r="G18" i="144"/>
  <c r="Q19" i="144"/>
  <c r="F22" i="144"/>
  <c r="I24" i="144"/>
  <c r="G25" i="144"/>
  <c r="I34" i="144"/>
  <c r="Q35" i="144"/>
  <c r="Q16" i="144"/>
  <c r="Q29" i="144"/>
  <c r="Q32" i="144"/>
  <c r="F35" i="144"/>
  <c r="F9" i="144"/>
  <c r="G12" i="144"/>
  <c r="Q13" i="144"/>
  <c r="F16" i="144"/>
  <c r="I18" i="144"/>
  <c r="G19" i="144"/>
  <c r="F29" i="144"/>
  <c r="K24" i="143"/>
  <c r="K18" i="143"/>
  <c r="K35" i="143"/>
  <c r="K29" i="143"/>
  <c r="K23" i="143"/>
  <c r="K17" i="143"/>
  <c r="K11" i="143"/>
  <c r="K34" i="143"/>
  <c r="K28" i="143"/>
  <c r="K22" i="143"/>
  <c r="K16" i="143"/>
  <c r="K10" i="143"/>
  <c r="K32" i="143"/>
  <c r="K26" i="143"/>
  <c r="K20" i="143"/>
  <c r="K14" i="143"/>
  <c r="K8" i="143"/>
  <c r="K31" i="143"/>
  <c r="K25" i="143"/>
  <c r="K19" i="143"/>
  <c r="K13" i="143"/>
  <c r="K7" i="143"/>
  <c r="K36" i="143"/>
  <c r="K30" i="143"/>
  <c r="K12" i="143"/>
  <c r="K21" i="143"/>
  <c r="K9" i="143"/>
  <c r="K27" i="143"/>
  <c r="N17" i="143"/>
  <c r="P22" i="143"/>
  <c r="P28" i="143"/>
  <c r="D34" i="143"/>
  <c r="P34" i="143"/>
  <c r="N35" i="143"/>
  <c r="E10" i="143"/>
  <c r="Q10" i="143"/>
  <c r="P11" i="143"/>
  <c r="L12" i="143"/>
  <c r="E16" i="143"/>
  <c r="Q16" i="143"/>
  <c r="P17" i="143"/>
  <c r="L18" i="143"/>
  <c r="E22" i="143"/>
  <c r="Q22" i="143"/>
  <c r="P23" i="143"/>
  <c r="L24" i="143"/>
  <c r="E28" i="143"/>
  <c r="Q28" i="143"/>
  <c r="P29" i="143"/>
  <c r="L30" i="143"/>
  <c r="E34" i="143"/>
  <c r="Q34" i="143"/>
  <c r="P35" i="143"/>
  <c r="L36" i="143"/>
  <c r="G10" i="143"/>
  <c r="D11" i="143"/>
  <c r="P12" i="143"/>
  <c r="G16" i="143"/>
  <c r="D17" i="143"/>
  <c r="P18" i="143"/>
  <c r="G22" i="143"/>
  <c r="D23" i="143"/>
  <c r="P24" i="143"/>
  <c r="G28" i="143"/>
  <c r="D29" i="143"/>
  <c r="P30" i="143"/>
  <c r="G34" i="143"/>
  <c r="D35" i="143"/>
  <c r="P36" i="143"/>
  <c r="N12" i="143"/>
  <c r="N7" i="143"/>
  <c r="E11" i="143"/>
  <c r="Q12" i="143"/>
  <c r="N13" i="143"/>
  <c r="E17" i="143"/>
  <c r="Q18" i="143"/>
  <c r="N19" i="143"/>
  <c r="E23" i="143"/>
  <c r="Q24" i="143"/>
  <c r="N25" i="143"/>
  <c r="E29" i="143"/>
  <c r="Q30" i="143"/>
  <c r="N31" i="143"/>
  <c r="Q36" i="143"/>
  <c r="L10" i="143"/>
  <c r="L16" i="143"/>
  <c r="L22" i="143"/>
  <c r="L28" i="143"/>
  <c r="L34" i="143"/>
  <c r="N10" i="143"/>
  <c r="N16" i="143"/>
  <c r="N22" i="143"/>
  <c r="N28" i="143"/>
  <c r="N34" i="143"/>
  <c r="O10" i="143"/>
  <c r="L11" i="143"/>
  <c r="D15" i="143"/>
  <c r="L17" i="143"/>
  <c r="D21" i="143"/>
  <c r="L23" i="143"/>
  <c r="D27" i="143"/>
  <c r="L29" i="143"/>
  <c r="D33" i="143"/>
  <c r="L35" i="143"/>
  <c r="D10" i="143"/>
  <c r="P10" i="143"/>
  <c r="N11" i="143"/>
  <c r="D16" i="143"/>
  <c r="D22" i="143"/>
  <c r="N23" i="143"/>
  <c r="D28" i="143"/>
  <c r="N29" i="143"/>
  <c r="L7" i="143"/>
  <c r="L13" i="143"/>
  <c r="G15" i="143"/>
  <c r="N18" i="143"/>
  <c r="L19" i="143"/>
  <c r="G21" i="143"/>
  <c r="N24" i="143"/>
  <c r="L25" i="143"/>
  <c r="G27" i="143"/>
  <c r="N30" i="143"/>
  <c r="L31" i="143"/>
  <c r="L8" i="143"/>
  <c r="D12" i="143"/>
  <c r="L14" i="143"/>
  <c r="D18" i="143"/>
  <c r="L20" i="143"/>
  <c r="D24" i="143"/>
  <c r="L26" i="143"/>
  <c r="D30" i="143"/>
  <c r="K17" i="142"/>
  <c r="K14" i="142"/>
  <c r="K34" i="142"/>
  <c r="K31" i="142"/>
  <c r="K24" i="142"/>
  <c r="K20" i="142"/>
  <c r="K11" i="142"/>
  <c r="K8" i="142"/>
  <c r="K10" i="142"/>
  <c r="K30" i="142"/>
  <c r="K23" i="142"/>
  <c r="K16" i="142"/>
  <c r="K13" i="142"/>
  <c r="K33" i="142"/>
  <c r="K19" i="142"/>
  <c r="K7" i="142"/>
  <c r="K29" i="142"/>
  <c r="K26" i="142"/>
  <c r="K36" i="142"/>
  <c r="K22" i="142"/>
  <c r="K15" i="142"/>
  <c r="K35" i="142"/>
  <c r="K27" i="142"/>
  <c r="K28" i="142"/>
  <c r="L34" i="142"/>
  <c r="L31" i="142"/>
  <c r="L24" i="142"/>
  <c r="L20" i="142"/>
  <c r="L11" i="142"/>
  <c r="L8" i="142"/>
  <c r="L30" i="142"/>
  <c r="L23" i="142"/>
  <c r="L16" i="142"/>
  <c r="L7" i="142"/>
  <c r="L27" i="142"/>
  <c r="L13" i="142"/>
  <c r="L10" i="142"/>
  <c r="L29" i="142"/>
  <c r="L26" i="142"/>
  <c r="L36" i="142"/>
  <c r="L22" i="142"/>
  <c r="L15" i="142"/>
  <c r="L35" i="142"/>
  <c r="L32" i="142"/>
  <c r="L9" i="142"/>
  <c r="L33" i="142"/>
  <c r="L19" i="142"/>
  <c r="K18" i="142"/>
  <c r="L28" i="142"/>
  <c r="L18" i="142"/>
  <c r="L17" i="142"/>
  <c r="K32" i="142"/>
  <c r="K9" i="142"/>
  <c r="K21" i="142"/>
  <c r="K25" i="142"/>
  <c r="L14" i="142"/>
  <c r="L21" i="142"/>
  <c r="L25" i="142"/>
  <c r="K12" i="142"/>
  <c r="V8" i="142"/>
  <c r="P9" i="142"/>
  <c r="Q12" i="142"/>
  <c r="J16" i="142"/>
  <c r="E18" i="142"/>
  <c r="Q18" i="142"/>
  <c r="E21" i="142"/>
  <c r="J23" i="142"/>
  <c r="E25" i="142"/>
  <c r="Q25" i="142"/>
  <c r="N26" i="142"/>
  <c r="E28" i="142"/>
  <c r="N29" i="142"/>
  <c r="J30" i="142"/>
  <c r="D32" i="142"/>
  <c r="D35" i="142"/>
  <c r="N36" i="142"/>
  <c r="M18" i="142"/>
  <c r="M21" i="142"/>
  <c r="M25" i="142"/>
  <c r="M28" i="142"/>
  <c r="M9" i="142"/>
  <c r="N12" i="142"/>
  <c r="N18" i="142"/>
  <c r="N21" i="142"/>
  <c r="N25" i="142"/>
  <c r="N28" i="142"/>
  <c r="N32" i="142"/>
  <c r="N35" i="142"/>
  <c r="J7" i="142"/>
  <c r="N9" i="142"/>
  <c r="J10" i="142"/>
  <c r="V11" i="142"/>
  <c r="J19" i="142"/>
  <c r="J33" i="142"/>
  <c r="O9" i="142"/>
  <c r="D12" i="142"/>
  <c r="P12" i="142"/>
  <c r="M15" i="142"/>
  <c r="D18" i="142"/>
  <c r="P18" i="142"/>
  <c r="D21" i="142"/>
  <c r="M22" i="142"/>
  <c r="D25" i="142"/>
  <c r="P25" i="142"/>
  <c r="J27" i="142"/>
  <c r="D28" i="142"/>
  <c r="P28" i="142"/>
  <c r="M36" i="142"/>
  <c r="D9" i="142"/>
  <c r="E12" i="142"/>
  <c r="N15" i="142"/>
  <c r="Q28" i="142"/>
  <c r="M7" i="142"/>
  <c r="E9" i="142"/>
  <c r="Q9" i="142"/>
  <c r="M10" i="142"/>
  <c r="F12" i="142"/>
  <c r="F18" i="142"/>
  <c r="M19" i="142"/>
  <c r="F21" i="142"/>
  <c r="F25" i="142"/>
  <c r="P26" i="142"/>
  <c r="F28" i="142"/>
  <c r="P29" i="142"/>
  <c r="E32" i="142"/>
  <c r="M33" i="142"/>
  <c r="E35" i="142"/>
  <c r="M12" i="142"/>
  <c r="P21" i="142"/>
  <c r="Q21" i="142"/>
  <c r="N7" i="142"/>
  <c r="J8" i="142"/>
  <c r="F9" i="142"/>
  <c r="N10" i="142"/>
  <c r="J11" i="142"/>
  <c r="M13" i="142"/>
  <c r="D15" i="142"/>
  <c r="P15" i="142"/>
  <c r="N19" i="142"/>
  <c r="J20" i="142"/>
  <c r="D22" i="142"/>
  <c r="P22" i="142"/>
  <c r="J24" i="142"/>
  <c r="Q26" i="142"/>
  <c r="M27" i="142"/>
  <c r="Q29" i="142"/>
  <c r="J31" i="142"/>
  <c r="F32" i="142"/>
  <c r="N33" i="142"/>
  <c r="J34" i="142"/>
  <c r="D36" i="142"/>
  <c r="J13" i="142"/>
  <c r="N22" i="142"/>
  <c r="O10" i="142"/>
  <c r="N13" i="142"/>
  <c r="J14" i="142"/>
  <c r="E15" i="142"/>
  <c r="Q15" i="142"/>
  <c r="M16" i="142"/>
  <c r="E22" i="142"/>
  <c r="Q22" i="142"/>
  <c r="N23" i="142"/>
  <c r="D26" i="142"/>
  <c r="N27" i="142"/>
  <c r="N16" i="142"/>
  <c r="C17" i="142"/>
  <c r="C31" i="142"/>
  <c r="C9" i="142"/>
  <c r="C12" i="142"/>
  <c r="K30" i="141"/>
  <c r="K16" i="141"/>
  <c r="K13" i="141"/>
  <c r="K33" i="141"/>
  <c r="K23" i="141"/>
  <c r="K20" i="141"/>
  <c r="K9" i="141"/>
  <c r="K36" i="141"/>
  <c r="K26" i="141"/>
  <c r="K22" i="141"/>
  <c r="K19" i="141"/>
  <c r="K25" i="141"/>
  <c r="K12" i="141"/>
  <c r="K32" i="141"/>
  <c r="K29" i="141"/>
  <c r="K15" i="141"/>
  <c r="K8" i="141"/>
  <c r="K18" i="141"/>
  <c r="L33" i="141"/>
  <c r="L23" i="141"/>
  <c r="L20" i="141"/>
  <c r="L9" i="141"/>
  <c r="L36" i="141"/>
  <c r="L26" i="141"/>
  <c r="L22" i="141"/>
  <c r="L19" i="141"/>
  <c r="L25" i="141"/>
  <c r="L12" i="141"/>
  <c r="L32" i="141"/>
  <c r="L29" i="141"/>
  <c r="L15" i="141"/>
  <c r="L8" i="141"/>
  <c r="L35" i="141"/>
  <c r="L18" i="141"/>
  <c r="K35" i="141"/>
  <c r="N36" i="141"/>
  <c r="N26" i="141"/>
  <c r="N22" i="141"/>
  <c r="N19" i="141"/>
  <c r="N25" i="141"/>
  <c r="N12" i="141"/>
  <c r="N32" i="141"/>
  <c r="N29" i="141"/>
  <c r="N15" i="141"/>
  <c r="N8" i="141"/>
  <c r="N35" i="141"/>
  <c r="N31" i="141"/>
  <c r="N28" i="141"/>
  <c r="N18" i="141"/>
  <c r="N33" i="141"/>
  <c r="O29" i="141"/>
  <c r="O11" i="141"/>
  <c r="D9" i="141"/>
  <c r="D16" i="141"/>
  <c r="D23" i="141"/>
  <c r="K34" i="141"/>
  <c r="D19" i="141"/>
  <c r="L34" i="141"/>
  <c r="D36" i="141"/>
  <c r="D22" i="141"/>
  <c r="L30" i="141"/>
  <c r="N34" i="141"/>
  <c r="N30" i="141"/>
  <c r="K11" i="141"/>
  <c r="K14" i="141"/>
  <c r="K31" i="141"/>
  <c r="D32" i="141"/>
  <c r="D29" i="141"/>
  <c r="D15" i="141"/>
  <c r="D8" i="141"/>
  <c r="D35" i="141"/>
  <c r="D31" i="141"/>
  <c r="D28" i="141"/>
  <c r="D18" i="141"/>
  <c r="D34" i="141"/>
  <c r="D21" i="141"/>
  <c r="D11" i="141"/>
  <c r="D24" i="141"/>
  <c r="D14" i="141"/>
  <c r="D10" i="141"/>
  <c r="D37" i="141"/>
  <c r="K10" i="141"/>
  <c r="L11" i="141"/>
  <c r="L13" i="141"/>
  <c r="L14" i="141"/>
  <c r="N20" i="141"/>
  <c r="K24" i="141"/>
  <c r="K27" i="141"/>
  <c r="L31" i="141"/>
  <c r="D33" i="141"/>
  <c r="N9" i="141"/>
  <c r="L10" i="141"/>
  <c r="N11" i="141"/>
  <c r="N13" i="141"/>
  <c r="N14" i="141"/>
  <c r="L16" i="141"/>
  <c r="K17" i="141"/>
  <c r="O20" i="141"/>
  <c r="K21" i="141"/>
  <c r="N23" i="141"/>
  <c r="L24" i="141"/>
  <c r="L27" i="141"/>
  <c r="P21" i="141"/>
  <c r="P34" i="141"/>
  <c r="Q11" i="141"/>
  <c r="P18" i="141"/>
  <c r="Q21" i="141"/>
  <c r="P28" i="141"/>
  <c r="P31" i="141"/>
  <c r="Q34" i="141"/>
  <c r="P35" i="141"/>
  <c r="E10" i="141"/>
  <c r="E14" i="141"/>
  <c r="Q18" i="141"/>
  <c r="E24" i="141"/>
  <c r="Q28" i="141"/>
  <c r="Q31" i="141"/>
  <c r="Q35" i="141"/>
  <c r="P8" i="141"/>
  <c r="J9" i="141"/>
  <c r="F10" i="141"/>
  <c r="E11" i="141"/>
  <c r="I13" i="141"/>
  <c r="F14" i="141"/>
  <c r="P15" i="141"/>
  <c r="I16" i="141"/>
  <c r="S18" i="141"/>
  <c r="J20" i="141"/>
  <c r="E21" i="141"/>
  <c r="J23" i="141"/>
  <c r="V28" i="141"/>
  <c r="P32" i="141"/>
  <c r="E34" i="141"/>
  <c r="P11" i="141"/>
  <c r="P12" i="141"/>
  <c r="E18" i="141"/>
  <c r="P25" i="141"/>
  <c r="E28" i="141"/>
  <c r="P29" i="141"/>
  <c r="E31" i="141"/>
  <c r="Q32" i="141"/>
  <c r="P19" i="141"/>
  <c r="P22" i="141"/>
  <c r="Q25" i="141"/>
  <c r="P26" i="141"/>
  <c r="V8" i="145"/>
  <c r="O9" i="145"/>
  <c r="S22" i="145"/>
  <c r="O36" i="145"/>
  <c r="T9" i="145"/>
  <c r="T12" i="145"/>
  <c r="T15" i="145"/>
  <c r="T18" i="145"/>
  <c r="T21" i="145"/>
  <c r="T24" i="145"/>
  <c r="T27" i="145"/>
  <c r="T30" i="145"/>
  <c r="T33" i="145"/>
  <c r="T36" i="145"/>
  <c r="U12" i="145"/>
  <c r="U21" i="145"/>
  <c r="U24" i="145"/>
  <c r="U30" i="145"/>
  <c r="U33" i="145"/>
  <c r="V12" i="145"/>
  <c r="V18" i="145"/>
  <c r="V24" i="145"/>
  <c r="V30" i="145"/>
  <c r="T8" i="145"/>
  <c r="T11" i="145"/>
  <c r="T14" i="145"/>
  <c r="T17" i="145"/>
  <c r="T20" i="145"/>
  <c r="T23" i="145"/>
  <c r="T26" i="145"/>
  <c r="T29" i="145"/>
  <c r="T32" i="145"/>
  <c r="T35" i="145"/>
  <c r="U8" i="145"/>
  <c r="U11" i="145"/>
  <c r="U17" i="145"/>
  <c r="U20" i="145"/>
  <c r="U23" i="145"/>
  <c r="U35" i="145"/>
  <c r="V11" i="145"/>
  <c r="V17" i="145"/>
  <c r="V29" i="145"/>
  <c r="T7" i="145"/>
  <c r="T10" i="145"/>
  <c r="T13" i="145"/>
  <c r="T16" i="145"/>
  <c r="T19" i="145"/>
  <c r="T22" i="145"/>
  <c r="T25" i="145"/>
  <c r="T28" i="145"/>
  <c r="T31" i="145"/>
  <c r="V26" i="145"/>
  <c r="U7" i="145"/>
  <c r="U10" i="145"/>
  <c r="M11" i="145"/>
  <c r="M14" i="145"/>
  <c r="M17" i="145"/>
  <c r="U19" i="145"/>
  <c r="M20" i="145"/>
  <c r="M23" i="145"/>
  <c r="U25" i="145"/>
  <c r="M26" i="145"/>
  <c r="M29" i="145"/>
  <c r="U31" i="145"/>
  <c r="M32" i="145"/>
  <c r="V20" i="145"/>
  <c r="V35" i="145"/>
  <c r="V10" i="145"/>
  <c r="V16" i="145"/>
  <c r="V22" i="145"/>
  <c r="V28" i="145"/>
  <c r="O17" i="145"/>
  <c r="T34" i="144"/>
  <c r="T31" i="144"/>
  <c r="T28" i="144"/>
  <c r="T25" i="144"/>
  <c r="T22" i="144"/>
  <c r="T19" i="144"/>
  <c r="T16" i="144"/>
  <c r="T13" i="144"/>
  <c r="T10" i="144"/>
  <c r="T7" i="144"/>
  <c r="T35" i="144"/>
  <c r="T32" i="144"/>
  <c r="T29" i="144"/>
  <c r="T26" i="144"/>
  <c r="T23" i="144"/>
  <c r="T20" i="144"/>
  <c r="T17" i="144"/>
  <c r="T14" i="144"/>
  <c r="T11" i="144"/>
  <c r="T8" i="144"/>
  <c r="U34" i="144"/>
  <c r="U31" i="144"/>
  <c r="U28" i="144"/>
  <c r="U25" i="144"/>
  <c r="U22" i="144"/>
  <c r="U19" i="144"/>
  <c r="U16" i="144"/>
  <c r="U13" i="144"/>
  <c r="U10" i="144"/>
  <c r="U7" i="144"/>
  <c r="U35" i="144"/>
  <c r="U32" i="144"/>
  <c r="U29" i="144"/>
  <c r="U26" i="144"/>
  <c r="U23" i="144"/>
  <c r="U20" i="144"/>
  <c r="U17" i="144"/>
  <c r="U14" i="144"/>
  <c r="U11" i="144"/>
  <c r="U8" i="144"/>
  <c r="U36" i="144"/>
  <c r="U33" i="144"/>
  <c r="U30" i="144"/>
  <c r="U27" i="144"/>
  <c r="U24" i="144"/>
  <c r="U21" i="144"/>
  <c r="U9" i="144"/>
  <c r="T12" i="144"/>
  <c r="U12" i="144"/>
  <c r="T15" i="144"/>
  <c r="U15" i="144"/>
  <c r="T18" i="144"/>
  <c r="U18" i="144"/>
  <c r="T21" i="144"/>
  <c r="T24" i="144"/>
  <c r="T27" i="144"/>
  <c r="T30" i="144"/>
  <c r="T33" i="144"/>
  <c r="T9" i="144"/>
  <c r="T36" i="144"/>
  <c r="V9" i="144"/>
  <c r="V15" i="144"/>
  <c r="V18" i="144"/>
  <c r="V21" i="144"/>
  <c r="V27" i="144"/>
  <c r="V33" i="144"/>
  <c r="V36" i="144"/>
  <c r="V11" i="144"/>
  <c r="V14" i="144"/>
  <c r="V17" i="144"/>
  <c r="V23" i="144"/>
  <c r="V26" i="144"/>
  <c r="V29" i="144"/>
  <c r="V35" i="144"/>
  <c r="S7" i="144"/>
  <c r="S10" i="144"/>
  <c r="O12" i="144"/>
  <c r="S13" i="144"/>
  <c r="S16" i="144"/>
  <c r="O18" i="144"/>
  <c r="S19" i="144"/>
  <c r="S22" i="144"/>
  <c r="O24" i="144"/>
  <c r="S25" i="144"/>
  <c r="S28" i="144"/>
  <c r="O30" i="144"/>
  <c r="S31" i="144"/>
  <c r="S34" i="144"/>
  <c r="V7" i="144"/>
  <c r="V10" i="144"/>
  <c r="V13" i="144"/>
  <c r="V19" i="144"/>
  <c r="V22" i="144"/>
  <c r="V25" i="144"/>
  <c r="V31" i="144"/>
  <c r="S9" i="144"/>
  <c r="S12" i="144"/>
  <c r="S15" i="144"/>
  <c r="S18" i="144"/>
  <c r="S21" i="144"/>
  <c r="S24" i="144"/>
  <c r="S27" i="144"/>
  <c r="S30" i="144"/>
  <c r="S33" i="144"/>
  <c r="T24" i="143"/>
  <c r="U12" i="143"/>
  <c r="U27" i="143"/>
  <c r="U33" i="143"/>
  <c r="V24" i="143"/>
  <c r="U11" i="143"/>
  <c r="U14" i="143"/>
  <c r="U17" i="143"/>
  <c r="U20" i="143"/>
  <c r="U23" i="143"/>
  <c r="U26" i="143"/>
  <c r="U29" i="143"/>
  <c r="U32" i="143"/>
  <c r="U35" i="143"/>
  <c r="T9" i="143"/>
  <c r="T12" i="143"/>
  <c r="T15" i="143"/>
  <c r="T18" i="143"/>
  <c r="T21" i="143"/>
  <c r="T30" i="143"/>
  <c r="T33" i="143"/>
  <c r="U9" i="143"/>
  <c r="U30" i="143"/>
  <c r="T11" i="143"/>
  <c r="T14" i="143"/>
  <c r="T17" i="143"/>
  <c r="T20" i="143"/>
  <c r="T29" i="143"/>
  <c r="T32" i="143"/>
  <c r="T35" i="143"/>
  <c r="V23" i="143"/>
  <c r="U18" i="143"/>
  <c r="U24" i="143"/>
  <c r="T8" i="143"/>
  <c r="T23" i="143"/>
  <c r="T26" i="143"/>
  <c r="U8" i="143"/>
  <c r="S16" i="143"/>
  <c r="S28" i="143"/>
  <c r="O30" i="143"/>
  <c r="S34" i="143"/>
  <c r="U15" i="143"/>
  <c r="U36" i="143"/>
  <c r="T7" i="143"/>
  <c r="T13" i="143"/>
  <c r="T19" i="143"/>
  <c r="T25" i="143"/>
  <c r="T31" i="143"/>
  <c r="U10" i="143"/>
  <c r="U16" i="143"/>
  <c r="U22" i="143"/>
  <c r="U28" i="143"/>
  <c r="U31" i="143"/>
  <c r="V16" i="143"/>
  <c r="T27" i="143"/>
  <c r="T36" i="143"/>
  <c r="U21" i="143"/>
  <c r="T10" i="143"/>
  <c r="T16" i="143"/>
  <c r="T22" i="143"/>
  <c r="T28" i="143"/>
  <c r="U7" i="143"/>
  <c r="U13" i="143"/>
  <c r="U19" i="143"/>
  <c r="U25" i="143"/>
  <c r="V25" i="143"/>
  <c r="S18" i="143"/>
  <c r="O20" i="143"/>
  <c r="S24" i="143"/>
  <c r="O29" i="143"/>
  <c r="S30" i="143"/>
  <c r="T34" i="142"/>
  <c r="T31" i="142"/>
  <c r="T28" i="142"/>
  <c r="T25" i="142"/>
  <c r="T22" i="142"/>
  <c r="T19" i="142"/>
  <c r="T13" i="142"/>
  <c r="T10" i="142"/>
  <c r="T7" i="142"/>
  <c r="T16" i="142"/>
  <c r="T23" i="142"/>
  <c r="U16" i="142"/>
  <c r="T21" i="142"/>
  <c r="T30" i="142"/>
  <c r="V31" i="142"/>
  <c r="V19" i="142"/>
  <c r="V7" i="142"/>
  <c r="V26" i="142"/>
  <c r="T17" i="142"/>
  <c r="U30" i="142"/>
  <c r="T35" i="142"/>
  <c r="T15" i="142"/>
  <c r="V21" i="142"/>
  <c r="T11" i="142"/>
  <c r="T33" i="142"/>
  <c r="T9" i="142"/>
  <c r="T26" i="142"/>
  <c r="T24" i="142"/>
  <c r="T20" i="142"/>
  <c r="T36" i="142"/>
  <c r="T18" i="142"/>
  <c r="T29" i="142"/>
  <c r="M8" i="142"/>
  <c r="M11" i="142"/>
  <c r="M14" i="142"/>
  <c r="M17" i="142"/>
  <c r="M20" i="142"/>
  <c r="M23" i="142"/>
  <c r="M26" i="142"/>
  <c r="M29" i="142"/>
  <c r="M32" i="142"/>
  <c r="M35" i="142"/>
  <c r="S9" i="142"/>
  <c r="O11" i="142"/>
  <c r="S12" i="142"/>
  <c r="S15" i="142"/>
  <c r="O17" i="142"/>
  <c r="S18" i="142"/>
  <c r="S21" i="142"/>
  <c r="O23" i="142"/>
  <c r="S24" i="142"/>
  <c r="S27" i="142"/>
  <c r="O29" i="142"/>
  <c r="S30" i="142"/>
  <c r="S33" i="142"/>
  <c r="O32" i="141"/>
  <c r="O17" i="141"/>
  <c r="O22" i="141"/>
  <c r="M12" i="141"/>
  <c r="O14" i="141"/>
  <c r="M25" i="141"/>
  <c r="M34" i="141"/>
  <c r="O23" i="141"/>
  <c r="V32" i="141"/>
  <c r="V20" i="141"/>
  <c r="V8" i="141"/>
  <c r="O8" i="141"/>
  <c r="M10" i="141"/>
  <c r="O16" i="141"/>
  <c r="O25" i="141"/>
  <c r="O34" i="141"/>
  <c r="O10" i="141"/>
  <c r="M19" i="141"/>
  <c r="M28" i="141"/>
  <c r="V25" i="141"/>
  <c r="O26" i="141"/>
  <c r="O35" i="141"/>
  <c r="O19" i="141"/>
  <c r="O28" i="141"/>
  <c r="O37" i="141"/>
  <c r="M13" i="141"/>
  <c r="M22" i="141"/>
  <c r="M35" i="141"/>
  <c r="M32" i="141"/>
  <c r="M23" i="141"/>
  <c r="M20" i="141"/>
  <c r="M11" i="141"/>
  <c r="M8" i="141"/>
  <c r="M36" i="141"/>
  <c r="M33" i="141"/>
  <c r="M30" i="141"/>
  <c r="M27" i="141"/>
  <c r="M18" i="141"/>
  <c r="O36" i="141"/>
  <c r="O33" i="141"/>
  <c r="O30" i="141"/>
  <c r="O27" i="141"/>
  <c r="O24" i="141"/>
  <c r="O21" i="141"/>
  <c r="O18" i="141"/>
  <c r="O15" i="141"/>
  <c r="O12" i="141"/>
  <c r="O9" i="141"/>
  <c r="O31" i="141"/>
  <c r="S10" i="141"/>
  <c r="S13" i="141"/>
  <c r="S16" i="141"/>
  <c r="S19" i="141"/>
  <c r="S22" i="141"/>
  <c r="S25" i="141"/>
  <c r="S28" i="141"/>
  <c r="S31" i="141"/>
  <c r="S34" i="141"/>
  <c r="T10" i="141"/>
  <c r="T13" i="141"/>
  <c r="T16" i="141"/>
  <c r="T19" i="141"/>
  <c r="T22" i="141"/>
  <c r="T25" i="141"/>
  <c r="T28" i="141"/>
  <c r="T31" i="141"/>
  <c r="T34" i="141"/>
  <c r="U19" i="141"/>
  <c r="U31" i="141"/>
  <c r="U8" i="141" l="1"/>
  <c r="U30" i="141"/>
  <c r="V19" i="152"/>
  <c r="S33" i="154"/>
  <c r="U26" i="155"/>
  <c r="U17" i="159"/>
  <c r="V11" i="165"/>
  <c r="V19" i="165"/>
  <c r="O27" i="166"/>
  <c r="V22" i="166"/>
  <c r="U9" i="148"/>
  <c r="V30" i="172"/>
  <c r="V24" i="169"/>
  <c r="V15" i="166"/>
  <c r="S23" i="151"/>
  <c r="S17" i="150"/>
  <c r="U28" i="142"/>
  <c r="V22" i="143"/>
  <c r="V10" i="143"/>
  <c r="V35" i="143"/>
  <c r="V17" i="143"/>
  <c r="V36" i="143"/>
  <c r="V12" i="143"/>
  <c r="S34" i="145"/>
  <c r="V11" i="147"/>
  <c r="V35" i="147"/>
  <c r="V35" i="153" s="1"/>
  <c r="V28" i="147"/>
  <c r="U20" i="147"/>
  <c r="V36" i="147"/>
  <c r="U23" i="148"/>
  <c r="U24" i="148"/>
  <c r="U32" i="148"/>
  <c r="U13" i="148"/>
  <c r="U25" i="148"/>
  <c r="S24" i="149"/>
  <c r="U21" i="151"/>
  <c r="S9" i="154"/>
  <c r="V31" i="143"/>
  <c r="V13" i="143"/>
  <c r="V21" i="143"/>
  <c r="V29" i="143"/>
  <c r="V14" i="143"/>
  <c r="V33" i="143"/>
  <c r="V9" i="143"/>
  <c r="S28" i="145"/>
  <c r="O15" i="145"/>
  <c r="V20" i="147"/>
  <c r="V13" i="147"/>
  <c r="U18" i="147"/>
  <c r="U19" i="147"/>
  <c r="V27" i="147"/>
  <c r="V30" i="147"/>
  <c r="U20" i="148"/>
  <c r="U18" i="148"/>
  <c r="U26" i="148"/>
  <c r="U35" i="148"/>
  <c r="U16" i="148"/>
  <c r="U28" i="148"/>
  <c r="S30" i="149"/>
  <c r="O8" i="150"/>
  <c r="U35" i="151"/>
  <c r="U10" i="151"/>
  <c r="V28" i="152"/>
  <c r="S15" i="154"/>
  <c r="U29" i="155"/>
  <c r="O18" i="156"/>
  <c r="U16" i="157"/>
  <c r="U29" i="159"/>
  <c r="T10" i="167"/>
  <c r="U18" i="162"/>
  <c r="U7" i="162"/>
  <c r="O11" i="165"/>
  <c r="V21" i="165"/>
  <c r="V31" i="165"/>
  <c r="O30" i="166"/>
  <c r="O15" i="166"/>
  <c r="V33" i="166"/>
  <c r="V21" i="166"/>
  <c r="V28" i="166"/>
  <c r="V22" i="169"/>
  <c r="V18" i="169"/>
  <c r="U10" i="170"/>
  <c r="M29" i="172"/>
  <c r="M27" i="173"/>
  <c r="M29" i="173"/>
  <c r="U24" i="155"/>
  <c r="O19" i="150"/>
  <c r="U36" i="148"/>
  <c r="O22" i="149"/>
  <c r="AN37" i="146"/>
  <c r="E23" i="176" s="1"/>
  <c r="S26" i="154"/>
  <c r="S35" i="150"/>
  <c r="S29" i="150"/>
  <c r="S16" i="145"/>
  <c r="U20" i="142"/>
  <c r="U15" i="142"/>
  <c r="V28" i="143"/>
  <c r="V7" i="143"/>
  <c r="V19" i="143"/>
  <c r="V26" i="143"/>
  <c r="V11" i="143"/>
  <c r="O23" i="145"/>
  <c r="O24" i="145"/>
  <c r="V23" i="147"/>
  <c r="U28" i="147"/>
  <c r="U17" i="148"/>
  <c r="U30" i="148"/>
  <c r="U15" i="148"/>
  <c r="U21" i="148"/>
  <c r="U8" i="148"/>
  <c r="U37" i="148" s="1"/>
  <c r="U7" i="148"/>
  <c r="U19" i="148"/>
  <c r="U31" i="148"/>
  <c r="O15" i="149"/>
  <c r="O21" i="150"/>
  <c r="O17" i="150"/>
  <c r="U24" i="151"/>
  <c r="U9" i="151"/>
  <c r="U30" i="151"/>
  <c r="U17" i="151"/>
  <c r="U13" i="151"/>
  <c r="V7" i="152"/>
  <c r="V31" i="152"/>
  <c r="U31" i="157"/>
  <c r="U16" i="159"/>
  <c r="U11" i="161"/>
  <c r="U31" i="162"/>
  <c r="O17" i="164"/>
  <c r="O36" i="164"/>
  <c r="O27" i="164"/>
  <c r="O24" i="165"/>
  <c r="V28" i="169"/>
  <c r="V17" i="169"/>
  <c r="U14" i="148"/>
  <c r="U14" i="153" s="1"/>
  <c r="S27" i="152"/>
  <c r="M15" i="152"/>
  <c r="M7" i="152"/>
  <c r="O33" i="156"/>
  <c r="S24" i="157"/>
  <c r="V18" i="158"/>
  <c r="V31" i="158"/>
  <c r="S33" i="159"/>
  <c r="S33" i="161"/>
  <c r="S28" i="161"/>
  <c r="V35" i="161"/>
  <c r="U7" i="161"/>
  <c r="U22" i="161"/>
  <c r="V9" i="163"/>
  <c r="V14" i="163"/>
  <c r="O15" i="164"/>
  <c r="O29" i="165"/>
  <c r="O17" i="165"/>
  <c r="O36" i="165"/>
  <c r="O12" i="165"/>
  <c r="S33" i="166"/>
  <c r="S9" i="166"/>
  <c r="U28" i="168"/>
  <c r="U21" i="173"/>
  <c r="U29" i="173"/>
  <c r="U16" i="173"/>
  <c r="U27" i="173"/>
  <c r="U9" i="173"/>
  <c r="S23" i="159"/>
  <c r="S20" i="159"/>
  <c r="S20" i="157"/>
  <c r="S10" i="152"/>
  <c r="S12" i="143"/>
  <c r="S22" i="143"/>
  <c r="V25" i="145"/>
  <c r="V13" i="145"/>
  <c r="V32" i="145"/>
  <c r="V14" i="145"/>
  <c r="V27" i="145"/>
  <c r="V15" i="145"/>
  <c r="E28" i="153"/>
  <c r="S28" i="148"/>
  <c r="S33" i="152"/>
  <c r="S9" i="152"/>
  <c r="M9" i="152"/>
  <c r="M21" i="152"/>
  <c r="V32" i="154"/>
  <c r="V31" i="154"/>
  <c r="O15" i="156"/>
  <c r="V17" i="156"/>
  <c r="V19" i="156"/>
  <c r="S30" i="157"/>
  <c r="V34" i="158"/>
  <c r="S9" i="159"/>
  <c r="S28" i="159"/>
  <c r="S12" i="161"/>
  <c r="S13" i="161"/>
  <c r="M23" i="161"/>
  <c r="M16" i="161"/>
  <c r="V8" i="161"/>
  <c r="V7" i="161"/>
  <c r="I15" i="167"/>
  <c r="U10" i="161"/>
  <c r="U28" i="161"/>
  <c r="T22" i="167"/>
  <c r="T34" i="167"/>
  <c r="V26" i="163"/>
  <c r="V16" i="163"/>
  <c r="O21" i="164"/>
  <c r="O32" i="165"/>
  <c r="O20" i="165"/>
  <c r="O8" i="165"/>
  <c r="O18" i="165"/>
  <c r="S12" i="166"/>
  <c r="Q36" i="167"/>
  <c r="U34" i="168"/>
  <c r="U8" i="173"/>
  <c r="M30" i="173"/>
  <c r="M26" i="173"/>
  <c r="U24" i="173"/>
  <c r="U22" i="173"/>
  <c r="S8" i="166"/>
  <c r="S32" i="161"/>
  <c r="S17" i="157"/>
  <c r="S7" i="159"/>
  <c r="V24" i="158"/>
  <c r="S32" i="157"/>
  <c r="S7" i="157"/>
  <c r="V32" i="157"/>
  <c r="S22" i="152"/>
  <c r="S13" i="150"/>
  <c r="G37" i="145"/>
  <c r="C37" i="145"/>
  <c r="I37" i="142"/>
  <c r="S10" i="143"/>
  <c r="V31" i="145"/>
  <c r="V19" i="145"/>
  <c r="V7" i="145"/>
  <c r="V23" i="145"/>
  <c r="V33" i="145"/>
  <c r="V21" i="145"/>
  <c r="J33" i="153"/>
  <c r="D25" i="153"/>
  <c r="S18" i="148"/>
  <c r="S21" i="152"/>
  <c r="T9" i="160"/>
  <c r="V12" i="154"/>
  <c r="V14" i="154"/>
  <c r="V16" i="154"/>
  <c r="O30" i="156"/>
  <c r="V27" i="156"/>
  <c r="V9" i="156"/>
  <c r="V33" i="156"/>
  <c r="V18" i="156"/>
  <c r="V32" i="156"/>
  <c r="V34" i="156"/>
  <c r="S18" i="157"/>
  <c r="V19" i="158"/>
  <c r="S25" i="161"/>
  <c r="V23" i="161"/>
  <c r="V25" i="161"/>
  <c r="U35" i="161"/>
  <c r="U19" i="161"/>
  <c r="U34" i="161"/>
  <c r="V17" i="163"/>
  <c r="V31" i="163"/>
  <c r="V18" i="163"/>
  <c r="O26" i="164"/>
  <c r="M15" i="164"/>
  <c r="M24" i="164"/>
  <c r="M17" i="164"/>
  <c r="M32" i="164"/>
  <c r="O26" i="165"/>
  <c r="O14" i="165"/>
  <c r="S24" i="166"/>
  <c r="U19" i="168"/>
  <c r="M14" i="172"/>
  <c r="U26" i="173"/>
  <c r="M22" i="173"/>
  <c r="M25" i="173"/>
  <c r="M12" i="173"/>
  <c r="M33" i="173"/>
  <c r="M14" i="173"/>
  <c r="U13" i="173"/>
  <c r="U34" i="173"/>
  <c r="U14" i="173"/>
  <c r="V29" i="163"/>
  <c r="S32" i="159"/>
  <c r="S8" i="159"/>
  <c r="S13" i="157"/>
  <c r="U28" i="141"/>
  <c r="V34" i="141"/>
  <c r="V35" i="141"/>
  <c r="U26" i="142"/>
  <c r="V23" i="142"/>
  <c r="V10" i="142"/>
  <c r="V34" i="142"/>
  <c r="U19" i="142"/>
  <c r="M8" i="143"/>
  <c r="M24" i="143"/>
  <c r="V9" i="142"/>
  <c r="Q16" i="153"/>
  <c r="O30" i="151"/>
  <c r="O18" i="151"/>
  <c r="U28" i="152"/>
  <c r="S30" i="155"/>
  <c r="O21" i="155"/>
  <c r="D28" i="160"/>
  <c r="C26" i="167"/>
  <c r="U9" i="162"/>
  <c r="U10" i="162"/>
  <c r="U8" i="152"/>
  <c r="U37" i="152" s="1"/>
  <c r="O20" i="155"/>
  <c r="O32" i="155"/>
  <c r="O35" i="155"/>
  <c r="O36" i="155"/>
  <c r="O19" i="151"/>
  <c r="O8" i="155"/>
  <c r="O26" i="147"/>
  <c r="O10" i="147"/>
  <c r="O13" i="147"/>
  <c r="O36" i="147"/>
  <c r="O16" i="151"/>
  <c r="U33" i="152"/>
  <c r="O34" i="168"/>
  <c r="U23" i="141"/>
  <c r="U21" i="141"/>
  <c r="U12" i="141"/>
  <c r="U27" i="141"/>
  <c r="S14" i="171"/>
  <c r="O23" i="155"/>
  <c r="D22" i="153"/>
  <c r="V30" i="141"/>
  <c r="V21" i="141"/>
  <c r="D31" i="160"/>
  <c r="C20" i="153"/>
  <c r="U16" i="141"/>
  <c r="V12" i="141"/>
  <c r="V18" i="141"/>
  <c r="V11" i="141"/>
  <c r="V23" i="141"/>
  <c r="U36" i="142"/>
  <c r="U17" i="142"/>
  <c r="V29" i="142"/>
  <c r="V22" i="142"/>
  <c r="U7" i="142"/>
  <c r="U31" i="142"/>
  <c r="V28" i="149"/>
  <c r="V28" i="153" s="1"/>
  <c r="O36" i="151"/>
  <c r="O24" i="151"/>
  <c r="O12" i="151"/>
  <c r="U30" i="152"/>
  <c r="U16" i="152"/>
  <c r="O33" i="155"/>
  <c r="O9" i="155"/>
  <c r="U34" i="157"/>
  <c r="C26" i="160"/>
  <c r="O16" i="168"/>
  <c r="O28" i="168"/>
  <c r="O19" i="168"/>
  <c r="O11" i="168"/>
  <c r="O23" i="168"/>
  <c r="O35" i="168"/>
  <c r="U25" i="141"/>
  <c r="V27" i="141"/>
  <c r="V16" i="141"/>
  <c r="V9" i="141"/>
  <c r="V14" i="141"/>
  <c r="V26" i="141"/>
  <c r="U35" i="142"/>
  <c r="U21" i="142"/>
  <c r="V32" i="142"/>
  <c r="V13" i="142"/>
  <c r="V25" i="142"/>
  <c r="U10" i="142"/>
  <c r="U22" i="142"/>
  <c r="U34" i="142"/>
  <c r="U37" i="141"/>
  <c r="O33" i="147"/>
  <c r="O27" i="147"/>
  <c r="O21" i="147"/>
  <c r="O15" i="147"/>
  <c r="O9" i="147"/>
  <c r="S13" i="147"/>
  <c r="U29" i="152"/>
  <c r="U21" i="152"/>
  <c r="U7" i="152"/>
  <c r="U19" i="152"/>
  <c r="U31" i="152"/>
  <c r="U36" i="152"/>
  <c r="U27" i="152"/>
  <c r="C33" i="160"/>
  <c r="S12" i="155"/>
  <c r="O24" i="155"/>
  <c r="O12" i="155"/>
  <c r="U30" i="157"/>
  <c r="U21" i="157"/>
  <c r="D20" i="160"/>
  <c r="U7" i="157"/>
  <c r="U22" i="157"/>
  <c r="C17" i="160"/>
  <c r="S24" i="158"/>
  <c r="C36" i="160"/>
  <c r="V32" i="159"/>
  <c r="V32" i="160" s="1"/>
  <c r="G30" i="167"/>
  <c r="K8" i="167"/>
  <c r="K20" i="167"/>
  <c r="K13" i="167"/>
  <c r="K25" i="167"/>
  <c r="U8" i="162"/>
  <c r="U33" i="162"/>
  <c r="U16" i="162"/>
  <c r="D7" i="167"/>
  <c r="O31" i="168"/>
  <c r="O22" i="168"/>
  <c r="O7" i="168"/>
  <c r="O37" i="168" s="1"/>
  <c r="O36" i="168"/>
  <c r="O27" i="168"/>
  <c r="O18" i="168"/>
  <c r="O14" i="168"/>
  <c r="O26" i="168"/>
  <c r="O25" i="155"/>
  <c r="O11" i="155"/>
  <c r="O19" i="155"/>
  <c r="O28" i="151"/>
  <c r="O23" i="147"/>
  <c r="O14" i="147"/>
  <c r="O22" i="147"/>
  <c r="O7" i="151"/>
  <c r="O10" i="151"/>
  <c r="O31" i="151"/>
  <c r="U23" i="152"/>
  <c r="U24" i="152"/>
  <c r="O25" i="168"/>
  <c r="U9" i="141"/>
  <c r="U32" i="141"/>
  <c r="U18" i="141"/>
  <c r="U36" i="141"/>
  <c r="O16" i="155"/>
  <c r="O16" i="147"/>
  <c r="S35" i="155"/>
  <c r="F20" i="153"/>
  <c r="C7" i="167"/>
  <c r="C8" i="160"/>
  <c r="C13" i="167"/>
  <c r="U19" i="157"/>
  <c r="S18" i="158"/>
  <c r="U13" i="141"/>
  <c r="U34" i="141"/>
  <c r="U22" i="141"/>
  <c r="U10" i="141"/>
  <c r="V10" i="141"/>
  <c r="V36" i="141"/>
  <c r="V17" i="141"/>
  <c r="V29" i="141"/>
  <c r="V24" i="142"/>
  <c r="U24" i="142"/>
  <c r="U9" i="142"/>
  <c r="V17" i="142"/>
  <c r="V30" i="142"/>
  <c r="V35" i="142"/>
  <c r="V16" i="142"/>
  <c r="U23" i="142"/>
  <c r="U13" i="142"/>
  <c r="M21" i="143"/>
  <c r="U14" i="141"/>
  <c r="S31" i="147"/>
  <c r="Q28" i="153"/>
  <c r="D24" i="153"/>
  <c r="D18" i="153"/>
  <c r="D12" i="153"/>
  <c r="D32" i="153"/>
  <c r="V20" i="149"/>
  <c r="V21" i="149"/>
  <c r="O32" i="151"/>
  <c r="O29" i="151"/>
  <c r="O26" i="151"/>
  <c r="O23" i="151"/>
  <c r="O20" i="151"/>
  <c r="O17" i="151"/>
  <c r="O14" i="151"/>
  <c r="O11" i="151"/>
  <c r="O8" i="151"/>
  <c r="O33" i="151"/>
  <c r="O27" i="151"/>
  <c r="O21" i="151"/>
  <c r="O15" i="151"/>
  <c r="O9" i="151"/>
  <c r="U20" i="152"/>
  <c r="U10" i="152"/>
  <c r="U22" i="152"/>
  <c r="U34" i="152"/>
  <c r="U35" i="152"/>
  <c r="U26" i="152"/>
  <c r="U18" i="152"/>
  <c r="F24" i="160"/>
  <c r="F18" i="160"/>
  <c r="F12" i="160"/>
  <c r="Q18" i="160"/>
  <c r="P15" i="160"/>
  <c r="K27" i="160"/>
  <c r="S18" i="155"/>
  <c r="O27" i="155"/>
  <c r="O15" i="155"/>
  <c r="U29" i="157"/>
  <c r="U20" i="157"/>
  <c r="U10" i="157"/>
  <c r="S30" i="158"/>
  <c r="U15" i="162"/>
  <c r="U17" i="166"/>
  <c r="O30" i="168"/>
  <c r="O21" i="168"/>
  <c r="O10" i="168"/>
  <c r="O9" i="168"/>
  <c r="O17" i="168"/>
  <c r="O29" i="168"/>
  <c r="O29" i="155"/>
  <c r="O7" i="155"/>
  <c r="O28" i="155"/>
  <c r="O14" i="155"/>
  <c r="O10" i="155"/>
  <c r="O13" i="151"/>
  <c r="U32" i="152"/>
  <c r="O8" i="147"/>
  <c r="O37" i="147" s="1"/>
  <c r="O29" i="147"/>
  <c r="O17" i="147"/>
  <c r="O25" i="147"/>
  <c r="O22" i="151"/>
  <c r="U11" i="152"/>
  <c r="O12" i="168"/>
  <c r="U33" i="141"/>
  <c r="U20" i="141"/>
  <c r="U11" i="141"/>
  <c r="S35" i="158"/>
  <c r="S32" i="158"/>
  <c r="U15" i="152"/>
  <c r="O20" i="147"/>
  <c r="C32" i="160"/>
  <c r="U32" i="164"/>
  <c r="U22" i="164"/>
  <c r="V18" i="151"/>
  <c r="V25" i="151"/>
  <c r="V13" i="151"/>
  <c r="V32" i="151"/>
  <c r="V20" i="151"/>
  <c r="V8" i="151"/>
  <c r="V12" i="151"/>
  <c r="V21" i="151"/>
  <c r="V27" i="151"/>
  <c r="V34" i="151"/>
  <c r="V22" i="151"/>
  <c r="V10" i="151"/>
  <c r="V10" i="153" s="1"/>
  <c r="V29" i="151"/>
  <c r="V17" i="151"/>
  <c r="O34" i="142"/>
  <c r="O33" i="142"/>
  <c r="O31" i="142"/>
  <c r="O16" i="142"/>
  <c r="O24" i="142"/>
  <c r="O30" i="142"/>
  <c r="O12" i="142"/>
  <c r="O28" i="142"/>
  <c r="O35" i="142"/>
  <c r="O19" i="142"/>
  <c r="O18" i="142"/>
  <c r="O21" i="142"/>
  <c r="O7" i="142"/>
  <c r="O22" i="144"/>
  <c r="O17" i="144"/>
  <c r="O25" i="144"/>
  <c r="O20" i="144"/>
  <c r="O26" i="144"/>
  <c r="O16" i="144"/>
  <c r="O8" i="144"/>
  <c r="O7" i="144"/>
  <c r="O13" i="144"/>
  <c r="O35" i="144"/>
  <c r="O31" i="143"/>
  <c r="O22" i="143"/>
  <c r="O25" i="143"/>
  <c r="O12" i="143"/>
  <c r="O21" i="143"/>
  <c r="O16" i="143"/>
  <c r="O19" i="143"/>
  <c r="U33" i="158"/>
  <c r="U17" i="158"/>
  <c r="U36" i="158"/>
  <c r="U12" i="158"/>
  <c r="U32" i="158"/>
  <c r="U9" i="158"/>
  <c r="U24" i="158"/>
  <c r="U28" i="158"/>
  <c r="U34" i="158"/>
  <c r="U7" i="158"/>
  <c r="U14" i="158"/>
  <c r="U27" i="158"/>
  <c r="U20" i="158"/>
  <c r="U16" i="158"/>
  <c r="U13" i="158"/>
  <c r="U26" i="158"/>
  <c r="U8" i="158"/>
  <c r="U10" i="158"/>
  <c r="U18" i="158"/>
  <c r="U23" i="158"/>
  <c r="U12" i="150"/>
  <c r="U29" i="150"/>
  <c r="U28" i="150"/>
  <c r="U16" i="150"/>
  <c r="U14" i="150"/>
  <c r="U23" i="150"/>
  <c r="U32" i="150"/>
  <c r="U9" i="150"/>
  <c r="U18" i="150"/>
  <c r="U26" i="150"/>
  <c r="U35" i="150"/>
  <c r="U11" i="150"/>
  <c r="U20" i="150"/>
  <c r="U21" i="150"/>
  <c r="U25" i="150"/>
  <c r="U13" i="150"/>
  <c r="U15" i="150"/>
  <c r="U24" i="150"/>
  <c r="U33" i="150"/>
  <c r="U27" i="150"/>
  <c r="U36" i="150"/>
  <c r="U35" i="149"/>
  <c r="U18" i="149"/>
  <c r="U11" i="149"/>
  <c r="U28" i="149"/>
  <c r="U16" i="149"/>
  <c r="U36" i="149"/>
  <c r="U32" i="149"/>
  <c r="U17" i="149"/>
  <c r="U20" i="149"/>
  <c r="U21" i="149"/>
  <c r="U25" i="149"/>
  <c r="U13" i="149"/>
  <c r="U29" i="149"/>
  <c r="U14" i="149"/>
  <c r="V36" i="168"/>
  <c r="V17" i="168"/>
  <c r="V20" i="168"/>
  <c r="V21" i="168"/>
  <c r="V8" i="168"/>
  <c r="V8" i="174" s="1"/>
  <c r="V32" i="168"/>
  <c r="V9" i="168"/>
  <c r="V11" i="168"/>
  <c r="V33" i="168"/>
  <c r="V18" i="168"/>
  <c r="V25" i="168"/>
  <c r="V13" i="168"/>
  <c r="V29" i="168"/>
  <c r="V27" i="168"/>
  <c r="V35" i="168"/>
  <c r="V31" i="168"/>
  <c r="V16" i="168"/>
  <c r="V15" i="168"/>
  <c r="V24" i="168"/>
  <c r="V28" i="168"/>
  <c r="V10" i="168"/>
  <c r="V12" i="155"/>
  <c r="V24" i="155"/>
  <c r="V27" i="155"/>
  <c r="V9" i="155"/>
  <c r="V36" i="155"/>
  <c r="V29" i="155"/>
  <c r="V17" i="155"/>
  <c r="V34" i="155"/>
  <c r="V22" i="155"/>
  <c r="V10" i="155"/>
  <c r="V33" i="155"/>
  <c r="V26" i="155"/>
  <c r="V14" i="155"/>
  <c r="V31" i="155"/>
  <c r="V19" i="155"/>
  <c r="V7" i="155"/>
  <c r="O26" i="143"/>
  <c r="O11" i="143"/>
  <c r="O36" i="143"/>
  <c r="O18" i="143"/>
  <c r="O9" i="143"/>
  <c r="O36" i="142"/>
  <c r="O22" i="142"/>
  <c r="O15" i="142"/>
  <c r="O7" i="143"/>
  <c r="O28" i="143"/>
  <c r="O32" i="144"/>
  <c r="U9" i="149"/>
  <c r="U19" i="149"/>
  <c r="U23" i="149"/>
  <c r="U8" i="150"/>
  <c r="U22" i="150"/>
  <c r="V9" i="151"/>
  <c r="V33" i="151"/>
  <c r="V23" i="151"/>
  <c r="V16" i="151"/>
  <c r="V13" i="155"/>
  <c r="V8" i="155"/>
  <c r="V32" i="155"/>
  <c r="U22" i="158"/>
  <c r="V7" i="168"/>
  <c r="C30" i="174"/>
  <c r="D15" i="174"/>
  <c r="U29" i="158"/>
  <c r="V12" i="168"/>
  <c r="V36" i="151"/>
  <c r="U13" i="147"/>
  <c r="U10" i="147"/>
  <c r="U25" i="147"/>
  <c r="U32" i="147"/>
  <c r="U14" i="147"/>
  <c r="U11" i="147"/>
  <c r="U11" i="153" s="1"/>
  <c r="U36" i="147"/>
  <c r="U33" i="147"/>
  <c r="U24" i="147"/>
  <c r="U27" i="147"/>
  <c r="U34" i="147"/>
  <c r="U22" i="147"/>
  <c r="U29" i="147"/>
  <c r="U8" i="147"/>
  <c r="U16" i="147"/>
  <c r="U9" i="147"/>
  <c r="U15" i="147"/>
  <c r="U21" i="147"/>
  <c r="O8" i="149"/>
  <c r="O36" i="149"/>
  <c r="O32" i="149"/>
  <c r="O28" i="149"/>
  <c r="O35" i="149"/>
  <c r="O20" i="149"/>
  <c r="O14" i="149"/>
  <c r="O19" i="149"/>
  <c r="O29" i="149"/>
  <c r="O34" i="149"/>
  <c r="O25" i="149"/>
  <c r="O11" i="149"/>
  <c r="O17" i="149"/>
  <c r="O23" i="149"/>
  <c r="O12" i="149"/>
  <c r="O24" i="149"/>
  <c r="O10" i="149"/>
  <c r="O13" i="149"/>
  <c r="O9" i="149"/>
  <c r="O21" i="149"/>
  <c r="O33" i="149"/>
  <c r="U27" i="155"/>
  <c r="U15" i="155"/>
  <c r="U21" i="155"/>
  <c r="U18" i="155"/>
  <c r="U12" i="155"/>
  <c r="U35" i="155"/>
  <c r="U23" i="155"/>
  <c r="U36" i="155"/>
  <c r="U20" i="155"/>
  <c r="U34" i="155"/>
  <c r="U22" i="155"/>
  <c r="U10" i="155"/>
  <c r="U30" i="155"/>
  <c r="U33" i="155"/>
  <c r="U32" i="155"/>
  <c r="U17" i="155"/>
  <c r="U31" i="155"/>
  <c r="U19" i="155"/>
  <c r="U7" i="155"/>
  <c r="V9" i="172"/>
  <c r="V31" i="172"/>
  <c r="V19" i="172"/>
  <c r="V7" i="172"/>
  <c r="V14" i="172"/>
  <c r="V24" i="172"/>
  <c r="V33" i="172"/>
  <c r="V26" i="172"/>
  <c r="V21" i="172"/>
  <c r="V28" i="172"/>
  <c r="V16" i="172"/>
  <c r="V15" i="172"/>
  <c r="V11" i="172"/>
  <c r="V27" i="172"/>
  <c r="V12" i="172"/>
  <c r="V8" i="172"/>
  <c r="V29" i="172"/>
  <c r="V22" i="172"/>
  <c r="V35" i="172"/>
  <c r="V13" i="172"/>
  <c r="V36" i="172"/>
  <c r="O32" i="142"/>
  <c r="O26" i="142"/>
  <c r="O20" i="142"/>
  <c r="O14" i="142"/>
  <c r="O8" i="142"/>
  <c r="O32" i="143"/>
  <c r="O17" i="143"/>
  <c r="O8" i="143"/>
  <c r="O27" i="143"/>
  <c r="O33" i="144"/>
  <c r="O27" i="144"/>
  <c r="O21" i="144"/>
  <c r="O15" i="144"/>
  <c r="O9" i="144"/>
  <c r="O25" i="142"/>
  <c r="O13" i="143"/>
  <c r="O34" i="143"/>
  <c r="O11" i="144"/>
  <c r="O31" i="144"/>
  <c r="O34" i="144"/>
  <c r="O36" i="144"/>
  <c r="O10" i="144"/>
  <c r="I27" i="153"/>
  <c r="U23" i="147"/>
  <c r="U31" i="147"/>
  <c r="U7" i="147"/>
  <c r="O18" i="149"/>
  <c r="U8" i="149"/>
  <c r="U22" i="149"/>
  <c r="U30" i="149"/>
  <c r="D37" i="150"/>
  <c r="O20" i="150"/>
  <c r="U7" i="150"/>
  <c r="U31" i="150"/>
  <c r="U15" i="151"/>
  <c r="V26" i="151"/>
  <c r="V19" i="151"/>
  <c r="U22" i="151"/>
  <c r="V16" i="155"/>
  <c r="V11" i="155"/>
  <c r="V35" i="155"/>
  <c r="U13" i="155"/>
  <c r="U11" i="155"/>
  <c r="U15" i="158"/>
  <c r="U30" i="158"/>
  <c r="U31" i="158"/>
  <c r="U32" i="159"/>
  <c r="U34" i="159"/>
  <c r="C30" i="167"/>
  <c r="N33" i="167"/>
  <c r="K27" i="167"/>
  <c r="K32" i="167"/>
  <c r="V19" i="168"/>
  <c r="V26" i="168"/>
  <c r="D26" i="174"/>
  <c r="V18" i="172"/>
  <c r="V32" i="172"/>
  <c r="V10" i="172"/>
  <c r="O23" i="152"/>
  <c r="O22" i="152"/>
  <c r="O34" i="150"/>
  <c r="M35" i="149"/>
  <c r="M23" i="149"/>
  <c r="M11" i="150"/>
  <c r="M21" i="150"/>
  <c r="M16" i="157"/>
  <c r="M8" i="157"/>
  <c r="M8" i="160" s="1"/>
  <c r="O13" i="142"/>
  <c r="O16" i="149"/>
  <c r="V20" i="172"/>
  <c r="V30" i="168"/>
  <c r="V21" i="155"/>
  <c r="U8" i="155"/>
  <c r="D7" i="160"/>
  <c r="C29" i="160"/>
  <c r="V15" i="151"/>
  <c r="V18" i="155"/>
  <c r="O7" i="150"/>
  <c r="O27" i="150"/>
  <c r="O24" i="150"/>
  <c r="O15" i="150"/>
  <c r="O36" i="150"/>
  <c r="O18" i="150"/>
  <c r="O16" i="150"/>
  <c r="O10" i="150"/>
  <c r="O33" i="150"/>
  <c r="O26" i="150"/>
  <c r="O14" i="150"/>
  <c r="O12" i="150"/>
  <c r="O30" i="150"/>
  <c r="O28" i="150"/>
  <c r="O35" i="150"/>
  <c r="O23" i="150"/>
  <c r="O11" i="150"/>
  <c r="O13" i="150"/>
  <c r="O37" i="150" s="1"/>
  <c r="O31" i="150"/>
  <c r="U12" i="159"/>
  <c r="U33" i="159"/>
  <c r="U24" i="159"/>
  <c r="U30" i="159"/>
  <c r="U36" i="159"/>
  <c r="U27" i="159"/>
  <c r="U31" i="159"/>
  <c r="U31" i="160" s="1"/>
  <c r="U19" i="159"/>
  <c r="U7" i="159"/>
  <c r="U26" i="159"/>
  <c r="U14" i="159"/>
  <c r="U18" i="159"/>
  <c r="U15" i="159"/>
  <c r="U25" i="159"/>
  <c r="U10" i="159"/>
  <c r="U23" i="159"/>
  <c r="U8" i="159"/>
  <c r="U21" i="159"/>
  <c r="U22" i="159"/>
  <c r="U35" i="159"/>
  <c r="U20" i="159"/>
  <c r="U20" i="151"/>
  <c r="U14" i="151"/>
  <c r="U23" i="151"/>
  <c r="U36" i="151"/>
  <c r="U32" i="151"/>
  <c r="U31" i="151"/>
  <c r="U19" i="151"/>
  <c r="U7" i="151"/>
  <c r="U33" i="151"/>
  <c r="U12" i="151"/>
  <c r="U26" i="151"/>
  <c r="U28" i="151"/>
  <c r="U16" i="151"/>
  <c r="V36" i="169"/>
  <c r="V12" i="169"/>
  <c r="V15" i="169"/>
  <c r="V29" i="169"/>
  <c r="V30" i="169"/>
  <c r="V33" i="169"/>
  <c r="V14" i="169"/>
  <c r="V32" i="169"/>
  <c r="V23" i="169"/>
  <c r="V26" i="169"/>
  <c r="V25" i="169"/>
  <c r="V13" i="169"/>
  <c r="V8" i="169"/>
  <c r="V21" i="169"/>
  <c r="V27" i="169"/>
  <c r="V35" i="169"/>
  <c r="V34" i="169"/>
  <c r="V19" i="169"/>
  <c r="V9" i="169"/>
  <c r="V11" i="169"/>
  <c r="V31" i="169"/>
  <c r="V16" i="169"/>
  <c r="O23" i="143"/>
  <c r="O14" i="143"/>
  <c r="M17" i="143"/>
  <c r="O33" i="143"/>
  <c r="O24" i="143"/>
  <c r="O15" i="143"/>
  <c r="O35" i="143"/>
  <c r="O28" i="144"/>
  <c r="O14" i="144"/>
  <c r="O19" i="144"/>
  <c r="O23" i="144"/>
  <c r="U17" i="147"/>
  <c r="U35" i="147"/>
  <c r="U35" i="153" s="1"/>
  <c r="Q14" i="153"/>
  <c r="U30" i="147"/>
  <c r="O27" i="149"/>
  <c r="U15" i="149"/>
  <c r="U7" i="149"/>
  <c r="U31" i="149"/>
  <c r="D14" i="153"/>
  <c r="U24" i="149"/>
  <c r="U24" i="153" s="1"/>
  <c r="O22" i="150"/>
  <c r="U17" i="150"/>
  <c r="O29" i="150"/>
  <c r="U10" i="150"/>
  <c r="U34" i="150"/>
  <c r="U29" i="151"/>
  <c r="V11" i="151"/>
  <c r="V35" i="151"/>
  <c r="V28" i="151"/>
  <c r="U25" i="151"/>
  <c r="U27" i="151"/>
  <c r="V15" i="155"/>
  <c r="V25" i="155"/>
  <c r="V20" i="155"/>
  <c r="U16" i="155"/>
  <c r="U14" i="155"/>
  <c r="U11" i="158"/>
  <c r="U19" i="158"/>
  <c r="U11" i="159"/>
  <c r="U13" i="159"/>
  <c r="M29" i="162"/>
  <c r="V22" i="168"/>
  <c r="C13" i="174"/>
  <c r="V10" i="169"/>
  <c r="V17" i="172"/>
  <c r="V25" i="172"/>
  <c r="U30" i="150"/>
  <c r="U9" i="155"/>
  <c r="O9" i="150"/>
  <c r="U8" i="151"/>
  <c r="M22" i="152"/>
  <c r="M26" i="152"/>
  <c r="M33" i="152"/>
  <c r="M20" i="152"/>
  <c r="M17" i="151"/>
  <c r="M21" i="151"/>
  <c r="M25" i="161"/>
  <c r="M10" i="161"/>
  <c r="M8" i="161"/>
  <c r="U21" i="158"/>
  <c r="O7" i="149"/>
  <c r="O31" i="149"/>
  <c r="V20" i="169"/>
  <c r="V35" i="158"/>
  <c r="V32" i="158"/>
  <c r="V23" i="158"/>
  <c r="V9" i="158"/>
  <c r="V11" i="158"/>
  <c r="V33" i="158"/>
  <c r="V14" i="158"/>
  <c r="V26" i="158"/>
  <c r="V21" i="158"/>
  <c r="V28" i="158"/>
  <c r="V16" i="158"/>
  <c r="V15" i="158"/>
  <c r="V27" i="158"/>
  <c r="V36" i="158"/>
  <c r="V17" i="158"/>
  <c r="V20" i="158"/>
  <c r="V25" i="158"/>
  <c r="V10" i="158"/>
  <c r="V12" i="158"/>
  <c r="V29" i="158"/>
  <c r="V22" i="158"/>
  <c r="V7" i="158"/>
  <c r="G38" i="141"/>
  <c r="V30" i="144"/>
  <c r="V34" i="144"/>
  <c r="V12" i="144"/>
  <c r="V24" i="144"/>
  <c r="V8" i="144"/>
  <c r="V20" i="144"/>
  <c r="V32" i="144"/>
  <c r="V16" i="144"/>
  <c r="V28" i="144"/>
  <c r="O27" i="142"/>
  <c r="V14" i="142"/>
  <c r="V18" i="142"/>
  <c r="C16" i="153"/>
  <c r="J37" i="144"/>
  <c r="V21" i="152"/>
  <c r="V35" i="152"/>
  <c r="V12" i="152"/>
  <c r="V26" i="152"/>
  <c r="V18" i="152"/>
  <c r="V23" i="152"/>
  <c r="V23" i="153" s="1"/>
  <c r="V27" i="152"/>
  <c r="V30" i="152"/>
  <c r="V33" i="152"/>
  <c r="V20" i="152"/>
  <c r="V15" i="152"/>
  <c r="V32" i="152"/>
  <c r="V36" i="152"/>
  <c r="V29" i="152"/>
  <c r="V25" i="152"/>
  <c r="V13" i="152"/>
  <c r="V8" i="152"/>
  <c r="V34" i="152"/>
  <c r="V22" i="152"/>
  <c r="V10" i="152"/>
  <c r="V14" i="152"/>
  <c r="V18" i="147"/>
  <c r="V33" i="147"/>
  <c r="V21" i="147"/>
  <c r="V24" i="147"/>
  <c r="V34" i="147"/>
  <c r="V22" i="147"/>
  <c r="V10" i="147"/>
  <c r="V29" i="147"/>
  <c r="V17" i="147"/>
  <c r="V15" i="147"/>
  <c r="V15" i="153" s="1"/>
  <c r="V31" i="147"/>
  <c r="V19" i="147"/>
  <c r="V7" i="147"/>
  <c r="V7" i="153" s="1"/>
  <c r="V26" i="147"/>
  <c r="V14" i="147"/>
  <c r="V36" i="165"/>
  <c r="V32" i="165"/>
  <c r="V23" i="165"/>
  <c r="V29" i="165"/>
  <c r="V25" i="165"/>
  <c r="V13" i="165"/>
  <c r="V9" i="165"/>
  <c r="V14" i="165"/>
  <c r="V20" i="165"/>
  <c r="V26" i="165"/>
  <c r="V30" i="165"/>
  <c r="V28" i="165"/>
  <c r="V10" i="165"/>
  <c r="V17" i="165"/>
  <c r="V33" i="165"/>
  <c r="V22" i="165"/>
  <c r="V7" i="165"/>
  <c r="V35" i="165"/>
  <c r="V12" i="165"/>
  <c r="V15" i="165"/>
  <c r="V18" i="165"/>
  <c r="V16" i="166"/>
  <c r="V10" i="166"/>
  <c r="V14" i="166"/>
  <c r="V29" i="166"/>
  <c r="V7" i="166"/>
  <c r="V17" i="166"/>
  <c r="V30" i="166"/>
  <c r="V13" i="166"/>
  <c r="V26" i="166"/>
  <c r="V9" i="166"/>
  <c r="V18" i="166"/>
  <c r="V8" i="166"/>
  <c r="V27" i="166"/>
  <c r="V32" i="166"/>
  <c r="V25" i="166"/>
  <c r="V35" i="166"/>
  <c r="V12" i="166"/>
  <c r="V12" i="167" s="1"/>
  <c r="V34" i="166"/>
  <c r="V19" i="166"/>
  <c r="V11" i="166"/>
  <c r="V36" i="166"/>
  <c r="V23" i="166"/>
  <c r="V31" i="166"/>
  <c r="V24" i="166"/>
  <c r="C37" i="142"/>
  <c r="K21" i="153"/>
  <c r="G36" i="153"/>
  <c r="Q22" i="153"/>
  <c r="Q19" i="153"/>
  <c r="E25" i="153"/>
  <c r="D17" i="153"/>
  <c r="D36" i="153"/>
  <c r="D27" i="160"/>
  <c r="D9" i="160"/>
  <c r="P33" i="167"/>
  <c r="G25" i="167"/>
  <c r="D20" i="167"/>
  <c r="D13" i="167"/>
  <c r="C7" i="174"/>
  <c r="I10" i="174"/>
  <c r="I22" i="174"/>
  <c r="I34" i="174"/>
  <c r="O23" i="162"/>
  <c r="O31" i="162"/>
  <c r="O20" i="172"/>
  <c r="O31" i="172"/>
  <c r="S36" i="163"/>
  <c r="S31" i="163"/>
  <c r="S25" i="163"/>
  <c r="S22" i="163"/>
  <c r="S13" i="163"/>
  <c r="S17" i="163"/>
  <c r="S23" i="163"/>
  <c r="S35" i="163"/>
  <c r="S36" i="168"/>
  <c r="S23" i="168"/>
  <c r="S17" i="168"/>
  <c r="S29" i="168"/>
  <c r="S34" i="168"/>
  <c r="S8" i="168"/>
  <c r="S25" i="168"/>
  <c r="S35" i="168"/>
  <c r="S11" i="168"/>
  <c r="S20" i="168"/>
  <c r="S9" i="168"/>
  <c r="S15" i="168"/>
  <c r="S21" i="168"/>
  <c r="S27" i="168"/>
  <c r="S33" i="168"/>
  <c r="S36" i="150"/>
  <c r="S10" i="150"/>
  <c r="S23" i="150"/>
  <c r="S32" i="150"/>
  <c r="S22" i="150"/>
  <c r="S20" i="150"/>
  <c r="S19" i="150"/>
  <c r="S8" i="150"/>
  <c r="S11" i="150"/>
  <c r="S36" i="162"/>
  <c r="S17" i="162"/>
  <c r="S14" i="162"/>
  <c r="S20" i="162"/>
  <c r="S23" i="162"/>
  <c r="S29" i="162"/>
  <c r="S11" i="162"/>
  <c r="S22" i="162"/>
  <c r="S28" i="162"/>
  <c r="S7" i="162"/>
  <c r="S31" i="162"/>
  <c r="S17" i="169"/>
  <c r="S20" i="169"/>
  <c r="S23" i="169"/>
  <c r="S26" i="169"/>
  <c r="S26" i="174" s="1"/>
  <c r="S10" i="169"/>
  <c r="S36" i="169"/>
  <c r="S13" i="169"/>
  <c r="S22" i="169"/>
  <c r="S9" i="169"/>
  <c r="S15" i="169"/>
  <c r="S21" i="169"/>
  <c r="S27" i="169"/>
  <c r="S33" i="169"/>
  <c r="S36" i="151"/>
  <c r="S19" i="151"/>
  <c r="S7" i="151"/>
  <c r="S14" i="151"/>
  <c r="S20" i="151"/>
  <c r="S29" i="151"/>
  <c r="S34" i="151"/>
  <c r="S8" i="151"/>
  <c r="S10" i="151"/>
  <c r="S25" i="151"/>
  <c r="S28" i="151"/>
  <c r="S17" i="151"/>
  <c r="S22" i="151"/>
  <c r="C31" i="174"/>
  <c r="C35" i="167"/>
  <c r="C20" i="160"/>
  <c r="V10" i="159"/>
  <c r="V15" i="159"/>
  <c r="V14" i="159"/>
  <c r="V21" i="173"/>
  <c r="V22" i="173"/>
  <c r="V29" i="173"/>
  <c r="C23" i="160"/>
  <c r="C29" i="153"/>
  <c r="Q25" i="153"/>
  <c r="E31" i="153"/>
  <c r="E23" i="153"/>
  <c r="K9" i="153"/>
  <c r="I36" i="153"/>
  <c r="D34" i="153"/>
  <c r="C24" i="160"/>
  <c r="J18" i="160"/>
  <c r="N35" i="160"/>
  <c r="C37" i="156"/>
  <c r="C11" i="160"/>
  <c r="J32" i="167"/>
  <c r="J25" i="167"/>
  <c r="K36" i="167"/>
  <c r="O29" i="172"/>
  <c r="H37" i="143"/>
  <c r="S31" i="169"/>
  <c r="S8" i="169"/>
  <c r="S11" i="169"/>
  <c r="S29" i="169"/>
  <c r="S8" i="162"/>
  <c r="S28" i="163"/>
  <c r="S32" i="162"/>
  <c r="S26" i="150"/>
  <c r="H36" i="160"/>
  <c r="S11" i="151"/>
  <c r="S7" i="164"/>
  <c r="S11" i="164"/>
  <c r="D16" i="160"/>
  <c r="D34" i="160"/>
  <c r="O9" i="159"/>
  <c r="U32" i="161"/>
  <c r="U13" i="161"/>
  <c r="C37" i="162"/>
  <c r="D23" i="167"/>
  <c r="I36" i="167"/>
  <c r="F36" i="167"/>
  <c r="M16" i="164"/>
  <c r="M11" i="164"/>
  <c r="M23" i="164"/>
  <c r="F27" i="174"/>
  <c r="F15" i="174"/>
  <c r="T29" i="174"/>
  <c r="D19" i="174"/>
  <c r="D11" i="174"/>
  <c r="D21" i="174"/>
  <c r="D33" i="174"/>
  <c r="M8" i="172"/>
  <c r="M28" i="173"/>
  <c r="M15" i="173"/>
  <c r="M17" i="173"/>
  <c r="M35" i="173"/>
  <c r="M16" i="173"/>
  <c r="U10" i="173"/>
  <c r="U25" i="173"/>
  <c r="E13" i="174"/>
  <c r="Q16" i="174"/>
  <c r="D31" i="167"/>
  <c r="C21" i="174"/>
  <c r="D32" i="167"/>
  <c r="D16" i="167"/>
  <c r="D35" i="153"/>
  <c r="D10" i="160"/>
  <c r="U29" i="141"/>
  <c r="U15" i="141"/>
  <c r="U17" i="141"/>
  <c r="V31" i="141"/>
  <c r="V15" i="141"/>
  <c r="V35" i="157"/>
  <c r="V30" i="157"/>
  <c r="V15" i="157"/>
  <c r="V18" i="157"/>
  <c r="V8" i="157"/>
  <c r="V29" i="157"/>
  <c r="O32" i="147"/>
  <c r="C16" i="174"/>
  <c r="D13" i="153"/>
  <c r="C37" i="143"/>
  <c r="G37" i="142"/>
  <c r="H37" i="142"/>
  <c r="V33" i="141"/>
  <c r="V19" i="141"/>
  <c r="V13" i="141"/>
  <c r="V37" i="141"/>
  <c r="J37" i="143"/>
  <c r="C38" i="141"/>
  <c r="C19" i="153"/>
  <c r="C36" i="153"/>
  <c r="F37" i="143"/>
  <c r="D11" i="160"/>
  <c r="H37" i="145"/>
  <c r="V20" i="159"/>
  <c r="V35" i="159"/>
  <c r="V34" i="159"/>
  <c r="V18" i="159"/>
  <c r="D37" i="159"/>
  <c r="P21" i="167"/>
  <c r="C18" i="167"/>
  <c r="I10" i="167"/>
  <c r="I22" i="167"/>
  <c r="I34" i="167"/>
  <c r="D10" i="167"/>
  <c r="V21" i="164"/>
  <c r="V33" i="164"/>
  <c r="V8" i="164"/>
  <c r="V23" i="164"/>
  <c r="V10" i="164"/>
  <c r="V25" i="164"/>
  <c r="S33" i="165"/>
  <c r="S30" i="165"/>
  <c r="S27" i="165"/>
  <c r="S24" i="165"/>
  <c r="S21" i="165"/>
  <c r="S18" i="165"/>
  <c r="S15" i="165"/>
  <c r="S12" i="165"/>
  <c r="S9" i="165"/>
  <c r="S33" i="171"/>
  <c r="S9" i="171"/>
  <c r="S34" i="171"/>
  <c r="S16" i="171"/>
  <c r="V24" i="171"/>
  <c r="V11" i="171"/>
  <c r="V35" i="171"/>
  <c r="V24" i="173"/>
  <c r="V8" i="173"/>
  <c r="V32" i="173"/>
  <c r="V25" i="173"/>
  <c r="U34" i="169"/>
  <c r="U31" i="169"/>
  <c r="U14" i="169"/>
  <c r="U31" i="170"/>
  <c r="U22" i="170"/>
  <c r="U19" i="170"/>
  <c r="O31" i="145"/>
  <c r="O18" i="145"/>
  <c r="O27" i="145"/>
  <c r="O8" i="145"/>
  <c r="O20" i="145"/>
  <c r="O32" i="145"/>
  <c r="O18" i="154"/>
  <c r="O30" i="154"/>
  <c r="O26" i="172"/>
  <c r="O14" i="172"/>
  <c r="O9" i="172"/>
  <c r="O22" i="172"/>
  <c r="O35" i="172"/>
  <c r="O23" i="172"/>
  <c r="O11" i="172"/>
  <c r="O30" i="172"/>
  <c r="O10" i="172"/>
  <c r="O8" i="166"/>
  <c r="O11" i="166"/>
  <c r="O14" i="166"/>
  <c r="O17" i="166"/>
  <c r="O20" i="166"/>
  <c r="O23" i="166"/>
  <c r="O26" i="166"/>
  <c r="O29" i="166"/>
  <c r="O32" i="166"/>
  <c r="M31" i="152"/>
  <c r="M35" i="152"/>
  <c r="M23" i="152"/>
  <c r="M11" i="152"/>
  <c r="M10" i="152"/>
  <c r="M27" i="152"/>
  <c r="M25" i="152"/>
  <c r="M23" i="163"/>
  <c r="M17" i="163"/>
  <c r="M36" i="163"/>
  <c r="M14" i="151"/>
  <c r="M32" i="151"/>
  <c r="M19" i="151"/>
  <c r="M21" i="161"/>
  <c r="M11" i="161"/>
  <c r="M14" i="168"/>
  <c r="M35" i="168"/>
  <c r="M22" i="168"/>
  <c r="V18" i="173"/>
  <c r="S29" i="165"/>
  <c r="S25" i="165"/>
  <c r="S10" i="165"/>
  <c r="S22" i="165"/>
  <c r="S31" i="158"/>
  <c r="S7" i="158"/>
  <c r="V9" i="159"/>
  <c r="S20" i="158"/>
  <c r="S17" i="158"/>
  <c r="S25" i="158"/>
  <c r="S14" i="158"/>
  <c r="S20" i="155"/>
  <c r="S36" i="155"/>
  <c r="V32" i="149"/>
  <c r="S32" i="147"/>
  <c r="S24" i="147"/>
  <c r="S36" i="161"/>
  <c r="S14" i="161"/>
  <c r="S23" i="161"/>
  <c r="S11" i="161"/>
  <c r="S29" i="161"/>
  <c r="S17" i="161"/>
  <c r="S16" i="161"/>
  <c r="S31" i="161"/>
  <c r="S34" i="161"/>
  <c r="S24" i="161"/>
  <c r="S36" i="166"/>
  <c r="S29" i="166"/>
  <c r="S11" i="166"/>
  <c r="S14" i="166"/>
  <c r="S17" i="166"/>
  <c r="S26" i="166"/>
  <c r="S23" i="166"/>
  <c r="S35" i="166"/>
  <c r="S7" i="166"/>
  <c r="S10" i="166"/>
  <c r="S13" i="166"/>
  <c r="S16" i="166"/>
  <c r="S19" i="166"/>
  <c r="S22" i="166"/>
  <c r="S25" i="166"/>
  <c r="S28" i="166"/>
  <c r="S31" i="166"/>
  <c r="S34" i="166"/>
  <c r="S36" i="148"/>
  <c r="S32" i="148"/>
  <c r="S29" i="148"/>
  <c r="S14" i="148"/>
  <c r="S17" i="148"/>
  <c r="S26" i="148"/>
  <c r="S8" i="148"/>
  <c r="S11" i="148"/>
  <c r="S9" i="148"/>
  <c r="S15" i="148"/>
  <c r="S21" i="148"/>
  <c r="S27" i="148"/>
  <c r="S33" i="148"/>
  <c r="S36" i="159"/>
  <c r="S19" i="159"/>
  <c r="S22" i="159"/>
  <c r="S10" i="159"/>
  <c r="S13" i="159"/>
  <c r="S17" i="159"/>
  <c r="S26" i="159"/>
  <c r="S29" i="159"/>
  <c r="S25" i="159"/>
  <c r="S18" i="159"/>
  <c r="S21" i="159"/>
  <c r="S24" i="159"/>
  <c r="S11" i="152"/>
  <c r="S32" i="152"/>
  <c r="S23" i="152"/>
  <c r="S16" i="152"/>
  <c r="S26" i="152"/>
  <c r="S35" i="152"/>
  <c r="S36" i="157"/>
  <c r="S22" i="157"/>
  <c r="S26" i="157"/>
  <c r="S10" i="157"/>
  <c r="S31" i="157"/>
  <c r="S35" i="157"/>
  <c r="S19" i="157"/>
  <c r="S14" i="157"/>
  <c r="S29" i="157"/>
  <c r="D17" i="167"/>
  <c r="D19" i="167"/>
  <c r="D36" i="167"/>
  <c r="D33" i="153"/>
  <c r="D16" i="153"/>
  <c r="S31" i="143"/>
  <c r="S25" i="143"/>
  <c r="S19" i="143"/>
  <c r="S13" i="143"/>
  <c r="S7" i="143"/>
  <c r="O29" i="145"/>
  <c r="O14" i="145"/>
  <c r="O33" i="145"/>
  <c r="O12" i="145"/>
  <c r="J38" i="141"/>
  <c r="I38" i="141"/>
  <c r="S29" i="143"/>
  <c r="S23" i="143"/>
  <c r="S17" i="143"/>
  <c r="S11" i="143"/>
  <c r="D37" i="144"/>
  <c r="O13" i="145"/>
  <c r="N36" i="153"/>
  <c r="N24" i="153"/>
  <c r="J30" i="153"/>
  <c r="Q17" i="153"/>
  <c r="S7" i="147"/>
  <c r="S22" i="147"/>
  <c r="S30" i="147"/>
  <c r="S24" i="148"/>
  <c r="D15" i="153"/>
  <c r="S31" i="148"/>
  <c r="S19" i="148"/>
  <c r="S7" i="148"/>
  <c r="D20" i="153"/>
  <c r="V19" i="149"/>
  <c r="V34" i="149"/>
  <c r="C37" i="150"/>
  <c r="M35" i="151"/>
  <c r="S30" i="152"/>
  <c r="S24" i="152"/>
  <c r="S18" i="152"/>
  <c r="S12" i="152"/>
  <c r="M36" i="152"/>
  <c r="M14" i="152"/>
  <c r="M29" i="152"/>
  <c r="C30" i="160"/>
  <c r="O21" i="154"/>
  <c r="O12" i="154"/>
  <c r="C9" i="160"/>
  <c r="H30" i="160"/>
  <c r="H12" i="160"/>
  <c r="K18" i="160"/>
  <c r="I17" i="160"/>
  <c r="V33" i="154"/>
  <c r="K15" i="160"/>
  <c r="V20" i="154"/>
  <c r="V35" i="154"/>
  <c r="I33" i="160"/>
  <c r="S33" i="155"/>
  <c r="S27" i="155"/>
  <c r="S21" i="155"/>
  <c r="S15" i="155"/>
  <c r="S9" i="155"/>
  <c r="D37" i="156"/>
  <c r="U22" i="156"/>
  <c r="V21" i="156"/>
  <c r="V20" i="156"/>
  <c r="V7" i="156"/>
  <c r="S33" i="157"/>
  <c r="S27" i="157"/>
  <c r="S21" i="157"/>
  <c r="S21" i="160" s="1"/>
  <c r="S15" i="157"/>
  <c r="S9" i="157"/>
  <c r="P36" i="160"/>
  <c r="S33" i="158"/>
  <c r="S27" i="158"/>
  <c r="S21" i="158"/>
  <c r="S15" i="158"/>
  <c r="S15" i="159"/>
  <c r="V8" i="159"/>
  <c r="V23" i="159"/>
  <c r="V22" i="159"/>
  <c r="V13" i="159"/>
  <c r="C32" i="167"/>
  <c r="S27" i="161"/>
  <c r="C23" i="167"/>
  <c r="G12" i="167"/>
  <c r="D33" i="167"/>
  <c r="D27" i="167"/>
  <c r="D21" i="167"/>
  <c r="D15" i="167"/>
  <c r="D9" i="167"/>
  <c r="C33" i="167"/>
  <c r="C12" i="167"/>
  <c r="S7" i="161"/>
  <c r="M15" i="161"/>
  <c r="V11" i="161"/>
  <c r="V26" i="161"/>
  <c r="V13" i="161"/>
  <c r="V13" i="167" s="1"/>
  <c r="V28" i="161"/>
  <c r="J14" i="167"/>
  <c r="J26" i="167"/>
  <c r="J7" i="167"/>
  <c r="J19" i="167"/>
  <c r="J31" i="167"/>
  <c r="I27" i="167"/>
  <c r="O26" i="162"/>
  <c r="D28" i="167"/>
  <c r="V24" i="163"/>
  <c r="V7" i="163"/>
  <c r="V25" i="163"/>
  <c r="V8" i="163"/>
  <c r="V11" i="164"/>
  <c r="V29" i="164"/>
  <c r="V13" i="164"/>
  <c r="S27" i="166"/>
  <c r="S15" i="166"/>
  <c r="O33" i="166"/>
  <c r="O21" i="166"/>
  <c r="O9" i="166"/>
  <c r="F33" i="174"/>
  <c r="F21" i="174"/>
  <c r="E30" i="174"/>
  <c r="E24" i="174"/>
  <c r="E18" i="174"/>
  <c r="M36" i="168"/>
  <c r="C14" i="174"/>
  <c r="C26" i="174"/>
  <c r="C37" i="169"/>
  <c r="S15" i="171"/>
  <c r="V12" i="171"/>
  <c r="O21" i="172"/>
  <c r="D37" i="172"/>
  <c r="O8" i="172"/>
  <c r="O32" i="172"/>
  <c r="V17" i="173"/>
  <c r="V10" i="173"/>
  <c r="V34" i="173"/>
  <c r="U9" i="145"/>
  <c r="U27" i="145"/>
  <c r="U14" i="145"/>
  <c r="U32" i="145"/>
  <c r="U13" i="145"/>
  <c r="U28" i="145"/>
  <c r="U25" i="157"/>
  <c r="U13" i="157"/>
  <c r="U13" i="162"/>
  <c r="U29" i="162"/>
  <c r="U11" i="162"/>
  <c r="O9" i="148"/>
  <c r="O12" i="148"/>
  <c r="O15" i="148"/>
  <c r="O18" i="148"/>
  <c r="O21" i="148"/>
  <c r="O24" i="148"/>
  <c r="O27" i="148"/>
  <c r="O30" i="148"/>
  <c r="O33" i="148"/>
  <c r="O12" i="156"/>
  <c r="O24" i="156"/>
  <c r="O18" i="164"/>
  <c r="O33" i="164"/>
  <c r="O8" i="164"/>
  <c r="O9" i="165"/>
  <c r="O15" i="165"/>
  <c r="O21" i="165"/>
  <c r="O27" i="165"/>
  <c r="O33" i="165"/>
  <c r="M26" i="158"/>
  <c r="M32" i="158"/>
  <c r="M11" i="158"/>
  <c r="M29" i="148"/>
  <c r="M17" i="148"/>
  <c r="M33" i="148"/>
  <c r="M35" i="156"/>
  <c r="M23" i="156"/>
  <c r="M11" i="156"/>
  <c r="M36" i="156"/>
  <c r="M21" i="156"/>
  <c r="M29" i="165"/>
  <c r="M17" i="165"/>
  <c r="M27" i="165"/>
  <c r="M33" i="165"/>
  <c r="M36" i="165"/>
  <c r="M29" i="171"/>
  <c r="M16" i="171"/>
  <c r="M14" i="171"/>
  <c r="M26" i="169"/>
  <c r="M17" i="169"/>
  <c r="M31" i="169"/>
  <c r="M16" i="169"/>
  <c r="M12" i="169"/>
  <c r="M35" i="169"/>
  <c r="M11" i="169"/>
  <c r="M18" i="169"/>
  <c r="V15" i="173"/>
  <c r="E36" i="174"/>
  <c r="S32" i="166"/>
  <c r="V33" i="161"/>
  <c r="V33" i="167" s="1"/>
  <c r="V30" i="161"/>
  <c r="J24" i="167"/>
  <c r="V15" i="161"/>
  <c r="S26" i="161"/>
  <c r="S26" i="167" s="1"/>
  <c r="S16" i="159"/>
  <c r="S11" i="159"/>
  <c r="S35" i="159"/>
  <c r="S11" i="147"/>
  <c r="Q7" i="153"/>
  <c r="E11" i="160"/>
  <c r="S34" i="152"/>
  <c r="S29" i="152"/>
  <c r="S25" i="152"/>
  <c r="S17" i="152"/>
  <c r="S23" i="148"/>
  <c r="S20" i="148"/>
  <c r="S29" i="147"/>
  <c r="D22" i="174"/>
  <c r="D32" i="174"/>
  <c r="D8" i="167"/>
  <c r="C25" i="160"/>
  <c r="C13" i="160"/>
  <c r="C22" i="174"/>
  <c r="D10" i="153"/>
  <c r="D8" i="174"/>
  <c r="D26" i="160"/>
  <c r="C10" i="167"/>
  <c r="C25" i="167"/>
  <c r="C22" i="167"/>
  <c r="C14" i="160"/>
  <c r="D35" i="160"/>
  <c r="D13" i="160"/>
  <c r="D25" i="160"/>
  <c r="D36" i="160"/>
  <c r="C25" i="153"/>
  <c r="C8" i="153"/>
  <c r="D37" i="147"/>
  <c r="D8" i="153"/>
  <c r="D37" i="152"/>
  <c r="S28" i="165"/>
  <c r="S20" i="165"/>
  <c r="S19" i="165"/>
  <c r="S17" i="165"/>
  <c r="S34" i="165"/>
  <c r="S14" i="165"/>
  <c r="S16" i="165"/>
  <c r="S26" i="165"/>
  <c r="S11" i="165"/>
  <c r="S32" i="165"/>
  <c r="S23" i="165"/>
  <c r="S31" i="165"/>
  <c r="S36" i="158"/>
  <c r="S13" i="158"/>
  <c r="S23" i="158"/>
  <c r="S10" i="158"/>
  <c r="S28" i="158"/>
  <c r="S22" i="158"/>
  <c r="S26" i="158"/>
  <c r="S8" i="158"/>
  <c r="S34" i="158"/>
  <c r="S32" i="171"/>
  <c r="S35" i="171"/>
  <c r="S10" i="171"/>
  <c r="S13" i="171"/>
  <c r="S28" i="171"/>
  <c r="S31" i="171"/>
  <c r="S11" i="171"/>
  <c r="S23" i="171"/>
  <c r="S7" i="171"/>
  <c r="S25" i="171"/>
  <c r="S12" i="171"/>
  <c r="S18" i="171"/>
  <c r="S24" i="171"/>
  <c r="S30" i="171"/>
  <c r="S20" i="147"/>
  <c r="S14" i="147"/>
  <c r="S18" i="147"/>
  <c r="S21" i="147"/>
  <c r="S35" i="147"/>
  <c r="S27" i="147"/>
  <c r="S27" i="153" s="1"/>
  <c r="S17" i="147"/>
  <c r="S23" i="147"/>
  <c r="S15" i="147"/>
  <c r="S9" i="147"/>
  <c r="S33" i="147"/>
  <c r="S28" i="147"/>
  <c r="S16" i="147"/>
  <c r="S11" i="155"/>
  <c r="S17" i="155"/>
  <c r="S29" i="155"/>
  <c r="S8" i="155"/>
  <c r="S14" i="155"/>
  <c r="S26" i="155"/>
  <c r="D34" i="167"/>
  <c r="D28" i="153"/>
  <c r="D21" i="153"/>
  <c r="V24" i="164"/>
  <c r="V36" i="164"/>
  <c r="V18" i="164"/>
  <c r="V9" i="164"/>
  <c r="V27" i="164"/>
  <c r="V31" i="164"/>
  <c r="V19" i="164"/>
  <c r="V7" i="164"/>
  <c r="V26" i="164"/>
  <c r="V14" i="164"/>
  <c r="V15" i="164"/>
  <c r="C23" i="153"/>
  <c r="I37" i="143"/>
  <c r="C17" i="153"/>
  <c r="V18" i="171"/>
  <c r="V9" i="171"/>
  <c r="V27" i="171"/>
  <c r="V22" i="171"/>
  <c r="V34" i="171"/>
  <c r="V19" i="171"/>
  <c r="V15" i="171"/>
  <c r="V32" i="171"/>
  <c r="V20" i="171"/>
  <c r="V8" i="171"/>
  <c r="V25" i="171"/>
  <c r="V28" i="171"/>
  <c r="V33" i="171"/>
  <c r="V10" i="171"/>
  <c r="V29" i="171"/>
  <c r="V17" i="171"/>
  <c r="D19" i="160"/>
  <c r="V14" i="149"/>
  <c r="V9" i="149"/>
  <c r="V35" i="149"/>
  <c r="V18" i="149"/>
  <c r="V25" i="149"/>
  <c r="V13" i="149"/>
  <c r="V11" i="149"/>
  <c r="V33" i="149"/>
  <c r="V29" i="149"/>
  <c r="V30" i="159"/>
  <c r="V33" i="159"/>
  <c r="V21" i="159"/>
  <c r="V25" i="159"/>
  <c r="V29" i="159"/>
  <c r="V17" i="159"/>
  <c r="V16" i="159"/>
  <c r="V36" i="173"/>
  <c r="V9" i="173"/>
  <c r="V27" i="173"/>
  <c r="V31" i="173"/>
  <c r="V19" i="173"/>
  <c r="V7" i="173"/>
  <c r="V26" i="173"/>
  <c r="V14" i="173"/>
  <c r="V33" i="173"/>
  <c r="V12" i="173"/>
  <c r="V30" i="173"/>
  <c r="V28" i="173"/>
  <c r="V16" i="173"/>
  <c r="V35" i="173"/>
  <c r="V23" i="173"/>
  <c r="V11" i="173"/>
  <c r="C13" i="153"/>
  <c r="D37" i="142"/>
  <c r="S19" i="147"/>
  <c r="S34" i="147"/>
  <c r="E14" i="153"/>
  <c r="E26" i="153"/>
  <c r="Q36" i="153"/>
  <c r="E20" i="153"/>
  <c r="D29" i="153"/>
  <c r="V12" i="149"/>
  <c r="V16" i="149"/>
  <c r="V31" i="149"/>
  <c r="D33" i="160"/>
  <c r="D21" i="160"/>
  <c r="D15" i="160"/>
  <c r="C18" i="160"/>
  <c r="N33" i="160"/>
  <c r="K24" i="160"/>
  <c r="D32" i="160"/>
  <c r="C16" i="167"/>
  <c r="C14" i="167"/>
  <c r="C19" i="167"/>
  <c r="V28" i="156"/>
  <c r="V16" i="156"/>
  <c r="V35" i="156"/>
  <c r="V23" i="156"/>
  <c r="V11" i="156"/>
  <c r="V15" i="156"/>
  <c r="D17" i="160"/>
  <c r="D22" i="160"/>
  <c r="V18" i="154"/>
  <c r="V27" i="154"/>
  <c r="V36" i="154"/>
  <c r="V9" i="154"/>
  <c r="V34" i="154"/>
  <c r="V22" i="154"/>
  <c r="V10" i="154"/>
  <c r="V29" i="154"/>
  <c r="V17" i="154"/>
  <c r="V21" i="154"/>
  <c r="V24" i="154"/>
  <c r="V24" i="161"/>
  <c r="V18" i="161"/>
  <c r="V21" i="161"/>
  <c r="V36" i="161"/>
  <c r="V12" i="161"/>
  <c r="V34" i="161"/>
  <c r="V22" i="161"/>
  <c r="V10" i="161"/>
  <c r="V29" i="161"/>
  <c r="V17" i="161"/>
  <c r="V35" i="163"/>
  <c r="V32" i="163"/>
  <c r="V34" i="163"/>
  <c r="V22" i="163"/>
  <c r="V10" i="163"/>
  <c r="V20" i="163"/>
  <c r="V30" i="163"/>
  <c r="S33" i="143"/>
  <c r="S27" i="143"/>
  <c r="S21" i="143"/>
  <c r="S15" i="143"/>
  <c r="S9" i="143"/>
  <c r="O26" i="145"/>
  <c r="O11" i="145"/>
  <c r="O30" i="145"/>
  <c r="O21" i="145"/>
  <c r="F37" i="142"/>
  <c r="K37" i="142"/>
  <c r="D37" i="143"/>
  <c r="O19" i="145"/>
  <c r="O35" i="145"/>
  <c r="O16" i="145"/>
  <c r="C30" i="153"/>
  <c r="C24" i="153"/>
  <c r="C18" i="153"/>
  <c r="C12" i="153"/>
  <c r="G26" i="153"/>
  <c r="S10" i="147"/>
  <c r="S25" i="147"/>
  <c r="S36" i="147"/>
  <c r="G16" i="153"/>
  <c r="G28" i="153"/>
  <c r="E29" i="153"/>
  <c r="K12" i="153"/>
  <c r="Q13" i="153"/>
  <c r="E19" i="153"/>
  <c r="E22" i="153"/>
  <c r="D26" i="153"/>
  <c r="S30" i="148"/>
  <c r="S34" i="148"/>
  <c r="S22" i="148"/>
  <c r="S10" i="148"/>
  <c r="V36" i="149"/>
  <c r="V26" i="149"/>
  <c r="V30" i="149"/>
  <c r="V27" i="149"/>
  <c r="V24" i="149"/>
  <c r="V17" i="149"/>
  <c r="V7" i="149"/>
  <c r="V22" i="149"/>
  <c r="M34" i="152"/>
  <c r="M16" i="152"/>
  <c r="M28" i="152"/>
  <c r="M17" i="152"/>
  <c r="M32" i="152"/>
  <c r="M30" i="152"/>
  <c r="Q27" i="160"/>
  <c r="Q15" i="160"/>
  <c r="D30" i="160"/>
  <c r="D24" i="160"/>
  <c r="D18" i="160"/>
  <c r="D12" i="160"/>
  <c r="O33" i="154"/>
  <c r="O24" i="154"/>
  <c r="C21" i="160"/>
  <c r="O15" i="154"/>
  <c r="C12" i="160"/>
  <c r="I8" i="160"/>
  <c r="V8" i="154"/>
  <c r="V23" i="154"/>
  <c r="V7" i="154"/>
  <c r="V25" i="154"/>
  <c r="J11" i="160"/>
  <c r="J23" i="160"/>
  <c r="J35" i="160"/>
  <c r="J16" i="160"/>
  <c r="J28" i="160"/>
  <c r="H24" i="160"/>
  <c r="S34" i="155"/>
  <c r="S31" i="155"/>
  <c r="S28" i="155"/>
  <c r="S25" i="155"/>
  <c r="S22" i="155"/>
  <c r="S19" i="155"/>
  <c r="S16" i="155"/>
  <c r="S13" i="155"/>
  <c r="S10" i="155"/>
  <c r="S7" i="155"/>
  <c r="L13" i="160"/>
  <c r="V36" i="156"/>
  <c r="V8" i="156"/>
  <c r="V26" i="156"/>
  <c r="V10" i="156"/>
  <c r="V25" i="156"/>
  <c r="D37" i="157"/>
  <c r="S30" i="159"/>
  <c r="S27" i="159"/>
  <c r="V11" i="159"/>
  <c r="V26" i="159"/>
  <c r="V28" i="159"/>
  <c r="S30" i="161"/>
  <c r="S21" i="161"/>
  <c r="S15" i="161"/>
  <c r="S9" i="161"/>
  <c r="F30" i="167"/>
  <c r="F24" i="167"/>
  <c r="F18" i="167"/>
  <c r="F12" i="167"/>
  <c r="Q33" i="167"/>
  <c r="Q27" i="167"/>
  <c r="Q21" i="167"/>
  <c r="Q15" i="167"/>
  <c r="P30" i="167"/>
  <c r="P24" i="167"/>
  <c r="P18" i="167"/>
  <c r="P12" i="167"/>
  <c r="C36" i="167"/>
  <c r="C27" i="167"/>
  <c r="C24" i="167"/>
  <c r="S19" i="161"/>
  <c r="C15" i="167"/>
  <c r="S10" i="161"/>
  <c r="S10" i="167" s="1"/>
  <c r="M33" i="161"/>
  <c r="T32" i="167"/>
  <c r="T21" i="167"/>
  <c r="V14" i="161"/>
  <c r="V32" i="161"/>
  <c r="V16" i="161"/>
  <c r="V31" i="161"/>
  <c r="V9" i="161"/>
  <c r="O19" i="162"/>
  <c r="O8" i="162"/>
  <c r="O29" i="162"/>
  <c r="V33" i="163"/>
  <c r="V23" i="163"/>
  <c r="M10" i="163"/>
  <c r="V27" i="163"/>
  <c r="V13" i="163"/>
  <c r="V28" i="163"/>
  <c r="M34" i="163"/>
  <c r="V11" i="163"/>
  <c r="V15" i="163"/>
  <c r="M14" i="163"/>
  <c r="V17" i="164"/>
  <c r="V32" i="164"/>
  <c r="V16" i="164"/>
  <c r="V34" i="164"/>
  <c r="S30" i="166"/>
  <c r="S18" i="166"/>
  <c r="O36" i="166"/>
  <c r="O24" i="166"/>
  <c r="O12" i="166"/>
  <c r="C37" i="166"/>
  <c r="D20" i="174"/>
  <c r="C36" i="174"/>
  <c r="C27" i="174"/>
  <c r="D18" i="174"/>
  <c r="M12" i="168"/>
  <c r="D10" i="174"/>
  <c r="D14" i="174"/>
  <c r="D25" i="174"/>
  <c r="C9" i="174"/>
  <c r="D24" i="174"/>
  <c r="D36" i="174"/>
  <c r="C17" i="174"/>
  <c r="C29" i="174"/>
  <c r="M23" i="168"/>
  <c r="M22" i="169"/>
  <c r="M36" i="169"/>
  <c r="M9" i="169"/>
  <c r="U7" i="170"/>
  <c r="S21" i="171"/>
  <c r="S22" i="171"/>
  <c r="V36" i="171"/>
  <c r="V13" i="171"/>
  <c r="V21" i="171"/>
  <c r="V23" i="171"/>
  <c r="O17" i="172"/>
  <c r="D37" i="173"/>
  <c r="V20" i="173"/>
  <c r="V13" i="173"/>
  <c r="S13" i="165"/>
  <c r="V21" i="163"/>
  <c r="S35" i="161"/>
  <c r="H26" i="167"/>
  <c r="S28" i="157"/>
  <c r="S8" i="157"/>
  <c r="V36" i="159"/>
  <c r="S19" i="158"/>
  <c r="S16" i="158"/>
  <c r="S11" i="158"/>
  <c r="S16" i="157"/>
  <c r="V27" i="159"/>
  <c r="V24" i="159"/>
  <c r="S29" i="158"/>
  <c r="S23" i="157"/>
  <c r="V12" i="159"/>
  <c r="V7" i="159"/>
  <c r="S25" i="157"/>
  <c r="F31" i="153"/>
  <c r="G20" i="153"/>
  <c r="E17" i="153"/>
  <c r="S32" i="155"/>
  <c r="S12" i="147"/>
  <c r="S8" i="147"/>
  <c r="V8" i="149"/>
  <c r="S35" i="148"/>
  <c r="V30" i="171"/>
  <c r="D31" i="174"/>
  <c r="D35" i="167"/>
  <c r="C34" i="160"/>
  <c r="C22" i="160"/>
  <c r="C10" i="160"/>
  <c r="C35" i="153"/>
  <c r="C15" i="174"/>
  <c r="D23" i="160"/>
  <c r="V36" i="148"/>
  <c r="V27" i="148"/>
  <c r="V31" i="148"/>
  <c r="V19" i="148"/>
  <c r="V7" i="148"/>
  <c r="V29" i="148"/>
  <c r="V17" i="148"/>
  <c r="V24" i="148"/>
  <c r="V21" i="148"/>
  <c r="V33" i="148"/>
  <c r="V12" i="148"/>
  <c r="V34" i="143"/>
  <c r="V27" i="143"/>
  <c r="V15" i="143"/>
  <c r="V8" i="143"/>
  <c r="V20" i="143"/>
  <c r="V32" i="143"/>
  <c r="V18" i="143"/>
  <c r="D8" i="160"/>
  <c r="C14" i="153"/>
  <c r="C10" i="153"/>
  <c r="C34" i="153"/>
  <c r="C37" i="144"/>
  <c r="C35" i="160"/>
  <c r="B5" i="176"/>
  <c r="C33" i="153"/>
  <c r="C27" i="153"/>
  <c r="C21" i="153"/>
  <c r="C15" i="153"/>
  <c r="C37" i="147"/>
  <c r="C9" i="153"/>
  <c r="N27" i="153"/>
  <c r="Q11" i="153"/>
  <c r="I10" i="153"/>
  <c r="J24" i="153"/>
  <c r="J12" i="153"/>
  <c r="Q10" i="153"/>
  <c r="Q34" i="153"/>
  <c r="Q31" i="153"/>
  <c r="E13" i="153"/>
  <c r="E16" i="153"/>
  <c r="E34" i="153"/>
  <c r="J36" i="153"/>
  <c r="D27" i="153"/>
  <c r="I12" i="153"/>
  <c r="H18" i="153"/>
  <c r="E35" i="153"/>
  <c r="K15" i="153"/>
  <c r="J26" i="153"/>
  <c r="I26" i="153"/>
  <c r="L26" i="153"/>
  <c r="P30" i="160"/>
  <c r="P18" i="160"/>
  <c r="P12" i="160"/>
  <c r="C27" i="160"/>
  <c r="C15" i="160"/>
  <c r="N36" i="160"/>
  <c r="K36" i="160"/>
  <c r="I16" i="160"/>
  <c r="I28" i="160"/>
  <c r="I11" i="160"/>
  <c r="I23" i="160"/>
  <c r="I35" i="160"/>
  <c r="I27" i="160"/>
  <c r="I9" i="160"/>
  <c r="K17" i="160"/>
  <c r="K29" i="160"/>
  <c r="T25" i="160"/>
  <c r="T23" i="160"/>
  <c r="L23" i="160"/>
  <c r="L35" i="160"/>
  <c r="C29" i="167"/>
  <c r="G21" i="167"/>
  <c r="D30" i="167"/>
  <c r="D24" i="167"/>
  <c r="D18" i="167"/>
  <c r="D37" i="161"/>
  <c r="D12" i="167"/>
  <c r="C21" i="167"/>
  <c r="C9" i="167"/>
  <c r="L25" i="167"/>
  <c r="K18" i="167"/>
  <c r="D29" i="174"/>
  <c r="D35" i="174"/>
  <c r="C34" i="174"/>
  <c r="C25" i="174"/>
  <c r="D12" i="174"/>
  <c r="D27" i="174"/>
  <c r="C12" i="174"/>
  <c r="C8" i="174"/>
  <c r="C20" i="174"/>
  <c r="C32" i="174"/>
  <c r="P16" i="174"/>
  <c r="G23" i="153"/>
  <c r="D16" i="174"/>
  <c r="D14" i="167"/>
  <c r="C31" i="160"/>
  <c r="C19" i="160"/>
  <c r="C7" i="160"/>
  <c r="D25" i="167"/>
  <c r="D22" i="167"/>
  <c r="D30" i="153"/>
  <c r="D11" i="153"/>
  <c r="C17" i="167"/>
  <c r="D14" i="160"/>
  <c r="C8" i="167"/>
  <c r="C20" i="167"/>
  <c r="C34" i="167"/>
  <c r="C32" i="153"/>
  <c r="C28" i="153"/>
  <c r="C22" i="153"/>
  <c r="D29" i="160"/>
  <c r="V9" i="152"/>
  <c r="V17" i="152"/>
  <c r="V11" i="152"/>
  <c r="V11" i="153" s="1"/>
  <c r="E12" i="174"/>
  <c r="D28" i="174"/>
  <c r="C28" i="174"/>
  <c r="C19" i="174"/>
  <c r="C18" i="174"/>
  <c r="C10" i="174"/>
  <c r="D34" i="174"/>
  <c r="D37" i="168"/>
  <c r="D9" i="174"/>
  <c r="C33" i="174"/>
  <c r="C24" i="174"/>
  <c r="D13" i="174"/>
  <c r="D17" i="174"/>
  <c r="L7" i="174"/>
  <c r="N10" i="174"/>
  <c r="D30" i="174"/>
  <c r="C11" i="174"/>
  <c r="C23" i="174"/>
  <c r="C35" i="174"/>
  <c r="D37" i="169"/>
  <c r="D37" i="170"/>
  <c r="O21" i="171"/>
  <c r="C37" i="172"/>
  <c r="J33" i="174"/>
  <c r="M9" i="172"/>
  <c r="M26" i="172"/>
  <c r="M36" i="173"/>
  <c r="K8" i="174"/>
  <c r="M9" i="173"/>
  <c r="M7" i="173"/>
  <c r="M10" i="173"/>
  <c r="M20" i="173"/>
  <c r="M32" i="173"/>
  <c r="U7" i="173"/>
  <c r="U19" i="173"/>
  <c r="CN5" i="176"/>
  <c r="Q13" i="160"/>
  <c r="S31" i="150"/>
  <c r="S35" i="151"/>
  <c r="S32" i="151"/>
  <c r="S25" i="150"/>
  <c r="S34" i="150"/>
  <c r="E8" i="174"/>
  <c r="G8" i="174"/>
  <c r="F37" i="145"/>
  <c r="D7" i="174"/>
  <c r="D23" i="174"/>
  <c r="D11" i="167"/>
  <c r="C28" i="160"/>
  <c r="C16" i="160"/>
  <c r="D29" i="167"/>
  <c r="D26" i="167"/>
  <c r="D31" i="153"/>
  <c r="D19" i="153"/>
  <c r="D7" i="153"/>
  <c r="D23" i="153"/>
  <c r="D9" i="153"/>
  <c r="V36" i="145"/>
  <c r="V34" i="145"/>
  <c r="V12" i="142"/>
  <c r="V36" i="142"/>
  <c r="V20" i="142"/>
  <c r="V27" i="142"/>
  <c r="V15" i="142"/>
  <c r="V33" i="142"/>
  <c r="C11" i="167"/>
  <c r="C28" i="167"/>
  <c r="C31" i="167"/>
  <c r="C26" i="153"/>
  <c r="C11" i="153"/>
  <c r="C7" i="153"/>
  <c r="C31" i="153"/>
  <c r="K38" i="141"/>
  <c r="S36" i="149"/>
  <c r="S11" i="149"/>
  <c r="S29" i="149"/>
  <c r="S26" i="149"/>
  <c r="S14" i="149"/>
  <c r="S17" i="149"/>
  <c r="S20" i="149"/>
  <c r="S32" i="149"/>
  <c r="S35" i="149"/>
  <c r="S23" i="149"/>
  <c r="S36" i="164"/>
  <c r="S16" i="164"/>
  <c r="S26" i="164"/>
  <c r="S8" i="164"/>
  <c r="S22" i="164"/>
  <c r="S10" i="164"/>
  <c r="S14" i="164"/>
  <c r="S19" i="164"/>
  <c r="S23" i="164"/>
  <c r="S34" i="164"/>
  <c r="S15" i="164"/>
  <c r="S18" i="164"/>
  <c r="S18" i="167" s="1"/>
  <c r="S33" i="164"/>
  <c r="S33" i="167" s="1"/>
  <c r="S13" i="164"/>
  <c r="S35" i="164"/>
  <c r="S17" i="164"/>
  <c r="S28" i="164"/>
  <c r="S31" i="164"/>
  <c r="S12" i="164"/>
  <c r="S30" i="164"/>
  <c r="S29" i="164"/>
  <c r="S25" i="164"/>
  <c r="S9" i="164"/>
  <c r="S24" i="164"/>
  <c r="S27" i="164"/>
  <c r="S36" i="172"/>
  <c r="S34" i="172"/>
  <c r="S16" i="172"/>
  <c r="S7" i="172"/>
  <c r="S22" i="172"/>
  <c r="S19" i="172"/>
  <c r="S8" i="172"/>
  <c r="S17" i="172"/>
  <c r="S25" i="172"/>
  <c r="S32" i="172"/>
  <c r="S23" i="172"/>
  <c r="S12" i="172"/>
  <c r="S18" i="172"/>
  <c r="S24" i="172"/>
  <c r="S30" i="172"/>
  <c r="S10" i="172"/>
  <c r="S13" i="172"/>
  <c r="S35" i="172"/>
  <c r="S26" i="172"/>
  <c r="S31" i="172"/>
  <c r="S14" i="172"/>
  <c r="S29" i="172"/>
  <c r="S11" i="172"/>
  <c r="S20" i="172"/>
  <c r="S9" i="172"/>
  <c r="S15" i="172"/>
  <c r="S21" i="172"/>
  <c r="S27" i="172"/>
  <c r="S33" i="172"/>
  <c r="S36" i="156"/>
  <c r="S26" i="156"/>
  <c r="S32" i="156"/>
  <c r="S17" i="156"/>
  <c r="S35" i="156"/>
  <c r="S14" i="156"/>
  <c r="S29" i="156"/>
  <c r="S7" i="156"/>
  <c r="S10" i="156"/>
  <c r="S13" i="156"/>
  <c r="S16" i="156"/>
  <c r="S19" i="156"/>
  <c r="S22" i="156"/>
  <c r="S25" i="156"/>
  <c r="S28" i="156"/>
  <c r="S31" i="156"/>
  <c r="S34" i="156"/>
  <c r="S9" i="156"/>
  <c r="S15" i="156"/>
  <c r="S21" i="156"/>
  <c r="S27" i="156"/>
  <c r="S33" i="156"/>
  <c r="S8" i="156"/>
  <c r="S11" i="156"/>
  <c r="S20" i="156"/>
  <c r="S11" i="170"/>
  <c r="S13" i="170"/>
  <c r="S34" i="170"/>
  <c r="S29" i="170"/>
  <c r="S25" i="170"/>
  <c r="S17" i="170"/>
  <c r="S9" i="170"/>
  <c r="S15" i="170"/>
  <c r="S21" i="170"/>
  <c r="S27" i="170"/>
  <c r="S33" i="170"/>
  <c r="S31" i="170"/>
  <c r="S26" i="170"/>
  <c r="S22" i="170"/>
  <c r="S10" i="170"/>
  <c r="S19" i="170"/>
  <c r="S8" i="170"/>
  <c r="S7" i="170"/>
  <c r="S36" i="170"/>
  <c r="S28" i="170"/>
  <c r="S20" i="170"/>
  <c r="S14" i="170"/>
  <c r="S12" i="170"/>
  <c r="S18" i="170"/>
  <c r="S24" i="170"/>
  <c r="S30" i="170"/>
  <c r="S32" i="145"/>
  <c r="S26" i="145"/>
  <c r="S23" i="145"/>
  <c r="S14" i="145"/>
  <c r="S11" i="145"/>
  <c r="S36" i="145"/>
  <c r="S29" i="145"/>
  <c r="S20" i="145"/>
  <c r="S35" i="145"/>
  <c r="S17" i="145"/>
  <c r="S8" i="145"/>
  <c r="S36" i="154"/>
  <c r="S17" i="154"/>
  <c r="S8" i="154"/>
  <c r="S14" i="154"/>
  <c r="S11" i="154"/>
  <c r="S32" i="154"/>
  <c r="S35" i="154"/>
  <c r="S29" i="154"/>
  <c r="S36" i="173"/>
  <c r="S8" i="173"/>
  <c r="S35" i="173"/>
  <c r="S17" i="173"/>
  <c r="S20" i="173"/>
  <c r="S26" i="173"/>
  <c r="S16" i="173"/>
  <c r="S28" i="173"/>
  <c r="S12" i="173"/>
  <c r="S18" i="173"/>
  <c r="S24" i="173"/>
  <c r="S30" i="173"/>
  <c r="S32" i="173"/>
  <c r="S13" i="173"/>
  <c r="S25" i="173"/>
  <c r="S14" i="173"/>
  <c r="S29" i="173"/>
  <c r="S10" i="173"/>
  <c r="S22" i="173"/>
  <c r="S34" i="173"/>
  <c r="S9" i="173"/>
  <c r="S15" i="173"/>
  <c r="S21" i="173"/>
  <c r="S27" i="173"/>
  <c r="S33" i="173"/>
  <c r="S30" i="145"/>
  <c r="S24" i="145"/>
  <c r="S18" i="145"/>
  <c r="S12" i="145"/>
  <c r="I37" i="145"/>
  <c r="J37" i="145"/>
  <c r="N32" i="153"/>
  <c r="N26" i="153"/>
  <c r="N20" i="153"/>
  <c r="N14" i="153"/>
  <c r="N9" i="153"/>
  <c r="K23" i="153"/>
  <c r="K35" i="153"/>
  <c r="G7" i="153"/>
  <c r="G19" i="153"/>
  <c r="G31" i="153"/>
  <c r="J21" i="153"/>
  <c r="I33" i="153"/>
  <c r="Q33" i="153"/>
  <c r="I18" i="153"/>
  <c r="Q9" i="153"/>
  <c r="L9" i="153"/>
  <c r="J8" i="153"/>
  <c r="J20" i="153"/>
  <c r="J32" i="153"/>
  <c r="Q15" i="153"/>
  <c r="L28" i="153"/>
  <c r="N21" i="160"/>
  <c r="N9" i="160"/>
  <c r="J36" i="160"/>
  <c r="S18" i="156"/>
  <c r="P36" i="167"/>
  <c r="S21" i="164"/>
  <c r="U12" i="164"/>
  <c r="S31" i="173"/>
  <c r="S28" i="172"/>
  <c r="Q7" i="174"/>
  <c r="S20" i="164"/>
  <c r="S23" i="154"/>
  <c r="S8" i="149"/>
  <c r="S31" i="145"/>
  <c r="S25" i="145"/>
  <c r="S19" i="145"/>
  <c r="S13" i="145"/>
  <c r="S7" i="145"/>
  <c r="N30" i="153"/>
  <c r="I30" i="153"/>
  <c r="G8" i="153"/>
  <c r="G10" i="153"/>
  <c r="G22" i="153"/>
  <c r="G34" i="153"/>
  <c r="E10" i="153"/>
  <c r="Q8" i="153"/>
  <c r="N35" i="153"/>
  <c r="L27" i="153"/>
  <c r="S33" i="149"/>
  <c r="S27" i="149"/>
  <c r="S21" i="149"/>
  <c r="S15" i="149"/>
  <c r="S9" i="149"/>
  <c r="P36" i="153"/>
  <c r="S30" i="154"/>
  <c r="S24" i="154"/>
  <c r="S18" i="154"/>
  <c r="S12" i="154"/>
  <c r="S12" i="160" s="1"/>
  <c r="F33" i="160"/>
  <c r="F21" i="160"/>
  <c r="Q24" i="160"/>
  <c r="Q12" i="160"/>
  <c r="P24" i="160"/>
  <c r="S34" i="154"/>
  <c r="S31" i="154"/>
  <c r="S28" i="154"/>
  <c r="S25" i="154"/>
  <c r="S22" i="154"/>
  <c r="S19" i="154"/>
  <c r="S16" i="154"/>
  <c r="S13" i="154"/>
  <c r="S10" i="154"/>
  <c r="S7" i="154"/>
  <c r="I10" i="160"/>
  <c r="I22" i="160"/>
  <c r="I34" i="160"/>
  <c r="I29" i="160"/>
  <c r="S24" i="156"/>
  <c r="G22" i="167"/>
  <c r="G10" i="167"/>
  <c r="N21" i="167"/>
  <c r="L15" i="167"/>
  <c r="H15" i="167"/>
  <c r="S19" i="173"/>
  <c r="S23" i="173"/>
  <c r="I8" i="174"/>
  <c r="S32" i="170"/>
  <c r="S32" i="164"/>
  <c r="E8" i="160"/>
  <c r="S33" i="145"/>
  <c r="S27" i="145"/>
  <c r="S21" i="145"/>
  <c r="S15" i="145"/>
  <c r="S9" i="145"/>
  <c r="N23" i="153"/>
  <c r="N11" i="153"/>
  <c r="N15" i="153"/>
  <c r="K17" i="153"/>
  <c r="K34" i="153"/>
  <c r="G13" i="153"/>
  <c r="G25" i="153"/>
  <c r="G30" i="153"/>
  <c r="I24" i="153"/>
  <c r="I13" i="153"/>
  <c r="K36" i="153"/>
  <c r="I21" i="153"/>
  <c r="Q27" i="153"/>
  <c r="E30" i="153"/>
  <c r="V13" i="153"/>
  <c r="H21" i="153"/>
  <c r="T28" i="153"/>
  <c r="K16" i="153"/>
  <c r="J14" i="153"/>
  <c r="J7" i="153"/>
  <c r="J19" i="153"/>
  <c r="J31" i="153"/>
  <c r="I8" i="153"/>
  <c r="I32" i="153"/>
  <c r="I25" i="153"/>
  <c r="F37" i="148"/>
  <c r="T36" i="153"/>
  <c r="S34" i="149"/>
  <c r="S31" i="149"/>
  <c r="S28" i="149"/>
  <c r="S25" i="149"/>
  <c r="S22" i="149"/>
  <c r="S19" i="149"/>
  <c r="S16" i="149"/>
  <c r="S13" i="149"/>
  <c r="S10" i="149"/>
  <c r="S7" i="149"/>
  <c r="N15" i="160"/>
  <c r="J27" i="160"/>
  <c r="S30" i="156"/>
  <c r="S7" i="173"/>
  <c r="U10" i="164"/>
  <c r="U9" i="164"/>
  <c r="U34" i="164"/>
  <c r="U33" i="164"/>
  <c r="U34" i="165"/>
  <c r="U22" i="165"/>
  <c r="U11" i="165"/>
  <c r="U10" i="165"/>
  <c r="U8" i="165"/>
  <c r="U17" i="165"/>
  <c r="H33" i="174"/>
  <c r="H8" i="174"/>
  <c r="O16" i="158"/>
  <c r="O10" i="158"/>
  <c r="O14" i="170"/>
  <c r="O36" i="170"/>
  <c r="M32" i="170"/>
  <c r="M28" i="170"/>
  <c r="M30" i="170"/>
  <c r="M12" i="170"/>
  <c r="S23" i="170"/>
  <c r="S16" i="170"/>
  <c r="Q7" i="167"/>
  <c r="S23" i="156"/>
  <c r="S20" i="154"/>
  <c r="J15" i="160"/>
  <c r="T12" i="160"/>
  <c r="L12" i="160"/>
  <c r="F36" i="160"/>
  <c r="G13" i="167"/>
  <c r="L8" i="167"/>
  <c r="T29" i="167"/>
  <c r="H9" i="167"/>
  <c r="T30" i="174"/>
  <c r="N12" i="174"/>
  <c r="J25" i="174"/>
  <c r="T8" i="174"/>
  <c r="T9" i="174"/>
  <c r="E7" i="174"/>
  <c r="Q11" i="174"/>
  <c r="E11" i="174"/>
  <c r="T12" i="174"/>
  <c r="Q32" i="174"/>
  <c r="G26" i="174"/>
  <c r="Q10" i="160"/>
  <c r="E32" i="153"/>
  <c r="Q8" i="160"/>
  <c r="Q14" i="160"/>
  <c r="S36" i="165"/>
  <c r="S7" i="165"/>
  <c r="S8" i="165"/>
  <c r="S36" i="171"/>
  <c r="S26" i="171"/>
  <c r="S8" i="171"/>
  <c r="S29" i="171"/>
  <c r="S20" i="171"/>
  <c r="S17" i="171"/>
  <c r="H23" i="160"/>
  <c r="T15" i="160"/>
  <c r="L36" i="160"/>
  <c r="J9" i="160"/>
  <c r="Q24" i="167"/>
  <c r="Q18" i="167"/>
  <c r="Q12" i="167"/>
  <c r="P15" i="167"/>
  <c r="G34" i="167"/>
  <c r="K14" i="167"/>
  <c r="K26" i="167"/>
  <c r="J13" i="167"/>
  <c r="I29" i="167"/>
  <c r="I35" i="167"/>
  <c r="K21" i="167"/>
  <c r="E33" i="174"/>
  <c r="E27" i="174"/>
  <c r="E21" i="174"/>
  <c r="E15" i="174"/>
  <c r="E9" i="174"/>
  <c r="H26" i="174"/>
  <c r="P22" i="174"/>
  <c r="T15" i="174"/>
  <c r="K7" i="174"/>
  <c r="K19" i="174"/>
  <c r="K31" i="174"/>
  <c r="N16" i="174"/>
  <c r="T10" i="174"/>
  <c r="J16" i="174"/>
  <c r="J28" i="174"/>
  <c r="J32" i="174"/>
  <c r="N21" i="174"/>
  <c r="I9" i="174"/>
  <c r="T28" i="174"/>
  <c r="P19" i="174"/>
  <c r="N19" i="174"/>
  <c r="P18" i="174"/>
  <c r="P30" i="174"/>
  <c r="L18" i="174"/>
  <c r="N9" i="174"/>
  <c r="N17" i="174"/>
  <c r="N29" i="174"/>
  <c r="I12" i="174"/>
  <c r="F36" i="174"/>
  <c r="Q34" i="174"/>
  <c r="Q29" i="174"/>
  <c r="E25" i="174"/>
  <c r="E23" i="174"/>
  <c r="I33" i="174"/>
  <c r="K27" i="174"/>
  <c r="Q7" i="160"/>
  <c r="Q11" i="160"/>
  <c r="Q25" i="160"/>
  <c r="F32" i="153"/>
  <c r="F28" i="153"/>
  <c r="K21" i="160"/>
  <c r="S36" i="152"/>
  <c r="S13" i="152"/>
  <c r="S20" i="152"/>
  <c r="S19" i="152"/>
  <c r="S8" i="152"/>
  <c r="S14" i="152"/>
  <c r="S7" i="152"/>
  <c r="S28" i="152"/>
  <c r="S35" i="143"/>
  <c r="S32" i="143"/>
  <c r="S20" i="143"/>
  <c r="S14" i="143"/>
  <c r="S26" i="143"/>
  <c r="S8" i="143"/>
  <c r="T32" i="160"/>
  <c r="J37" i="159"/>
  <c r="G19" i="167"/>
  <c r="G7" i="167"/>
  <c r="N35" i="167"/>
  <c r="J19" i="174"/>
  <c r="J31" i="174"/>
  <c r="P11" i="174"/>
  <c r="H30" i="174"/>
  <c r="Q8" i="174"/>
  <c r="Q36" i="174"/>
  <c r="T24" i="174"/>
  <c r="Q10" i="174"/>
  <c r="G36" i="174"/>
  <c r="I27" i="174"/>
  <c r="F25" i="174"/>
  <c r="F23" i="174"/>
  <c r="I20" i="174"/>
  <c r="G36" i="167"/>
  <c r="E10" i="160"/>
  <c r="E7" i="160"/>
  <c r="I36" i="160"/>
  <c r="S35" i="141"/>
  <c r="S33" i="141"/>
  <c r="S23" i="141"/>
  <c r="S17" i="141"/>
  <c r="S14" i="141"/>
  <c r="S11" i="141"/>
  <c r="S37" i="141"/>
  <c r="S36" i="141"/>
  <c r="S24" i="141"/>
  <c r="S15" i="141"/>
  <c r="S32" i="141"/>
  <c r="S27" i="141"/>
  <c r="S30" i="141"/>
  <c r="S8" i="141"/>
  <c r="S29" i="141"/>
  <c r="S26" i="141"/>
  <c r="S21" i="141"/>
  <c r="S12" i="141"/>
  <c r="S9" i="141"/>
  <c r="S20" i="141"/>
  <c r="S35" i="144"/>
  <c r="S32" i="144"/>
  <c r="S29" i="144"/>
  <c r="S17" i="144"/>
  <c r="S26" i="144"/>
  <c r="S20" i="144"/>
  <c r="S14" i="144"/>
  <c r="S8" i="144"/>
  <c r="S11" i="144"/>
  <c r="S23" i="144"/>
  <c r="S29" i="163"/>
  <c r="S11" i="163"/>
  <c r="S8" i="163"/>
  <c r="S32" i="142"/>
  <c r="S31" i="142"/>
  <c r="S22" i="142"/>
  <c r="S19" i="142"/>
  <c r="S10" i="142"/>
  <c r="S36" i="142"/>
  <c r="S28" i="142"/>
  <c r="S14" i="142"/>
  <c r="S26" i="142"/>
  <c r="S25" i="142"/>
  <c r="S20" i="142"/>
  <c r="S16" i="142"/>
  <c r="S11" i="142"/>
  <c r="S17" i="142"/>
  <c r="S35" i="142"/>
  <c r="S34" i="142"/>
  <c r="S23" i="142"/>
  <c r="S13" i="142"/>
  <c r="S7" i="142"/>
  <c r="S29" i="142"/>
  <c r="S8" i="142"/>
  <c r="P37" i="142"/>
  <c r="N37" i="155"/>
  <c r="N37" i="156"/>
  <c r="E37" i="157"/>
  <c r="Q37" i="161"/>
  <c r="Q9" i="167"/>
  <c r="N37" i="161"/>
  <c r="N9" i="167"/>
  <c r="Q37" i="162"/>
  <c r="Q37" i="169"/>
  <c r="H23" i="167"/>
  <c r="K32" i="174"/>
  <c r="J15" i="174"/>
  <c r="J18" i="167"/>
  <c r="T33" i="160"/>
  <c r="N17" i="153"/>
  <c r="P37" i="147"/>
  <c r="P11" i="153"/>
  <c r="E37" i="152"/>
  <c r="F27" i="160"/>
  <c r="F15" i="160"/>
  <c r="F37" i="154"/>
  <c r="F9" i="160"/>
  <c r="E33" i="160"/>
  <c r="E21" i="160"/>
  <c r="E9" i="160"/>
  <c r="E37" i="154"/>
  <c r="N30" i="160"/>
  <c r="N18" i="160"/>
  <c r="I18" i="160"/>
  <c r="K11" i="160"/>
  <c r="K23" i="160"/>
  <c r="K35" i="160"/>
  <c r="K16" i="160"/>
  <c r="K28" i="160"/>
  <c r="T7" i="160"/>
  <c r="T19" i="160"/>
  <c r="T31" i="160"/>
  <c r="T17" i="160"/>
  <c r="T29" i="160"/>
  <c r="H22" i="160"/>
  <c r="H35" i="160"/>
  <c r="I32" i="174"/>
  <c r="T26" i="174"/>
  <c r="Q17" i="174"/>
  <c r="I15" i="174"/>
  <c r="N13" i="174"/>
  <c r="I11" i="174"/>
  <c r="J8" i="174"/>
  <c r="K35" i="174"/>
  <c r="K33" i="174"/>
  <c r="N25" i="174"/>
  <c r="G20" i="174"/>
  <c r="P17" i="174"/>
  <c r="N29" i="153"/>
  <c r="P37" i="148"/>
  <c r="L14" i="153"/>
  <c r="F38" i="141"/>
  <c r="E37" i="142"/>
  <c r="J37" i="142"/>
  <c r="I37" i="159"/>
  <c r="J37" i="162"/>
  <c r="F37" i="165"/>
  <c r="N34" i="174"/>
  <c r="T11" i="174"/>
  <c r="G7" i="174"/>
  <c r="K30" i="174"/>
  <c r="F28" i="174"/>
  <c r="G23" i="174"/>
  <c r="K18" i="174"/>
  <c r="E16" i="174"/>
  <c r="Q13" i="174"/>
  <c r="K11" i="174"/>
  <c r="T7" i="174"/>
  <c r="T27" i="167"/>
  <c r="I21" i="167"/>
  <c r="E19" i="167"/>
  <c r="F16" i="167"/>
  <c r="Q13" i="167"/>
  <c r="F8" i="167"/>
  <c r="K33" i="153"/>
  <c r="E37" i="144"/>
  <c r="K29" i="153"/>
  <c r="G37" i="143"/>
  <c r="Q37" i="143"/>
  <c r="G37" i="144"/>
  <c r="P37" i="144"/>
  <c r="K37" i="145"/>
  <c r="N37" i="147"/>
  <c r="N8" i="153"/>
  <c r="N33" i="153"/>
  <c r="N21" i="153"/>
  <c r="K28" i="153"/>
  <c r="T16" i="153"/>
  <c r="H8" i="153"/>
  <c r="K11" i="153"/>
  <c r="L22" i="153"/>
  <c r="K13" i="153"/>
  <c r="E9" i="153"/>
  <c r="T37" i="152"/>
  <c r="F37" i="158"/>
  <c r="Q37" i="171"/>
  <c r="N37" i="171"/>
  <c r="H23" i="174"/>
  <c r="P37" i="172"/>
  <c r="U8" i="164"/>
  <c r="U11" i="164"/>
  <c r="U26" i="164"/>
  <c r="U25" i="164"/>
  <c r="U13" i="164"/>
  <c r="U20" i="164"/>
  <c r="U17" i="164"/>
  <c r="U15" i="164"/>
  <c r="U23" i="164"/>
  <c r="U24" i="164"/>
  <c r="U29" i="164"/>
  <c r="U31" i="164"/>
  <c r="U19" i="164"/>
  <c r="U7" i="164"/>
  <c r="U30" i="164"/>
  <c r="U27" i="164"/>
  <c r="U21" i="164"/>
  <c r="U28" i="164"/>
  <c r="U16" i="164"/>
  <c r="U18" i="164"/>
  <c r="U25" i="165"/>
  <c r="U13" i="165"/>
  <c r="U9" i="165"/>
  <c r="U15" i="165"/>
  <c r="U18" i="165"/>
  <c r="U14" i="165"/>
  <c r="U24" i="165"/>
  <c r="U31" i="165"/>
  <c r="U19" i="165"/>
  <c r="U7" i="165"/>
  <c r="U27" i="165"/>
  <c r="U30" i="165"/>
  <c r="U28" i="165"/>
  <c r="U16" i="165"/>
  <c r="U35" i="165"/>
  <c r="U12" i="165"/>
  <c r="U21" i="165"/>
  <c r="U20" i="165"/>
  <c r="U23" i="165"/>
  <c r="U33" i="172"/>
  <c r="U17" i="172"/>
  <c r="U18" i="172"/>
  <c r="H20" i="174"/>
  <c r="O19" i="152"/>
  <c r="O32" i="152"/>
  <c r="O9" i="152"/>
  <c r="O21" i="152"/>
  <c r="O30" i="152"/>
  <c r="O16" i="152"/>
  <c r="O20" i="152"/>
  <c r="O18" i="152"/>
  <c r="O35" i="152"/>
  <c r="O8" i="152"/>
  <c r="O7" i="152"/>
  <c r="O15" i="152"/>
  <c r="O31" i="158"/>
  <c r="O13" i="158"/>
  <c r="O32" i="158"/>
  <c r="O24" i="158"/>
  <c r="O9" i="158"/>
  <c r="O9" i="160" s="1"/>
  <c r="O20" i="158"/>
  <c r="O15" i="158"/>
  <c r="O35" i="158"/>
  <c r="O8" i="158"/>
  <c r="O15" i="170"/>
  <c r="O26" i="170"/>
  <c r="O30" i="170"/>
  <c r="O28" i="170"/>
  <c r="O10" i="170"/>
  <c r="O19" i="170"/>
  <c r="O21" i="170"/>
  <c r="M26" i="149"/>
  <c r="M14" i="149"/>
  <c r="M32" i="149"/>
  <c r="M20" i="149"/>
  <c r="M8" i="149"/>
  <c r="M29" i="149"/>
  <c r="M17" i="149"/>
  <c r="M34" i="143"/>
  <c r="M7" i="143"/>
  <c r="M35" i="143"/>
  <c r="M11" i="143"/>
  <c r="M28" i="143"/>
  <c r="M26" i="150"/>
  <c r="M14" i="150"/>
  <c r="M13" i="150"/>
  <c r="M31" i="150"/>
  <c r="M7" i="150"/>
  <c r="M35" i="150"/>
  <c r="M20" i="150"/>
  <c r="M8" i="150"/>
  <c r="M22" i="150"/>
  <c r="M32" i="150"/>
  <c r="M17" i="150"/>
  <c r="M12" i="150"/>
  <c r="M30" i="150"/>
  <c r="M34" i="166"/>
  <c r="M16" i="166"/>
  <c r="M10" i="166"/>
  <c r="M30" i="166"/>
  <c r="M27" i="166"/>
  <c r="M19" i="157"/>
  <c r="M9" i="157"/>
  <c r="M7" i="157"/>
  <c r="M31" i="157"/>
  <c r="M18" i="157"/>
  <c r="M31" i="162"/>
  <c r="M32" i="162"/>
  <c r="M20" i="162"/>
  <c r="M26" i="162"/>
  <c r="M8" i="162"/>
  <c r="M23" i="162"/>
  <c r="M14" i="170"/>
  <c r="M27" i="170"/>
  <c r="M22" i="170"/>
  <c r="M25" i="170"/>
  <c r="M29" i="170"/>
  <c r="M8" i="170"/>
  <c r="M10" i="170"/>
  <c r="M36" i="170"/>
  <c r="M7" i="170"/>
  <c r="M15" i="170"/>
  <c r="M31" i="170"/>
  <c r="M17" i="170"/>
  <c r="M9" i="170"/>
  <c r="M21" i="170"/>
  <c r="M16" i="170"/>
  <c r="M24" i="170"/>
  <c r="H37" i="144"/>
  <c r="E10" i="174"/>
  <c r="H27" i="153"/>
  <c r="J18" i="153"/>
  <c r="E37" i="147"/>
  <c r="E8" i="153"/>
  <c r="Q37" i="147"/>
  <c r="Q21" i="153"/>
  <c r="E24" i="153"/>
  <c r="I16" i="153"/>
  <c r="U29" i="153"/>
  <c r="T37" i="147"/>
  <c r="T26" i="153"/>
  <c r="J13" i="153"/>
  <c r="J25" i="153"/>
  <c r="I20" i="153"/>
  <c r="I17" i="153"/>
  <c r="I19" i="153"/>
  <c r="I31" i="153"/>
  <c r="Q37" i="148"/>
  <c r="L8" i="153"/>
  <c r="Q37" i="149"/>
  <c r="O37" i="149"/>
  <c r="P37" i="150"/>
  <c r="E37" i="150"/>
  <c r="G37" i="151"/>
  <c r="N37" i="151"/>
  <c r="P37" i="151"/>
  <c r="F30" i="160"/>
  <c r="Q30" i="160"/>
  <c r="E27" i="160"/>
  <c r="E15" i="160"/>
  <c r="P33" i="160"/>
  <c r="P27" i="160"/>
  <c r="P21" i="160"/>
  <c r="P37" i="154"/>
  <c r="P9" i="160"/>
  <c r="N24" i="160"/>
  <c r="N12" i="160"/>
  <c r="K9" i="160"/>
  <c r="K10" i="160"/>
  <c r="K22" i="160"/>
  <c r="K34" i="160"/>
  <c r="J17" i="160"/>
  <c r="J29" i="160"/>
  <c r="J10" i="160"/>
  <c r="J22" i="160"/>
  <c r="J34" i="160"/>
  <c r="T13" i="160"/>
  <c r="T11" i="160"/>
  <c r="T35" i="160"/>
  <c r="T24" i="160"/>
  <c r="E37" i="155"/>
  <c r="E37" i="156"/>
  <c r="E37" i="158"/>
  <c r="Q37" i="159"/>
  <c r="L28" i="160"/>
  <c r="G24" i="167"/>
  <c r="F33" i="167"/>
  <c r="F27" i="167"/>
  <c r="F21" i="167"/>
  <c r="F37" i="161"/>
  <c r="F15" i="167"/>
  <c r="F9" i="167"/>
  <c r="Q30" i="167"/>
  <c r="P27" i="167"/>
  <c r="P37" i="161"/>
  <c r="P9" i="167"/>
  <c r="G31" i="167"/>
  <c r="G16" i="167"/>
  <c r="N27" i="167"/>
  <c r="N15" i="167"/>
  <c r="H14" i="167"/>
  <c r="K7" i="167"/>
  <c r="K19" i="167"/>
  <c r="K31" i="167"/>
  <c r="J27" i="167"/>
  <c r="V20" i="167"/>
  <c r="J8" i="167"/>
  <c r="J20" i="167"/>
  <c r="I16" i="167"/>
  <c r="I28" i="167"/>
  <c r="L21" i="167"/>
  <c r="T16" i="167"/>
  <c r="T28" i="167"/>
  <c r="H36" i="167"/>
  <c r="K37" i="163"/>
  <c r="G37" i="164"/>
  <c r="T37" i="165"/>
  <c r="F9" i="174"/>
  <c r="H35" i="174"/>
  <c r="P31" i="174"/>
  <c r="T37" i="168"/>
  <c r="T20" i="174"/>
  <c r="J17" i="174"/>
  <c r="L13" i="174"/>
  <c r="P8" i="174"/>
  <c r="K13" i="174"/>
  <c r="K25" i="174"/>
  <c r="J10" i="174"/>
  <c r="J22" i="174"/>
  <c r="J34" i="174"/>
  <c r="N30" i="174"/>
  <c r="J23" i="174"/>
  <c r="I16" i="174"/>
  <c r="I28" i="174"/>
  <c r="T22" i="174"/>
  <c r="T34" i="174"/>
  <c r="H28" i="174"/>
  <c r="P28" i="174"/>
  <c r="N28" i="174"/>
  <c r="P24" i="174"/>
  <c r="P36" i="174"/>
  <c r="N11" i="174"/>
  <c r="N23" i="174"/>
  <c r="N35" i="174"/>
  <c r="E37" i="170"/>
  <c r="N37" i="173"/>
  <c r="E37" i="173"/>
  <c r="H9" i="153"/>
  <c r="L33" i="153"/>
  <c r="E35" i="174"/>
  <c r="J29" i="174"/>
  <c r="Q26" i="174"/>
  <c r="E22" i="174"/>
  <c r="F20" i="174"/>
  <c r="K17" i="174"/>
  <c r="K14" i="174"/>
  <c r="P12" i="174"/>
  <c r="Q35" i="174"/>
  <c r="T33" i="174"/>
  <c r="Q31" i="174"/>
  <c r="J21" i="174"/>
  <c r="F19" i="174"/>
  <c r="T16" i="174"/>
  <c r="E14" i="174"/>
  <c r="P35" i="174"/>
  <c r="N33" i="174"/>
  <c r="G31" i="174"/>
  <c r="Q28" i="174"/>
  <c r="F26" i="174"/>
  <c r="T23" i="174"/>
  <c r="I21" i="174"/>
  <c r="E19" i="174"/>
  <c r="I14" i="174"/>
  <c r="J12" i="174"/>
  <c r="F10" i="174"/>
  <c r="T36" i="174"/>
  <c r="P34" i="174"/>
  <c r="F29" i="174"/>
  <c r="J26" i="174"/>
  <c r="I24" i="174"/>
  <c r="T18" i="174"/>
  <c r="Q14" i="174"/>
  <c r="P35" i="167"/>
  <c r="I32" i="167"/>
  <c r="Q28" i="167"/>
  <c r="F26" i="167"/>
  <c r="F23" i="167"/>
  <c r="F20" i="167"/>
  <c r="Q14" i="167"/>
  <c r="T12" i="167"/>
  <c r="I9" i="167"/>
  <c r="E7" i="167"/>
  <c r="E34" i="167"/>
  <c r="Q31" i="167"/>
  <c r="F29" i="167"/>
  <c r="E26" i="167"/>
  <c r="E23" i="167"/>
  <c r="E20" i="167"/>
  <c r="F17" i="167"/>
  <c r="P14" i="167"/>
  <c r="Q11" i="167"/>
  <c r="F35" i="167"/>
  <c r="F32" i="167"/>
  <c r="E29" i="167"/>
  <c r="F25" i="167"/>
  <c r="F22" i="167"/>
  <c r="N19" i="167"/>
  <c r="P16" i="167"/>
  <c r="J12" i="167"/>
  <c r="E10" i="167"/>
  <c r="N7" i="167"/>
  <c r="Q35" i="167"/>
  <c r="P32" i="167"/>
  <c r="P29" i="167"/>
  <c r="G26" i="167"/>
  <c r="J21" i="167"/>
  <c r="V18" i="167"/>
  <c r="I12" i="167"/>
  <c r="J9" i="167"/>
  <c r="P32" i="160"/>
  <c r="Q28" i="160"/>
  <c r="F25" i="160"/>
  <c r="F22" i="160"/>
  <c r="F19" i="160"/>
  <c r="N28" i="153"/>
  <c r="P24" i="153"/>
  <c r="N13" i="153"/>
  <c r="F10" i="153"/>
  <c r="V36" i="160"/>
  <c r="G32" i="160"/>
  <c r="E29" i="160"/>
  <c r="P22" i="160"/>
  <c r="N19" i="160"/>
  <c r="Q16" i="160"/>
  <c r="P7" i="160"/>
  <c r="P29" i="153"/>
  <c r="P26" i="153"/>
  <c r="F23" i="153"/>
  <c r="N16" i="153"/>
  <c r="F34" i="160"/>
  <c r="E31" i="160"/>
  <c r="Q26" i="160"/>
  <c r="N22" i="160"/>
  <c r="Q17" i="160"/>
  <c r="J12" i="160"/>
  <c r="N7" i="160"/>
  <c r="T34" i="153"/>
  <c r="P25" i="153"/>
  <c r="N22" i="153"/>
  <c r="T18" i="153"/>
  <c r="Q12" i="153"/>
  <c r="P8" i="153"/>
  <c r="Q35" i="160"/>
  <c r="Q32" i="160"/>
  <c r="G29" i="160"/>
  <c r="N25" i="160"/>
  <c r="F20" i="160"/>
  <c r="N16" i="160"/>
  <c r="G11" i="160"/>
  <c r="F7" i="160"/>
  <c r="F35" i="153"/>
  <c r="P30" i="153"/>
  <c r="P27" i="153"/>
  <c r="T20" i="153"/>
  <c r="F17" i="153"/>
  <c r="F14" i="153"/>
  <c r="E11" i="153"/>
  <c r="F7" i="153"/>
  <c r="Q38" i="141"/>
  <c r="Q37" i="142"/>
  <c r="P37" i="143"/>
  <c r="Q37" i="144"/>
  <c r="F30" i="153"/>
  <c r="F24" i="153"/>
  <c r="F18" i="153"/>
  <c r="F12" i="153"/>
  <c r="N18" i="153"/>
  <c r="J27" i="153"/>
  <c r="K14" i="153"/>
  <c r="K26" i="153"/>
  <c r="K31" i="153"/>
  <c r="K25" i="153"/>
  <c r="P17" i="153"/>
  <c r="H25" i="153"/>
  <c r="K7" i="153"/>
  <c r="Q24" i="153"/>
  <c r="E27" i="153"/>
  <c r="I15" i="153"/>
  <c r="V29" i="153"/>
  <c r="T29" i="153"/>
  <c r="I7" i="153"/>
  <c r="J15" i="153"/>
  <c r="J11" i="153"/>
  <c r="J23" i="153"/>
  <c r="J35" i="153"/>
  <c r="J16" i="153"/>
  <c r="J28" i="153"/>
  <c r="I29" i="153"/>
  <c r="I23" i="153"/>
  <c r="I22" i="153"/>
  <c r="I34" i="153"/>
  <c r="N37" i="149"/>
  <c r="Q37" i="151"/>
  <c r="G33" i="160"/>
  <c r="G27" i="160"/>
  <c r="G21" i="160"/>
  <c r="G15" i="160"/>
  <c r="G9" i="160"/>
  <c r="N29" i="160"/>
  <c r="N23" i="160"/>
  <c r="N17" i="160"/>
  <c r="N11" i="160"/>
  <c r="Q33" i="160"/>
  <c r="E30" i="160"/>
  <c r="Q21" i="160"/>
  <c r="E18" i="160"/>
  <c r="Q37" i="154"/>
  <c r="Q9" i="160"/>
  <c r="T18" i="160"/>
  <c r="I37" i="154"/>
  <c r="I7" i="160"/>
  <c r="I19" i="160"/>
  <c r="I31" i="160"/>
  <c r="I14" i="160"/>
  <c r="I26" i="160"/>
  <c r="K33" i="160"/>
  <c r="K8" i="160"/>
  <c r="K20" i="160"/>
  <c r="K32" i="160"/>
  <c r="K13" i="160"/>
  <c r="K25" i="160"/>
  <c r="J33" i="160"/>
  <c r="J8" i="160"/>
  <c r="J20" i="160"/>
  <c r="J32" i="160"/>
  <c r="J13" i="160"/>
  <c r="J25" i="160"/>
  <c r="I15" i="160"/>
  <c r="T30" i="160"/>
  <c r="T16" i="160"/>
  <c r="T28" i="160"/>
  <c r="T14" i="160"/>
  <c r="T26" i="160"/>
  <c r="F37" i="155"/>
  <c r="P37" i="155"/>
  <c r="F37" i="156"/>
  <c r="P37" i="156"/>
  <c r="L16" i="160"/>
  <c r="L19" i="160"/>
  <c r="Q37" i="157"/>
  <c r="G37" i="158"/>
  <c r="G37" i="159"/>
  <c r="E37" i="159"/>
  <c r="G27" i="167"/>
  <c r="G18" i="167"/>
  <c r="N32" i="167"/>
  <c r="N26" i="167"/>
  <c r="N20" i="167"/>
  <c r="N14" i="167"/>
  <c r="N8" i="167"/>
  <c r="E30" i="167"/>
  <c r="E24" i="167"/>
  <c r="E18" i="167"/>
  <c r="E12" i="167"/>
  <c r="N24" i="167"/>
  <c r="N12" i="167"/>
  <c r="K17" i="167"/>
  <c r="K29" i="167"/>
  <c r="K10" i="167"/>
  <c r="K22" i="167"/>
  <c r="K34" i="167"/>
  <c r="T23" i="167"/>
  <c r="J15" i="167"/>
  <c r="V35" i="167"/>
  <c r="J11" i="167"/>
  <c r="J23" i="167"/>
  <c r="J35" i="167"/>
  <c r="J16" i="167"/>
  <c r="J28" i="167"/>
  <c r="L28" i="167"/>
  <c r="I7" i="167"/>
  <c r="I19" i="167"/>
  <c r="I31" i="167"/>
  <c r="T7" i="167"/>
  <c r="T19" i="167"/>
  <c r="T31" i="167"/>
  <c r="L9" i="167"/>
  <c r="P37" i="163"/>
  <c r="F37" i="164"/>
  <c r="P37" i="164"/>
  <c r="Q37" i="165"/>
  <c r="P37" i="165"/>
  <c r="T37" i="166"/>
  <c r="J37" i="166"/>
  <c r="I37" i="166"/>
  <c r="G30" i="174"/>
  <c r="G24" i="174"/>
  <c r="G18" i="174"/>
  <c r="G12" i="174"/>
  <c r="F30" i="174"/>
  <c r="F18" i="174"/>
  <c r="Q33" i="174"/>
  <c r="Q27" i="174"/>
  <c r="Q21" i="174"/>
  <c r="Q15" i="174"/>
  <c r="Q37" i="168"/>
  <c r="Q9" i="174"/>
  <c r="P23" i="174"/>
  <c r="K16" i="174"/>
  <c r="K28" i="174"/>
  <c r="J13" i="174"/>
  <c r="N22" i="174"/>
  <c r="H17" i="174"/>
  <c r="I7" i="174"/>
  <c r="I19" i="174"/>
  <c r="I31" i="174"/>
  <c r="N15" i="174"/>
  <c r="T25" i="174"/>
  <c r="P20" i="174"/>
  <c r="N7" i="174"/>
  <c r="P10" i="174"/>
  <c r="N27" i="174"/>
  <c r="P14" i="174"/>
  <c r="P9" i="174"/>
  <c r="P27" i="174"/>
  <c r="N14" i="174"/>
  <c r="N26" i="174"/>
  <c r="T37" i="169"/>
  <c r="M30" i="169"/>
  <c r="M7" i="169"/>
  <c r="M28" i="169"/>
  <c r="M8" i="169"/>
  <c r="M20" i="169"/>
  <c r="M32" i="169"/>
  <c r="Q37" i="170"/>
  <c r="T37" i="170"/>
  <c r="M11" i="171"/>
  <c r="M35" i="171"/>
  <c r="M15" i="171"/>
  <c r="Q37" i="172"/>
  <c r="Q37" i="173"/>
  <c r="H30" i="167"/>
  <c r="H38" i="141"/>
  <c r="L34" i="160"/>
  <c r="K36" i="174"/>
  <c r="E31" i="174"/>
  <c r="E29" i="174"/>
  <c r="I26" i="174"/>
  <c r="Q23" i="174"/>
  <c r="K21" i="174"/>
  <c r="G19" i="174"/>
  <c r="E17" i="174"/>
  <c r="F14" i="174"/>
  <c r="I35" i="174"/>
  <c r="J30" i="174"/>
  <c r="E28" i="174"/>
  <c r="Q25" i="174"/>
  <c r="K23" i="174"/>
  <c r="J18" i="174"/>
  <c r="P13" i="174"/>
  <c r="J11" i="174"/>
  <c r="G35" i="174"/>
  <c r="T32" i="174"/>
  <c r="I30" i="174"/>
  <c r="T27" i="174"/>
  <c r="P25" i="174"/>
  <c r="I23" i="174"/>
  <c r="Q20" i="174"/>
  <c r="I18" i="174"/>
  <c r="G16" i="174"/>
  <c r="T13" i="174"/>
  <c r="F7" i="174"/>
  <c r="T35" i="174"/>
  <c r="E34" i="174"/>
  <c r="F31" i="174"/>
  <c r="G28" i="174"/>
  <c r="E26" i="174"/>
  <c r="K20" i="174"/>
  <c r="F16" i="174"/>
  <c r="G14" i="174"/>
  <c r="F34" i="167"/>
  <c r="F31" i="167"/>
  <c r="E28" i="167"/>
  <c r="P25" i="167"/>
  <c r="P22" i="167"/>
  <c r="Q19" i="167"/>
  <c r="G17" i="167"/>
  <c r="F14" i="167"/>
  <c r="S11" i="167"/>
  <c r="P8" i="167"/>
  <c r="T35" i="167"/>
  <c r="T33" i="167"/>
  <c r="E31" i="167"/>
  <c r="P28" i="167"/>
  <c r="N25" i="167"/>
  <c r="N22" i="167"/>
  <c r="P19" i="167"/>
  <c r="Q16" i="167"/>
  <c r="E14" i="167"/>
  <c r="G11" i="167"/>
  <c r="I8" i="167"/>
  <c r="P34" i="167"/>
  <c r="P31" i="167"/>
  <c r="N28" i="167"/>
  <c r="T24" i="167"/>
  <c r="T14" i="167"/>
  <c r="P11" i="167"/>
  <c r="K9" i="167"/>
  <c r="E35" i="167"/>
  <c r="E32" i="167"/>
  <c r="F28" i="167"/>
  <c r="Q25" i="167"/>
  <c r="G23" i="167"/>
  <c r="T17" i="167"/>
  <c r="G14" i="167"/>
  <c r="I11" i="167"/>
  <c r="Q8" i="167"/>
  <c r="N31" i="160"/>
  <c r="E28" i="160"/>
  <c r="Q20" i="160"/>
  <c r="G17" i="160"/>
  <c r="Q35" i="153"/>
  <c r="T23" i="153"/>
  <c r="T19" i="153"/>
  <c r="T12" i="153"/>
  <c r="E7" i="153"/>
  <c r="F31" i="160"/>
  <c r="P28" i="160"/>
  <c r="E25" i="160"/>
  <c r="E22" i="160"/>
  <c r="E19" i="160"/>
  <c r="F16" i="160"/>
  <c r="F13" i="160"/>
  <c r="P10" i="160"/>
  <c r="P35" i="153"/>
  <c r="G32" i="153"/>
  <c r="T25" i="153"/>
  <c r="P22" i="153"/>
  <c r="P19" i="153"/>
  <c r="T15" i="153"/>
  <c r="E12" i="153"/>
  <c r="F8" i="153"/>
  <c r="J30" i="160"/>
  <c r="E26" i="160"/>
  <c r="I21" i="160"/>
  <c r="E17" i="160"/>
  <c r="E14" i="160"/>
  <c r="P11" i="160"/>
  <c r="F34" i="153"/>
  <c r="P31" i="153"/>
  <c r="T24" i="153"/>
  <c r="T21" i="153"/>
  <c r="E18" i="153"/>
  <c r="T14" i="153"/>
  <c r="F11" i="153"/>
  <c r="N7" i="153"/>
  <c r="E35" i="160"/>
  <c r="E32" i="160"/>
  <c r="F28" i="160"/>
  <c r="G23" i="160"/>
  <c r="Q19" i="160"/>
  <c r="P14" i="160"/>
  <c r="F10" i="160"/>
  <c r="P34" i="153"/>
  <c r="P23" i="153"/>
  <c r="P16" i="153"/>
  <c r="P13" i="153"/>
  <c r="N10" i="153"/>
  <c r="G35" i="167"/>
  <c r="J30" i="167"/>
  <c r="T26" i="167"/>
  <c r="I24" i="167"/>
  <c r="I18" i="167"/>
  <c r="E16" i="167"/>
  <c r="P13" i="167"/>
  <c r="F10" i="167"/>
  <c r="E8" i="167"/>
  <c r="N36" i="167"/>
  <c r="K33" i="167"/>
  <c r="I30" i="167"/>
  <c r="T20" i="167"/>
  <c r="P17" i="167"/>
  <c r="I14" i="167"/>
  <c r="F11" i="167"/>
  <c r="N34" i="167"/>
  <c r="N31" i="167"/>
  <c r="E25" i="167"/>
  <c r="Q22" i="167"/>
  <c r="G20" i="167"/>
  <c r="I17" i="167"/>
  <c r="F13" i="167"/>
  <c r="E11" i="167"/>
  <c r="G8" i="167"/>
  <c r="P35" i="160"/>
  <c r="S29" i="160"/>
  <c r="F23" i="160"/>
  <c r="E20" i="160"/>
  <c r="F11" i="160"/>
  <c r="F8" i="160"/>
  <c r="T32" i="153"/>
  <c r="Q29" i="153"/>
  <c r="Q26" i="153"/>
  <c r="T22" i="153"/>
  <c r="P18" i="153"/>
  <c r="G15" i="153"/>
  <c r="G12" i="153"/>
  <c r="T8" i="153"/>
  <c r="G35" i="160"/>
  <c r="K30" i="160"/>
  <c r="Q23" i="160"/>
  <c r="J21" i="160"/>
  <c r="K12" i="160"/>
  <c r="N34" i="153"/>
  <c r="T31" i="153"/>
  <c r="T27" i="153"/>
  <c r="G21" i="153"/>
  <c r="G18" i="153"/>
  <c r="G11" i="153"/>
  <c r="P7" i="153"/>
  <c r="F35" i="160"/>
  <c r="F32" i="160"/>
  <c r="P29" i="160"/>
  <c r="P25" i="160"/>
  <c r="G20" i="160"/>
  <c r="P16" i="160"/>
  <c r="P13" i="160"/>
  <c r="N10" i="160"/>
  <c r="T35" i="153"/>
  <c r="P33" i="153"/>
  <c r="T30" i="153"/>
  <c r="G27" i="153"/>
  <c r="G24" i="153"/>
  <c r="P20" i="153"/>
  <c r="G17" i="153"/>
  <c r="G14" i="153"/>
  <c r="P10" i="153"/>
  <c r="P34" i="160"/>
  <c r="P31" i="160"/>
  <c r="N13" i="160"/>
  <c r="P32" i="153"/>
  <c r="G29" i="153"/>
  <c r="F26" i="153"/>
  <c r="F22" i="153"/>
  <c r="F19" i="153"/>
  <c r="P15" i="153"/>
  <c r="P12" i="153"/>
  <c r="T9" i="153"/>
  <c r="E37" i="143"/>
  <c r="F37" i="144"/>
  <c r="I37" i="144"/>
  <c r="F33" i="153"/>
  <c r="F27" i="153"/>
  <c r="F21" i="153"/>
  <c r="F15" i="153"/>
  <c r="F37" i="147"/>
  <c r="F9" i="153"/>
  <c r="N12" i="153"/>
  <c r="K24" i="153"/>
  <c r="T10" i="153"/>
  <c r="K8" i="153"/>
  <c r="K20" i="153"/>
  <c r="K32" i="153"/>
  <c r="E15" i="153"/>
  <c r="G33" i="153"/>
  <c r="K22" i="153"/>
  <c r="K18" i="153"/>
  <c r="K19" i="153"/>
  <c r="Q18" i="153"/>
  <c r="Q30" i="153"/>
  <c r="E21" i="153"/>
  <c r="E33" i="153"/>
  <c r="K10" i="153"/>
  <c r="J9" i="153"/>
  <c r="H17" i="153"/>
  <c r="I9" i="153"/>
  <c r="J17" i="153"/>
  <c r="J29" i="153"/>
  <c r="J10" i="153"/>
  <c r="J22" i="153"/>
  <c r="J34" i="153"/>
  <c r="I14" i="153"/>
  <c r="I11" i="153"/>
  <c r="I35" i="153"/>
  <c r="I28" i="153"/>
  <c r="N37" i="148"/>
  <c r="L29" i="153"/>
  <c r="Q37" i="150"/>
  <c r="N37" i="150"/>
  <c r="I37" i="150"/>
  <c r="F37" i="151"/>
  <c r="Q37" i="152"/>
  <c r="G30" i="160"/>
  <c r="G24" i="160"/>
  <c r="G18" i="160"/>
  <c r="G12" i="160"/>
  <c r="N32" i="160"/>
  <c r="N26" i="160"/>
  <c r="N20" i="160"/>
  <c r="N14" i="160"/>
  <c r="N37" i="154"/>
  <c r="N8" i="160"/>
  <c r="E24" i="160"/>
  <c r="E12" i="160"/>
  <c r="G34" i="160"/>
  <c r="G31" i="160"/>
  <c r="G28" i="160"/>
  <c r="G25" i="160"/>
  <c r="G22" i="160"/>
  <c r="G19" i="160"/>
  <c r="G16" i="160"/>
  <c r="G13" i="160"/>
  <c r="G10" i="160"/>
  <c r="G7" i="160"/>
  <c r="N27" i="160"/>
  <c r="T27" i="160"/>
  <c r="I13" i="160"/>
  <c r="I25" i="160"/>
  <c r="I20" i="160"/>
  <c r="I32" i="160"/>
  <c r="K14" i="160"/>
  <c r="K26" i="160"/>
  <c r="K7" i="160"/>
  <c r="K19" i="160"/>
  <c r="K31" i="160"/>
  <c r="J24" i="160"/>
  <c r="V19" i="160"/>
  <c r="J14" i="160"/>
  <c r="J26" i="160"/>
  <c r="J7" i="160"/>
  <c r="J19" i="160"/>
  <c r="J31" i="160"/>
  <c r="I24" i="160"/>
  <c r="T8" i="160"/>
  <c r="T21" i="160"/>
  <c r="T10" i="160"/>
  <c r="T22" i="160"/>
  <c r="T34" i="160"/>
  <c r="T20" i="160"/>
  <c r="H25" i="160"/>
  <c r="H26" i="160"/>
  <c r="H27" i="160"/>
  <c r="L29" i="160"/>
  <c r="Q37" i="155"/>
  <c r="Q37" i="156"/>
  <c r="T37" i="156"/>
  <c r="T37" i="157"/>
  <c r="T37" i="159"/>
  <c r="G33" i="167"/>
  <c r="G15" i="167"/>
  <c r="G9" i="167"/>
  <c r="N29" i="167"/>
  <c r="N23" i="167"/>
  <c r="N17" i="167"/>
  <c r="N11" i="167"/>
  <c r="E33" i="167"/>
  <c r="E27" i="167"/>
  <c r="E21" i="167"/>
  <c r="E15" i="167"/>
  <c r="E37" i="161"/>
  <c r="E9" i="167"/>
  <c r="G28" i="167"/>
  <c r="N30" i="167"/>
  <c r="N18" i="167"/>
  <c r="T36" i="167"/>
  <c r="K15" i="167"/>
  <c r="K11" i="167"/>
  <c r="K23" i="167"/>
  <c r="K35" i="167"/>
  <c r="K16" i="167"/>
  <c r="K28" i="167"/>
  <c r="T30" i="167"/>
  <c r="T8" i="167"/>
  <c r="J17" i="167"/>
  <c r="J29" i="167"/>
  <c r="J10" i="167"/>
  <c r="J22" i="167"/>
  <c r="J34" i="167"/>
  <c r="I13" i="167"/>
  <c r="I25" i="167"/>
  <c r="T11" i="167"/>
  <c r="T13" i="167"/>
  <c r="T25" i="167"/>
  <c r="K30" i="167"/>
  <c r="E37" i="162"/>
  <c r="N37" i="162"/>
  <c r="H24" i="167"/>
  <c r="G37" i="163"/>
  <c r="Q37" i="163"/>
  <c r="H8" i="167"/>
  <c r="Q37" i="164"/>
  <c r="I37" i="164"/>
  <c r="G37" i="165"/>
  <c r="N37" i="165"/>
  <c r="G33" i="174"/>
  <c r="G27" i="174"/>
  <c r="G21" i="174"/>
  <c r="G15" i="174"/>
  <c r="G9" i="174"/>
  <c r="F24" i="174"/>
  <c r="F12" i="174"/>
  <c r="Q30" i="174"/>
  <c r="Q24" i="174"/>
  <c r="Q18" i="174"/>
  <c r="Q12" i="174"/>
  <c r="P32" i="174"/>
  <c r="T21" i="174"/>
  <c r="K9" i="174"/>
  <c r="K10" i="174"/>
  <c r="K22" i="174"/>
  <c r="K34" i="174"/>
  <c r="P15" i="174"/>
  <c r="J9" i="174"/>
  <c r="J7" i="174"/>
  <c r="N31" i="174"/>
  <c r="J24" i="174"/>
  <c r="T14" i="174"/>
  <c r="P7" i="174"/>
  <c r="I13" i="174"/>
  <c r="I25" i="174"/>
  <c r="T19" i="174"/>
  <c r="T31" i="174"/>
  <c r="H25" i="174"/>
  <c r="P29" i="174"/>
  <c r="L15" i="174"/>
  <c r="N36" i="174"/>
  <c r="N18" i="174"/>
  <c r="P21" i="174"/>
  <c r="P33" i="174"/>
  <c r="N8" i="174"/>
  <c r="N20" i="174"/>
  <c r="N32" i="174"/>
  <c r="M21" i="169"/>
  <c r="M19" i="169"/>
  <c r="M10" i="169"/>
  <c r="M14" i="169"/>
  <c r="N37" i="172"/>
  <c r="F37" i="173"/>
  <c r="P37" i="173"/>
  <c r="O33" i="173"/>
  <c r="O30" i="173"/>
  <c r="O27" i="173"/>
  <c r="O24" i="173"/>
  <c r="O21" i="173"/>
  <c r="O18" i="173"/>
  <c r="O15" i="173"/>
  <c r="O12" i="173"/>
  <c r="I37" i="173"/>
  <c r="J35" i="174"/>
  <c r="G32" i="174"/>
  <c r="J27" i="174"/>
  <c r="G25" i="174"/>
  <c r="J20" i="174"/>
  <c r="T17" i="174"/>
  <c r="K15" i="174"/>
  <c r="F13" i="174"/>
  <c r="F11" i="174"/>
  <c r="J36" i="174"/>
  <c r="G34" i="174"/>
  <c r="F32" i="174"/>
  <c r="I29" i="174"/>
  <c r="P26" i="174"/>
  <c r="N24" i="174"/>
  <c r="Q22" i="174"/>
  <c r="E20" i="174"/>
  <c r="I17" i="174"/>
  <c r="J14" i="174"/>
  <c r="K12" i="174"/>
  <c r="G10" i="174"/>
  <c r="I36" i="174"/>
  <c r="F34" i="174"/>
  <c r="E32" i="174"/>
  <c r="G29" i="174"/>
  <c r="K26" i="174"/>
  <c r="K24" i="174"/>
  <c r="G22" i="174"/>
  <c r="S19" i="174"/>
  <c r="G17" i="174"/>
  <c r="F8" i="174"/>
  <c r="F35" i="174"/>
  <c r="K29" i="174"/>
  <c r="F22" i="174"/>
  <c r="Q19" i="174"/>
  <c r="F17" i="174"/>
  <c r="G13" i="174"/>
  <c r="G11" i="174"/>
  <c r="I33" i="167"/>
  <c r="G29" i="167"/>
  <c r="P26" i="167"/>
  <c r="Q23" i="167"/>
  <c r="Q20" i="167"/>
  <c r="T18" i="167"/>
  <c r="E13" i="167"/>
  <c r="N10" i="167"/>
  <c r="Q34" i="167"/>
  <c r="G32" i="167"/>
  <c r="I26" i="167"/>
  <c r="P23" i="167"/>
  <c r="P20" i="167"/>
  <c r="Q17" i="167"/>
  <c r="T15" i="167"/>
  <c r="K12" i="167"/>
  <c r="T9" i="167"/>
  <c r="P7" i="167"/>
  <c r="Q32" i="167"/>
  <c r="Q29" i="167"/>
  <c r="I23" i="167"/>
  <c r="I20" i="167"/>
  <c r="E17" i="167"/>
  <c r="N13" i="167"/>
  <c r="Q10" i="167"/>
  <c r="J36" i="167"/>
  <c r="J33" i="167"/>
  <c r="Q26" i="167"/>
  <c r="K24" i="167"/>
  <c r="E22" i="167"/>
  <c r="F19" i="167"/>
  <c r="N16" i="167"/>
  <c r="P10" i="167"/>
  <c r="F7" i="167"/>
  <c r="N34" i="160"/>
  <c r="F29" i="160"/>
  <c r="G26" i="160"/>
  <c r="Q22" i="160"/>
  <c r="P19" i="160"/>
  <c r="G14" i="160"/>
  <c r="F29" i="153"/>
  <c r="F25" i="153"/>
  <c r="P21" i="153"/>
  <c r="T17" i="153"/>
  <c r="P14" i="153"/>
  <c r="Q29" i="160"/>
  <c r="F26" i="160"/>
  <c r="E23" i="160"/>
  <c r="P20" i="160"/>
  <c r="F17" i="160"/>
  <c r="F14" i="160"/>
  <c r="T33" i="153"/>
  <c r="K30" i="153"/>
  <c r="K27" i="153"/>
  <c r="Q20" i="153"/>
  <c r="F13" i="153"/>
  <c r="P9" i="153"/>
  <c r="Q34" i="160"/>
  <c r="Q31" i="160"/>
  <c r="N28" i="160"/>
  <c r="P23" i="160"/>
  <c r="E16" i="160"/>
  <c r="E13" i="160"/>
  <c r="P8" i="160"/>
  <c r="G35" i="153"/>
  <c r="Q32" i="153"/>
  <c r="Q23" i="153"/>
  <c r="N19" i="153"/>
  <c r="F16" i="153"/>
  <c r="T13" i="153"/>
  <c r="G9" i="153"/>
  <c r="T36" i="160"/>
  <c r="E34" i="160"/>
  <c r="I30" i="160"/>
  <c r="P26" i="160"/>
  <c r="P17" i="160"/>
  <c r="I12" i="160"/>
  <c r="G8" i="160"/>
  <c r="N31" i="153"/>
  <c r="P28" i="153"/>
  <c r="N25" i="153"/>
  <c r="T11" i="153"/>
  <c r="T7" i="153"/>
  <c r="CN12" i="176"/>
  <c r="CN18" i="176"/>
  <c r="B12" i="176"/>
  <c r="B18" i="176"/>
  <c r="L10" i="167"/>
  <c r="L37" i="145"/>
  <c r="L38" i="141"/>
  <c r="L23" i="153"/>
  <c r="L31" i="153"/>
  <c r="L18" i="153"/>
  <c r="L10" i="153"/>
  <c r="L8" i="160"/>
  <c r="L18" i="160"/>
  <c r="L37" i="155"/>
  <c r="L18" i="167"/>
  <c r="L20" i="167"/>
  <c r="L26" i="174"/>
  <c r="L36" i="153"/>
  <c r="L24" i="153"/>
  <c r="L11" i="160"/>
  <c r="L23" i="167"/>
  <c r="L37" i="166"/>
  <c r="L19" i="174"/>
  <c r="L16" i="174"/>
  <c r="L29" i="174"/>
  <c r="L32" i="160"/>
  <c r="L37" i="162"/>
  <c r="L11" i="174"/>
  <c r="L24" i="174"/>
  <c r="L9" i="174"/>
  <c r="L16" i="153"/>
  <c r="L14" i="167"/>
  <c r="L15" i="160"/>
  <c r="L12" i="167"/>
  <c r="L17" i="167"/>
  <c r="L33" i="174"/>
  <c r="L30" i="174"/>
  <c r="L23" i="174"/>
  <c r="L17" i="153"/>
  <c r="L37" i="149"/>
  <c r="L21" i="160"/>
  <c r="L21" i="153"/>
  <c r="L35" i="153"/>
  <c r="L19" i="153"/>
  <c r="L14" i="160"/>
  <c r="L24" i="160"/>
  <c r="L13" i="167"/>
  <c r="L16" i="167"/>
  <c r="L26" i="167"/>
  <c r="L19" i="167"/>
  <c r="L32" i="174"/>
  <c r="L22" i="160"/>
  <c r="L30" i="153"/>
  <c r="L14" i="174"/>
  <c r="L11" i="153"/>
  <c r="L17" i="160"/>
  <c r="L27" i="160"/>
  <c r="L29" i="167"/>
  <c r="L31" i="167"/>
  <c r="L35" i="174"/>
  <c r="L10" i="160"/>
  <c r="L11" i="167"/>
  <c r="L20" i="160"/>
  <c r="L30" i="160"/>
  <c r="L37" i="158"/>
  <c r="L33" i="167"/>
  <c r="L32" i="167"/>
  <c r="L22" i="167"/>
  <c r="L22" i="174"/>
  <c r="L36" i="174"/>
  <c r="L31" i="160"/>
  <c r="L32" i="153"/>
  <c r="L13" i="153"/>
  <c r="L12" i="153"/>
  <c r="L33" i="160"/>
  <c r="L7" i="167"/>
  <c r="L35" i="167"/>
  <c r="L24" i="167"/>
  <c r="L8" i="174"/>
  <c r="L12" i="174"/>
  <c r="L21" i="174"/>
  <c r="L28" i="174"/>
  <c r="L36" i="167"/>
  <c r="L9" i="160"/>
  <c r="L25" i="174"/>
  <c r="L7" i="153"/>
  <c r="L34" i="167"/>
  <c r="L37" i="171"/>
  <c r="L25" i="153"/>
  <c r="L20" i="153"/>
  <c r="L34" i="174"/>
  <c r="L31" i="174"/>
  <c r="L20" i="174"/>
  <c r="L34" i="153"/>
  <c r="L15" i="153"/>
  <c r="L26" i="160"/>
  <c r="L27" i="167"/>
  <c r="L30" i="167"/>
  <c r="L27" i="174"/>
  <c r="L10" i="174"/>
  <c r="L17" i="174"/>
  <c r="L7" i="160"/>
  <c r="L25" i="160"/>
  <c r="O35" i="161"/>
  <c r="O31" i="161"/>
  <c r="O10" i="161"/>
  <c r="O34" i="161"/>
  <c r="O22" i="161"/>
  <c r="O11" i="161"/>
  <c r="O19" i="161"/>
  <c r="O7" i="161"/>
  <c r="O8" i="161"/>
  <c r="O13" i="161"/>
  <c r="O20" i="161"/>
  <c r="O14" i="161"/>
  <c r="O17" i="161"/>
  <c r="O28" i="161"/>
  <c r="O25" i="161"/>
  <c r="O16" i="161"/>
  <c r="O26" i="161"/>
  <c r="O29" i="161"/>
  <c r="O9" i="161"/>
  <c r="O18" i="161"/>
  <c r="O27" i="161"/>
  <c r="O36" i="161"/>
  <c r="O15" i="161"/>
  <c r="O23" i="161"/>
  <c r="O12" i="161"/>
  <c r="O30" i="161"/>
  <c r="O21" i="161"/>
  <c r="U11" i="172"/>
  <c r="U21" i="172"/>
  <c r="U9" i="172"/>
  <c r="U30" i="172"/>
  <c r="U20" i="172"/>
  <c r="U29" i="172"/>
  <c r="U13" i="172"/>
  <c r="U10" i="172"/>
  <c r="U14" i="172"/>
  <c r="U34" i="172"/>
  <c r="U15" i="172"/>
  <c r="U23" i="172"/>
  <c r="U31" i="172"/>
  <c r="U31" i="174" s="1"/>
  <c r="U24" i="172"/>
  <c r="U35" i="172"/>
  <c r="U25" i="172"/>
  <c r="U27" i="172"/>
  <c r="U28" i="172"/>
  <c r="U26" i="172"/>
  <c r="U22" i="172"/>
  <c r="U32" i="172"/>
  <c r="U19" i="172"/>
  <c r="U12" i="172"/>
  <c r="U16" i="172"/>
  <c r="U8" i="172"/>
  <c r="U7" i="172"/>
  <c r="U36" i="172"/>
  <c r="O32" i="161"/>
  <c r="M37" i="154"/>
  <c r="H27" i="174"/>
  <c r="H11" i="174"/>
  <c r="U27" i="156"/>
  <c r="U23" i="156"/>
  <c r="U36" i="156"/>
  <c r="U15" i="156"/>
  <c r="U33" i="156"/>
  <c r="U26" i="156"/>
  <c r="U18" i="156"/>
  <c r="U8" i="156"/>
  <c r="U20" i="156"/>
  <c r="U20" i="160" s="1"/>
  <c r="U21" i="156"/>
  <c r="U12" i="156"/>
  <c r="U16" i="156"/>
  <c r="U29" i="156"/>
  <c r="U17" i="156"/>
  <c r="U13" i="156"/>
  <c r="U35" i="156"/>
  <c r="U32" i="156"/>
  <c r="U30" i="156"/>
  <c r="U34" i="156"/>
  <c r="U11" i="156"/>
  <c r="U36" i="163"/>
  <c r="H37" i="169"/>
  <c r="M13" i="157"/>
  <c r="M29" i="157"/>
  <c r="M29" i="160" s="1"/>
  <c r="M10" i="157"/>
  <c r="M12" i="157"/>
  <c r="M24" i="157"/>
  <c r="M26" i="157"/>
  <c r="M25" i="157"/>
  <c r="M17" i="157"/>
  <c r="M17" i="160" s="1"/>
  <c r="M27" i="157"/>
  <c r="M15" i="157"/>
  <c r="M14" i="157"/>
  <c r="M14" i="160" s="1"/>
  <c r="M28" i="157"/>
  <c r="M21" i="157"/>
  <c r="M11" i="157"/>
  <c r="M36" i="157"/>
  <c r="M22" i="157"/>
  <c r="M33" i="157"/>
  <c r="M33" i="160" s="1"/>
  <c r="M12" i="143"/>
  <c r="M16" i="143"/>
  <c r="U31" i="156"/>
  <c r="M30" i="157"/>
  <c r="M20" i="157"/>
  <c r="M20" i="160" s="1"/>
  <c r="U9" i="163"/>
  <c r="O12" i="157"/>
  <c r="O24" i="157"/>
  <c r="O33" i="157"/>
  <c r="O25" i="157"/>
  <c r="O13" i="157"/>
  <c r="O34" i="157"/>
  <c r="O19" i="157"/>
  <c r="O35" i="157"/>
  <c r="O26" i="157"/>
  <c r="O28" i="157"/>
  <c r="O22" i="157"/>
  <c r="O23" i="157"/>
  <c r="O20" i="157"/>
  <c r="M28" i="161"/>
  <c r="M34" i="161"/>
  <c r="M13" i="161"/>
  <c r="M32" i="161"/>
  <c r="M27" i="161"/>
  <c r="M29" i="161"/>
  <c r="M7" i="161"/>
  <c r="M18" i="161"/>
  <c r="M20" i="161"/>
  <c r="M9" i="161"/>
  <c r="M17" i="161"/>
  <c r="M30" i="161"/>
  <c r="M14" i="161"/>
  <c r="M36" i="143"/>
  <c r="M10" i="143"/>
  <c r="H12" i="153"/>
  <c r="U24" i="156"/>
  <c r="M23" i="157"/>
  <c r="M26" i="161"/>
  <c r="O27" i="171"/>
  <c r="O9" i="171"/>
  <c r="U36" i="145"/>
  <c r="U34" i="145"/>
  <c r="O36" i="152"/>
  <c r="O33" i="152"/>
  <c r="O24" i="152"/>
  <c r="O34" i="152"/>
  <c r="O13" i="152"/>
  <c r="O12" i="152"/>
  <c r="O25" i="152"/>
  <c r="O10" i="152"/>
  <c r="O17" i="152"/>
  <c r="H22" i="153"/>
  <c r="M9" i="141"/>
  <c r="U18" i="145"/>
  <c r="M31" i="143"/>
  <c r="H28" i="153"/>
  <c r="H11" i="153"/>
  <c r="M16" i="151"/>
  <c r="M11" i="151"/>
  <c r="O11" i="152"/>
  <c r="H37" i="152"/>
  <c r="O16" i="157"/>
  <c r="O14" i="157"/>
  <c r="M32" i="157"/>
  <c r="O24" i="159"/>
  <c r="M35" i="161"/>
  <c r="H16" i="167"/>
  <c r="M31" i="161"/>
  <c r="M9" i="163"/>
  <c r="U23" i="163"/>
  <c r="U27" i="163"/>
  <c r="U16" i="163"/>
  <c r="M31" i="163"/>
  <c r="M31" i="168"/>
  <c r="M11" i="168"/>
  <c r="U28" i="170"/>
  <c r="H32" i="167"/>
  <c r="U18" i="142"/>
  <c r="U29" i="142"/>
  <c r="U8" i="142"/>
  <c r="U32" i="142"/>
  <c r="U27" i="142"/>
  <c r="U11" i="142"/>
  <c r="U33" i="142"/>
  <c r="U12" i="142"/>
  <c r="U14" i="142"/>
  <c r="U29" i="166"/>
  <c r="U33" i="166"/>
  <c r="U26" i="166"/>
  <c r="U30" i="166"/>
  <c r="U31" i="166"/>
  <c r="U34" i="166"/>
  <c r="U21" i="166"/>
  <c r="U15" i="166"/>
  <c r="U18" i="166"/>
  <c r="U22" i="166"/>
  <c r="U19" i="166"/>
  <c r="U16" i="166"/>
  <c r="U32" i="166"/>
  <c r="U13" i="166"/>
  <c r="U10" i="166"/>
  <c r="U12" i="166"/>
  <c r="U20" i="166"/>
  <c r="U7" i="166"/>
  <c r="U23" i="166"/>
  <c r="U8" i="166"/>
  <c r="U14" i="166"/>
  <c r="U9" i="166"/>
  <c r="U35" i="166"/>
  <c r="U28" i="166"/>
  <c r="U27" i="166"/>
  <c r="U11" i="166"/>
  <c r="U36" i="166"/>
  <c r="H32" i="174"/>
  <c r="H35" i="153"/>
  <c r="U25" i="156"/>
  <c r="U25" i="160" s="1"/>
  <c r="H32" i="153"/>
  <c r="H12" i="174"/>
  <c r="M18" i="143"/>
  <c r="M19" i="143"/>
  <c r="H34" i="160"/>
  <c r="U15" i="163"/>
  <c r="M19" i="163"/>
  <c r="M21" i="163"/>
  <c r="M25" i="163"/>
  <c r="M18" i="163"/>
  <c r="M12" i="163"/>
  <c r="M28" i="163"/>
  <c r="M22" i="163"/>
  <c r="M15" i="163"/>
  <c r="M24" i="163"/>
  <c r="M16" i="163"/>
  <c r="M11" i="163"/>
  <c r="M7" i="163"/>
  <c r="M8" i="163"/>
  <c r="M35" i="163"/>
  <c r="M32" i="163"/>
  <c r="M29" i="163"/>
  <c r="H14" i="153"/>
  <c r="H20" i="153"/>
  <c r="M8" i="151"/>
  <c r="O11" i="157"/>
  <c r="H13" i="167"/>
  <c r="M20" i="163"/>
  <c r="M15" i="168"/>
  <c r="H14" i="174"/>
  <c r="U30" i="169"/>
  <c r="U27" i="169"/>
  <c r="U23" i="169"/>
  <c r="U17" i="169"/>
  <c r="U15" i="169"/>
  <c r="U20" i="169"/>
  <c r="U9" i="169"/>
  <c r="U36" i="169"/>
  <c r="U32" i="169"/>
  <c r="U24" i="169"/>
  <c r="U11" i="169"/>
  <c r="U26" i="169"/>
  <c r="U12" i="169"/>
  <c r="U18" i="169"/>
  <c r="U35" i="169"/>
  <c r="U29" i="169"/>
  <c r="U21" i="169"/>
  <c r="U33" i="169"/>
  <c r="U8" i="169"/>
  <c r="U25" i="169"/>
  <c r="U22" i="169"/>
  <c r="U13" i="169"/>
  <c r="U10" i="169"/>
  <c r="U7" i="169"/>
  <c r="O33" i="170"/>
  <c r="O25" i="170"/>
  <c r="O12" i="170"/>
  <c r="O24" i="170"/>
  <c r="O13" i="170"/>
  <c r="O34" i="170"/>
  <c r="O11" i="170"/>
  <c r="O7" i="170"/>
  <c r="O8" i="170"/>
  <c r="O35" i="170"/>
  <c r="O22" i="170"/>
  <c r="O32" i="170"/>
  <c r="O29" i="170"/>
  <c r="O27" i="170"/>
  <c r="M14" i="141"/>
  <c r="M15" i="141"/>
  <c r="M16" i="141"/>
  <c r="M26" i="143"/>
  <c r="M15" i="143"/>
  <c r="M17" i="141"/>
  <c r="M37" i="141"/>
  <c r="M33" i="143"/>
  <c r="U22" i="145"/>
  <c r="U15" i="145"/>
  <c r="H34" i="153"/>
  <c r="M15" i="151"/>
  <c r="O14" i="152"/>
  <c r="U14" i="156"/>
  <c r="O18" i="157"/>
  <c r="O17" i="157"/>
  <c r="M35" i="157"/>
  <c r="H35" i="167"/>
  <c r="M12" i="161"/>
  <c r="H19" i="167"/>
  <c r="M22" i="161"/>
  <c r="U8" i="163"/>
  <c r="U19" i="163"/>
  <c r="M30" i="163"/>
  <c r="M26" i="163"/>
  <c r="H13" i="174"/>
  <c r="M30" i="168"/>
  <c r="O31" i="170"/>
  <c r="O9" i="170"/>
  <c r="H20" i="167"/>
  <c r="M34" i="150"/>
  <c r="M24" i="150"/>
  <c r="M16" i="150"/>
  <c r="M27" i="150"/>
  <c r="M18" i="150"/>
  <c r="M33" i="150"/>
  <c r="M15" i="150"/>
  <c r="M10" i="150"/>
  <c r="M9" i="150"/>
  <c r="M28" i="150"/>
  <c r="M19" i="150"/>
  <c r="M36" i="150"/>
  <c r="M25" i="150"/>
  <c r="M29" i="150"/>
  <c r="M27" i="162"/>
  <c r="M25" i="162"/>
  <c r="M22" i="162"/>
  <c r="M9" i="162"/>
  <c r="M13" i="162"/>
  <c r="M36" i="162"/>
  <c r="M34" i="162"/>
  <c r="M18" i="162"/>
  <c r="M10" i="162"/>
  <c r="M30" i="162"/>
  <c r="M24" i="162"/>
  <c r="M21" i="162"/>
  <c r="M7" i="162"/>
  <c r="M28" i="162"/>
  <c r="M33" i="162"/>
  <c r="M12" i="162"/>
  <c r="M15" i="162"/>
  <c r="M17" i="162"/>
  <c r="M14" i="162"/>
  <c r="M16" i="162"/>
  <c r="M19" i="162"/>
  <c r="M35" i="162"/>
  <c r="H28" i="160"/>
  <c r="H36" i="174"/>
  <c r="H19" i="153"/>
  <c r="H18" i="160"/>
  <c r="H24" i="153"/>
  <c r="H10" i="160"/>
  <c r="U9" i="156"/>
  <c r="H18" i="167"/>
  <c r="O35" i="159"/>
  <c r="O19" i="159"/>
  <c r="O13" i="159"/>
  <c r="O10" i="159"/>
  <c r="O7" i="159"/>
  <c r="O28" i="159"/>
  <c r="O22" i="159"/>
  <c r="O16" i="159"/>
  <c r="O34" i="159"/>
  <c r="O25" i="159"/>
  <c r="O31" i="159"/>
  <c r="O12" i="159"/>
  <c r="O27" i="159"/>
  <c r="O36" i="159"/>
  <c r="O18" i="159"/>
  <c r="O30" i="159"/>
  <c r="O8" i="159"/>
  <c r="O17" i="159"/>
  <c r="O26" i="159"/>
  <c r="R2" i="171"/>
  <c r="R2" i="175"/>
  <c r="R2" i="167"/>
  <c r="R2" i="162"/>
  <c r="R2" i="173"/>
  <c r="R2" i="169"/>
  <c r="R2" i="164"/>
  <c r="R2" i="159"/>
  <c r="R2" i="168"/>
  <c r="R2" i="155"/>
  <c r="R2" i="160"/>
  <c r="R2" i="147"/>
  <c r="R2" i="172"/>
  <c r="R2" i="148"/>
  <c r="R2" i="153"/>
  <c r="R2" i="156"/>
  <c r="R2" i="154"/>
  <c r="R2" i="152"/>
  <c r="R2" i="150"/>
  <c r="R2" i="174"/>
  <c r="R2" i="158"/>
  <c r="R2" i="166"/>
  <c r="R3" i="141"/>
  <c r="R19" i="141" s="1"/>
  <c r="R2" i="151"/>
  <c r="R2" i="161"/>
  <c r="R2" i="144"/>
  <c r="R2" i="142"/>
  <c r="R2" i="163"/>
  <c r="R2" i="170"/>
  <c r="R2" i="149"/>
  <c r="R2" i="165"/>
  <c r="R2" i="145"/>
  <c r="R2" i="157"/>
  <c r="R2" i="143"/>
  <c r="M24" i="151"/>
  <c r="M28" i="151"/>
  <c r="M13" i="151"/>
  <c r="M9" i="151"/>
  <c r="M27" i="151"/>
  <c r="M30" i="151"/>
  <c r="M12" i="151"/>
  <c r="M25" i="151"/>
  <c r="M10" i="151"/>
  <c r="M33" i="151"/>
  <c r="M31" i="151"/>
  <c r="M20" i="151"/>
  <c r="M36" i="151"/>
  <c r="M34" i="168"/>
  <c r="M13" i="168"/>
  <c r="M24" i="168"/>
  <c r="M25" i="168"/>
  <c r="M33" i="168"/>
  <c r="M20" i="168"/>
  <c r="M17" i="168"/>
  <c r="M16" i="168"/>
  <c r="M8" i="168"/>
  <c r="M10" i="168"/>
  <c r="M19" i="168"/>
  <c r="M9" i="168"/>
  <c r="M27" i="168"/>
  <c r="M28" i="168"/>
  <c r="M7" i="168"/>
  <c r="M29" i="143"/>
  <c r="M9" i="143"/>
  <c r="M13" i="143"/>
  <c r="H31" i="153"/>
  <c r="H7" i="153"/>
  <c r="H13" i="160"/>
  <c r="M34" i="157"/>
  <c r="O32" i="157"/>
  <c r="O32" i="159"/>
  <c r="H33" i="167"/>
  <c r="M24" i="161"/>
  <c r="U31" i="163"/>
  <c r="M27" i="163"/>
  <c r="M18" i="168"/>
  <c r="M26" i="168"/>
  <c r="O16" i="170"/>
  <c r="O18" i="170"/>
  <c r="H10" i="174"/>
  <c r="O21" i="158"/>
  <c r="O29" i="158"/>
  <c r="O36" i="158"/>
  <c r="O34" i="158"/>
  <c r="O26" i="158"/>
  <c r="O27" i="158"/>
  <c r="O22" i="158"/>
  <c r="O17" i="158"/>
  <c r="O19" i="158"/>
  <c r="O33" i="158"/>
  <c r="O14" i="158"/>
  <c r="O7" i="158"/>
  <c r="O25" i="158"/>
  <c r="O11" i="158"/>
  <c r="O30" i="158"/>
  <c r="M36" i="171"/>
  <c r="M13" i="171"/>
  <c r="M18" i="171"/>
  <c r="M31" i="171"/>
  <c r="M28" i="171"/>
  <c r="M34" i="171"/>
  <c r="M21" i="171"/>
  <c r="M12" i="171"/>
  <c r="M27" i="171"/>
  <c r="M7" i="171"/>
  <c r="M30" i="171"/>
  <c r="M22" i="171"/>
  <c r="M25" i="171"/>
  <c r="M24" i="171"/>
  <c r="M20" i="171"/>
  <c r="M17" i="171"/>
  <c r="M9" i="171"/>
  <c r="M8" i="171"/>
  <c r="M33" i="171"/>
  <c r="M10" i="171"/>
  <c r="M27" i="143"/>
  <c r="H30" i="153"/>
  <c r="M26" i="151"/>
  <c r="O26" i="152"/>
  <c r="O28" i="152"/>
  <c r="H21" i="160"/>
  <c r="H9" i="160"/>
  <c r="U7" i="156"/>
  <c r="O28" i="158"/>
  <c r="O18" i="158"/>
  <c r="M36" i="161"/>
  <c r="U12" i="163"/>
  <c r="U34" i="163"/>
  <c r="M33" i="163"/>
  <c r="U25" i="166"/>
  <c r="M29" i="168"/>
  <c r="U19" i="169"/>
  <c r="O20" i="170"/>
  <c r="M23" i="171"/>
  <c r="H11" i="167"/>
  <c r="U26" i="162"/>
  <c r="U30" i="162"/>
  <c r="U23" i="162"/>
  <c r="U24" i="162"/>
  <c r="U32" i="162"/>
  <c r="U14" i="162"/>
  <c r="U36" i="162"/>
  <c r="U27" i="162"/>
  <c r="U21" i="162"/>
  <c r="U34" i="162"/>
  <c r="U12" i="162"/>
  <c r="U35" i="162"/>
  <c r="U25" i="162"/>
  <c r="U17" i="162"/>
  <c r="U20" i="162"/>
  <c r="U22" i="162"/>
  <c r="U19" i="162"/>
  <c r="H24" i="174"/>
  <c r="O28" i="162"/>
  <c r="O13" i="162"/>
  <c r="O22" i="162"/>
  <c r="O10" i="162"/>
  <c r="O7" i="162"/>
  <c r="O21" i="162"/>
  <c r="O34" i="162"/>
  <c r="O36" i="162"/>
  <c r="O24" i="162"/>
  <c r="O27" i="162"/>
  <c r="O25" i="162"/>
  <c r="O18" i="162"/>
  <c r="O33" i="162"/>
  <c r="O30" i="162"/>
  <c r="O9" i="162"/>
  <c r="O15" i="162"/>
  <c r="O12" i="162"/>
  <c r="O14" i="162"/>
  <c r="O11" i="162"/>
  <c r="O35" i="162"/>
  <c r="O16" i="162"/>
  <c r="O32" i="162"/>
  <c r="M24" i="144"/>
  <c r="M8" i="144"/>
  <c r="M18" i="144"/>
  <c r="M22" i="144"/>
  <c r="M19" i="144"/>
  <c r="M21" i="144"/>
  <c r="M35" i="159"/>
  <c r="M31" i="159"/>
  <c r="M25" i="159"/>
  <c r="M16" i="159"/>
  <c r="M28" i="159"/>
  <c r="M22" i="159"/>
  <c r="M10" i="159"/>
  <c r="M7" i="159"/>
  <c r="M19" i="159"/>
  <c r="M34" i="159"/>
  <c r="M13" i="159"/>
  <c r="M36" i="159"/>
  <c r="M9" i="159"/>
  <c r="M18" i="159"/>
  <c r="M21" i="159"/>
  <c r="M11" i="159"/>
  <c r="M23" i="159"/>
  <c r="M24" i="159"/>
  <c r="M36" i="172"/>
  <c r="M25" i="172"/>
  <c r="M30" i="172"/>
  <c r="M27" i="172"/>
  <c r="M21" i="172"/>
  <c r="M12" i="172"/>
  <c r="M34" i="172"/>
  <c r="M22" i="172"/>
  <c r="M19" i="172"/>
  <c r="M28" i="172"/>
  <c r="M7" i="172"/>
  <c r="M33" i="172"/>
  <c r="M18" i="172"/>
  <c r="M13" i="172"/>
  <c r="M24" i="172"/>
  <c r="M31" i="172"/>
  <c r="M35" i="172"/>
  <c r="M32" i="172"/>
  <c r="M15" i="172"/>
  <c r="M23" i="172"/>
  <c r="M20" i="172"/>
  <c r="M17" i="172"/>
  <c r="M10" i="172"/>
  <c r="H13" i="153"/>
  <c r="U24" i="163"/>
  <c r="U32" i="163"/>
  <c r="U25" i="163"/>
  <c r="U35" i="163"/>
  <c r="U30" i="163"/>
  <c r="U29" i="163"/>
  <c r="U22" i="163"/>
  <c r="U13" i="163"/>
  <c r="U14" i="163"/>
  <c r="U10" i="163"/>
  <c r="U20" i="163"/>
  <c r="U26" i="163"/>
  <c r="U18" i="163"/>
  <c r="U17" i="163"/>
  <c r="U7" i="163"/>
  <c r="H31" i="160"/>
  <c r="U28" i="156"/>
  <c r="U28" i="160" s="1"/>
  <c r="M32" i="143"/>
  <c r="M20" i="143"/>
  <c r="H33" i="153"/>
  <c r="H22" i="167"/>
  <c r="U28" i="163"/>
  <c r="O36" i="171"/>
  <c r="O25" i="171"/>
  <c r="O31" i="171"/>
  <c r="O28" i="171"/>
  <c r="O23" i="171"/>
  <c r="O14" i="171"/>
  <c r="O32" i="171"/>
  <c r="O7" i="171"/>
  <c r="O26" i="171"/>
  <c r="O22" i="171"/>
  <c r="O29" i="171"/>
  <c r="O10" i="171"/>
  <c r="O8" i="171"/>
  <c r="O17" i="171"/>
  <c r="O11" i="171"/>
  <c r="O35" i="171"/>
  <c r="O19" i="171"/>
  <c r="O13" i="171"/>
  <c r="O34" i="171"/>
  <c r="O20" i="171"/>
  <c r="O16" i="171"/>
  <c r="M7" i="151"/>
  <c r="M23" i="151"/>
  <c r="H11" i="160"/>
  <c r="H25" i="167"/>
  <c r="U33" i="163"/>
  <c r="M21" i="168"/>
  <c r="U16" i="169"/>
  <c r="O17" i="170"/>
  <c r="O33" i="171"/>
  <c r="O24" i="171"/>
  <c r="O15" i="171"/>
  <c r="U35" i="170"/>
  <c r="U21" i="170"/>
  <c r="U27" i="170"/>
  <c r="U23" i="170"/>
  <c r="U29" i="170"/>
  <c r="U36" i="170"/>
  <c r="U17" i="170"/>
  <c r="U11" i="170"/>
  <c r="U33" i="170"/>
  <c r="U30" i="170"/>
  <c r="U12" i="170"/>
  <c r="U24" i="170"/>
  <c r="U18" i="170"/>
  <c r="U26" i="170"/>
  <c r="U8" i="170"/>
  <c r="U20" i="170"/>
  <c r="U9" i="170"/>
  <c r="U14" i="170"/>
  <c r="U32" i="170"/>
  <c r="U15" i="170"/>
  <c r="U16" i="170"/>
  <c r="U13" i="170"/>
  <c r="U34" i="170"/>
  <c r="M21" i="141"/>
  <c r="M26" i="141"/>
  <c r="M14" i="143"/>
  <c r="U29" i="145"/>
  <c r="M24" i="141"/>
  <c r="M29" i="141"/>
  <c r="M23" i="143"/>
  <c r="M30" i="143"/>
  <c r="U16" i="145"/>
  <c r="U26" i="145"/>
  <c r="M25" i="143"/>
  <c r="H23" i="153"/>
  <c r="H16" i="153"/>
  <c r="M34" i="151"/>
  <c r="M22" i="151"/>
  <c r="M29" i="151"/>
  <c r="O31" i="152"/>
  <c r="O29" i="152"/>
  <c r="O27" i="152"/>
  <c r="U10" i="156"/>
  <c r="O10" i="157"/>
  <c r="O12" i="158"/>
  <c r="O11" i="159"/>
  <c r="O15" i="159"/>
  <c r="M32" i="168"/>
  <c r="U28" i="169"/>
  <c r="H37" i="170"/>
  <c r="O23" i="170"/>
  <c r="M26" i="171"/>
  <c r="H15" i="174"/>
  <c r="U23" i="168"/>
  <c r="U36" i="168"/>
  <c r="U9" i="168"/>
  <c r="U24" i="168"/>
  <c r="U17" i="168"/>
  <c r="U26" i="168"/>
  <c r="U20" i="168"/>
  <c r="U8" i="168"/>
  <c r="U21" i="168"/>
  <c r="U15" i="168"/>
  <c r="U32" i="168"/>
  <c r="U33" i="168"/>
  <c r="U30" i="168"/>
  <c r="U35" i="168"/>
  <c r="U27" i="168"/>
  <c r="U29" i="168"/>
  <c r="U14" i="168"/>
  <c r="U11" i="168"/>
  <c r="U18" i="168"/>
  <c r="U12" i="168"/>
  <c r="U25" i="168"/>
  <c r="U22" i="168"/>
  <c r="U13" i="168"/>
  <c r="U10" i="168"/>
  <c r="U7" i="168"/>
  <c r="O35" i="164"/>
  <c r="O28" i="164"/>
  <c r="O10" i="164"/>
  <c r="O22" i="164"/>
  <c r="O16" i="164"/>
  <c r="O31" i="164"/>
  <c r="O34" i="164"/>
  <c r="O19" i="164"/>
  <c r="O7" i="164"/>
  <c r="O13" i="164"/>
  <c r="O25" i="164"/>
  <c r="O11" i="164"/>
  <c r="O20" i="164"/>
  <c r="O29" i="164"/>
  <c r="O24" i="164"/>
  <c r="O14" i="164"/>
  <c r="O23" i="164"/>
  <c r="O32" i="164"/>
  <c r="O12" i="164"/>
  <c r="O30" i="164"/>
  <c r="M35" i="166"/>
  <c r="M36" i="166"/>
  <c r="M26" i="166"/>
  <c r="M28" i="166"/>
  <c r="M24" i="166"/>
  <c r="M11" i="166"/>
  <c r="M12" i="166"/>
  <c r="M9" i="166"/>
  <c r="M8" i="166"/>
  <c r="M17" i="166"/>
  <c r="M18" i="166"/>
  <c r="M20" i="166"/>
  <c r="M32" i="166"/>
  <c r="M21" i="166"/>
  <c r="M7" i="166"/>
  <c r="M14" i="166"/>
  <c r="M31" i="166"/>
  <c r="M13" i="166"/>
  <c r="M29" i="166"/>
  <c r="M33" i="166"/>
  <c r="M19" i="166"/>
  <c r="M25" i="166"/>
  <c r="M15" i="166"/>
  <c r="M22" i="166"/>
  <c r="M23" i="166"/>
  <c r="M13" i="170"/>
  <c r="M33" i="170"/>
  <c r="M35" i="170"/>
  <c r="M34" i="170"/>
  <c r="M26" i="170"/>
  <c r="M23" i="170"/>
  <c r="M18" i="170"/>
  <c r="M20" i="170"/>
  <c r="M19" i="170"/>
  <c r="H10" i="153"/>
  <c r="H14" i="160"/>
  <c r="H29" i="167"/>
  <c r="H28" i="167"/>
  <c r="U36" i="157"/>
  <c r="U18" i="157"/>
  <c r="U24" i="157"/>
  <c r="U14" i="157"/>
  <c r="U9" i="157"/>
  <c r="U32" i="157"/>
  <c r="U8" i="157"/>
  <c r="U15" i="157"/>
  <c r="U11" i="157"/>
  <c r="U23" i="157"/>
  <c r="U33" i="157"/>
  <c r="U35" i="157"/>
  <c r="U17" i="157"/>
  <c r="U26" i="157"/>
  <c r="U27" i="157"/>
  <c r="U12" i="157"/>
  <c r="M12" i="152"/>
  <c r="M13" i="152"/>
  <c r="H36" i="153"/>
  <c r="H8" i="160"/>
  <c r="H33" i="160"/>
  <c r="H17" i="160"/>
  <c r="H37" i="158"/>
  <c r="H27" i="167"/>
  <c r="H31" i="167"/>
  <c r="H37" i="166"/>
  <c r="H19" i="174"/>
  <c r="M18" i="173"/>
  <c r="M11" i="173"/>
  <c r="M19" i="173"/>
  <c r="U20" i="161"/>
  <c r="U8" i="161"/>
  <c r="U14" i="161"/>
  <c r="U12" i="161"/>
  <c r="U24" i="161"/>
  <c r="U23" i="161"/>
  <c r="U29" i="161"/>
  <c r="U21" i="161"/>
  <c r="U17" i="161"/>
  <c r="U36" i="161"/>
  <c r="U27" i="161"/>
  <c r="U9" i="161"/>
  <c r="U33" i="161"/>
  <c r="U26" i="161"/>
  <c r="U15" i="161"/>
  <c r="U18" i="161"/>
  <c r="U30" i="161"/>
  <c r="U32" i="173"/>
  <c r="U36" i="173"/>
  <c r="U23" i="173"/>
  <c r="U35" i="173"/>
  <c r="U12" i="173"/>
  <c r="U20" i="173"/>
  <c r="U15" i="173"/>
  <c r="U30" i="173"/>
  <c r="U33" i="173"/>
  <c r="U18" i="173"/>
  <c r="U17" i="173"/>
  <c r="H7" i="174"/>
  <c r="O27" i="172"/>
  <c r="O16" i="172"/>
  <c r="O18" i="172"/>
  <c r="O15" i="172"/>
  <c r="O24" i="172"/>
  <c r="O33" i="172"/>
  <c r="O25" i="172"/>
  <c r="O12" i="172"/>
  <c r="O36" i="172"/>
  <c r="O13" i="172"/>
  <c r="O7" i="172"/>
  <c r="O19" i="172"/>
  <c r="O28" i="172"/>
  <c r="O34" i="172"/>
  <c r="M30" i="158"/>
  <c r="M22" i="158"/>
  <c r="M19" i="158"/>
  <c r="M16" i="158"/>
  <c r="M24" i="158"/>
  <c r="M31" i="158"/>
  <c r="M13" i="158"/>
  <c r="M7" i="158"/>
  <c r="M36" i="158"/>
  <c r="M28" i="158"/>
  <c r="M10" i="158"/>
  <c r="M18" i="158"/>
  <c r="M27" i="158"/>
  <c r="M34" i="158"/>
  <c r="M15" i="158"/>
  <c r="M25" i="158"/>
  <c r="M12" i="158"/>
  <c r="M16" i="156"/>
  <c r="M31" i="156"/>
  <c r="M18" i="156"/>
  <c r="M13" i="156"/>
  <c r="M33" i="169"/>
  <c r="M34" i="169"/>
  <c r="M24" i="169"/>
  <c r="M25" i="169"/>
  <c r="M13" i="169"/>
  <c r="H26" i="153"/>
  <c r="H7" i="160"/>
  <c r="H20" i="160"/>
  <c r="H37" i="157"/>
  <c r="H37" i="159"/>
  <c r="H34" i="167"/>
  <c r="H22" i="174"/>
  <c r="U35" i="164"/>
  <c r="U36" i="164"/>
  <c r="U14" i="164"/>
  <c r="O36" i="148"/>
  <c r="O10" i="148"/>
  <c r="O32" i="148"/>
  <c r="O22" i="148"/>
  <c r="O8" i="148"/>
  <c r="O31" i="148"/>
  <c r="O19" i="148"/>
  <c r="O20" i="148"/>
  <c r="O16" i="148"/>
  <c r="O14" i="148"/>
  <c r="O23" i="148"/>
  <c r="O17" i="148"/>
  <c r="O34" i="148"/>
  <c r="O29" i="148"/>
  <c r="O25" i="148"/>
  <c r="O28" i="148"/>
  <c r="O26" i="148"/>
  <c r="O35" i="148"/>
  <c r="O11" i="148"/>
  <c r="O7" i="148"/>
  <c r="O13" i="148"/>
  <c r="O35" i="165"/>
  <c r="O19" i="165"/>
  <c r="O34" i="165"/>
  <c r="O28" i="165"/>
  <c r="O25" i="165"/>
  <c r="O13" i="165"/>
  <c r="O31" i="165"/>
  <c r="O22" i="165"/>
  <c r="O7" i="165"/>
  <c r="O10" i="165"/>
  <c r="O16" i="165"/>
  <c r="M36" i="149"/>
  <c r="M27" i="149"/>
  <c r="M13" i="149"/>
  <c r="M31" i="149"/>
  <c r="M12" i="149"/>
  <c r="M28" i="149"/>
  <c r="M19" i="149"/>
  <c r="M10" i="149"/>
  <c r="M33" i="149"/>
  <c r="M25" i="149"/>
  <c r="M22" i="149"/>
  <c r="M34" i="149"/>
  <c r="M21" i="149"/>
  <c r="M9" i="149"/>
  <c r="M24" i="149"/>
  <c r="M15" i="149"/>
  <c r="M30" i="149"/>
  <c r="M18" i="149"/>
  <c r="M7" i="149"/>
  <c r="M16" i="149"/>
  <c r="M25" i="164"/>
  <c r="M13" i="164"/>
  <c r="M30" i="164"/>
  <c r="M12" i="164"/>
  <c r="M9" i="164"/>
  <c r="M28" i="164"/>
  <c r="M10" i="164"/>
  <c r="M27" i="164"/>
  <c r="M33" i="164"/>
  <c r="M31" i="164"/>
  <c r="H15" i="160"/>
  <c r="H16" i="160"/>
  <c r="H29" i="160"/>
  <c r="H12" i="167"/>
  <c r="H17" i="167"/>
  <c r="H7" i="167"/>
  <c r="H37" i="168"/>
  <c r="H9" i="174"/>
  <c r="H31" i="174"/>
  <c r="H29" i="174"/>
  <c r="H16" i="174"/>
  <c r="O25" i="145"/>
  <c r="O22" i="145"/>
  <c r="O7" i="145"/>
  <c r="O10" i="145"/>
  <c r="O34" i="145"/>
  <c r="O36" i="154"/>
  <c r="O25" i="154"/>
  <c r="O23" i="154"/>
  <c r="O26" i="154"/>
  <c r="O34" i="154"/>
  <c r="O32" i="154"/>
  <c r="O29" i="154"/>
  <c r="O8" i="154"/>
  <c r="O31" i="154"/>
  <c r="O16" i="154"/>
  <c r="O14" i="154"/>
  <c r="O11" i="154"/>
  <c r="O35" i="154"/>
  <c r="O22" i="154"/>
  <c r="O19" i="154"/>
  <c r="O7" i="154"/>
  <c r="O10" i="154"/>
  <c r="O17" i="154"/>
  <c r="O13" i="154"/>
  <c r="O28" i="154"/>
  <c r="O20" i="154"/>
  <c r="O35" i="166"/>
  <c r="O28" i="166"/>
  <c r="O34" i="166"/>
  <c r="O22" i="166"/>
  <c r="O25" i="166"/>
  <c r="O16" i="166"/>
  <c r="O13" i="166"/>
  <c r="O19" i="166"/>
  <c r="O7" i="166"/>
  <c r="O31" i="166"/>
  <c r="O10" i="166"/>
  <c r="M31" i="148"/>
  <c r="M34" i="148"/>
  <c r="M24" i="148"/>
  <c r="M13" i="148"/>
  <c r="M22" i="148"/>
  <c r="M19" i="148"/>
  <c r="M9" i="148"/>
  <c r="M36" i="148"/>
  <c r="M27" i="148"/>
  <c r="M16" i="148"/>
  <c r="M12" i="148"/>
  <c r="M18" i="148"/>
  <c r="M21" i="148"/>
  <c r="M15" i="165"/>
  <c r="M10" i="165"/>
  <c r="M21" i="165"/>
  <c r="M16" i="165"/>
  <c r="M12" i="165"/>
  <c r="M9" i="165"/>
  <c r="M25" i="165"/>
  <c r="M28" i="165"/>
  <c r="M22" i="165"/>
  <c r="M13" i="165"/>
  <c r="M24" i="165"/>
  <c r="M19" i="165"/>
  <c r="M18" i="165"/>
  <c r="H15" i="153"/>
  <c r="H19" i="160"/>
  <c r="H32" i="160"/>
  <c r="H10" i="167"/>
  <c r="H21" i="167"/>
  <c r="H18" i="174"/>
  <c r="H34" i="174"/>
  <c r="H21" i="174"/>
  <c r="U33" i="165"/>
  <c r="U32" i="165"/>
  <c r="U26" i="165"/>
  <c r="U36" i="165"/>
  <c r="U29" i="165"/>
  <c r="O36" i="156"/>
  <c r="O31" i="156"/>
  <c r="O11" i="156"/>
  <c r="O29" i="156"/>
  <c r="O25" i="156"/>
  <c r="O28" i="156"/>
  <c r="O22" i="156"/>
  <c r="O19" i="156"/>
  <c r="O35" i="156"/>
  <c r="O8" i="156"/>
  <c r="O17" i="156"/>
  <c r="O23" i="156"/>
  <c r="O20" i="156"/>
  <c r="O26" i="156"/>
  <c r="O7" i="156"/>
  <c r="O34" i="156"/>
  <c r="O32" i="156"/>
  <c r="O10" i="156"/>
  <c r="O13" i="156"/>
  <c r="O14" i="156"/>
  <c r="O16" i="156"/>
  <c r="O36" i="173"/>
  <c r="O32" i="173"/>
  <c r="O20" i="173"/>
  <c r="O29" i="173"/>
  <c r="O14" i="173"/>
  <c r="O7" i="173"/>
  <c r="O8" i="173"/>
  <c r="O25" i="173"/>
  <c r="O26" i="173"/>
  <c r="O35" i="173"/>
  <c r="O17" i="173"/>
  <c r="O10" i="173"/>
  <c r="O13" i="173"/>
  <c r="O28" i="173"/>
  <c r="O31" i="173"/>
  <c r="O23" i="173"/>
  <c r="O16" i="173"/>
  <c r="O34" i="173"/>
  <c r="O11" i="173"/>
  <c r="O22" i="173"/>
  <c r="O19" i="173"/>
  <c r="M34" i="173"/>
  <c r="M31" i="173"/>
  <c r="M13" i="173"/>
  <c r="H29" i="153"/>
  <c r="L37" i="173"/>
  <c r="J37" i="173"/>
  <c r="G37" i="173"/>
  <c r="T37" i="173"/>
  <c r="H37" i="173"/>
  <c r="C37" i="173"/>
  <c r="K37" i="173"/>
  <c r="F37" i="172"/>
  <c r="L37" i="172"/>
  <c r="H37" i="172"/>
  <c r="K37" i="172"/>
  <c r="J37" i="172"/>
  <c r="T37" i="172"/>
  <c r="I37" i="172"/>
  <c r="G37" i="172"/>
  <c r="E37" i="172"/>
  <c r="E37" i="171"/>
  <c r="C37" i="171"/>
  <c r="D37" i="171"/>
  <c r="U37" i="171"/>
  <c r="T37" i="171"/>
  <c r="F37" i="171"/>
  <c r="P37" i="171"/>
  <c r="G37" i="171"/>
  <c r="K37" i="171"/>
  <c r="I37" i="171"/>
  <c r="J37" i="171"/>
  <c r="H37" i="171"/>
  <c r="J37" i="170"/>
  <c r="L37" i="170"/>
  <c r="F37" i="170"/>
  <c r="V37" i="170"/>
  <c r="I37" i="170"/>
  <c r="P37" i="170"/>
  <c r="N37" i="170"/>
  <c r="G37" i="170"/>
  <c r="C37" i="170"/>
  <c r="K37" i="170"/>
  <c r="F37" i="169"/>
  <c r="J37" i="169"/>
  <c r="I37" i="169"/>
  <c r="P37" i="169"/>
  <c r="G37" i="169"/>
  <c r="E37" i="169"/>
  <c r="N37" i="169"/>
  <c r="L37" i="169"/>
  <c r="K37" i="169"/>
  <c r="O37" i="169"/>
  <c r="J37" i="168"/>
  <c r="P37" i="168"/>
  <c r="F37" i="168"/>
  <c r="C37" i="168"/>
  <c r="K37" i="168"/>
  <c r="G37" i="168"/>
  <c r="E37" i="168"/>
  <c r="I37" i="168"/>
  <c r="N37" i="168"/>
  <c r="L37" i="168"/>
  <c r="K37" i="166"/>
  <c r="D37" i="166"/>
  <c r="E37" i="166"/>
  <c r="G37" i="166"/>
  <c r="P37" i="166"/>
  <c r="F37" i="166"/>
  <c r="Q37" i="166"/>
  <c r="N37" i="166"/>
  <c r="D37" i="165"/>
  <c r="L37" i="165"/>
  <c r="K37" i="165"/>
  <c r="C37" i="165"/>
  <c r="E37" i="165"/>
  <c r="J37" i="165"/>
  <c r="H37" i="165"/>
  <c r="I37" i="165"/>
  <c r="N37" i="164"/>
  <c r="L37" i="164"/>
  <c r="D37" i="164"/>
  <c r="H37" i="164"/>
  <c r="E37" i="164"/>
  <c r="K37" i="164"/>
  <c r="T37" i="164"/>
  <c r="C37" i="164"/>
  <c r="J37" i="164"/>
  <c r="J37" i="163"/>
  <c r="O37" i="163"/>
  <c r="H37" i="163"/>
  <c r="C37" i="163"/>
  <c r="E37" i="163"/>
  <c r="I37" i="163"/>
  <c r="F37" i="163"/>
  <c r="D37" i="163"/>
  <c r="L37" i="163"/>
  <c r="N37" i="163"/>
  <c r="T37" i="163"/>
  <c r="K37" i="162"/>
  <c r="G37" i="162"/>
  <c r="H37" i="162"/>
  <c r="D37" i="162"/>
  <c r="I37" i="162"/>
  <c r="V37" i="162"/>
  <c r="P37" i="162"/>
  <c r="T37" i="162"/>
  <c r="F37" i="162"/>
  <c r="I37" i="161"/>
  <c r="L37" i="161"/>
  <c r="C37" i="161"/>
  <c r="J37" i="161"/>
  <c r="G37" i="161"/>
  <c r="H37" i="161"/>
  <c r="K37" i="161"/>
  <c r="T37" i="161"/>
  <c r="P37" i="159"/>
  <c r="L37" i="159"/>
  <c r="C37" i="159"/>
  <c r="F37" i="159"/>
  <c r="K37" i="159"/>
  <c r="N37" i="159"/>
  <c r="T37" i="158"/>
  <c r="N37" i="158"/>
  <c r="C37" i="158"/>
  <c r="P37" i="158"/>
  <c r="K37" i="158"/>
  <c r="I37" i="158"/>
  <c r="J37" i="158"/>
  <c r="Q37" i="158"/>
  <c r="D37" i="158"/>
  <c r="N37" i="157"/>
  <c r="C37" i="157"/>
  <c r="G37" i="157"/>
  <c r="K37" i="157"/>
  <c r="J37" i="157"/>
  <c r="L37" i="157"/>
  <c r="I37" i="157"/>
  <c r="F37" i="157"/>
  <c r="P37" i="157"/>
  <c r="G37" i="156"/>
  <c r="J37" i="156"/>
  <c r="L37" i="156"/>
  <c r="H37" i="156"/>
  <c r="K37" i="156"/>
  <c r="I37" i="156"/>
  <c r="H37" i="155"/>
  <c r="D37" i="155"/>
  <c r="C37" i="155"/>
  <c r="K37" i="155"/>
  <c r="T37" i="155"/>
  <c r="M37" i="155"/>
  <c r="G37" i="155"/>
  <c r="I37" i="155"/>
  <c r="J37" i="155"/>
  <c r="D37" i="154"/>
  <c r="C37" i="154"/>
  <c r="G37" i="154"/>
  <c r="H37" i="154"/>
  <c r="L37" i="154"/>
  <c r="U37" i="154"/>
  <c r="T37" i="154"/>
  <c r="K37" i="154"/>
  <c r="J37" i="154"/>
  <c r="F37" i="152"/>
  <c r="N37" i="152"/>
  <c r="J37" i="152"/>
  <c r="L37" i="152"/>
  <c r="C37" i="152"/>
  <c r="G37" i="152"/>
  <c r="K37" i="152"/>
  <c r="I37" i="152"/>
  <c r="P37" i="152"/>
  <c r="C37" i="151"/>
  <c r="T37" i="151"/>
  <c r="K37" i="151"/>
  <c r="H37" i="151"/>
  <c r="J37" i="151"/>
  <c r="I37" i="151"/>
  <c r="L37" i="151"/>
  <c r="D37" i="151"/>
  <c r="E37" i="151"/>
  <c r="J37" i="150"/>
  <c r="F37" i="150"/>
  <c r="H37" i="150"/>
  <c r="G37" i="150"/>
  <c r="L37" i="150"/>
  <c r="K37" i="150"/>
  <c r="T37" i="150"/>
  <c r="V37" i="150"/>
  <c r="I37" i="149"/>
  <c r="J37" i="149"/>
  <c r="F37" i="149"/>
  <c r="H37" i="149"/>
  <c r="K37" i="149"/>
  <c r="G37" i="149"/>
  <c r="U37" i="149"/>
  <c r="D37" i="149"/>
  <c r="P37" i="149"/>
  <c r="E37" i="149"/>
  <c r="C37" i="149"/>
  <c r="T37" i="149"/>
  <c r="E37" i="148"/>
  <c r="T37" i="148"/>
  <c r="L37" i="148"/>
  <c r="D37" i="148"/>
  <c r="C37" i="148"/>
  <c r="G37" i="148"/>
  <c r="K37" i="148"/>
  <c r="J37" i="148"/>
  <c r="I37" i="148"/>
  <c r="H37" i="148"/>
  <c r="L37" i="147"/>
  <c r="K37" i="147"/>
  <c r="M37" i="147"/>
  <c r="J37" i="147"/>
  <c r="G37" i="147"/>
  <c r="I37" i="147"/>
  <c r="H37" i="147"/>
  <c r="D37" i="145"/>
  <c r="E37" i="145"/>
  <c r="N37" i="145"/>
  <c r="P37" i="145"/>
  <c r="Q37" i="145"/>
  <c r="N37" i="144"/>
  <c r="L37" i="144"/>
  <c r="K37" i="144"/>
  <c r="K37" i="143"/>
  <c r="L37" i="143"/>
  <c r="N37" i="143"/>
  <c r="M37" i="142"/>
  <c r="L37" i="142"/>
  <c r="N37" i="142"/>
  <c r="N38" i="141"/>
  <c r="E38" i="141"/>
  <c r="D38" i="141"/>
  <c r="P38" i="141"/>
  <c r="M37" i="145"/>
  <c r="T37" i="145"/>
  <c r="U37" i="144"/>
  <c r="T37" i="144"/>
  <c r="T37" i="143"/>
  <c r="U37" i="143"/>
  <c r="T37" i="142"/>
  <c r="O38" i="141"/>
  <c r="T38" i="141"/>
  <c r="O27" i="174" l="1"/>
  <c r="O30" i="174"/>
  <c r="S38" i="141"/>
  <c r="S31" i="153"/>
  <c r="V16" i="160"/>
  <c r="S13" i="153"/>
  <c r="V19" i="153"/>
  <c r="V30" i="174"/>
  <c r="V16" i="167"/>
  <c r="V25" i="160"/>
  <c r="V22" i="167"/>
  <c r="V17" i="160"/>
  <c r="V34" i="160"/>
  <c r="V16" i="153"/>
  <c r="V28" i="174"/>
  <c r="V22" i="174"/>
  <c r="U22" i="160"/>
  <c r="V32" i="153"/>
  <c r="V31" i="160"/>
  <c r="O37" i="155"/>
  <c r="M28" i="153"/>
  <c r="U12" i="160"/>
  <c r="M10" i="160"/>
  <c r="O26" i="167"/>
  <c r="O17" i="167"/>
  <c r="O8" i="167"/>
  <c r="L37" i="167"/>
  <c r="BI11" i="176" s="1"/>
  <c r="BI13" i="176" s="1"/>
  <c r="M12" i="153"/>
  <c r="O14" i="160"/>
  <c r="O13" i="153"/>
  <c r="O26" i="153"/>
  <c r="O16" i="153"/>
  <c r="O36" i="153"/>
  <c r="O21" i="160"/>
  <c r="U29" i="160"/>
  <c r="S7" i="167"/>
  <c r="S22" i="167"/>
  <c r="S37" i="151"/>
  <c r="V23" i="167"/>
  <c r="V7" i="160"/>
  <c r="V29" i="160"/>
  <c r="V12" i="174"/>
  <c r="V7" i="174"/>
  <c r="V30" i="160"/>
  <c r="V29" i="174"/>
  <c r="V8" i="167"/>
  <c r="V20" i="160"/>
  <c r="S24" i="153"/>
  <c r="V34" i="153"/>
  <c r="U30" i="153"/>
  <c r="U27" i="153"/>
  <c r="U17" i="153"/>
  <c r="U8" i="153"/>
  <c r="U34" i="153"/>
  <c r="U36" i="153"/>
  <c r="U13" i="153"/>
  <c r="U18" i="153"/>
  <c r="S9" i="167"/>
  <c r="V36" i="167"/>
  <c r="O18" i="153"/>
  <c r="V35" i="160"/>
  <c r="S16" i="174"/>
  <c r="S21" i="167"/>
  <c r="V14" i="153"/>
  <c r="U33" i="153"/>
  <c r="U32" i="153"/>
  <c r="M15" i="160"/>
  <c r="S37" i="163"/>
  <c r="S7" i="160"/>
  <c r="S19" i="160"/>
  <c r="S37" i="145"/>
  <c r="S33" i="174"/>
  <c r="S36" i="160"/>
  <c r="S30" i="174"/>
  <c r="S14" i="174"/>
  <c r="S22" i="174"/>
  <c r="S27" i="174"/>
  <c r="S17" i="174"/>
  <c r="S13" i="174"/>
  <c r="S10" i="174"/>
  <c r="S29" i="167"/>
  <c r="V37" i="142"/>
  <c r="C37" i="160"/>
  <c r="AM4" i="176" s="1"/>
  <c r="AM6" i="176" s="1"/>
  <c r="V37" i="148"/>
  <c r="V34" i="167"/>
  <c r="V9" i="153"/>
  <c r="S17" i="160"/>
  <c r="S33" i="153"/>
  <c r="S17" i="153"/>
  <c r="S20" i="167"/>
  <c r="O15" i="153"/>
  <c r="V28" i="167"/>
  <c r="S27" i="160"/>
  <c r="S34" i="167"/>
  <c r="S12" i="167"/>
  <c r="V18" i="160"/>
  <c r="V9" i="167"/>
  <c r="V26" i="153"/>
  <c r="V22" i="153"/>
  <c r="V37" i="144"/>
  <c r="V16" i="174"/>
  <c r="V26" i="174"/>
  <c r="V33" i="174"/>
  <c r="V37" i="169"/>
  <c r="V36" i="174"/>
  <c r="V37" i="172"/>
  <c r="U25" i="153"/>
  <c r="V13" i="160"/>
  <c r="U19" i="153"/>
  <c r="O37" i="143"/>
  <c r="V14" i="160"/>
  <c r="U28" i="153"/>
  <c r="U15" i="153"/>
  <c r="U37" i="150"/>
  <c r="U37" i="158"/>
  <c r="O37" i="144"/>
  <c r="V20" i="153"/>
  <c r="V18" i="153"/>
  <c r="U19" i="160"/>
  <c r="O37" i="151"/>
  <c r="U14" i="160"/>
  <c r="M9" i="160"/>
  <c r="O24" i="160"/>
  <c r="S20" i="160"/>
  <c r="S34" i="160"/>
  <c r="V37" i="145"/>
  <c r="O26" i="174"/>
  <c r="J37" i="160"/>
  <c r="AO11" i="176" s="1"/>
  <c r="AO13" i="176" s="1"/>
  <c r="S37" i="156"/>
  <c r="S31" i="174"/>
  <c r="S37" i="157"/>
  <c r="S30" i="153"/>
  <c r="S37" i="169"/>
  <c r="V37" i="158"/>
  <c r="V21" i="174"/>
  <c r="M11" i="153"/>
  <c r="V17" i="174"/>
  <c r="O17" i="153"/>
  <c r="I37" i="174"/>
  <c r="BX11" i="176" s="1"/>
  <c r="BX13" i="176" s="1"/>
  <c r="O19" i="153"/>
  <c r="U37" i="164"/>
  <c r="S29" i="174"/>
  <c r="S37" i="165"/>
  <c r="S37" i="149"/>
  <c r="S19" i="153"/>
  <c r="S24" i="174"/>
  <c r="S33" i="160"/>
  <c r="S9" i="160"/>
  <c r="S11" i="153"/>
  <c r="J37" i="167"/>
  <c r="BG11" i="176" s="1"/>
  <c r="BG13" i="176" s="1"/>
  <c r="O27" i="160"/>
  <c r="S32" i="160"/>
  <c r="S29" i="153"/>
  <c r="V30" i="167"/>
  <c r="V37" i="156"/>
  <c r="S14" i="153"/>
  <c r="V37" i="166"/>
  <c r="V18" i="174"/>
  <c r="U34" i="160"/>
  <c r="V27" i="153"/>
  <c r="V37" i="147"/>
  <c r="O22" i="153"/>
  <c r="U12" i="153"/>
  <c r="R11" i="141"/>
  <c r="O32" i="153"/>
  <c r="O25" i="153"/>
  <c r="O24" i="153"/>
  <c r="N37" i="153"/>
  <c r="V17" i="176" s="1"/>
  <c r="V19" i="176" s="1"/>
  <c r="Q37" i="174"/>
  <c r="CA17" i="176" s="1"/>
  <c r="CA19" i="176" s="1"/>
  <c r="S8" i="174"/>
  <c r="J37" i="153"/>
  <c r="W11" i="176" s="1"/>
  <c r="W13" i="176" s="1"/>
  <c r="S23" i="174"/>
  <c r="S31" i="160"/>
  <c r="S18" i="160"/>
  <c r="S9" i="153"/>
  <c r="V24" i="153"/>
  <c r="S35" i="167"/>
  <c r="S37" i="161"/>
  <c r="V26" i="160"/>
  <c r="V17" i="167"/>
  <c r="V11" i="160"/>
  <c r="S35" i="174"/>
  <c r="O30" i="153"/>
  <c r="V37" i="161"/>
  <c r="S27" i="167"/>
  <c r="S37" i="143"/>
  <c r="S15" i="153"/>
  <c r="S26" i="153"/>
  <c r="S32" i="153"/>
  <c r="S24" i="167"/>
  <c r="S25" i="167"/>
  <c r="V38" i="141"/>
  <c r="V37" i="157"/>
  <c r="U38" i="141"/>
  <c r="S8" i="167"/>
  <c r="S28" i="167"/>
  <c r="S23" i="167"/>
  <c r="S37" i="150"/>
  <c r="S37" i="168"/>
  <c r="V25" i="167"/>
  <c r="V37" i="165"/>
  <c r="V31" i="153"/>
  <c r="V37" i="152"/>
  <c r="V10" i="174"/>
  <c r="U10" i="153"/>
  <c r="V14" i="174"/>
  <c r="V15" i="174"/>
  <c r="U37" i="151"/>
  <c r="U37" i="159"/>
  <c r="U37" i="155"/>
  <c r="U7" i="153"/>
  <c r="U31" i="153"/>
  <c r="O37" i="142"/>
  <c r="V31" i="174"/>
  <c r="U30" i="160"/>
  <c r="U37" i="147"/>
  <c r="U22" i="153"/>
  <c r="V37" i="155"/>
  <c r="V33" i="153"/>
  <c r="U23" i="153"/>
  <c r="V24" i="174"/>
  <c r="V37" i="168"/>
  <c r="V20" i="174"/>
  <c r="U20" i="153"/>
  <c r="U16" i="153"/>
  <c r="U21" i="153"/>
  <c r="U26" i="153"/>
  <c r="V8" i="153"/>
  <c r="V25" i="153"/>
  <c r="S37" i="173"/>
  <c r="S37" i="170"/>
  <c r="S12" i="174"/>
  <c r="D37" i="174"/>
  <c r="BX4" i="176" s="1"/>
  <c r="BX6" i="176" s="1"/>
  <c r="U8" i="160"/>
  <c r="M23" i="167"/>
  <c r="U10" i="160"/>
  <c r="M22" i="174"/>
  <c r="O12" i="153"/>
  <c r="U16" i="160"/>
  <c r="I37" i="167"/>
  <c r="BF11" i="176" s="1"/>
  <c r="BF13" i="176" s="1"/>
  <c r="I37" i="153"/>
  <c r="V11" i="176" s="1"/>
  <c r="V13" i="176" s="1"/>
  <c r="S37" i="162"/>
  <c r="S34" i="174"/>
  <c r="S25" i="174"/>
  <c r="S37" i="164"/>
  <c r="V12" i="153"/>
  <c r="V27" i="174"/>
  <c r="S26" i="160"/>
  <c r="S28" i="174"/>
  <c r="T37" i="160"/>
  <c r="AO22" i="176" s="1"/>
  <c r="AO24" i="176" s="1"/>
  <c r="S37" i="172"/>
  <c r="M16" i="153"/>
  <c r="M29" i="174"/>
  <c r="G37" i="167"/>
  <c r="BI4" i="176" s="1"/>
  <c r="BI6" i="176" s="1"/>
  <c r="S7" i="174"/>
  <c r="S10" i="153"/>
  <c r="S23" i="160"/>
  <c r="S20" i="174"/>
  <c r="S21" i="174"/>
  <c r="V25" i="174"/>
  <c r="S32" i="174"/>
  <c r="S32" i="167"/>
  <c r="R28" i="141"/>
  <c r="V37" i="149"/>
  <c r="V37" i="151"/>
  <c r="O23" i="153"/>
  <c r="M35" i="174"/>
  <c r="O27" i="153"/>
  <c r="O15" i="174"/>
  <c r="M26" i="153"/>
  <c r="F37" i="167"/>
  <c r="BH4" i="176" s="1"/>
  <c r="BH6" i="176" s="1"/>
  <c r="O21" i="174"/>
  <c r="M14" i="174"/>
  <c r="K37" i="160"/>
  <c r="AP11" i="176" s="1"/>
  <c r="AP13" i="176" s="1"/>
  <c r="I37" i="160"/>
  <c r="AN11" i="176" s="1"/>
  <c r="AN13" i="176" s="1"/>
  <c r="M20" i="153"/>
  <c r="M17" i="153"/>
  <c r="M32" i="153"/>
  <c r="U11" i="167"/>
  <c r="S37" i="142"/>
  <c r="S37" i="144"/>
  <c r="S8" i="160"/>
  <c r="U9" i="153"/>
  <c r="V14" i="167"/>
  <c r="V19" i="174"/>
  <c r="S18" i="174"/>
  <c r="D37" i="167"/>
  <c r="BF4" i="176" s="1"/>
  <c r="BF6" i="176" s="1"/>
  <c r="M14" i="153"/>
  <c r="V32" i="174"/>
  <c r="V37" i="171"/>
  <c r="S9" i="174"/>
  <c r="S15" i="167"/>
  <c r="V37" i="164"/>
  <c r="V28" i="160"/>
  <c r="R8" i="141"/>
  <c r="U7" i="160"/>
  <c r="S11" i="174"/>
  <c r="V17" i="153"/>
  <c r="V35" i="174"/>
  <c r="V9" i="174"/>
  <c r="V24" i="167"/>
  <c r="S18" i="153"/>
  <c r="S37" i="171"/>
  <c r="S37" i="158"/>
  <c r="S14" i="167"/>
  <c r="R33" i="141"/>
  <c r="R31" i="141"/>
  <c r="M25" i="153"/>
  <c r="O35" i="153"/>
  <c r="O29" i="153"/>
  <c r="O31" i="153"/>
  <c r="O10" i="153"/>
  <c r="M7" i="160"/>
  <c r="M23" i="174"/>
  <c r="M12" i="174"/>
  <c r="M11" i="160"/>
  <c r="M8" i="153"/>
  <c r="M26" i="160"/>
  <c r="U21" i="160"/>
  <c r="G37" i="160"/>
  <c r="AQ4" i="176" s="1"/>
  <c r="AQ6" i="176" s="1"/>
  <c r="G37" i="153"/>
  <c r="Y4" i="176" s="1"/>
  <c r="Y6" i="176" s="1"/>
  <c r="E37" i="160"/>
  <c r="AO4" i="176" s="1"/>
  <c r="AO6" i="176" s="1"/>
  <c r="S37" i="152"/>
  <c r="S20" i="153"/>
  <c r="S16" i="153"/>
  <c r="S13" i="167"/>
  <c r="V37" i="143"/>
  <c r="V21" i="153"/>
  <c r="V36" i="153"/>
  <c r="S8" i="153"/>
  <c r="V12" i="160"/>
  <c r="V13" i="174"/>
  <c r="V23" i="174"/>
  <c r="C37" i="174"/>
  <c r="BW4" i="176" s="1"/>
  <c r="BW6" i="176" s="1"/>
  <c r="V11" i="167"/>
  <c r="V27" i="167"/>
  <c r="V31" i="167"/>
  <c r="S30" i="167"/>
  <c r="V10" i="160"/>
  <c r="V37" i="154"/>
  <c r="D37" i="160"/>
  <c r="AN4" i="176" s="1"/>
  <c r="AN6" i="176" s="1"/>
  <c r="V30" i="153"/>
  <c r="S22" i="153"/>
  <c r="S25" i="153"/>
  <c r="V10" i="167"/>
  <c r="V21" i="167"/>
  <c r="V21" i="160"/>
  <c r="V22" i="160"/>
  <c r="V27" i="160"/>
  <c r="V15" i="160"/>
  <c r="V19" i="167"/>
  <c r="S23" i="153"/>
  <c r="S34" i="153"/>
  <c r="S35" i="160"/>
  <c r="V15" i="167"/>
  <c r="O9" i="153"/>
  <c r="V34" i="174"/>
  <c r="S15" i="174"/>
  <c r="V37" i="163"/>
  <c r="S15" i="160"/>
  <c r="V33" i="160"/>
  <c r="S12" i="153"/>
  <c r="M35" i="153"/>
  <c r="S7" i="153"/>
  <c r="S35" i="153"/>
  <c r="S37" i="159"/>
  <c r="S21" i="153"/>
  <c r="S37" i="148"/>
  <c r="S31" i="167"/>
  <c r="S19" i="167"/>
  <c r="S37" i="166"/>
  <c r="S17" i="167"/>
  <c r="S16" i="167"/>
  <c r="V37" i="159"/>
  <c r="L37" i="153"/>
  <c r="Y11" i="176" s="1"/>
  <c r="Y13" i="176" s="1"/>
  <c r="J37" i="174"/>
  <c r="BY11" i="176" s="1"/>
  <c r="BY13" i="176" s="1"/>
  <c r="P37" i="160"/>
  <c r="AP17" i="176" s="1"/>
  <c r="AP19" i="176" s="1"/>
  <c r="O33" i="153"/>
  <c r="V9" i="160"/>
  <c r="V8" i="160"/>
  <c r="S10" i="160"/>
  <c r="S22" i="160"/>
  <c r="C37" i="153"/>
  <c r="D37" i="153"/>
  <c r="C37" i="167"/>
  <c r="BE4" i="176" s="1"/>
  <c r="BE6" i="176" s="1"/>
  <c r="V7" i="167"/>
  <c r="O31" i="174"/>
  <c r="T37" i="174"/>
  <c r="BY22" i="176" s="1"/>
  <c r="BY24" i="176" s="1"/>
  <c r="K37" i="153"/>
  <c r="X11" i="176" s="1"/>
  <c r="X13" i="176" s="1"/>
  <c r="P37" i="167"/>
  <c r="BH17" i="176" s="1"/>
  <c r="BH19" i="176" s="1"/>
  <c r="P37" i="174"/>
  <c r="BZ17" i="176" s="1"/>
  <c r="BZ19" i="176" s="1"/>
  <c r="N37" i="167"/>
  <c r="BF17" i="176" s="1"/>
  <c r="BF19" i="176" s="1"/>
  <c r="V26" i="167"/>
  <c r="S37" i="154"/>
  <c r="M33" i="167"/>
  <c r="U28" i="174"/>
  <c r="O37" i="158"/>
  <c r="U13" i="167"/>
  <c r="M16" i="174"/>
  <c r="O18" i="160"/>
  <c r="M32" i="160"/>
  <c r="M12" i="160"/>
  <c r="R21" i="141"/>
  <c r="S37" i="147"/>
  <c r="S37" i="155"/>
  <c r="M22" i="153"/>
  <c r="O7" i="153"/>
  <c r="O20" i="153"/>
  <c r="U27" i="174"/>
  <c r="M23" i="153"/>
  <c r="U7" i="167"/>
  <c r="M35" i="160"/>
  <c r="O33" i="167"/>
  <c r="O30" i="160"/>
  <c r="U13" i="160"/>
  <c r="V11" i="174"/>
  <c r="S13" i="160"/>
  <c r="S25" i="160"/>
  <c r="S36" i="153"/>
  <c r="V32" i="167"/>
  <c r="V29" i="167"/>
  <c r="K37" i="167"/>
  <c r="BH11" i="176" s="1"/>
  <c r="BH13" i="176" s="1"/>
  <c r="V37" i="173"/>
  <c r="M18" i="153"/>
  <c r="O15" i="160"/>
  <c r="U10" i="167"/>
  <c r="O21" i="153"/>
  <c r="S36" i="174"/>
  <c r="S28" i="153"/>
  <c r="S16" i="160"/>
  <c r="S28" i="160"/>
  <c r="V23" i="160"/>
  <c r="V24" i="160"/>
  <c r="Q37" i="160"/>
  <c r="AQ17" i="176" s="1"/>
  <c r="AQ19" i="176" s="1"/>
  <c r="S30" i="160"/>
  <c r="M9" i="153"/>
  <c r="O36" i="174"/>
  <c r="U22" i="167"/>
  <c r="M23" i="160"/>
  <c r="M22" i="160"/>
  <c r="Q37" i="167"/>
  <c r="BI17" i="176" s="1"/>
  <c r="BI19" i="176" s="1"/>
  <c r="Q37" i="153"/>
  <c r="Y17" i="176" s="1"/>
  <c r="Y19" i="176" s="1"/>
  <c r="S11" i="160"/>
  <c r="M30" i="153"/>
  <c r="O37" i="165"/>
  <c r="M18" i="160"/>
  <c r="O37" i="157"/>
  <c r="U37" i="163"/>
  <c r="M15" i="167"/>
  <c r="M34" i="153"/>
  <c r="M15" i="153"/>
  <c r="M10" i="153"/>
  <c r="O28" i="153"/>
  <c r="M19" i="160"/>
  <c r="M29" i="153"/>
  <c r="O18" i="174"/>
  <c r="E37" i="174"/>
  <c r="BY4" i="176" s="1"/>
  <c r="BY6" i="176" s="1"/>
  <c r="S36" i="167"/>
  <c r="U35" i="167"/>
  <c r="O25" i="174"/>
  <c r="M24" i="153"/>
  <c r="M33" i="153"/>
  <c r="R15" i="141"/>
  <c r="R23" i="141"/>
  <c r="R22" i="141"/>
  <c r="R24" i="141"/>
  <c r="R32" i="141"/>
  <c r="R25" i="141"/>
  <c r="O32" i="174"/>
  <c r="M21" i="153"/>
  <c r="M27" i="153"/>
  <c r="M31" i="153"/>
  <c r="O11" i="153"/>
  <c r="U24" i="167"/>
  <c r="U11" i="160"/>
  <c r="U7" i="174"/>
  <c r="U14" i="174"/>
  <c r="U16" i="174"/>
  <c r="O17" i="174"/>
  <c r="M21" i="160"/>
  <c r="U19" i="167"/>
  <c r="U32" i="167"/>
  <c r="O33" i="160"/>
  <c r="U31" i="167"/>
  <c r="O9" i="174"/>
  <c r="T37" i="153"/>
  <c r="K37" i="174"/>
  <c r="BZ11" i="176" s="1"/>
  <c r="BZ13" i="176" s="1"/>
  <c r="S24" i="160"/>
  <c r="S14" i="160"/>
  <c r="O37" i="173"/>
  <c r="O37" i="156"/>
  <c r="M37" i="165"/>
  <c r="O37" i="166"/>
  <c r="M37" i="164"/>
  <c r="O37" i="148"/>
  <c r="M37" i="169"/>
  <c r="U29" i="167"/>
  <c r="M37" i="173"/>
  <c r="M37" i="170"/>
  <c r="M37" i="166"/>
  <c r="O37" i="164"/>
  <c r="U30" i="174"/>
  <c r="U17" i="174"/>
  <c r="U37" i="170"/>
  <c r="O35" i="174"/>
  <c r="O10" i="174"/>
  <c r="O28" i="174"/>
  <c r="U25" i="167"/>
  <c r="M36" i="174"/>
  <c r="M34" i="160"/>
  <c r="H37" i="153"/>
  <c r="U11" i="176" s="1"/>
  <c r="M13" i="174"/>
  <c r="M16" i="167"/>
  <c r="O14" i="153"/>
  <c r="O29" i="174"/>
  <c r="O8" i="174"/>
  <c r="O13" i="174"/>
  <c r="O33" i="174"/>
  <c r="M8" i="167"/>
  <c r="U16" i="167"/>
  <c r="M38" i="141"/>
  <c r="M27" i="167"/>
  <c r="M30" i="160"/>
  <c r="M28" i="160"/>
  <c r="U17" i="160"/>
  <c r="U26" i="160"/>
  <c r="U23" i="160"/>
  <c r="O23" i="167"/>
  <c r="U37" i="165"/>
  <c r="O37" i="145"/>
  <c r="M31" i="160"/>
  <c r="M37" i="158"/>
  <c r="O34" i="174"/>
  <c r="H37" i="160"/>
  <c r="AM11" i="176" s="1"/>
  <c r="AM13" i="176" s="1"/>
  <c r="M27" i="174"/>
  <c r="M37" i="150"/>
  <c r="M30" i="174"/>
  <c r="M12" i="167"/>
  <c r="U37" i="145"/>
  <c r="O37" i="170"/>
  <c r="O24" i="174"/>
  <c r="M37" i="163"/>
  <c r="U28" i="167"/>
  <c r="M18" i="167"/>
  <c r="O12" i="160"/>
  <c r="M25" i="160"/>
  <c r="U32" i="160"/>
  <c r="U33" i="160"/>
  <c r="U27" i="160"/>
  <c r="O15" i="167"/>
  <c r="E37" i="153"/>
  <c r="F37" i="174"/>
  <c r="BZ4" i="176" s="1"/>
  <c r="BZ6" i="176" s="1"/>
  <c r="E37" i="167"/>
  <c r="BG4" i="176" s="1"/>
  <c r="O7" i="174"/>
  <c r="O37" i="174" s="1"/>
  <c r="BY17" i="176" s="1"/>
  <c r="BY19" i="176" s="1"/>
  <c r="M37" i="149"/>
  <c r="M19" i="153"/>
  <c r="H37" i="174"/>
  <c r="BW11" i="176" s="1"/>
  <c r="BW13" i="176" s="1"/>
  <c r="O14" i="174"/>
  <c r="M37" i="172"/>
  <c r="O24" i="167"/>
  <c r="O37" i="162"/>
  <c r="U37" i="162"/>
  <c r="M36" i="167"/>
  <c r="O16" i="174"/>
  <c r="U37" i="156"/>
  <c r="M25" i="167"/>
  <c r="O22" i="174"/>
  <c r="O11" i="174"/>
  <c r="O12" i="174"/>
  <c r="M11" i="167"/>
  <c r="U24" i="160"/>
  <c r="M7" i="167"/>
  <c r="M37" i="143"/>
  <c r="U35" i="160"/>
  <c r="U15" i="160"/>
  <c r="O30" i="167"/>
  <c r="O28" i="167"/>
  <c r="O31" i="167"/>
  <c r="P37" i="153"/>
  <c r="X17" i="176" s="1"/>
  <c r="X19" i="176" s="1"/>
  <c r="T37" i="167"/>
  <c r="BG22" i="176" s="1"/>
  <c r="BG24" i="176" s="1"/>
  <c r="F37" i="153"/>
  <c r="N37" i="160"/>
  <c r="AN17" i="176" s="1"/>
  <c r="AN19" i="176" s="1"/>
  <c r="M36" i="153"/>
  <c r="M13" i="153"/>
  <c r="O8" i="160"/>
  <c r="M13" i="160"/>
  <c r="O37" i="172"/>
  <c r="U37" i="173"/>
  <c r="M37" i="152"/>
  <c r="U37" i="157"/>
  <c r="U35" i="174"/>
  <c r="O19" i="174"/>
  <c r="O23" i="174"/>
  <c r="M16" i="160"/>
  <c r="M37" i="144"/>
  <c r="O20" i="174"/>
  <c r="M37" i="171"/>
  <c r="M26" i="174"/>
  <c r="M37" i="151"/>
  <c r="M19" i="167"/>
  <c r="M37" i="162"/>
  <c r="U37" i="169"/>
  <c r="M21" i="167"/>
  <c r="U34" i="167"/>
  <c r="U37" i="142"/>
  <c r="O37" i="152"/>
  <c r="M27" i="160"/>
  <c r="M24" i="160"/>
  <c r="O32" i="167"/>
  <c r="U37" i="172"/>
  <c r="U19" i="174"/>
  <c r="U34" i="174"/>
  <c r="O12" i="167"/>
  <c r="O27" i="167"/>
  <c r="L37" i="174"/>
  <c r="CA11" i="176" s="1"/>
  <c r="CA13" i="176" s="1"/>
  <c r="N37" i="174"/>
  <c r="BX17" i="176" s="1"/>
  <c r="BX19" i="176" s="1"/>
  <c r="F37" i="160"/>
  <c r="AP4" i="176" s="1"/>
  <c r="AP6" i="176" s="1"/>
  <c r="G37" i="174"/>
  <c r="CA4" i="176" s="1"/>
  <c r="CA6" i="176" s="1"/>
  <c r="L37" i="160"/>
  <c r="AQ11" i="176" s="1"/>
  <c r="AQ13" i="176" s="1"/>
  <c r="U13" i="176"/>
  <c r="M7" i="174"/>
  <c r="R32" i="144"/>
  <c r="R23" i="144"/>
  <c r="R31" i="144"/>
  <c r="R34" i="144"/>
  <c r="R13" i="144"/>
  <c r="R10" i="144"/>
  <c r="R7" i="144"/>
  <c r="R28" i="144"/>
  <c r="R11" i="144"/>
  <c r="R8" i="144"/>
  <c r="R14" i="144"/>
  <c r="R19" i="144"/>
  <c r="R26" i="144"/>
  <c r="R20" i="144"/>
  <c r="R17" i="144"/>
  <c r="R18" i="144"/>
  <c r="R36" i="144"/>
  <c r="R35" i="144"/>
  <c r="R21" i="144"/>
  <c r="R27" i="144"/>
  <c r="R30" i="144"/>
  <c r="R22" i="144"/>
  <c r="R24" i="144"/>
  <c r="R16" i="144"/>
  <c r="R9" i="144"/>
  <c r="R25" i="144"/>
  <c r="R12" i="144"/>
  <c r="R29" i="144"/>
  <c r="R33" i="144"/>
  <c r="R15" i="144"/>
  <c r="U24" i="174"/>
  <c r="R36" i="161"/>
  <c r="R35" i="161"/>
  <c r="R32" i="161"/>
  <c r="R29" i="161"/>
  <c r="R23" i="161"/>
  <c r="R19" i="161"/>
  <c r="R7" i="161"/>
  <c r="R16" i="161"/>
  <c r="R13" i="161"/>
  <c r="R31" i="161"/>
  <c r="R20" i="161"/>
  <c r="R14" i="161"/>
  <c r="R26" i="161"/>
  <c r="R11" i="161"/>
  <c r="R8" i="161"/>
  <c r="R34" i="161"/>
  <c r="R17" i="161"/>
  <c r="R22" i="161"/>
  <c r="R25" i="161"/>
  <c r="R10" i="161"/>
  <c r="R28" i="161"/>
  <c r="R12" i="161"/>
  <c r="R24" i="161"/>
  <c r="R18" i="161"/>
  <c r="R30" i="161"/>
  <c r="R33" i="161"/>
  <c r="R21" i="161"/>
  <c r="R15" i="161"/>
  <c r="R9" i="161"/>
  <c r="R27" i="161"/>
  <c r="O35" i="167"/>
  <c r="M18" i="174"/>
  <c r="O14" i="167"/>
  <c r="O31" i="160"/>
  <c r="U18" i="167"/>
  <c r="R30" i="141"/>
  <c r="M37" i="157"/>
  <c r="U15" i="167"/>
  <c r="M19" i="174"/>
  <c r="R24" i="143"/>
  <c r="R28" i="143"/>
  <c r="R29" i="143"/>
  <c r="R21" i="143"/>
  <c r="R25" i="143"/>
  <c r="R14" i="143"/>
  <c r="R22" i="143"/>
  <c r="R12" i="143"/>
  <c r="R36" i="143"/>
  <c r="R18" i="143"/>
  <c r="R11" i="143"/>
  <c r="R19" i="143"/>
  <c r="R26" i="143"/>
  <c r="R30" i="143"/>
  <c r="R16" i="143"/>
  <c r="R15" i="143"/>
  <c r="R9" i="143"/>
  <c r="R20" i="143"/>
  <c r="R35" i="143"/>
  <c r="R23" i="143"/>
  <c r="R13" i="143"/>
  <c r="R10" i="143"/>
  <c r="R7" i="143"/>
  <c r="R17" i="143"/>
  <c r="R31" i="143"/>
  <c r="R33" i="143"/>
  <c r="R34" i="143"/>
  <c r="R8" i="143"/>
  <c r="R27" i="143"/>
  <c r="R32" i="143"/>
  <c r="O37" i="159"/>
  <c r="M37" i="148"/>
  <c r="O29" i="160"/>
  <c r="U26" i="167"/>
  <c r="U10" i="174"/>
  <c r="M10" i="174"/>
  <c r="R36" i="158"/>
  <c r="R22" i="158"/>
  <c r="R8" i="158"/>
  <c r="R31" i="158"/>
  <c r="R28" i="158"/>
  <c r="R13" i="158"/>
  <c r="R35" i="158"/>
  <c r="R20" i="158"/>
  <c r="R29" i="158"/>
  <c r="R19" i="158"/>
  <c r="R11" i="158"/>
  <c r="R16" i="158"/>
  <c r="R10" i="158"/>
  <c r="R25" i="158"/>
  <c r="R17" i="158"/>
  <c r="R23" i="158"/>
  <c r="R32" i="158"/>
  <c r="R14" i="158"/>
  <c r="R34" i="158"/>
  <c r="R7" i="158"/>
  <c r="R26" i="158"/>
  <c r="R18" i="158"/>
  <c r="R24" i="158"/>
  <c r="R9" i="158"/>
  <c r="R27" i="158"/>
  <c r="R30" i="158"/>
  <c r="R33" i="158"/>
  <c r="R12" i="158"/>
  <c r="R15" i="158"/>
  <c r="R21" i="158"/>
  <c r="M13" i="167"/>
  <c r="R26" i="141"/>
  <c r="U32" i="174"/>
  <c r="M7" i="153"/>
  <c r="M24" i="167"/>
  <c r="M8" i="174"/>
  <c r="R31" i="145"/>
  <c r="R36" i="145"/>
  <c r="R23" i="145"/>
  <c r="R35" i="145"/>
  <c r="R7" i="145"/>
  <c r="R16" i="145"/>
  <c r="R29" i="145"/>
  <c r="R34" i="145"/>
  <c r="R28" i="145"/>
  <c r="R20" i="145"/>
  <c r="R32" i="145"/>
  <c r="R14" i="145"/>
  <c r="R13" i="145"/>
  <c r="R8" i="145"/>
  <c r="R26" i="145"/>
  <c r="R25" i="145"/>
  <c r="R17" i="145"/>
  <c r="R22" i="145"/>
  <c r="R10" i="145"/>
  <c r="R11" i="145"/>
  <c r="R19" i="145"/>
  <c r="R21" i="145"/>
  <c r="R24" i="145"/>
  <c r="R9" i="145"/>
  <c r="R27" i="145"/>
  <c r="R30" i="145"/>
  <c r="R33" i="145"/>
  <c r="R12" i="145"/>
  <c r="R15" i="145"/>
  <c r="R18" i="145"/>
  <c r="R32" i="159"/>
  <c r="R8" i="159"/>
  <c r="R15" i="159"/>
  <c r="R12" i="159"/>
  <c r="R21" i="159"/>
  <c r="R11" i="159"/>
  <c r="R29" i="159"/>
  <c r="R23" i="159"/>
  <c r="R14" i="159"/>
  <c r="R17" i="159"/>
  <c r="R35" i="159"/>
  <c r="R16" i="159"/>
  <c r="R9" i="159"/>
  <c r="R36" i="159"/>
  <c r="R13" i="159"/>
  <c r="R27" i="159"/>
  <c r="R24" i="159"/>
  <c r="R34" i="159"/>
  <c r="R20" i="159"/>
  <c r="R33" i="159"/>
  <c r="R26" i="159"/>
  <c r="R28" i="159"/>
  <c r="R30" i="159"/>
  <c r="R31" i="159"/>
  <c r="R18" i="159"/>
  <c r="R25" i="159"/>
  <c r="R19" i="159"/>
  <c r="R7" i="159"/>
  <c r="R22" i="159"/>
  <c r="R10" i="159"/>
  <c r="M31" i="167"/>
  <c r="O37" i="171"/>
  <c r="M34" i="167"/>
  <c r="M36" i="160"/>
  <c r="O18" i="167"/>
  <c r="O7" i="167"/>
  <c r="O11" i="160"/>
  <c r="U23" i="167"/>
  <c r="R20" i="171"/>
  <c r="R28" i="171"/>
  <c r="R32" i="171"/>
  <c r="R18" i="171"/>
  <c r="R25" i="171"/>
  <c r="R14" i="171"/>
  <c r="R21" i="171"/>
  <c r="R16" i="171"/>
  <c r="R33" i="171"/>
  <c r="R13" i="171"/>
  <c r="R29" i="171"/>
  <c r="R10" i="171"/>
  <c r="R30" i="171"/>
  <c r="R8" i="171"/>
  <c r="R26" i="171"/>
  <c r="R12" i="171"/>
  <c r="R27" i="171"/>
  <c r="R24" i="171"/>
  <c r="R17" i="171"/>
  <c r="R34" i="171"/>
  <c r="R35" i="171"/>
  <c r="R31" i="171"/>
  <c r="R23" i="171"/>
  <c r="R11" i="171"/>
  <c r="R15" i="171"/>
  <c r="R22" i="171"/>
  <c r="R19" i="171"/>
  <c r="R7" i="171"/>
  <c r="R36" i="171"/>
  <c r="R9" i="171"/>
  <c r="O8" i="153"/>
  <c r="U30" i="167"/>
  <c r="O20" i="160"/>
  <c r="M9" i="174"/>
  <c r="O28" i="160"/>
  <c r="O34" i="153"/>
  <c r="U14" i="167"/>
  <c r="U23" i="174"/>
  <c r="R35" i="166"/>
  <c r="R31" i="166"/>
  <c r="R23" i="166"/>
  <c r="R34" i="166"/>
  <c r="R13" i="166"/>
  <c r="R10" i="166"/>
  <c r="R8" i="166"/>
  <c r="R19" i="166"/>
  <c r="R22" i="166"/>
  <c r="R25" i="166"/>
  <c r="R36" i="166"/>
  <c r="R11" i="166"/>
  <c r="R15" i="166"/>
  <c r="R27" i="166"/>
  <c r="R24" i="166"/>
  <c r="R21" i="166"/>
  <c r="R28" i="166"/>
  <c r="R17" i="166"/>
  <c r="R16" i="166"/>
  <c r="R9" i="166"/>
  <c r="R20" i="166"/>
  <c r="R32" i="166"/>
  <c r="R26" i="166"/>
  <c r="R30" i="166"/>
  <c r="R12" i="166"/>
  <c r="R33" i="166"/>
  <c r="R14" i="166"/>
  <c r="R29" i="166"/>
  <c r="R18" i="166"/>
  <c r="R7" i="166"/>
  <c r="R36" i="155"/>
  <c r="R19" i="155"/>
  <c r="R32" i="155"/>
  <c r="R28" i="155"/>
  <c r="R20" i="155"/>
  <c r="R7" i="155"/>
  <c r="R25" i="155"/>
  <c r="R16" i="155"/>
  <c r="R8" i="155"/>
  <c r="R31" i="155"/>
  <c r="R23" i="155"/>
  <c r="R34" i="155"/>
  <c r="R22" i="155"/>
  <c r="R13" i="155"/>
  <c r="R10" i="155"/>
  <c r="R26" i="155"/>
  <c r="R35" i="155"/>
  <c r="R11" i="155"/>
  <c r="R17" i="155"/>
  <c r="R14" i="155"/>
  <c r="R29" i="155"/>
  <c r="R18" i="155"/>
  <c r="R30" i="155"/>
  <c r="R24" i="155"/>
  <c r="R27" i="155"/>
  <c r="R12" i="155"/>
  <c r="R33" i="155"/>
  <c r="R15" i="155"/>
  <c r="R21" i="155"/>
  <c r="R9" i="155"/>
  <c r="M32" i="167"/>
  <c r="O36" i="167"/>
  <c r="O13" i="167"/>
  <c r="R20" i="141"/>
  <c r="R17" i="141"/>
  <c r="R37" i="141"/>
  <c r="O13" i="160"/>
  <c r="U8" i="167"/>
  <c r="U33" i="174"/>
  <c r="R36" i="157"/>
  <c r="R8" i="157"/>
  <c r="R28" i="157"/>
  <c r="R13" i="157"/>
  <c r="R32" i="157"/>
  <c r="R14" i="157"/>
  <c r="R20" i="157"/>
  <c r="R31" i="157"/>
  <c r="R7" i="157"/>
  <c r="R19" i="157"/>
  <c r="R29" i="157"/>
  <c r="R22" i="157"/>
  <c r="R17" i="157"/>
  <c r="R10" i="157"/>
  <c r="R25" i="157"/>
  <c r="R34" i="157"/>
  <c r="R16" i="157"/>
  <c r="R26" i="157"/>
  <c r="R35" i="157"/>
  <c r="R23" i="157"/>
  <c r="R11" i="157"/>
  <c r="R21" i="157"/>
  <c r="R9" i="157"/>
  <c r="R27" i="157"/>
  <c r="R24" i="157"/>
  <c r="R12" i="157"/>
  <c r="R33" i="157"/>
  <c r="R15" i="157"/>
  <c r="R18" i="157"/>
  <c r="R30" i="157"/>
  <c r="R36" i="168"/>
  <c r="R22" i="168"/>
  <c r="R31" i="168"/>
  <c r="R23" i="168"/>
  <c r="R19" i="168"/>
  <c r="R16" i="168"/>
  <c r="R25" i="168"/>
  <c r="R32" i="168"/>
  <c r="R29" i="168"/>
  <c r="R17" i="168"/>
  <c r="R35" i="168"/>
  <c r="R28" i="168"/>
  <c r="R26" i="168"/>
  <c r="R20" i="168"/>
  <c r="R14" i="168"/>
  <c r="R7" i="168"/>
  <c r="R34" i="168"/>
  <c r="R11" i="168"/>
  <c r="R8" i="168"/>
  <c r="R10" i="168"/>
  <c r="R13" i="168"/>
  <c r="R21" i="168"/>
  <c r="R9" i="168"/>
  <c r="R27" i="168"/>
  <c r="R12" i="168"/>
  <c r="R30" i="168"/>
  <c r="R24" i="168"/>
  <c r="R33" i="168"/>
  <c r="R15" i="168"/>
  <c r="R18" i="168"/>
  <c r="R29" i="141"/>
  <c r="M37" i="161"/>
  <c r="O17" i="160"/>
  <c r="O32" i="160"/>
  <c r="U33" i="167"/>
  <c r="U20" i="167"/>
  <c r="U13" i="174"/>
  <c r="R18" i="141"/>
  <c r="R35" i="141"/>
  <c r="M37" i="156"/>
  <c r="O10" i="160"/>
  <c r="O34" i="160"/>
  <c r="U9" i="167"/>
  <c r="U22" i="174"/>
  <c r="U15" i="174"/>
  <c r="R36" i="165"/>
  <c r="R25" i="165"/>
  <c r="R26" i="165"/>
  <c r="R17" i="165"/>
  <c r="R35" i="165"/>
  <c r="R34" i="165"/>
  <c r="R14" i="165"/>
  <c r="R7" i="165"/>
  <c r="R22" i="165"/>
  <c r="R8" i="165"/>
  <c r="R28" i="165"/>
  <c r="R11" i="165"/>
  <c r="R23" i="165"/>
  <c r="R29" i="165"/>
  <c r="R13" i="165"/>
  <c r="R10" i="165"/>
  <c r="R31" i="165"/>
  <c r="R32" i="165"/>
  <c r="R20" i="165"/>
  <c r="R16" i="165"/>
  <c r="R19" i="165"/>
  <c r="R15" i="165"/>
  <c r="R33" i="165"/>
  <c r="R21" i="165"/>
  <c r="R27" i="165"/>
  <c r="R9" i="165"/>
  <c r="R30" i="165"/>
  <c r="R12" i="165"/>
  <c r="R18" i="165"/>
  <c r="R24" i="165"/>
  <c r="R36" i="150"/>
  <c r="R26" i="150"/>
  <c r="R20" i="150"/>
  <c r="R10" i="150"/>
  <c r="R19" i="150"/>
  <c r="R28" i="150"/>
  <c r="R34" i="150"/>
  <c r="R35" i="150"/>
  <c r="R29" i="150"/>
  <c r="R22" i="150"/>
  <c r="R16" i="150"/>
  <c r="R11" i="150"/>
  <c r="R8" i="150"/>
  <c r="R14" i="150"/>
  <c r="R32" i="150"/>
  <c r="R17" i="150"/>
  <c r="R25" i="150"/>
  <c r="R23" i="150"/>
  <c r="R31" i="150"/>
  <c r="R7" i="150"/>
  <c r="R13" i="150"/>
  <c r="R27" i="150"/>
  <c r="R24" i="150"/>
  <c r="R9" i="150"/>
  <c r="R15" i="150"/>
  <c r="R12" i="150"/>
  <c r="R30" i="150"/>
  <c r="R33" i="150"/>
  <c r="R18" i="150"/>
  <c r="R21" i="150"/>
  <c r="R36" i="164"/>
  <c r="R31" i="164"/>
  <c r="R20" i="164"/>
  <c r="R8" i="164"/>
  <c r="R34" i="164"/>
  <c r="R32" i="164"/>
  <c r="R29" i="164"/>
  <c r="R17" i="164"/>
  <c r="R19" i="164"/>
  <c r="R26" i="164"/>
  <c r="R22" i="164"/>
  <c r="R10" i="164"/>
  <c r="R13" i="164"/>
  <c r="R11" i="164"/>
  <c r="R23" i="164"/>
  <c r="R28" i="164"/>
  <c r="R7" i="164"/>
  <c r="R16" i="164"/>
  <c r="R14" i="164"/>
  <c r="R35" i="164"/>
  <c r="R25" i="164"/>
  <c r="R15" i="164"/>
  <c r="R27" i="164"/>
  <c r="R9" i="164"/>
  <c r="R21" i="164"/>
  <c r="R33" i="164"/>
  <c r="R18" i="164"/>
  <c r="R12" i="164"/>
  <c r="R24" i="164"/>
  <c r="R30" i="164"/>
  <c r="U37" i="166"/>
  <c r="M14" i="167"/>
  <c r="M28" i="167"/>
  <c r="O37" i="161"/>
  <c r="O9" i="167"/>
  <c r="O19" i="167"/>
  <c r="M24" i="174"/>
  <c r="R36" i="148"/>
  <c r="R20" i="148"/>
  <c r="R11" i="148"/>
  <c r="R23" i="148"/>
  <c r="R16" i="148"/>
  <c r="R34" i="148"/>
  <c r="R7" i="148"/>
  <c r="R32" i="148"/>
  <c r="R17" i="148"/>
  <c r="R10" i="148"/>
  <c r="R8" i="148"/>
  <c r="R28" i="148"/>
  <c r="R19" i="148"/>
  <c r="R35" i="148"/>
  <c r="R22" i="148"/>
  <c r="R31" i="148"/>
  <c r="R26" i="148"/>
  <c r="R13" i="148"/>
  <c r="R29" i="148"/>
  <c r="R14" i="148"/>
  <c r="R25" i="148"/>
  <c r="R9" i="148"/>
  <c r="R21" i="148"/>
  <c r="R33" i="148"/>
  <c r="R12" i="148"/>
  <c r="R24" i="148"/>
  <c r="R15" i="148"/>
  <c r="R27" i="148"/>
  <c r="R18" i="148"/>
  <c r="R30" i="148"/>
  <c r="U29" i="174"/>
  <c r="M28" i="174"/>
  <c r="R36" i="172"/>
  <c r="R23" i="172"/>
  <c r="R14" i="172"/>
  <c r="R10" i="172"/>
  <c r="R8" i="172"/>
  <c r="R28" i="172"/>
  <c r="R32" i="172"/>
  <c r="R19" i="172"/>
  <c r="R13" i="172"/>
  <c r="R16" i="172"/>
  <c r="R7" i="172"/>
  <c r="R20" i="172"/>
  <c r="R17" i="172"/>
  <c r="R31" i="172"/>
  <c r="R29" i="172"/>
  <c r="R35" i="172"/>
  <c r="R34" i="172"/>
  <c r="R22" i="172"/>
  <c r="R11" i="172"/>
  <c r="R25" i="172"/>
  <c r="R26" i="172"/>
  <c r="R15" i="172"/>
  <c r="R33" i="172"/>
  <c r="R21" i="172"/>
  <c r="R24" i="172"/>
  <c r="R27" i="172"/>
  <c r="R30" i="172"/>
  <c r="R12" i="172"/>
  <c r="R9" i="172"/>
  <c r="R18" i="172"/>
  <c r="O16" i="160"/>
  <c r="M34" i="174"/>
  <c r="R36" i="151"/>
  <c r="R34" i="151"/>
  <c r="R32" i="151"/>
  <c r="R29" i="151"/>
  <c r="R26" i="151"/>
  <c r="R19" i="151"/>
  <c r="R14" i="151"/>
  <c r="R16" i="151"/>
  <c r="R10" i="151"/>
  <c r="R25" i="151"/>
  <c r="R35" i="151"/>
  <c r="R17" i="151"/>
  <c r="R11" i="151"/>
  <c r="R7" i="151"/>
  <c r="R28" i="151"/>
  <c r="R13" i="151"/>
  <c r="R20" i="151"/>
  <c r="R8" i="151"/>
  <c r="R31" i="151"/>
  <c r="R22" i="151"/>
  <c r="R23" i="151"/>
  <c r="R30" i="151"/>
  <c r="R12" i="151"/>
  <c r="R18" i="151"/>
  <c r="R24" i="151"/>
  <c r="R9" i="151"/>
  <c r="R21" i="151"/>
  <c r="R33" i="151"/>
  <c r="R15" i="151"/>
  <c r="R27" i="151"/>
  <c r="M37" i="159"/>
  <c r="U36" i="160"/>
  <c r="U12" i="167"/>
  <c r="M10" i="167"/>
  <c r="R34" i="141"/>
  <c r="R27" i="141"/>
  <c r="R10" i="141"/>
  <c r="O7" i="160"/>
  <c r="U21" i="174"/>
  <c r="R36" i="152"/>
  <c r="R10" i="152"/>
  <c r="R8" i="152"/>
  <c r="R28" i="152"/>
  <c r="R23" i="152"/>
  <c r="R20" i="152"/>
  <c r="R32" i="152"/>
  <c r="R29" i="152"/>
  <c r="R11" i="152"/>
  <c r="R31" i="152"/>
  <c r="R19" i="152"/>
  <c r="R35" i="152"/>
  <c r="R16" i="152"/>
  <c r="R7" i="152"/>
  <c r="R13" i="152"/>
  <c r="R17" i="152"/>
  <c r="R25" i="152"/>
  <c r="R22" i="152"/>
  <c r="R14" i="152"/>
  <c r="R26" i="152"/>
  <c r="R34" i="152"/>
  <c r="R18" i="152"/>
  <c r="R12" i="152"/>
  <c r="R21" i="152"/>
  <c r="R30" i="152"/>
  <c r="R24" i="152"/>
  <c r="R9" i="152"/>
  <c r="R27" i="152"/>
  <c r="R33" i="152"/>
  <c r="R15" i="152"/>
  <c r="O29" i="167"/>
  <c r="R13" i="141"/>
  <c r="O23" i="160"/>
  <c r="U12" i="174"/>
  <c r="R36" i="154"/>
  <c r="R26" i="154"/>
  <c r="R35" i="154"/>
  <c r="R28" i="154"/>
  <c r="R29" i="154"/>
  <c r="R17" i="154"/>
  <c r="R16" i="154"/>
  <c r="R22" i="154"/>
  <c r="R7" i="154"/>
  <c r="R19" i="154"/>
  <c r="R31" i="154"/>
  <c r="R20" i="154"/>
  <c r="R10" i="154"/>
  <c r="R8" i="154"/>
  <c r="R32" i="154"/>
  <c r="R25" i="154"/>
  <c r="R13" i="154"/>
  <c r="R34" i="154"/>
  <c r="R11" i="154"/>
  <c r="R14" i="154"/>
  <c r="R23" i="154"/>
  <c r="R18" i="154"/>
  <c r="R30" i="154"/>
  <c r="R9" i="154"/>
  <c r="R21" i="154"/>
  <c r="R33" i="154"/>
  <c r="R12" i="154"/>
  <c r="R24" i="154"/>
  <c r="R27" i="154"/>
  <c r="R15" i="154"/>
  <c r="M11" i="174"/>
  <c r="M17" i="167"/>
  <c r="U9" i="160"/>
  <c r="U37" i="161"/>
  <c r="M37" i="168"/>
  <c r="O22" i="160"/>
  <c r="O25" i="160"/>
  <c r="U17" i="167"/>
  <c r="U18" i="174"/>
  <c r="U20" i="174"/>
  <c r="M32" i="174"/>
  <c r="M33" i="174"/>
  <c r="R36" i="163"/>
  <c r="R17" i="163"/>
  <c r="R26" i="163"/>
  <c r="R35" i="163"/>
  <c r="R19" i="163"/>
  <c r="R31" i="163"/>
  <c r="R20" i="163"/>
  <c r="R14" i="163"/>
  <c r="R34" i="163"/>
  <c r="R28" i="163"/>
  <c r="R23" i="163"/>
  <c r="R29" i="163"/>
  <c r="R13" i="163"/>
  <c r="R11" i="163"/>
  <c r="R32" i="163"/>
  <c r="R16" i="163"/>
  <c r="R10" i="163"/>
  <c r="R25" i="163"/>
  <c r="R22" i="163"/>
  <c r="R7" i="163"/>
  <c r="R8" i="163"/>
  <c r="R9" i="163"/>
  <c r="R27" i="163"/>
  <c r="R15" i="163"/>
  <c r="R33" i="163"/>
  <c r="R21" i="163"/>
  <c r="R24" i="163"/>
  <c r="R30" i="163"/>
  <c r="R12" i="163"/>
  <c r="R18" i="163"/>
  <c r="R36" i="156"/>
  <c r="R29" i="156"/>
  <c r="R23" i="156"/>
  <c r="R32" i="156"/>
  <c r="R26" i="156"/>
  <c r="R20" i="156"/>
  <c r="R17" i="156"/>
  <c r="R14" i="156"/>
  <c r="R7" i="156"/>
  <c r="R25" i="156"/>
  <c r="R28" i="156"/>
  <c r="R31" i="156"/>
  <c r="R13" i="156"/>
  <c r="R10" i="156"/>
  <c r="R34" i="156"/>
  <c r="R22" i="156"/>
  <c r="R8" i="156"/>
  <c r="R35" i="156"/>
  <c r="R11" i="156"/>
  <c r="R16" i="156"/>
  <c r="R19" i="156"/>
  <c r="R18" i="156"/>
  <c r="R30" i="156"/>
  <c r="R12" i="156"/>
  <c r="R24" i="156"/>
  <c r="R27" i="156"/>
  <c r="R15" i="156"/>
  <c r="R33" i="156"/>
  <c r="R21" i="156"/>
  <c r="R9" i="156"/>
  <c r="R36" i="162"/>
  <c r="R29" i="162"/>
  <c r="R23" i="162"/>
  <c r="R24" i="162"/>
  <c r="R28" i="162"/>
  <c r="R34" i="162"/>
  <c r="R9" i="162"/>
  <c r="R14" i="162"/>
  <c r="R22" i="162"/>
  <c r="R17" i="162"/>
  <c r="R7" i="162"/>
  <c r="R33" i="162"/>
  <c r="R8" i="162"/>
  <c r="R30" i="162"/>
  <c r="R25" i="162"/>
  <c r="R26" i="162"/>
  <c r="R12" i="162"/>
  <c r="R16" i="162"/>
  <c r="R15" i="162"/>
  <c r="R19" i="162"/>
  <c r="R20" i="162"/>
  <c r="R18" i="162"/>
  <c r="R32" i="162"/>
  <c r="R10" i="162"/>
  <c r="R27" i="162"/>
  <c r="R31" i="162"/>
  <c r="R11" i="162"/>
  <c r="R13" i="162"/>
  <c r="R21" i="162"/>
  <c r="R35" i="162"/>
  <c r="M22" i="167"/>
  <c r="M35" i="167"/>
  <c r="M26" i="167"/>
  <c r="M9" i="167"/>
  <c r="U18" i="160"/>
  <c r="O16" i="167"/>
  <c r="O34" i="167"/>
  <c r="H37" i="167"/>
  <c r="BE11" i="176" s="1"/>
  <c r="U9" i="174"/>
  <c r="R36" i="147"/>
  <c r="R31" i="147"/>
  <c r="R29" i="147"/>
  <c r="R20" i="147"/>
  <c r="R17" i="147"/>
  <c r="R23" i="147"/>
  <c r="R26" i="147"/>
  <c r="R11" i="147"/>
  <c r="R7" i="147"/>
  <c r="R13" i="147"/>
  <c r="R8" i="147"/>
  <c r="R22" i="147"/>
  <c r="R10" i="147"/>
  <c r="R25" i="147"/>
  <c r="R34" i="147"/>
  <c r="R32" i="147"/>
  <c r="R16" i="147"/>
  <c r="R35" i="147"/>
  <c r="R28" i="147"/>
  <c r="R14" i="147"/>
  <c r="R19" i="147"/>
  <c r="R12" i="147"/>
  <c r="R24" i="147"/>
  <c r="R15" i="147"/>
  <c r="R27" i="147"/>
  <c r="R9" i="147"/>
  <c r="R33" i="147"/>
  <c r="R30" i="147"/>
  <c r="R21" i="147"/>
  <c r="R18" i="147"/>
  <c r="M29" i="167"/>
  <c r="U36" i="174"/>
  <c r="O20" i="167"/>
  <c r="R9" i="141"/>
  <c r="O26" i="160"/>
  <c r="U27" i="167"/>
  <c r="U25" i="174"/>
  <c r="M17" i="174"/>
  <c r="R36" i="149"/>
  <c r="R32" i="149"/>
  <c r="R7" i="149"/>
  <c r="R28" i="149"/>
  <c r="R19" i="149"/>
  <c r="R10" i="149"/>
  <c r="R29" i="149"/>
  <c r="R25" i="149"/>
  <c r="R22" i="149"/>
  <c r="R23" i="149"/>
  <c r="R20" i="149"/>
  <c r="R13" i="149"/>
  <c r="R11" i="149"/>
  <c r="R31" i="149"/>
  <c r="R14" i="149"/>
  <c r="R35" i="149"/>
  <c r="R17" i="149"/>
  <c r="R16" i="149"/>
  <c r="R8" i="149"/>
  <c r="R34" i="149"/>
  <c r="R26" i="149"/>
  <c r="R30" i="149"/>
  <c r="R18" i="149"/>
  <c r="R21" i="149"/>
  <c r="R9" i="149"/>
  <c r="R12" i="149"/>
  <c r="R24" i="149"/>
  <c r="R27" i="149"/>
  <c r="R15" i="149"/>
  <c r="R33" i="149"/>
  <c r="R36" i="169"/>
  <c r="R35" i="169"/>
  <c r="R22" i="169"/>
  <c r="R23" i="169"/>
  <c r="R19" i="169"/>
  <c r="R31" i="169"/>
  <c r="R17" i="169"/>
  <c r="R10" i="169"/>
  <c r="R8" i="169"/>
  <c r="R25" i="169"/>
  <c r="R34" i="169"/>
  <c r="R11" i="169"/>
  <c r="R28" i="169"/>
  <c r="R32" i="169"/>
  <c r="R29" i="169"/>
  <c r="R14" i="169"/>
  <c r="R26" i="169"/>
  <c r="R13" i="169"/>
  <c r="R20" i="169"/>
  <c r="R16" i="169"/>
  <c r="R7" i="169"/>
  <c r="R9" i="169"/>
  <c r="R27" i="169"/>
  <c r="R15" i="169"/>
  <c r="R33" i="169"/>
  <c r="R21" i="169"/>
  <c r="R18" i="169"/>
  <c r="R30" i="169"/>
  <c r="R24" i="169"/>
  <c r="R12" i="169"/>
  <c r="M30" i="167"/>
  <c r="O11" i="167"/>
  <c r="R36" i="141"/>
  <c r="O19" i="160"/>
  <c r="U36" i="167"/>
  <c r="U8" i="174"/>
  <c r="M20" i="174"/>
  <c r="R36" i="170"/>
  <c r="R25" i="170"/>
  <c r="R7" i="170"/>
  <c r="R29" i="170"/>
  <c r="R26" i="170"/>
  <c r="R10" i="170"/>
  <c r="R35" i="170"/>
  <c r="R13" i="170"/>
  <c r="R22" i="170"/>
  <c r="R14" i="170"/>
  <c r="R32" i="170"/>
  <c r="R28" i="170"/>
  <c r="R17" i="170"/>
  <c r="R11" i="170"/>
  <c r="R20" i="170"/>
  <c r="R8" i="170"/>
  <c r="R16" i="170"/>
  <c r="R31" i="170"/>
  <c r="R23" i="170"/>
  <c r="R34" i="170"/>
  <c r="R19" i="170"/>
  <c r="R15" i="170"/>
  <c r="R33" i="170"/>
  <c r="R21" i="170"/>
  <c r="R12" i="170"/>
  <c r="R24" i="170"/>
  <c r="R9" i="170"/>
  <c r="R30" i="170"/>
  <c r="R18" i="170"/>
  <c r="R27" i="170"/>
  <c r="R36" i="173"/>
  <c r="R29" i="173"/>
  <c r="R14" i="173"/>
  <c r="R26" i="173"/>
  <c r="R11" i="173"/>
  <c r="R34" i="173"/>
  <c r="R25" i="173"/>
  <c r="R23" i="173"/>
  <c r="R19" i="173"/>
  <c r="R31" i="173"/>
  <c r="R28" i="173"/>
  <c r="R22" i="173"/>
  <c r="R13" i="173"/>
  <c r="R10" i="173"/>
  <c r="R8" i="173"/>
  <c r="R20" i="173"/>
  <c r="R32" i="173"/>
  <c r="R16" i="173"/>
  <c r="R35" i="173"/>
  <c r="R17" i="173"/>
  <c r="R7" i="173"/>
  <c r="R18" i="173"/>
  <c r="R30" i="173"/>
  <c r="R12" i="173"/>
  <c r="R24" i="173"/>
  <c r="R15" i="173"/>
  <c r="R33" i="173"/>
  <c r="R21" i="173"/>
  <c r="R9" i="173"/>
  <c r="R27" i="173"/>
  <c r="O22" i="167"/>
  <c r="R14" i="141"/>
  <c r="R16" i="141"/>
  <c r="R12" i="141"/>
  <c r="U37" i="168"/>
  <c r="O35" i="160"/>
  <c r="O36" i="160"/>
  <c r="U21" i="167"/>
  <c r="O37" i="154"/>
  <c r="U11" i="174"/>
  <c r="U26" i="174"/>
  <c r="M21" i="174"/>
  <c r="M25" i="174"/>
  <c r="R12" i="142"/>
  <c r="R19" i="142"/>
  <c r="R13" i="142"/>
  <c r="R9" i="142"/>
  <c r="R7" i="142"/>
  <c r="R31" i="142"/>
  <c r="R10" i="142"/>
  <c r="R34" i="142"/>
  <c r="R17" i="142"/>
  <c r="R26" i="142"/>
  <c r="R36" i="142"/>
  <c r="R28" i="142"/>
  <c r="R8" i="142"/>
  <c r="R25" i="142"/>
  <c r="R16" i="142"/>
  <c r="R30" i="142"/>
  <c r="R32" i="142"/>
  <c r="R27" i="142"/>
  <c r="R14" i="142"/>
  <c r="R21" i="142"/>
  <c r="R22" i="142"/>
  <c r="R33" i="142"/>
  <c r="R29" i="142"/>
  <c r="R35" i="142"/>
  <c r="R23" i="142"/>
  <c r="R24" i="142"/>
  <c r="R15" i="142"/>
  <c r="R18" i="142"/>
  <c r="R11" i="142"/>
  <c r="R20" i="142"/>
  <c r="M15" i="174"/>
  <c r="M31" i="174"/>
  <c r="M20" i="167"/>
  <c r="O21" i="167"/>
  <c r="O25" i="167"/>
  <c r="O10" i="167"/>
  <c r="AR38" i="58"/>
  <c r="AQ38" i="58"/>
  <c r="AP38" i="58"/>
  <c r="AO38" i="58"/>
  <c r="AN38" i="58"/>
  <c r="AM38" i="58"/>
  <c r="AL38" i="58"/>
  <c r="AK38" i="58"/>
  <c r="AJ38" i="58"/>
  <c r="AI38" i="58"/>
  <c r="AH38" i="58"/>
  <c r="AG38" i="58"/>
  <c r="AF38" i="58"/>
  <c r="AE38" i="58"/>
  <c r="AD38" i="58"/>
  <c r="AC38" i="58"/>
  <c r="AB38" i="58"/>
  <c r="AA38" i="58"/>
  <c r="Z38" i="58"/>
  <c r="Y38" i="58"/>
  <c r="X38" i="58"/>
  <c r="W38" i="58"/>
  <c r="V37" i="58"/>
  <c r="V36" i="146" s="1"/>
  <c r="U37" i="58"/>
  <c r="U36" i="146" s="1"/>
  <c r="T37" i="58"/>
  <c r="T36" i="146" s="1"/>
  <c r="T36" i="175" s="1"/>
  <c r="S37" i="58"/>
  <c r="S36" i="146" s="1"/>
  <c r="R37" i="58"/>
  <c r="Q37" i="58"/>
  <c r="Q36" i="146" s="1"/>
  <c r="Q36" i="175" s="1"/>
  <c r="P37" i="58"/>
  <c r="P36" i="146" s="1"/>
  <c r="P36" i="175" s="1"/>
  <c r="O37" i="58"/>
  <c r="O36" i="146" s="1"/>
  <c r="N37" i="58"/>
  <c r="N36" i="146" s="1"/>
  <c r="N36" i="175" s="1"/>
  <c r="M37" i="58"/>
  <c r="M36" i="146" s="1"/>
  <c r="L37" i="58"/>
  <c r="L36" i="146" s="1"/>
  <c r="L36" i="175" s="1"/>
  <c r="K37" i="58"/>
  <c r="K36" i="146" s="1"/>
  <c r="K36" i="175" s="1"/>
  <c r="J37" i="58"/>
  <c r="J36" i="146" s="1"/>
  <c r="J36" i="175" s="1"/>
  <c r="I37" i="58"/>
  <c r="I36" i="146" s="1"/>
  <c r="I36" i="175" s="1"/>
  <c r="H37" i="58"/>
  <c r="H36" i="146" s="1"/>
  <c r="H36" i="175" s="1"/>
  <c r="G37" i="58"/>
  <c r="G36" i="146" s="1"/>
  <c r="G36" i="175" s="1"/>
  <c r="F37" i="58"/>
  <c r="F36" i="146" s="1"/>
  <c r="F36" i="175" s="1"/>
  <c r="E37" i="58"/>
  <c r="E36" i="146" s="1"/>
  <c r="E36" i="175" s="1"/>
  <c r="D37" i="58"/>
  <c r="D36" i="146" s="1"/>
  <c r="D36" i="175" s="1"/>
  <c r="C37" i="58"/>
  <c r="C36" i="146" s="1"/>
  <c r="C36" i="175" s="1"/>
  <c r="V36" i="58"/>
  <c r="V35" i="146" s="1"/>
  <c r="V35" i="175" s="1"/>
  <c r="U36" i="58"/>
  <c r="U35" i="146" s="1"/>
  <c r="T36" i="58"/>
  <c r="T35" i="146" s="1"/>
  <c r="T35" i="175" s="1"/>
  <c r="S36" i="58"/>
  <c r="S35" i="146" s="1"/>
  <c r="R36" i="58"/>
  <c r="Q36" i="58"/>
  <c r="Q35" i="146" s="1"/>
  <c r="Q35" i="175" s="1"/>
  <c r="P36" i="58"/>
  <c r="P35" i="146" s="1"/>
  <c r="P35" i="175" s="1"/>
  <c r="O36" i="58"/>
  <c r="O35" i="146" s="1"/>
  <c r="N36" i="58"/>
  <c r="N35" i="146" s="1"/>
  <c r="N35" i="175" s="1"/>
  <c r="M36" i="58"/>
  <c r="M35" i="146" s="1"/>
  <c r="L36" i="58"/>
  <c r="L35" i="146" s="1"/>
  <c r="L35" i="175" s="1"/>
  <c r="K36" i="58"/>
  <c r="K35" i="146" s="1"/>
  <c r="K35" i="175" s="1"/>
  <c r="J36" i="58"/>
  <c r="J35" i="146" s="1"/>
  <c r="J35" i="175" s="1"/>
  <c r="I36" i="58"/>
  <c r="I35" i="146" s="1"/>
  <c r="I35" i="175" s="1"/>
  <c r="H36" i="58"/>
  <c r="H35" i="146" s="1"/>
  <c r="H35" i="175" s="1"/>
  <c r="G36" i="58"/>
  <c r="G35" i="146" s="1"/>
  <c r="G35" i="175" s="1"/>
  <c r="F36" i="58"/>
  <c r="F35" i="146" s="1"/>
  <c r="F35" i="175" s="1"/>
  <c r="E36" i="58"/>
  <c r="E35" i="146" s="1"/>
  <c r="E35" i="175" s="1"/>
  <c r="D36" i="58"/>
  <c r="D35" i="146" s="1"/>
  <c r="D35" i="175" s="1"/>
  <c r="C36" i="58"/>
  <c r="C35" i="146" s="1"/>
  <c r="C35" i="175" s="1"/>
  <c r="V35" i="58"/>
  <c r="V34" i="146" s="1"/>
  <c r="U35" i="58"/>
  <c r="U34" i="146" s="1"/>
  <c r="T35" i="58"/>
  <c r="T34" i="146" s="1"/>
  <c r="T34" i="175" s="1"/>
  <c r="S35" i="58"/>
  <c r="S34" i="146" s="1"/>
  <c r="R35" i="58"/>
  <c r="Q35" i="58"/>
  <c r="Q34" i="146" s="1"/>
  <c r="Q34" i="175" s="1"/>
  <c r="P35" i="58"/>
  <c r="P34" i="146" s="1"/>
  <c r="P34" i="175" s="1"/>
  <c r="O35" i="58"/>
  <c r="O34" i="146" s="1"/>
  <c r="N35" i="58"/>
  <c r="N34" i="146" s="1"/>
  <c r="N34" i="175" s="1"/>
  <c r="M35" i="58"/>
  <c r="M34" i="146" s="1"/>
  <c r="L35" i="58"/>
  <c r="L34" i="146" s="1"/>
  <c r="L34" i="175" s="1"/>
  <c r="K35" i="58"/>
  <c r="K34" i="146" s="1"/>
  <c r="K34" i="175" s="1"/>
  <c r="J35" i="58"/>
  <c r="J34" i="146" s="1"/>
  <c r="J34" i="175" s="1"/>
  <c r="I35" i="58"/>
  <c r="I34" i="146" s="1"/>
  <c r="I34" i="175" s="1"/>
  <c r="H35" i="58"/>
  <c r="H34" i="146" s="1"/>
  <c r="H34" i="175" s="1"/>
  <c r="G35" i="58"/>
  <c r="G34" i="146" s="1"/>
  <c r="G34" i="175" s="1"/>
  <c r="F35" i="58"/>
  <c r="F34" i="146" s="1"/>
  <c r="F34" i="175" s="1"/>
  <c r="E35" i="58"/>
  <c r="E34" i="146" s="1"/>
  <c r="E34" i="175" s="1"/>
  <c r="D35" i="58"/>
  <c r="D34" i="146" s="1"/>
  <c r="D34" i="175" s="1"/>
  <c r="C35" i="58"/>
  <c r="C34" i="146" s="1"/>
  <c r="C34" i="175" s="1"/>
  <c r="V34" i="58"/>
  <c r="V33" i="146" s="1"/>
  <c r="U34" i="58"/>
  <c r="U33" i="146" s="1"/>
  <c r="T34" i="58"/>
  <c r="T33" i="146" s="1"/>
  <c r="T33" i="175" s="1"/>
  <c r="S34" i="58"/>
  <c r="S33" i="146" s="1"/>
  <c r="R34" i="58"/>
  <c r="Q34" i="58"/>
  <c r="Q33" i="146" s="1"/>
  <c r="Q33" i="175" s="1"/>
  <c r="P34" i="58"/>
  <c r="P33" i="146" s="1"/>
  <c r="P33" i="175" s="1"/>
  <c r="O34" i="58"/>
  <c r="O33" i="146" s="1"/>
  <c r="N34" i="58"/>
  <c r="N33" i="146" s="1"/>
  <c r="N33" i="175" s="1"/>
  <c r="M34" i="58"/>
  <c r="M33" i="146" s="1"/>
  <c r="L34" i="58"/>
  <c r="L33" i="146" s="1"/>
  <c r="L33" i="175" s="1"/>
  <c r="K34" i="58"/>
  <c r="K33" i="146" s="1"/>
  <c r="K33" i="175" s="1"/>
  <c r="J34" i="58"/>
  <c r="J33" i="146" s="1"/>
  <c r="J33" i="175" s="1"/>
  <c r="I34" i="58"/>
  <c r="I33" i="146" s="1"/>
  <c r="I33" i="175" s="1"/>
  <c r="H34" i="58"/>
  <c r="H33" i="146" s="1"/>
  <c r="H33" i="175" s="1"/>
  <c r="G34" i="58"/>
  <c r="G33" i="146" s="1"/>
  <c r="G33" i="175" s="1"/>
  <c r="F34" i="58"/>
  <c r="F33" i="146" s="1"/>
  <c r="F33" i="175" s="1"/>
  <c r="E34" i="58"/>
  <c r="E33" i="146" s="1"/>
  <c r="E33" i="175" s="1"/>
  <c r="D34" i="58"/>
  <c r="D33" i="146" s="1"/>
  <c r="D33" i="175" s="1"/>
  <c r="C34" i="58"/>
  <c r="C33" i="146" s="1"/>
  <c r="C33" i="175" s="1"/>
  <c r="V33" i="58"/>
  <c r="V32" i="146" s="1"/>
  <c r="U33" i="58"/>
  <c r="U32" i="146" s="1"/>
  <c r="T33" i="58"/>
  <c r="T32" i="146" s="1"/>
  <c r="T32" i="175" s="1"/>
  <c r="S33" i="58"/>
  <c r="S32" i="146" s="1"/>
  <c r="R33" i="58"/>
  <c r="Q33" i="58"/>
  <c r="Q32" i="146" s="1"/>
  <c r="Q32" i="175" s="1"/>
  <c r="P33" i="58"/>
  <c r="P32" i="146" s="1"/>
  <c r="P32" i="175" s="1"/>
  <c r="O33" i="58"/>
  <c r="O32" i="146" s="1"/>
  <c r="N33" i="58"/>
  <c r="N32" i="146" s="1"/>
  <c r="N32" i="175" s="1"/>
  <c r="M33" i="58"/>
  <c r="M32" i="146" s="1"/>
  <c r="L33" i="58"/>
  <c r="L32" i="146" s="1"/>
  <c r="L32" i="175" s="1"/>
  <c r="K33" i="58"/>
  <c r="K32" i="146" s="1"/>
  <c r="K32" i="175" s="1"/>
  <c r="J33" i="58"/>
  <c r="J32" i="146" s="1"/>
  <c r="J32" i="175" s="1"/>
  <c r="I33" i="58"/>
  <c r="I32" i="146" s="1"/>
  <c r="I32" i="175" s="1"/>
  <c r="H33" i="58"/>
  <c r="H32" i="146" s="1"/>
  <c r="H32" i="175" s="1"/>
  <c r="G33" i="58"/>
  <c r="G32" i="146" s="1"/>
  <c r="G32" i="175" s="1"/>
  <c r="F33" i="58"/>
  <c r="F32" i="146" s="1"/>
  <c r="F32" i="175" s="1"/>
  <c r="E33" i="58"/>
  <c r="E32" i="146" s="1"/>
  <c r="E32" i="175" s="1"/>
  <c r="D33" i="58"/>
  <c r="D32" i="146" s="1"/>
  <c r="D32" i="175" s="1"/>
  <c r="C33" i="58"/>
  <c r="C32" i="146" s="1"/>
  <c r="C32" i="175" s="1"/>
  <c r="V32" i="58"/>
  <c r="V31" i="146" s="1"/>
  <c r="U32" i="58"/>
  <c r="U31" i="146" s="1"/>
  <c r="T32" i="58"/>
  <c r="T31" i="146" s="1"/>
  <c r="T31" i="175" s="1"/>
  <c r="S32" i="58"/>
  <c r="S31" i="146" s="1"/>
  <c r="R32" i="58"/>
  <c r="Q32" i="58"/>
  <c r="Q31" i="146" s="1"/>
  <c r="Q31" i="175" s="1"/>
  <c r="P32" i="58"/>
  <c r="P31" i="146" s="1"/>
  <c r="P31" i="175" s="1"/>
  <c r="O32" i="58"/>
  <c r="O31" i="146" s="1"/>
  <c r="N32" i="58"/>
  <c r="N31" i="146" s="1"/>
  <c r="N31" i="175" s="1"/>
  <c r="M32" i="58"/>
  <c r="M31" i="146" s="1"/>
  <c r="L32" i="58"/>
  <c r="L31" i="146" s="1"/>
  <c r="L31" i="175" s="1"/>
  <c r="K32" i="58"/>
  <c r="K31" i="146" s="1"/>
  <c r="K31" i="175" s="1"/>
  <c r="J32" i="58"/>
  <c r="J31" i="146" s="1"/>
  <c r="J31" i="175" s="1"/>
  <c r="I32" i="58"/>
  <c r="I31" i="146" s="1"/>
  <c r="I31" i="175" s="1"/>
  <c r="H32" i="58"/>
  <c r="H31" i="146" s="1"/>
  <c r="H31" i="175" s="1"/>
  <c r="G32" i="58"/>
  <c r="G31" i="146" s="1"/>
  <c r="G31" i="175" s="1"/>
  <c r="F32" i="58"/>
  <c r="F31" i="146" s="1"/>
  <c r="F31" i="175" s="1"/>
  <c r="E32" i="58"/>
  <c r="E31" i="146" s="1"/>
  <c r="E31" i="175" s="1"/>
  <c r="D32" i="58"/>
  <c r="D31" i="146" s="1"/>
  <c r="D31" i="175" s="1"/>
  <c r="C32" i="58"/>
  <c r="C31" i="146" s="1"/>
  <c r="C31" i="175" s="1"/>
  <c r="V31" i="58"/>
  <c r="V30" i="146" s="1"/>
  <c r="U31" i="58"/>
  <c r="U30" i="146" s="1"/>
  <c r="T31" i="58"/>
  <c r="T30" i="146" s="1"/>
  <c r="T30" i="175" s="1"/>
  <c r="S31" i="58"/>
  <c r="S30" i="146" s="1"/>
  <c r="R31" i="58"/>
  <c r="Q31" i="58"/>
  <c r="Q30" i="146" s="1"/>
  <c r="Q30" i="175" s="1"/>
  <c r="P31" i="58"/>
  <c r="P30" i="146" s="1"/>
  <c r="P30" i="175" s="1"/>
  <c r="O31" i="58"/>
  <c r="O30" i="146" s="1"/>
  <c r="N31" i="58"/>
  <c r="N30" i="146" s="1"/>
  <c r="N30" i="175" s="1"/>
  <c r="M31" i="58"/>
  <c r="M30" i="146" s="1"/>
  <c r="L31" i="58"/>
  <c r="L30" i="146" s="1"/>
  <c r="L30" i="175" s="1"/>
  <c r="K31" i="58"/>
  <c r="K30" i="146" s="1"/>
  <c r="K30" i="175" s="1"/>
  <c r="J31" i="58"/>
  <c r="J30" i="146" s="1"/>
  <c r="J30" i="175" s="1"/>
  <c r="I31" i="58"/>
  <c r="I30" i="146" s="1"/>
  <c r="I30" i="175" s="1"/>
  <c r="H31" i="58"/>
  <c r="H30" i="146" s="1"/>
  <c r="H30" i="175" s="1"/>
  <c r="G31" i="58"/>
  <c r="G30" i="146" s="1"/>
  <c r="G30" i="175" s="1"/>
  <c r="F31" i="58"/>
  <c r="F30" i="146" s="1"/>
  <c r="F30" i="175" s="1"/>
  <c r="E31" i="58"/>
  <c r="E30" i="146" s="1"/>
  <c r="E30" i="175" s="1"/>
  <c r="D31" i="58"/>
  <c r="D30" i="146" s="1"/>
  <c r="D30" i="175" s="1"/>
  <c r="C31" i="58"/>
  <c r="C30" i="146" s="1"/>
  <c r="C30" i="175" s="1"/>
  <c r="V30" i="58"/>
  <c r="V29" i="146" s="1"/>
  <c r="U30" i="58"/>
  <c r="U29" i="146" s="1"/>
  <c r="T30" i="58"/>
  <c r="T29" i="146" s="1"/>
  <c r="T29" i="175" s="1"/>
  <c r="S30" i="58"/>
  <c r="S29" i="146" s="1"/>
  <c r="R30" i="58"/>
  <c r="Q30" i="58"/>
  <c r="Q29" i="146" s="1"/>
  <c r="Q29" i="175" s="1"/>
  <c r="P30" i="58"/>
  <c r="P29" i="146" s="1"/>
  <c r="P29" i="175" s="1"/>
  <c r="O30" i="58"/>
  <c r="O29" i="146" s="1"/>
  <c r="N30" i="58"/>
  <c r="N29" i="146" s="1"/>
  <c r="N29" i="175" s="1"/>
  <c r="M30" i="58"/>
  <c r="M29" i="146" s="1"/>
  <c r="L30" i="58"/>
  <c r="L29" i="146" s="1"/>
  <c r="L29" i="175" s="1"/>
  <c r="K30" i="58"/>
  <c r="K29" i="146" s="1"/>
  <c r="K29" i="175" s="1"/>
  <c r="J30" i="58"/>
  <c r="J29" i="146" s="1"/>
  <c r="J29" i="175" s="1"/>
  <c r="I30" i="58"/>
  <c r="I29" i="146" s="1"/>
  <c r="I29" i="175" s="1"/>
  <c r="H30" i="58"/>
  <c r="H29" i="146" s="1"/>
  <c r="H29" i="175" s="1"/>
  <c r="G30" i="58"/>
  <c r="G29" i="146" s="1"/>
  <c r="G29" i="175" s="1"/>
  <c r="F30" i="58"/>
  <c r="F29" i="146" s="1"/>
  <c r="F29" i="175" s="1"/>
  <c r="E30" i="58"/>
  <c r="E29" i="146" s="1"/>
  <c r="E29" i="175" s="1"/>
  <c r="D30" i="58"/>
  <c r="D29" i="146" s="1"/>
  <c r="D29" i="175" s="1"/>
  <c r="C30" i="58"/>
  <c r="C29" i="146" s="1"/>
  <c r="C29" i="175" s="1"/>
  <c r="V29" i="58"/>
  <c r="V28" i="146" s="1"/>
  <c r="U29" i="58"/>
  <c r="U28" i="146" s="1"/>
  <c r="T29" i="58"/>
  <c r="T28" i="146" s="1"/>
  <c r="T28" i="175" s="1"/>
  <c r="S29" i="58"/>
  <c r="S28" i="146" s="1"/>
  <c r="R29" i="58"/>
  <c r="Q29" i="58"/>
  <c r="Q28" i="146" s="1"/>
  <c r="Q28" i="175" s="1"/>
  <c r="P29" i="58"/>
  <c r="P28" i="146" s="1"/>
  <c r="P28" i="175" s="1"/>
  <c r="O29" i="58"/>
  <c r="O28" i="146" s="1"/>
  <c r="N29" i="58"/>
  <c r="N28" i="146" s="1"/>
  <c r="N28" i="175" s="1"/>
  <c r="M29" i="58"/>
  <c r="M28" i="146" s="1"/>
  <c r="L29" i="58"/>
  <c r="L28" i="146" s="1"/>
  <c r="L28" i="175" s="1"/>
  <c r="K29" i="58"/>
  <c r="K28" i="146" s="1"/>
  <c r="K28" i="175" s="1"/>
  <c r="J29" i="58"/>
  <c r="J28" i="146" s="1"/>
  <c r="J28" i="175" s="1"/>
  <c r="I29" i="58"/>
  <c r="I28" i="146" s="1"/>
  <c r="I28" i="175" s="1"/>
  <c r="H29" i="58"/>
  <c r="H28" i="146" s="1"/>
  <c r="H28" i="175" s="1"/>
  <c r="G29" i="58"/>
  <c r="G28" i="146" s="1"/>
  <c r="G28" i="175" s="1"/>
  <c r="F29" i="58"/>
  <c r="F28" i="146" s="1"/>
  <c r="F28" i="175" s="1"/>
  <c r="E29" i="58"/>
  <c r="E28" i="146" s="1"/>
  <c r="E28" i="175" s="1"/>
  <c r="D29" i="58"/>
  <c r="D28" i="146" s="1"/>
  <c r="D28" i="175" s="1"/>
  <c r="C29" i="58"/>
  <c r="C28" i="146" s="1"/>
  <c r="C28" i="175" s="1"/>
  <c r="V28" i="58"/>
  <c r="V27" i="146" s="1"/>
  <c r="U28" i="58"/>
  <c r="U27" i="146" s="1"/>
  <c r="T28" i="58"/>
  <c r="T27" i="146" s="1"/>
  <c r="T27" i="175" s="1"/>
  <c r="S28" i="58"/>
  <c r="S27" i="146" s="1"/>
  <c r="R28" i="58"/>
  <c r="Q28" i="58"/>
  <c r="Q27" i="146" s="1"/>
  <c r="Q27" i="175" s="1"/>
  <c r="P28" i="58"/>
  <c r="P27" i="146" s="1"/>
  <c r="P27" i="175" s="1"/>
  <c r="O28" i="58"/>
  <c r="O27" i="146" s="1"/>
  <c r="N28" i="58"/>
  <c r="N27" i="146" s="1"/>
  <c r="N27" i="175" s="1"/>
  <c r="M28" i="58"/>
  <c r="M27" i="146" s="1"/>
  <c r="L28" i="58"/>
  <c r="L27" i="146" s="1"/>
  <c r="L27" i="175" s="1"/>
  <c r="K28" i="58"/>
  <c r="K27" i="146" s="1"/>
  <c r="K27" i="175" s="1"/>
  <c r="J28" i="58"/>
  <c r="J27" i="146" s="1"/>
  <c r="J27" i="175" s="1"/>
  <c r="I28" i="58"/>
  <c r="I27" i="146" s="1"/>
  <c r="I27" i="175" s="1"/>
  <c r="H28" i="58"/>
  <c r="H27" i="146" s="1"/>
  <c r="H27" i="175" s="1"/>
  <c r="G28" i="58"/>
  <c r="G27" i="146" s="1"/>
  <c r="G27" i="175" s="1"/>
  <c r="F28" i="58"/>
  <c r="F27" i="146" s="1"/>
  <c r="F27" i="175" s="1"/>
  <c r="E28" i="58"/>
  <c r="E27" i="146" s="1"/>
  <c r="E27" i="175" s="1"/>
  <c r="D28" i="58"/>
  <c r="D27" i="146" s="1"/>
  <c r="D27" i="175" s="1"/>
  <c r="C28" i="58"/>
  <c r="C27" i="146" s="1"/>
  <c r="C27" i="175" s="1"/>
  <c r="V27" i="58"/>
  <c r="V26" i="146" s="1"/>
  <c r="U27" i="58"/>
  <c r="U26" i="146" s="1"/>
  <c r="T27" i="58"/>
  <c r="T26" i="146" s="1"/>
  <c r="T26" i="175" s="1"/>
  <c r="S27" i="58"/>
  <c r="S26" i="146" s="1"/>
  <c r="R27" i="58"/>
  <c r="Q27" i="58"/>
  <c r="Q26" i="146" s="1"/>
  <c r="Q26" i="175" s="1"/>
  <c r="P27" i="58"/>
  <c r="P26" i="146" s="1"/>
  <c r="P26" i="175" s="1"/>
  <c r="O27" i="58"/>
  <c r="O26" i="146" s="1"/>
  <c r="N27" i="58"/>
  <c r="N26" i="146" s="1"/>
  <c r="N26" i="175" s="1"/>
  <c r="M27" i="58"/>
  <c r="M26" i="146" s="1"/>
  <c r="L27" i="58"/>
  <c r="L26" i="146" s="1"/>
  <c r="L26" i="175" s="1"/>
  <c r="K27" i="58"/>
  <c r="K26" i="146" s="1"/>
  <c r="K26" i="175" s="1"/>
  <c r="J27" i="58"/>
  <c r="J26" i="146" s="1"/>
  <c r="J26" i="175" s="1"/>
  <c r="I27" i="58"/>
  <c r="I26" i="146" s="1"/>
  <c r="I26" i="175" s="1"/>
  <c r="H27" i="58"/>
  <c r="H26" i="146" s="1"/>
  <c r="H26" i="175" s="1"/>
  <c r="G27" i="58"/>
  <c r="G26" i="146" s="1"/>
  <c r="G26" i="175" s="1"/>
  <c r="F27" i="58"/>
  <c r="F26" i="146" s="1"/>
  <c r="F26" i="175" s="1"/>
  <c r="E27" i="58"/>
  <c r="E26" i="146" s="1"/>
  <c r="E26" i="175" s="1"/>
  <c r="D27" i="58"/>
  <c r="D26" i="146" s="1"/>
  <c r="D26" i="175" s="1"/>
  <c r="C27" i="58"/>
  <c r="C26" i="146" s="1"/>
  <c r="C26" i="175" s="1"/>
  <c r="V26" i="58"/>
  <c r="V25" i="146" s="1"/>
  <c r="U26" i="58"/>
  <c r="U25" i="146" s="1"/>
  <c r="T26" i="58"/>
  <c r="T25" i="146" s="1"/>
  <c r="T25" i="175" s="1"/>
  <c r="S26" i="58"/>
  <c r="S25" i="146" s="1"/>
  <c r="R26" i="58"/>
  <c r="Q26" i="58"/>
  <c r="Q25" i="146" s="1"/>
  <c r="Q25" i="175" s="1"/>
  <c r="P26" i="58"/>
  <c r="P25" i="146" s="1"/>
  <c r="P25" i="175" s="1"/>
  <c r="O26" i="58"/>
  <c r="O25" i="146" s="1"/>
  <c r="N26" i="58"/>
  <c r="N25" i="146" s="1"/>
  <c r="N25" i="175" s="1"/>
  <c r="M26" i="58"/>
  <c r="M25" i="146" s="1"/>
  <c r="L26" i="58"/>
  <c r="L25" i="146" s="1"/>
  <c r="L25" i="175" s="1"/>
  <c r="K26" i="58"/>
  <c r="K25" i="146" s="1"/>
  <c r="K25" i="175" s="1"/>
  <c r="J26" i="58"/>
  <c r="J25" i="146" s="1"/>
  <c r="J25" i="175" s="1"/>
  <c r="I26" i="58"/>
  <c r="I25" i="146" s="1"/>
  <c r="I25" i="175" s="1"/>
  <c r="H26" i="58"/>
  <c r="H25" i="146" s="1"/>
  <c r="H25" i="175" s="1"/>
  <c r="G26" i="58"/>
  <c r="G25" i="146" s="1"/>
  <c r="G25" i="175" s="1"/>
  <c r="F26" i="58"/>
  <c r="F25" i="146" s="1"/>
  <c r="F25" i="175" s="1"/>
  <c r="E26" i="58"/>
  <c r="E25" i="146" s="1"/>
  <c r="E25" i="175" s="1"/>
  <c r="D26" i="58"/>
  <c r="D25" i="146" s="1"/>
  <c r="D25" i="175" s="1"/>
  <c r="C26" i="58"/>
  <c r="C25" i="146" s="1"/>
  <c r="C25" i="175" s="1"/>
  <c r="V25" i="58"/>
  <c r="V24" i="146" s="1"/>
  <c r="U25" i="58"/>
  <c r="U24" i="146" s="1"/>
  <c r="T25" i="58"/>
  <c r="T24" i="146" s="1"/>
  <c r="T24" i="175" s="1"/>
  <c r="S25" i="58"/>
  <c r="S24" i="146" s="1"/>
  <c r="R25" i="58"/>
  <c r="Q25" i="58"/>
  <c r="Q24" i="146" s="1"/>
  <c r="Q24" i="175" s="1"/>
  <c r="P25" i="58"/>
  <c r="P24" i="146" s="1"/>
  <c r="P24" i="175" s="1"/>
  <c r="O25" i="58"/>
  <c r="O24" i="146" s="1"/>
  <c r="N25" i="58"/>
  <c r="N24" i="146" s="1"/>
  <c r="N24" i="175" s="1"/>
  <c r="M25" i="58"/>
  <c r="M24" i="146" s="1"/>
  <c r="L25" i="58"/>
  <c r="L24" i="146" s="1"/>
  <c r="L24" i="175" s="1"/>
  <c r="K25" i="58"/>
  <c r="K24" i="146" s="1"/>
  <c r="K24" i="175" s="1"/>
  <c r="J25" i="58"/>
  <c r="J24" i="146" s="1"/>
  <c r="J24" i="175" s="1"/>
  <c r="I25" i="58"/>
  <c r="I24" i="146" s="1"/>
  <c r="I24" i="175" s="1"/>
  <c r="H25" i="58"/>
  <c r="H24" i="146" s="1"/>
  <c r="H24" i="175" s="1"/>
  <c r="G25" i="58"/>
  <c r="G24" i="146" s="1"/>
  <c r="G24" i="175" s="1"/>
  <c r="F25" i="58"/>
  <c r="F24" i="146" s="1"/>
  <c r="F24" i="175" s="1"/>
  <c r="E25" i="58"/>
  <c r="E24" i="146" s="1"/>
  <c r="E24" i="175" s="1"/>
  <c r="D25" i="58"/>
  <c r="D24" i="146" s="1"/>
  <c r="D24" i="175" s="1"/>
  <c r="C25" i="58"/>
  <c r="C24" i="146" s="1"/>
  <c r="C24" i="175" s="1"/>
  <c r="V24" i="58"/>
  <c r="V23" i="146" s="1"/>
  <c r="U24" i="58"/>
  <c r="U23" i="146" s="1"/>
  <c r="T24" i="58"/>
  <c r="T23" i="146" s="1"/>
  <c r="T23" i="175" s="1"/>
  <c r="S24" i="58"/>
  <c r="S23" i="146" s="1"/>
  <c r="R24" i="58"/>
  <c r="Q24" i="58"/>
  <c r="Q23" i="146" s="1"/>
  <c r="Q23" i="175" s="1"/>
  <c r="P24" i="58"/>
  <c r="P23" i="146" s="1"/>
  <c r="P23" i="175" s="1"/>
  <c r="O24" i="58"/>
  <c r="O23" i="146" s="1"/>
  <c r="N24" i="58"/>
  <c r="N23" i="146" s="1"/>
  <c r="N23" i="175" s="1"/>
  <c r="M24" i="58"/>
  <c r="M23" i="146" s="1"/>
  <c r="L24" i="58"/>
  <c r="L23" i="146" s="1"/>
  <c r="L23" i="175" s="1"/>
  <c r="K24" i="58"/>
  <c r="K23" i="146" s="1"/>
  <c r="K23" i="175" s="1"/>
  <c r="J24" i="58"/>
  <c r="J23" i="146" s="1"/>
  <c r="J23" i="175" s="1"/>
  <c r="I24" i="58"/>
  <c r="I23" i="146" s="1"/>
  <c r="I23" i="175" s="1"/>
  <c r="H24" i="58"/>
  <c r="H23" i="146" s="1"/>
  <c r="H23" i="175" s="1"/>
  <c r="G24" i="58"/>
  <c r="G23" i="146" s="1"/>
  <c r="G23" i="175" s="1"/>
  <c r="F24" i="58"/>
  <c r="F23" i="146" s="1"/>
  <c r="F23" i="175" s="1"/>
  <c r="E24" i="58"/>
  <c r="E23" i="146" s="1"/>
  <c r="E23" i="175" s="1"/>
  <c r="D24" i="58"/>
  <c r="D23" i="146" s="1"/>
  <c r="D23" i="175" s="1"/>
  <c r="C24" i="58"/>
  <c r="C23" i="146" s="1"/>
  <c r="C23" i="175" s="1"/>
  <c r="V23" i="58"/>
  <c r="V22" i="146" s="1"/>
  <c r="U23" i="58"/>
  <c r="U22" i="146" s="1"/>
  <c r="T23" i="58"/>
  <c r="T22" i="146" s="1"/>
  <c r="T22" i="175" s="1"/>
  <c r="S23" i="58"/>
  <c r="S22" i="146" s="1"/>
  <c r="R23" i="58"/>
  <c r="Q23" i="58"/>
  <c r="Q22" i="146" s="1"/>
  <c r="Q22" i="175" s="1"/>
  <c r="P23" i="58"/>
  <c r="P22" i="146" s="1"/>
  <c r="P22" i="175" s="1"/>
  <c r="O23" i="58"/>
  <c r="O22" i="146" s="1"/>
  <c r="N23" i="58"/>
  <c r="N22" i="146" s="1"/>
  <c r="N22" i="175" s="1"/>
  <c r="M23" i="58"/>
  <c r="M22" i="146" s="1"/>
  <c r="L23" i="58"/>
  <c r="L22" i="146" s="1"/>
  <c r="L22" i="175" s="1"/>
  <c r="K23" i="58"/>
  <c r="K22" i="146" s="1"/>
  <c r="K22" i="175" s="1"/>
  <c r="J23" i="58"/>
  <c r="J22" i="146" s="1"/>
  <c r="J22" i="175" s="1"/>
  <c r="I23" i="58"/>
  <c r="I22" i="146" s="1"/>
  <c r="I22" i="175" s="1"/>
  <c r="H23" i="58"/>
  <c r="H22" i="146" s="1"/>
  <c r="H22" i="175" s="1"/>
  <c r="G23" i="58"/>
  <c r="G22" i="146" s="1"/>
  <c r="G22" i="175" s="1"/>
  <c r="F23" i="58"/>
  <c r="F22" i="146" s="1"/>
  <c r="F22" i="175" s="1"/>
  <c r="E23" i="58"/>
  <c r="E22" i="146" s="1"/>
  <c r="E22" i="175" s="1"/>
  <c r="D23" i="58"/>
  <c r="D22" i="146" s="1"/>
  <c r="D22" i="175" s="1"/>
  <c r="C23" i="58"/>
  <c r="C22" i="146" s="1"/>
  <c r="C22" i="175" s="1"/>
  <c r="V22" i="58"/>
  <c r="V21" i="146" s="1"/>
  <c r="U22" i="58"/>
  <c r="U21" i="146" s="1"/>
  <c r="T22" i="58"/>
  <c r="T21" i="146" s="1"/>
  <c r="T21" i="175" s="1"/>
  <c r="S22" i="58"/>
  <c r="S21" i="146" s="1"/>
  <c r="S21" i="175" s="1"/>
  <c r="R22" i="58"/>
  <c r="Q22" i="58"/>
  <c r="Q21" i="146" s="1"/>
  <c r="Q21" i="175" s="1"/>
  <c r="P22" i="58"/>
  <c r="P21" i="146" s="1"/>
  <c r="P21" i="175" s="1"/>
  <c r="O22" i="58"/>
  <c r="O21" i="146" s="1"/>
  <c r="N22" i="58"/>
  <c r="N21" i="146" s="1"/>
  <c r="N21" i="175" s="1"/>
  <c r="M22" i="58"/>
  <c r="M21" i="146" s="1"/>
  <c r="L22" i="58"/>
  <c r="L21" i="146" s="1"/>
  <c r="L21" i="175" s="1"/>
  <c r="K22" i="58"/>
  <c r="K21" i="146" s="1"/>
  <c r="K21" i="175" s="1"/>
  <c r="J22" i="58"/>
  <c r="J21" i="146" s="1"/>
  <c r="J21" i="175" s="1"/>
  <c r="I22" i="58"/>
  <c r="I21" i="146" s="1"/>
  <c r="I21" i="175" s="1"/>
  <c r="H22" i="58"/>
  <c r="H21" i="146" s="1"/>
  <c r="H21" i="175" s="1"/>
  <c r="G22" i="58"/>
  <c r="G21" i="146" s="1"/>
  <c r="G21" i="175" s="1"/>
  <c r="F22" i="58"/>
  <c r="F21" i="146" s="1"/>
  <c r="F21" i="175" s="1"/>
  <c r="E22" i="58"/>
  <c r="E21" i="146" s="1"/>
  <c r="E21" i="175" s="1"/>
  <c r="D22" i="58"/>
  <c r="D21" i="146" s="1"/>
  <c r="D21" i="175" s="1"/>
  <c r="C22" i="58"/>
  <c r="C21" i="146" s="1"/>
  <c r="C21" i="175" s="1"/>
  <c r="V21" i="58"/>
  <c r="V20" i="146" s="1"/>
  <c r="V20" i="175" s="1"/>
  <c r="U21" i="58"/>
  <c r="U20" i="146" s="1"/>
  <c r="T21" i="58"/>
  <c r="T20" i="146" s="1"/>
  <c r="T20" i="175" s="1"/>
  <c r="S21" i="58"/>
  <c r="S20" i="146" s="1"/>
  <c r="R21" i="58"/>
  <c r="Q21" i="58"/>
  <c r="Q20" i="146" s="1"/>
  <c r="Q20" i="175" s="1"/>
  <c r="P21" i="58"/>
  <c r="P20" i="146" s="1"/>
  <c r="P20" i="175" s="1"/>
  <c r="O21" i="58"/>
  <c r="O20" i="146" s="1"/>
  <c r="N21" i="58"/>
  <c r="N20" i="146" s="1"/>
  <c r="N20" i="175" s="1"/>
  <c r="M21" i="58"/>
  <c r="M20" i="146" s="1"/>
  <c r="L21" i="58"/>
  <c r="L20" i="146" s="1"/>
  <c r="L20" i="175" s="1"/>
  <c r="K21" i="58"/>
  <c r="K20" i="146" s="1"/>
  <c r="K20" i="175" s="1"/>
  <c r="J21" i="58"/>
  <c r="J20" i="146" s="1"/>
  <c r="J20" i="175" s="1"/>
  <c r="I21" i="58"/>
  <c r="I20" i="146" s="1"/>
  <c r="I20" i="175" s="1"/>
  <c r="H21" i="58"/>
  <c r="H20" i="146" s="1"/>
  <c r="H20" i="175" s="1"/>
  <c r="G21" i="58"/>
  <c r="G20" i="146" s="1"/>
  <c r="G20" i="175" s="1"/>
  <c r="F21" i="58"/>
  <c r="F20" i="146" s="1"/>
  <c r="F20" i="175" s="1"/>
  <c r="E21" i="58"/>
  <c r="E20" i="146" s="1"/>
  <c r="E20" i="175" s="1"/>
  <c r="D21" i="58"/>
  <c r="D20" i="146" s="1"/>
  <c r="D20" i="175" s="1"/>
  <c r="C21" i="58"/>
  <c r="C20" i="146" s="1"/>
  <c r="C20" i="175" s="1"/>
  <c r="V20" i="58"/>
  <c r="V19" i="146" s="1"/>
  <c r="U20" i="58"/>
  <c r="U19" i="146" s="1"/>
  <c r="T20" i="58"/>
  <c r="T19" i="146" s="1"/>
  <c r="T19" i="175" s="1"/>
  <c r="S20" i="58"/>
  <c r="S19" i="146" s="1"/>
  <c r="R20" i="58"/>
  <c r="Q20" i="58"/>
  <c r="Q19" i="146" s="1"/>
  <c r="Q19" i="175" s="1"/>
  <c r="P20" i="58"/>
  <c r="P19" i="146" s="1"/>
  <c r="P19" i="175" s="1"/>
  <c r="O20" i="58"/>
  <c r="O19" i="146" s="1"/>
  <c r="N20" i="58"/>
  <c r="N19" i="146" s="1"/>
  <c r="N19" i="175" s="1"/>
  <c r="M20" i="58"/>
  <c r="M19" i="146" s="1"/>
  <c r="L20" i="58"/>
  <c r="L19" i="146" s="1"/>
  <c r="L19" i="175" s="1"/>
  <c r="K20" i="58"/>
  <c r="K19" i="146" s="1"/>
  <c r="K19" i="175" s="1"/>
  <c r="J20" i="58"/>
  <c r="J19" i="146" s="1"/>
  <c r="J19" i="175" s="1"/>
  <c r="I20" i="58"/>
  <c r="I19" i="146" s="1"/>
  <c r="I19" i="175" s="1"/>
  <c r="H20" i="58"/>
  <c r="H19" i="146" s="1"/>
  <c r="H19" i="175" s="1"/>
  <c r="G20" i="58"/>
  <c r="G19" i="146" s="1"/>
  <c r="G19" i="175" s="1"/>
  <c r="F20" i="58"/>
  <c r="F19" i="146" s="1"/>
  <c r="F19" i="175" s="1"/>
  <c r="E20" i="58"/>
  <c r="E19" i="146" s="1"/>
  <c r="E19" i="175" s="1"/>
  <c r="D20" i="58"/>
  <c r="D19" i="146" s="1"/>
  <c r="D19" i="175" s="1"/>
  <c r="C20" i="58"/>
  <c r="C19" i="146" s="1"/>
  <c r="C19" i="175" s="1"/>
  <c r="V19" i="58"/>
  <c r="V18" i="146" s="1"/>
  <c r="U19" i="58"/>
  <c r="U18" i="146" s="1"/>
  <c r="T19" i="58"/>
  <c r="T18" i="146" s="1"/>
  <c r="T18" i="175" s="1"/>
  <c r="S19" i="58"/>
  <c r="S18" i="146" s="1"/>
  <c r="R19" i="58"/>
  <c r="Q19" i="58"/>
  <c r="Q18" i="146" s="1"/>
  <c r="Q18" i="175" s="1"/>
  <c r="P19" i="58"/>
  <c r="P18" i="146" s="1"/>
  <c r="P18" i="175" s="1"/>
  <c r="O19" i="58"/>
  <c r="O18" i="146" s="1"/>
  <c r="N19" i="58"/>
  <c r="N18" i="146" s="1"/>
  <c r="N18" i="175" s="1"/>
  <c r="M19" i="58"/>
  <c r="M18" i="146" s="1"/>
  <c r="L19" i="58"/>
  <c r="L18" i="146" s="1"/>
  <c r="L18" i="175" s="1"/>
  <c r="K19" i="58"/>
  <c r="K18" i="146" s="1"/>
  <c r="K18" i="175" s="1"/>
  <c r="J19" i="58"/>
  <c r="J18" i="146" s="1"/>
  <c r="J18" i="175" s="1"/>
  <c r="I19" i="58"/>
  <c r="I18" i="146" s="1"/>
  <c r="I18" i="175" s="1"/>
  <c r="H19" i="58"/>
  <c r="H18" i="146" s="1"/>
  <c r="H18" i="175" s="1"/>
  <c r="G19" i="58"/>
  <c r="G18" i="146" s="1"/>
  <c r="G18" i="175" s="1"/>
  <c r="F19" i="58"/>
  <c r="F18" i="146" s="1"/>
  <c r="F18" i="175" s="1"/>
  <c r="E19" i="58"/>
  <c r="E18" i="146" s="1"/>
  <c r="E18" i="175" s="1"/>
  <c r="D19" i="58"/>
  <c r="D18" i="146" s="1"/>
  <c r="D18" i="175" s="1"/>
  <c r="C19" i="58"/>
  <c r="C18" i="146" s="1"/>
  <c r="C18" i="175" s="1"/>
  <c r="V18" i="58"/>
  <c r="V17" i="146" s="1"/>
  <c r="U18" i="58"/>
  <c r="U17" i="146" s="1"/>
  <c r="T18" i="58"/>
  <c r="T17" i="146" s="1"/>
  <c r="T17" i="175" s="1"/>
  <c r="S18" i="58"/>
  <c r="S17" i="146" s="1"/>
  <c r="R18" i="58"/>
  <c r="Q18" i="58"/>
  <c r="Q17" i="146" s="1"/>
  <c r="Q17" i="175" s="1"/>
  <c r="P18" i="58"/>
  <c r="P17" i="146" s="1"/>
  <c r="P17" i="175" s="1"/>
  <c r="O18" i="58"/>
  <c r="O17" i="146" s="1"/>
  <c r="N18" i="58"/>
  <c r="N17" i="146" s="1"/>
  <c r="N17" i="175" s="1"/>
  <c r="M18" i="58"/>
  <c r="M17" i="146" s="1"/>
  <c r="L18" i="58"/>
  <c r="L17" i="146" s="1"/>
  <c r="L17" i="175" s="1"/>
  <c r="K18" i="58"/>
  <c r="K17" i="146" s="1"/>
  <c r="K17" i="175" s="1"/>
  <c r="J18" i="58"/>
  <c r="J17" i="146" s="1"/>
  <c r="J17" i="175" s="1"/>
  <c r="I18" i="58"/>
  <c r="I17" i="146" s="1"/>
  <c r="I17" i="175" s="1"/>
  <c r="H18" i="58"/>
  <c r="H17" i="146" s="1"/>
  <c r="H17" i="175" s="1"/>
  <c r="G18" i="58"/>
  <c r="G17" i="146" s="1"/>
  <c r="G17" i="175" s="1"/>
  <c r="F18" i="58"/>
  <c r="F17" i="146" s="1"/>
  <c r="F17" i="175" s="1"/>
  <c r="E18" i="58"/>
  <c r="E17" i="146" s="1"/>
  <c r="E17" i="175" s="1"/>
  <c r="D18" i="58"/>
  <c r="D17" i="146" s="1"/>
  <c r="D17" i="175" s="1"/>
  <c r="C18" i="58"/>
  <c r="C17" i="146" s="1"/>
  <c r="C17" i="175" s="1"/>
  <c r="V17" i="58"/>
  <c r="V16" i="146" s="1"/>
  <c r="V16" i="175" s="1"/>
  <c r="U17" i="58"/>
  <c r="U16" i="146" s="1"/>
  <c r="T17" i="58"/>
  <c r="T16" i="146" s="1"/>
  <c r="T16" i="175" s="1"/>
  <c r="S17" i="58"/>
  <c r="S16" i="146" s="1"/>
  <c r="R17" i="58"/>
  <c r="Q17" i="58"/>
  <c r="Q16" i="146" s="1"/>
  <c r="Q16" i="175" s="1"/>
  <c r="P17" i="58"/>
  <c r="P16" i="146" s="1"/>
  <c r="P16" i="175" s="1"/>
  <c r="O17" i="58"/>
  <c r="O16" i="146" s="1"/>
  <c r="N17" i="58"/>
  <c r="N16" i="146" s="1"/>
  <c r="N16" i="175" s="1"/>
  <c r="M17" i="58"/>
  <c r="M16" i="146" s="1"/>
  <c r="L17" i="58"/>
  <c r="L16" i="146" s="1"/>
  <c r="L16" i="175" s="1"/>
  <c r="K17" i="58"/>
  <c r="K16" i="146" s="1"/>
  <c r="K16" i="175" s="1"/>
  <c r="J17" i="58"/>
  <c r="J16" i="146" s="1"/>
  <c r="J16" i="175" s="1"/>
  <c r="I17" i="58"/>
  <c r="I16" i="146" s="1"/>
  <c r="I16" i="175" s="1"/>
  <c r="H17" i="58"/>
  <c r="H16" i="146" s="1"/>
  <c r="H16" i="175" s="1"/>
  <c r="G17" i="58"/>
  <c r="G16" i="146" s="1"/>
  <c r="G16" i="175" s="1"/>
  <c r="F17" i="58"/>
  <c r="F16" i="146" s="1"/>
  <c r="F16" i="175" s="1"/>
  <c r="E17" i="58"/>
  <c r="E16" i="146" s="1"/>
  <c r="E16" i="175" s="1"/>
  <c r="D17" i="58"/>
  <c r="D16" i="146" s="1"/>
  <c r="D16" i="175" s="1"/>
  <c r="C17" i="58"/>
  <c r="C16" i="146" s="1"/>
  <c r="C16" i="175" s="1"/>
  <c r="V16" i="58"/>
  <c r="V15" i="146" s="1"/>
  <c r="U16" i="58"/>
  <c r="U15" i="146" s="1"/>
  <c r="T16" i="58"/>
  <c r="T15" i="146" s="1"/>
  <c r="T15" i="175" s="1"/>
  <c r="S16" i="58"/>
  <c r="S15" i="146" s="1"/>
  <c r="R16" i="58"/>
  <c r="Q16" i="58"/>
  <c r="Q15" i="146" s="1"/>
  <c r="Q15" i="175" s="1"/>
  <c r="P16" i="58"/>
  <c r="P15" i="146" s="1"/>
  <c r="P15" i="175" s="1"/>
  <c r="O16" i="58"/>
  <c r="O15" i="146" s="1"/>
  <c r="N16" i="58"/>
  <c r="N15" i="146" s="1"/>
  <c r="N15" i="175" s="1"/>
  <c r="M16" i="58"/>
  <c r="M15" i="146" s="1"/>
  <c r="L16" i="58"/>
  <c r="L15" i="146" s="1"/>
  <c r="L15" i="175" s="1"/>
  <c r="K16" i="58"/>
  <c r="K15" i="146" s="1"/>
  <c r="K15" i="175" s="1"/>
  <c r="J16" i="58"/>
  <c r="J15" i="146" s="1"/>
  <c r="J15" i="175" s="1"/>
  <c r="I16" i="58"/>
  <c r="I15" i="146" s="1"/>
  <c r="I15" i="175" s="1"/>
  <c r="H16" i="58"/>
  <c r="H15" i="146" s="1"/>
  <c r="H15" i="175" s="1"/>
  <c r="G16" i="58"/>
  <c r="G15" i="146" s="1"/>
  <c r="G15" i="175" s="1"/>
  <c r="F16" i="58"/>
  <c r="F15" i="146" s="1"/>
  <c r="F15" i="175" s="1"/>
  <c r="E16" i="58"/>
  <c r="E15" i="146" s="1"/>
  <c r="E15" i="175" s="1"/>
  <c r="D16" i="58"/>
  <c r="D15" i="146" s="1"/>
  <c r="D15" i="175" s="1"/>
  <c r="C16" i="58"/>
  <c r="C15" i="146" s="1"/>
  <c r="C15" i="175" s="1"/>
  <c r="V15" i="58"/>
  <c r="V14" i="146" s="1"/>
  <c r="U15" i="58"/>
  <c r="U14" i="146" s="1"/>
  <c r="T15" i="58"/>
  <c r="T14" i="146" s="1"/>
  <c r="T14" i="175" s="1"/>
  <c r="S15" i="58"/>
  <c r="S14" i="146" s="1"/>
  <c r="R15" i="58"/>
  <c r="Q15" i="58"/>
  <c r="Q14" i="146" s="1"/>
  <c r="Q14" i="175" s="1"/>
  <c r="P15" i="58"/>
  <c r="P14" i="146" s="1"/>
  <c r="P14" i="175" s="1"/>
  <c r="O15" i="58"/>
  <c r="O14" i="146" s="1"/>
  <c r="N15" i="58"/>
  <c r="N14" i="146" s="1"/>
  <c r="N14" i="175" s="1"/>
  <c r="M15" i="58"/>
  <c r="M14" i="146" s="1"/>
  <c r="L15" i="58"/>
  <c r="L14" i="146" s="1"/>
  <c r="L14" i="175" s="1"/>
  <c r="K15" i="58"/>
  <c r="K14" i="146" s="1"/>
  <c r="K14" i="175" s="1"/>
  <c r="J15" i="58"/>
  <c r="J14" i="146" s="1"/>
  <c r="J14" i="175" s="1"/>
  <c r="I15" i="58"/>
  <c r="I14" i="146" s="1"/>
  <c r="I14" i="175" s="1"/>
  <c r="H15" i="58"/>
  <c r="H14" i="146" s="1"/>
  <c r="H14" i="175" s="1"/>
  <c r="G15" i="58"/>
  <c r="G14" i="146" s="1"/>
  <c r="G14" i="175" s="1"/>
  <c r="F15" i="58"/>
  <c r="F14" i="146" s="1"/>
  <c r="F14" i="175" s="1"/>
  <c r="E15" i="58"/>
  <c r="E14" i="146" s="1"/>
  <c r="E14" i="175" s="1"/>
  <c r="D15" i="58"/>
  <c r="D14" i="146" s="1"/>
  <c r="D14" i="175" s="1"/>
  <c r="C15" i="58"/>
  <c r="C14" i="146" s="1"/>
  <c r="C14" i="175" s="1"/>
  <c r="V14" i="58"/>
  <c r="V13" i="146" s="1"/>
  <c r="U14" i="58"/>
  <c r="U13" i="146" s="1"/>
  <c r="T14" i="58"/>
  <c r="T13" i="146" s="1"/>
  <c r="T13" i="175" s="1"/>
  <c r="S14" i="58"/>
  <c r="S13" i="146" s="1"/>
  <c r="R14" i="58"/>
  <c r="Q14" i="58"/>
  <c r="Q13" i="146" s="1"/>
  <c r="Q13" i="175" s="1"/>
  <c r="P14" i="58"/>
  <c r="P13" i="146" s="1"/>
  <c r="P13" i="175" s="1"/>
  <c r="O14" i="58"/>
  <c r="O13" i="146" s="1"/>
  <c r="N14" i="58"/>
  <c r="N13" i="146" s="1"/>
  <c r="N13" i="175" s="1"/>
  <c r="M14" i="58"/>
  <c r="M13" i="146" s="1"/>
  <c r="L14" i="58"/>
  <c r="L13" i="146" s="1"/>
  <c r="L13" i="175" s="1"/>
  <c r="K14" i="58"/>
  <c r="K13" i="146" s="1"/>
  <c r="K13" i="175" s="1"/>
  <c r="J14" i="58"/>
  <c r="J13" i="146" s="1"/>
  <c r="J13" i="175" s="1"/>
  <c r="I14" i="58"/>
  <c r="I13" i="146" s="1"/>
  <c r="I13" i="175" s="1"/>
  <c r="H14" i="58"/>
  <c r="H13" i="146" s="1"/>
  <c r="H13" i="175" s="1"/>
  <c r="G14" i="58"/>
  <c r="G13" i="146" s="1"/>
  <c r="G13" i="175" s="1"/>
  <c r="F14" i="58"/>
  <c r="F13" i="146" s="1"/>
  <c r="F13" i="175" s="1"/>
  <c r="E14" i="58"/>
  <c r="E13" i="146" s="1"/>
  <c r="E13" i="175" s="1"/>
  <c r="D14" i="58"/>
  <c r="D13" i="146" s="1"/>
  <c r="D13" i="175" s="1"/>
  <c r="C14" i="58"/>
  <c r="C13" i="146" s="1"/>
  <c r="C13" i="175" s="1"/>
  <c r="V13" i="58"/>
  <c r="V12" i="146" s="1"/>
  <c r="U13" i="58"/>
  <c r="U12" i="146" s="1"/>
  <c r="T13" i="58"/>
  <c r="T12" i="146" s="1"/>
  <c r="T12" i="175" s="1"/>
  <c r="S13" i="58"/>
  <c r="S12" i="146" s="1"/>
  <c r="R13" i="58"/>
  <c r="Q13" i="58"/>
  <c r="Q12" i="146" s="1"/>
  <c r="Q12" i="175" s="1"/>
  <c r="P13" i="58"/>
  <c r="P12" i="146" s="1"/>
  <c r="P12" i="175" s="1"/>
  <c r="O13" i="58"/>
  <c r="O12" i="146" s="1"/>
  <c r="N13" i="58"/>
  <c r="N12" i="146" s="1"/>
  <c r="N12" i="175" s="1"/>
  <c r="M13" i="58"/>
  <c r="M12" i="146" s="1"/>
  <c r="L13" i="58"/>
  <c r="L12" i="146" s="1"/>
  <c r="L12" i="175" s="1"/>
  <c r="K13" i="58"/>
  <c r="K12" i="146" s="1"/>
  <c r="K12" i="175" s="1"/>
  <c r="J13" i="58"/>
  <c r="J12" i="146" s="1"/>
  <c r="J12" i="175" s="1"/>
  <c r="I13" i="58"/>
  <c r="I12" i="146" s="1"/>
  <c r="I12" i="175" s="1"/>
  <c r="H13" i="58"/>
  <c r="H12" i="146" s="1"/>
  <c r="H12" i="175" s="1"/>
  <c r="G13" i="58"/>
  <c r="G12" i="146" s="1"/>
  <c r="G12" i="175" s="1"/>
  <c r="F13" i="58"/>
  <c r="F12" i="146" s="1"/>
  <c r="F12" i="175" s="1"/>
  <c r="E13" i="58"/>
  <c r="E12" i="146" s="1"/>
  <c r="E12" i="175" s="1"/>
  <c r="D13" i="58"/>
  <c r="D12" i="146" s="1"/>
  <c r="D12" i="175" s="1"/>
  <c r="C13" i="58"/>
  <c r="C12" i="146" s="1"/>
  <c r="C12" i="175" s="1"/>
  <c r="V12" i="58"/>
  <c r="V11" i="146" s="1"/>
  <c r="U12" i="58"/>
  <c r="U11" i="146" s="1"/>
  <c r="T12" i="58"/>
  <c r="T11" i="146" s="1"/>
  <c r="T11" i="175" s="1"/>
  <c r="S12" i="58"/>
  <c r="S11" i="146" s="1"/>
  <c r="R12" i="58"/>
  <c r="Q12" i="58"/>
  <c r="Q11" i="146" s="1"/>
  <c r="Q11" i="175" s="1"/>
  <c r="P12" i="58"/>
  <c r="P11" i="146" s="1"/>
  <c r="P11" i="175" s="1"/>
  <c r="O12" i="58"/>
  <c r="O11" i="146" s="1"/>
  <c r="N12" i="58"/>
  <c r="N11" i="146" s="1"/>
  <c r="N11" i="175" s="1"/>
  <c r="M12" i="58"/>
  <c r="M11" i="146" s="1"/>
  <c r="L12" i="58"/>
  <c r="L11" i="146" s="1"/>
  <c r="L11" i="175" s="1"/>
  <c r="K12" i="58"/>
  <c r="K11" i="146" s="1"/>
  <c r="K11" i="175" s="1"/>
  <c r="J12" i="58"/>
  <c r="J11" i="146" s="1"/>
  <c r="J11" i="175" s="1"/>
  <c r="I12" i="58"/>
  <c r="I11" i="146" s="1"/>
  <c r="I11" i="175" s="1"/>
  <c r="H12" i="58"/>
  <c r="H11" i="146" s="1"/>
  <c r="H11" i="175" s="1"/>
  <c r="G12" i="58"/>
  <c r="G11" i="146" s="1"/>
  <c r="G11" i="175" s="1"/>
  <c r="F12" i="58"/>
  <c r="F11" i="146" s="1"/>
  <c r="F11" i="175" s="1"/>
  <c r="E12" i="58"/>
  <c r="E11" i="146" s="1"/>
  <c r="E11" i="175" s="1"/>
  <c r="D12" i="58"/>
  <c r="D11" i="146" s="1"/>
  <c r="D11" i="175" s="1"/>
  <c r="C12" i="58"/>
  <c r="C11" i="146" s="1"/>
  <c r="C11" i="175" s="1"/>
  <c r="V11" i="58"/>
  <c r="V10" i="146" s="1"/>
  <c r="U11" i="58"/>
  <c r="U10" i="146" s="1"/>
  <c r="T11" i="58"/>
  <c r="T10" i="146" s="1"/>
  <c r="T10" i="175" s="1"/>
  <c r="S11" i="58"/>
  <c r="S10" i="146" s="1"/>
  <c r="R11" i="58"/>
  <c r="Q11" i="58"/>
  <c r="Q10" i="146" s="1"/>
  <c r="Q10" i="175" s="1"/>
  <c r="P11" i="58"/>
  <c r="P10" i="146" s="1"/>
  <c r="P10" i="175" s="1"/>
  <c r="O11" i="58"/>
  <c r="O10" i="146" s="1"/>
  <c r="N11" i="58"/>
  <c r="N10" i="146" s="1"/>
  <c r="N10" i="175" s="1"/>
  <c r="M11" i="58"/>
  <c r="M10" i="146" s="1"/>
  <c r="L11" i="58"/>
  <c r="L10" i="146" s="1"/>
  <c r="L10" i="175" s="1"/>
  <c r="K11" i="58"/>
  <c r="K10" i="146" s="1"/>
  <c r="K10" i="175" s="1"/>
  <c r="J11" i="58"/>
  <c r="J10" i="146" s="1"/>
  <c r="J10" i="175" s="1"/>
  <c r="I11" i="58"/>
  <c r="I10" i="146" s="1"/>
  <c r="I10" i="175" s="1"/>
  <c r="H11" i="58"/>
  <c r="H10" i="146" s="1"/>
  <c r="H10" i="175" s="1"/>
  <c r="G11" i="58"/>
  <c r="G10" i="146" s="1"/>
  <c r="G10" i="175" s="1"/>
  <c r="F11" i="58"/>
  <c r="F10" i="146" s="1"/>
  <c r="F10" i="175" s="1"/>
  <c r="E11" i="58"/>
  <c r="E10" i="146" s="1"/>
  <c r="E10" i="175" s="1"/>
  <c r="D11" i="58"/>
  <c r="D10" i="146" s="1"/>
  <c r="D10" i="175" s="1"/>
  <c r="C11" i="58"/>
  <c r="C10" i="146" s="1"/>
  <c r="C10" i="175" s="1"/>
  <c r="V10" i="58"/>
  <c r="V9" i="146" s="1"/>
  <c r="U10" i="58"/>
  <c r="U9" i="146" s="1"/>
  <c r="T10" i="58"/>
  <c r="T9" i="146" s="1"/>
  <c r="T9" i="175" s="1"/>
  <c r="S10" i="58"/>
  <c r="S9" i="146" s="1"/>
  <c r="R10" i="58"/>
  <c r="Q10" i="58"/>
  <c r="Q9" i="146" s="1"/>
  <c r="Q9" i="175" s="1"/>
  <c r="P10" i="58"/>
  <c r="P9" i="146" s="1"/>
  <c r="P9" i="175" s="1"/>
  <c r="O10" i="58"/>
  <c r="O9" i="146" s="1"/>
  <c r="N10" i="58"/>
  <c r="N9" i="146" s="1"/>
  <c r="M10" i="58"/>
  <c r="M9" i="146" s="1"/>
  <c r="L10" i="58"/>
  <c r="L9" i="146" s="1"/>
  <c r="L9" i="175" s="1"/>
  <c r="K10" i="58"/>
  <c r="K9" i="146" s="1"/>
  <c r="K9" i="175" s="1"/>
  <c r="J10" i="58"/>
  <c r="J9" i="146" s="1"/>
  <c r="J9" i="175" s="1"/>
  <c r="I10" i="58"/>
  <c r="I9" i="146" s="1"/>
  <c r="I9" i="175" s="1"/>
  <c r="H10" i="58"/>
  <c r="H9" i="146" s="1"/>
  <c r="H9" i="175" s="1"/>
  <c r="G10" i="58"/>
  <c r="G9" i="146" s="1"/>
  <c r="G9" i="175" s="1"/>
  <c r="F10" i="58"/>
  <c r="F9" i="146" s="1"/>
  <c r="F9" i="175" s="1"/>
  <c r="E10" i="58"/>
  <c r="E9" i="146" s="1"/>
  <c r="E9" i="175" s="1"/>
  <c r="D10" i="58"/>
  <c r="D9" i="146" s="1"/>
  <c r="D9" i="175" s="1"/>
  <c r="C10" i="58"/>
  <c r="C9" i="146" s="1"/>
  <c r="V9" i="58"/>
  <c r="V8" i="146" s="1"/>
  <c r="U9" i="58"/>
  <c r="U8" i="146" s="1"/>
  <c r="U8" i="175" s="1"/>
  <c r="T9" i="58"/>
  <c r="T8" i="146" s="1"/>
  <c r="T8" i="175" s="1"/>
  <c r="S9" i="58"/>
  <c r="S8" i="146" s="1"/>
  <c r="R9" i="58"/>
  <c r="Q9" i="58"/>
  <c r="Q8" i="146" s="1"/>
  <c r="Q8" i="175" s="1"/>
  <c r="P9" i="58"/>
  <c r="P8" i="146" s="1"/>
  <c r="P8" i="175" s="1"/>
  <c r="O9" i="58"/>
  <c r="O8" i="146" s="1"/>
  <c r="N9" i="58"/>
  <c r="N8" i="146" s="1"/>
  <c r="N8" i="175" s="1"/>
  <c r="M9" i="58"/>
  <c r="M8" i="146" s="1"/>
  <c r="L9" i="58"/>
  <c r="L8" i="146" s="1"/>
  <c r="L8" i="175" s="1"/>
  <c r="K9" i="58"/>
  <c r="K8" i="146" s="1"/>
  <c r="K8" i="175" s="1"/>
  <c r="J9" i="58"/>
  <c r="J8" i="146" s="1"/>
  <c r="I9" i="58"/>
  <c r="I8" i="146" s="1"/>
  <c r="H9" i="58"/>
  <c r="H8" i="146" s="1"/>
  <c r="G9" i="58"/>
  <c r="G8" i="146" s="1"/>
  <c r="F9" i="58"/>
  <c r="F8" i="146" s="1"/>
  <c r="F8" i="175" s="1"/>
  <c r="E9" i="58"/>
  <c r="E8" i="146" s="1"/>
  <c r="E8" i="175" s="1"/>
  <c r="D9" i="58"/>
  <c r="D8" i="146" s="1"/>
  <c r="D8" i="175" s="1"/>
  <c r="C9" i="58"/>
  <c r="C8" i="146" s="1"/>
  <c r="C8" i="175" s="1"/>
  <c r="V8" i="58"/>
  <c r="V7" i="146" s="1"/>
  <c r="U8" i="58"/>
  <c r="U7" i="146" s="1"/>
  <c r="T8" i="58"/>
  <c r="T7" i="146" s="1"/>
  <c r="S8" i="58"/>
  <c r="S7" i="146" s="1"/>
  <c r="R8" i="58"/>
  <c r="Q8" i="58"/>
  <c r="Q7" i="146" s="1"/>
  <c r="P8" i="58"/>
  <c r="O8" i="58"/>
  <c r="O7" i="146" s="1"/>
  <c r="N8" i="58"/>
  <c r="N7" i="146" s="1"/>
  <c r="N7" i="175" s="1"/>
  <c r="M8" i="58"/>
  <c r="L8" i="58"/>
  <c r="K8" i="58"/>
  <c r="J8" i="58"/>
  <c r="I8" i="58"/>
  <c r="H8" i="58"/>
  <c r="G8" i="58"/>
  <c r="F8" i="58"/>
  <c r="F7" i="146" s="1"/>
  <c r="E8" i="58"/>
  <c r="E7" i="146" s="1"/>
  <c r="D8" i="58"/>
  <c r="C8" i="58"/>
  <c r="U11" i="175" l="1"/>
  <c r="U34" i="175"/>
  <c r="U16" i="175"/>
  <c r="V9" i="175"/>
  <c r="R10" i="146"/>
  <c r="V13" i="175"/>
  <c r="V22" i="175"/>
  <c r="V25" i="175"/>
  <c r="S9" i="175"/>
  <c r="O16" i="175"/>
  <c r="S17" i="175"/>
  <c r="O24" i="175"/>
  <c r="S26" i="175"/>
  <c r="S33" i="175"/>
  <c r="AS41" i="141"/>
  <c r="AS42" i="141" s="1"/>
  <c r="U37" i="153"/>
  <c r="O21" i="175"/>
  <c r="V37" i="153"/>
  <c r="V12" i="175"/>
  <c r="V14" i="175"/>
  <c r="V15" i="175"/>
  <c r="V17" i="175"/>
  <c r="V18" i="175"/>
  <c r="V21" i="175"/>
  <c r="V26" i="175"/>
  <c r="V28" i="175"/>
  <c r="V29" i="175"/>
  <c r="V30" i="175"/>
  <c r="S37" i="153"/>
  <c r="S37" i="174"/>
  <c r="BX22" i="176" s="1"/>
  <c r="BX24" i="176" s="1"/>
  <c r="S8" i="175"/>
  <c r="S10" i="175"/>
  <c r="O12" i="175"/>
  <c r="S12" i="175"/>
  <c r="S13" i="175"/>
  <c r="S15" i="175"/>
  <c r="S18" i="175"/>
  <c r="S19" i="175"/>
  <c r="S20" i="175"/>
  <c r="S24" i="175"/>
  <c r="O25" i="175"/>
  <c r="S27" i="175"/>
  <c r="S29" i="175"/>
  <c r="V37" i="174"/>
  <c r="CA22" i="176" s="1"/>
  <c r="CA24" i="176" s="1"/>
  <c r="Y22" i="176"/>
  <c r="Y24" i="176" s="1"/>
  <c r="V8" i="175"/>
  <c r="V10" i="175"/>
  <c r="V11" i="175"/>
  <c r="V19" i="175"/>
  <c r="R22" i="146"/>
  <c r="V23" i="175"/>
  <c r="V24" i="175"/>
  <c r="V27" i="175"/>
  <c r="V31" i="175"/>
  <c r="V32" i="175"/>
  <c r="V33" i="175"/>
  <c r="V34" i="175"/>
  <c r="V36" i="175"/>
  <c r="S37" i="167"/>
  <c r="BF22" i="176" s="1"/>
  <c r="BF24" i="176" s="1"/>
  <c r="S11" i="175"/>
  <c r="O15" i="175"/>
  <c r="O17" i="175"/>
  <c r="S23" i="175"/>
  <c r="O27" i="175"/>
  <c r="S28" i="175"/>
  <c r="S30" i="175"/>
  <c r="O31" i="175"/>
  <c r="S31" i="175"/>
  <c r="S32" i="175"/>
  <c r="S34" i="175"/>
  <c r="O35" i="175"/>
  <c r="S35" i="175"/>
  <c r="S36" i="175"/>
  <c r="V37" i="167"/>
  <c r="BI22" i="176" s="1"/>
  <c r="BI24" i="176" s="1"/>
  <c r="V37" i="160"/>
  <c r="AQ22" i="176" s="1"/>
  <c r="AQ24" i="176" s="1"/>
  <c r="C9" i="175"/>
  <c r="O10" i="175"/>
  <c r="O14" i="175"/>
  <c r="S16" i="175"/>
  <c r="O18" i="175"/>
  <c r="O30" i="175"/>
  <c r="O32" i="175"/>
  <c r="M37" i="160"/>
  <c r="AM17" i="176" s="1"/>
  <c r="AM19" i="176" s="1"/>
  <c r="BV11" i="176"/>
  <c r="BV13" i="176" s="1"/>
  <c r="O37" i="153"/>
  <c r="W17" i="176" s="1"/>
  <c r="W19" i="176" s="1"/>
  <c r="T11" i="176"/>
  <c r="T13" i="176" s="1"/>
  <c r="V22" i="176"/>
  <c r="V24" i="176" s="1"/>
  <c r="V4" i="176"/>
  <c r="V6" i="176" s="1"/>
  <c r="C38" i="58"/>
  <c r="C7" i="146"/>
  <c r="C7" i="175" s="1"/>
  <c r="O9" i="175"/>
  <c r="O11" i="175"/>
  <c r="O13" i="175"/>
  <c r="S14" i="175"/>
  <c r="O20" i="175"/>
  <c r="S22" i="175"/>
  <c r="S25" i="175"/>
  <c r="O28" i="175"/>
  <c r="O33" i="175"/>
  <c r="D38" i="58"/>
  <c r="D7" i="146"/>
  <c r="M9" i="175"/>
  <c r="M12" i="175"/>
  <c r="U14" i="175"/>
  <c r="M15" i="175"/>
  <c r="M16" i="175"/>
  <c r="U17" i="175"/>
  <c r="M18" i="175"/>
  <c r="U19" i="175"/>
  <c r="U20" i="175"/>
  <c r="M21" i="175"/>
  <c r="U21" i="175"/>
  <c r="U22" i="175"/>
  <c r="M23" i="175"/>
  <c r="U23" i="175"/>
  <c r="M24" i="175"/>
  <c r="U24" i="175"/>
  <c r="U26" i="175"/>
  <c r="M27" i="175"/>
  <c r="U28" i="175"/>
  <c r="U29" i="175"/>
  <c r="M30" i="175"/>
  <c r="U30" i="175"/>
  <c r="U31" i="175"/>
  <c r="M33" i="175"/>
  <c r="M35" i="175"/>
  <c r="U35" i="175"/>
  <c r="M36" i="175"/>
  <c r="M37" i="153"/>
  <c r="U17" i="176" s="1"/>
  <c r="U19" i="176" s="1"/>
  <c r="U4" i="176"/>
  <c r="U6" i="176" s="1"/>
  <c r="U22" i="176"/>
  <c r="U24" i="176" s="1"/>
  <c r="R38" i="141"/>
  <c r="R37" i="170"/>
  <c r="R15" i="153"/>
  <c r="R22" i="153"/>
  <c r="S37" i="160"/>
  <c r="AN22" i="176" s="1"/>
  <c r="AN24" i="176" s="1"/>
  <c r="M26" i="175"/>
  <c r="U32" i="175"/>
  <c r="O19" i="175"/>
  <c r="O22" i="175"/>
  <c r="O23" i="175"/>
  <c r="O34" i="175"/>
  <c r="G38" i="58"/>
  <c r="G7" i="146"/>
  <c r="G7" i="175" s="1"/>
  <c r="K38" i="58"/>
  <c r="K7" i="146"/>
  <c r="P38" i="58"/>
  <c r="P7" i="146"/>
  <c r="T7" i="175"/>
  <c r="T37" i="175" s="1"/>
  <c r="CQ22" i="176" s="1"/>
  <c r="CQ24" i="176" s="1"/>
  <c r="T37" i="146"/>
  <c r="E22" i="176" s="1"/>
  <c r="E24" i="176" s="1"/>
  <c r="R37" i="173"/>
  <c r="U37" i="160"/>
  <c r="AP22" i="176" s="1"/>
  <c r="AP24" i="176" s="1"/>
  <c r="R21" i="160"/>
  <c r="R23" i="160"/>
  <c r="M37" i="167"/>
  <c r="BE17" i="176" s="1"/>
  <c r="BE19" i="176" s="1"/>
  <c r="R22" i="174"/>
  <c r="R27" i="167"/>
  <c r="R22" i="167"/>
  <c r="R19" i="167"/>
  <c r="X22" i="176"/>
  <c r="X24" i="176" s="1"/>
  <c r="X4" i="176"/>
  <c r="X6" i="176" s="1"/>
  <c r="AL4" i="176"/>
  <c r="AL6" i="176" s="1"/>
  <c r="W22" i="176"/>
  <c r="W4" i="176"/>
  <c r="Q7" i="175"/>
  <c r="Q37" i="175" s="1"/>
  <c r="CS17" i="176" s="1"/>
  <c r="CS19" i="176" s="1"/>
  <c r="Q37" i="146"/>
  <c r="G17" i="176" s="1"/>
  <c r="G19" i="176" s="1"/>
  <c r="I8" i="175"/>
  <c r="R8" i="153"/>
  <c r="R22" i="160"/>
  <c r="R28" i="160"/>
  <c r="R12" i="174"/>
  <c r="R26" i="174"/>
  <c r="R36" i="174"/>
  <c r="U37" i="167"/>
  <c r="BH22" i="176" s="1"/>
  <c r="BH24" i="176" s="1"/>
  <c r="R9" i="167"/>
  <c r="M37" i="174"/>
  <c r="BW17" i="176" s="1"/>
  <c r="BV17" i="176" s="1"/>
  <c r="BV19" i="176" s="1"/>
  <c r="E7" i="175"/>
  <c r="E37" i="175" s="1"/>
  <c r="CQ4" i="176" s="1"/>
  <c r="E37" i="146"/>
  <c r="E4" i="176" s="1"/>
  <c r="F7" i="175"/>
  <c r="F37" i="175" s="1"/>
  <c r="CR4" i="176" s="1"/>
  <c r="CR6" i="176" s="1"/>
  <c r="F37" i="146"/>
  <c r="F4" i="176" s="1"/>
  <c r="F6" i="176" s="1"/>
  <c r="V7" i="175"/>
  <c r="V37" i="146"/>
  <c r="G22" i="176" s="1"/>
  <c r="G24" i="176" s="1"/>
  <c r="J8" i="175"/>
  <c r="N37" i="146"/>
  <c r="D17" i="176" s="1"/>
  <c r="D19" i="176" s="1"/>
  <c r="N9" i="175"/>
  <c r="N37" i="175" s="1"/>
  <c r="CP17" i="176" s="1"/>
  <c r="CP19" i="176" s="1"/>
  <c r="R12" i="153"/>
  <c r="R13" i="153"/>
  <c r="R15" i="167"/>
  <c r="BG6" i="176"/>
  <c r="BD4" i="176"/>
  <c r="BD6" i="176" s="1"/>
  <c r="BV4" i="176"/>
  <c r="BV6" i="176" s="1"/>
  <c r="I38" i="58"/>
  <c r="I7" i="146"/>
  <c r="I7" i="175" s="1"/>
  <c r="J38" i="58"/>
  <c r="J7" i="146"/>
  <c r="J7" i="175" s="1"/>
  <c r="J37" i="175" s="1"/>
  <c r="CQ11" i="176" s="1"/>
  <c r="CQ13" i="176" s="1"/>
  <c r="S7" i="175"/>
  <c r="S37" i="146"/>
  <c r="D22" i="176" s="1"/>
  <c r="G8" i="175"/>
  <c r="R19" i="153"/>
  <c r="R7" i="153"/>
  <c r="R15" i="160"/>
  <c r="R34" i="160"/>
  <c r="L38" i="58"/>
  <c r="L7" i="146"/>
  <c r="AL11" i="176"/>
  <c r="AL13" i="176" s="1"/>
  <c r="R30" i="174"/>
  <c r="R11" i="160"/>
  <c r="R28" i="174"/>
  <c r="R34" i="167"/>
  <c r="R16" i="146"/>
  <c r="R19" i="146"/>
  <c r="R25" i="146"/>
  <c r="R34" i="146"/>
  <c r="R37" i="165"/>
  <c r="R37" i="168"/>
  <c r="R9" i="174"/>
  <c r="R37" i="171"/>
  <c r="R21" i="167"/>
  <c r="R8" i="167"/>
  <c r="U37" i="174"/>
  <c r="BZ22" i="176" s="1"/>
  <c r="BZ24" i="176" s="1"/>
  <c r="R14" i="153"/>
  <c r="R27" i="160"/>
  <c r="R29" i="160"/>
  <c r="R17" i="174"/>
  <c r="R37" i="143"/>
  <c r="R11" i="167"/>
  <c r="H38" i="58"/>
  <c r="H7" i="146"/>
  <c r="H7" i="175" s="1"/>
  <c r="R28" i="153"/>
  <c r="R37" i="163"/>
  <c r="R25" i="160"/>
  <c r="R13" i="174"/>
  <c r="R36" i="167"/>
  <c r="U7" i="175"/>
  <c r="U37" i="146"/>
  <c r="F22" i="176" s="1"/>
  <c r="F24" i="176" s="1"/>
  <c r="U10" i="175"/>
  <c r="U13" i="175"/>
  <c r="M29" i="175"/>
  <c r="M32" i="175"/>
  <c r="R37" i="169"/>
  <c r="R18" i="153"/>
  <c r="R35" i="153"/>
  <c r="R23" i="153"/>
  <c r="R12" i="160"/>
  <c r="R32" i="160"/>
  <c r="R35" i="160"/>
  <c r="R37" i="148"/>
  <c r="R10" i="174"/>
  <c r="R32" i="174"/>
  <c r="R18" i="167"/>
  <c r="R14" i="167"/>
  <c r="R37" i="144"/>
  <c r="O7" i="175"/>
  <c r="O37" i="146"/>
  <c r="E17" i="176" s="1"/>
  <c r="E19" i="176" s="1"/>
  <c r="R14" i="160"/>
  <c r="R29" i="167"/>
  <c r="R38" i="58"/>
  <c r="R7" i="146"/>
  <c r="R13" i="146"/>
  <c r="R28" i="146"/>
  <c r="R31" i="146"/>
  <c r="R37" i="156"/>
  <c r="R17" i="160"/>
  <c r="R37" i="172"/>
  <c r="R35" i="174"/>
  <c r="R37" i="158"/>
  <c r="R32" i="167"/>
  <c r="O36" i="175"/>
  <c r="R11" i="153"/>
  <c r="R37" i="162"/>
  <c r="R13" i="160"/>
  <c r="R37" i="152"/>
  <c r="R21" i="174"/>
  <c r="R33" i="167"/>
  <c r="R35" i="167"/>
  <c r="R26" i="153"/>
  <c r="R24" i="160"/>
  <c r="R37" i="164"/>
  <c r="R29" i="174"/>
  <c r="R37" i="155"/>
  <c r="R37" i="159"/>
  <c r="R30" i="167"/>
  <c r="R26" i="167"/>
  <c r="M8" i="175"/>
  <c r="M11" i="175"/>
  <c r="M14" i="175"/>
  <c r="M17" i="175"/>
  <c r="M20" i="175"/>
  <c r="U25" i="175"/>
  <c r="R9" i="146"/>
  <c r="R12" i="146"/>
  <c r="R15" i="146"/>
  <c r="R18" i="146"/>
  <c r="R21" i="146"/>
  <c r="R24" i="146"/>
  <c r="R27" i="146"/>
  <c r="R30" i="146"/>
  <c r="R33" i="146"/>
  <c r="R36" i="146"/>
  <c r="R21" i="153"/>
  <c r="R16" i="153"/>
  <c r="R17" i="153"/>
  <c r="R33" i="160"/>
  <c r="R8" i="160"/>
  <c r="R26" i="160"/>
  <c r="R8" i="174"/>
  <c r="R25" i="174"/>
  <c r="R24" i="167"/>
  <c r="R20" i="167"/>
  <c r="R20" i="174"/>
  <c r="H8" i="175"/>
  <c r="BE13" i="176"/>
  <c r="BD11" i="176"/>
  <c r="BD13" i="176" s="1"/>
  <c r="R23" i="167"/>
  <c r="R16" i="160"/>
  <c r="R27" i="174"/>
  <c r="O8" i="175"/>
  <c r="O26" i="175"/>
  <c r="R30" i="153"/>
  <c r="R20" i="153"/>
  <c r="R36" i="160"/>
  <c r="R11" i="174"/>
  <c r="R37" i="161"/>
  <c r="R12" i="167"/>
  <c r="R31" i="167"/>
  <c r="R37" i="142"/>
  <c r="R37" i="149"/>
  <c r="R33" i="153"/>
  <c r="R29" i="153"/>
  <c r="R37" i="154"/>
  <c r="R9" i="160"/>
  <c r="R15" i="174"/>
  <c r="R19" i="174"/>
  <c r="R37" i="157"/>
  <c r="O37" i="167"/>
  <c r="BG17" i="176" s="1"/>
  <c r="BG19" i="176" s="1"/>
  <c r="R28" i="167"/>
  <c r="R13" i="167"/>
  <c r="M38" i="58"/>
  <c r="M7" i="146"/>
  <c r="U9" i="175"/>
  <c r="M10" i="175"/>
  <c r="U12" i="175"/>
  <c r="M13" i="175"/>
  <c r="U15" i="175"/>
  <c r="U18" i="175"/>
  <c r="M19" i="175"/>
  <c r="M22" i="175"/>
  <c r="M25" i="175"/>
  <c r="U27" i="175"/>
  <c r="M28" i="175"/>
  <c r="M31" i="175"/>
  <c r="U33" i="175"/>
  <c r="M34" i="175"/>
  <c r="U36" i="175"/>
  <c r="R37" i="147"/>
  <c r="R9" i="153"/>
  <c r="R25" i="153"/>
  <c r="R31" i="153"/>
  <c r="R30" i="160"/>
  <c r="R31" i="160"/>
  <c r="R33" i="174"/>
  <c r="R7" i="174"/>
  <c r="R23" i="174"/>
  <c r="R37" i="145"/>
  <c r="R10" i="167"/>
  <c r="R16" i="167"/>
  <c r="R7" i="160"/>
  <c r="R24" i="153"/>
  <c r="R17" i="167"/>
  <c r="O29" i="175"/>
  <c r="R32" i="153"/>
  <c r="R10" i="160"/>
  <c r="O37" i="160"/>
  <c r="AO17" i="176" s="1"/>
  <c r="AO19" i="176" s="1"/>
  <c r="R37" i="151"/>
  <c r="R18" i="174"/>
  <c r="R16" i="174"/>
  <c r="R34" i="153"/>
  <c r="R20" i="160"/>
  <c r="R34" i="174"/>
  <c r="R8" i="146"/>
  <c r="R11" i="146"/>
  <c r="R14" i="146"/>
  <c r="R17" i="146"/>
  <c r="R20" i="146"/>
  <c r="R23" i="146"/>
  <c r="R26" i="146"/>
  <c r="R29" i="146"/>
  <c r="R32" i="146"/>
  <c r="R35" i="146"/>
  <c r="R27" i="153"/>
  <c r="R10" i="153"/>
  <c r="R36" i="153"/>
  <c r="R18" i="160"/>
  <c r="R19" i="160"/>
  <c r="R37" i="150"/>
  <c r="R24" i="174"/>
  <c r="R14" i="174"/>
  <c r="R31" i="174"/>
  <c r="R37" i="166"/>
  <c r="R25" i="167"/>
  <c r="R7" i="167"/>
  <c r="V38" i="58"/>
  <c r="U38" i="58"/>
  <c r="T38" i="58"/>
  <c r="Q38" i="58"/>
  <c r="O38" i="58"/>
  <c r="N38" i="58"/>
  <c r="F38" i="58"/>
  <c r="E38" i="58"/>
  <c r="S38" i="58"/>
  <c r="C37" i="175" l="1"/>
  <c r="CO4" i="176" s="1"/>
  <c r="CO6" i="176" s="1"/>
  <c r="I37" i="175"/>
  <c r="CP11" i="176" s="1"/>
  <c r="CP13" i="176" s="1"/>
  <c r="T17" i="176"/>
  <c r="T19" i="176" s="1"/>
  <c r="BW19" i="176"/>
  <c r="H37" i="146"/>
  <c r="C11" i="176" s="1"/>
  <c r="C13" i="176" s="1"/>
  <c r="S37" i="175"/>
  <c r="CP22" i="176" s="1"/>
  <c r="V37" i="175"/>
  <c r="CS22" i="176" s="1"/>
  <c r="CS24" i="176" s="1"/>
  <c r="R22" i="175"/>
  <c r="G37" i="175"/>
  <c r="CS4" i="176" s="1"/>
  <c r="CS6" i="176" s="1"/>
  <c r="C37" i="146"/>
  <c r="C4" i="176" s="1"/>
  <c r="C6" i="176" s="1"/>
  <c r="G37" i="146"/>
  <c r="G4" i="176" s="1"/>
  <c r="G6" i="176" s="1"/>
  <c r="D7" i="175"/>
  <c r="D37" i="175" s="1"/>
  <c r="CP4" i="176" s="1"/>
  <c r="CP6" i="176" s="1"/>
  <c r="D37" i="146"/>
  <c r="D4" i="176" s="1"/>
  <c r="D6" i="176" s="1"/>
  <c r="R20" i="175"/>
  <c r="R10" i="175"/>
  <c r="R29" i="175"/>
  <c r="CQ6" i="176"/>
  <c r="R36" i="175"/>
  <c r="AL17" i="176"/>
  <c r="AL19" i="176" s="1"/>
  <c r="J37" i="146"/>
  <c r="E11" i="176" s="1"/>
  <c r="E13" i="176" s="1"/>
  <c r="I37" i="146"/>
  <c r="D11" i="176" s="1"/>
  <c r="D13" i="176" s="1"/>
  <c r="T4" i="176"/>
  <c r="T6" i="176" s="1"/>
  <c r="W6" i="176"/>
  <c r="K7" i="175"/>
  <c r="K37" i="175" s="1"/>
  <c r="CR11" i="176" s="1"/>
  <c r="CR13" i="176" s="1"/>
  <c r="K37" i="146"/>
  <c r="F11" i="176" s="1"/>
  <c r="F13" i="176" s="1"/>
  <c r="R33" i="175"/>
  <c r="R9" i="175"/>
  <c r="W24" i="176"/>
  <c r="T22" i="176"/>
  <c r="T24" i="176" s="1"/>
  <c r="U37" i="175"/>
  <c r="CR22" i="176" s="1"/>
  <c r="CR24" i="176" s="1"/>
  <c r="R37" i="153"/>
  <c r="E6" i="176"/>
  <c r="P7" i="175"/>
  <c r="P37" i="175" s="1"/>
  <c r="CR17" i="176" s="1"/>
  <c r="CR19" i="176" s="1"/>
  <c r="P37" i="146"/>
  <c r="F17" i="176" s="1"/>
  <c r="F19" i="176" s="1"/>
  <c r="R19" i="175"/>
  <c r="L7" i="175"/>
  <c r="L37" i="175" s="1"/>
  <c r="CS11" i="176" s="1"/>
  <c r="CS13" i="176" s="1"/>
  <c r="L37" i="146"/>
  <c r="G11" i="176" s="1"/>
  <c r="G13" i="176" s="1"/>
  <c r="R14" i="175"/>
  <c r="R8" i="175"/>
  <c r="R27" i="175"/>
  <c r="R28" i="175"/>
  <c r="H37" i="175"/>
  <c r="CO11" i="176" s="1"/>
  <c r="R11" i="175"/>
  <c r="R37" i="160"/>
  <c r="AM22" i="176" s="1"/>
  <c r="R30" i="175"/>
  <c r="R31" i="175"/>
  <c r="R37" i="167"/>
  <c r="BE22" i="176" s="1"/>
  <c r="O37" i="175"/>
  <c r="CQ17" i="176" s="1"/>
  <c r="CQ19" i="176" s="1"/>
  <c r="R24" i="175"/>
  <c r="R17" i="175"/>
  <c r="R16" i="175"/>
  <c r="R35" i="175"/>
  <c r="R32" i="175"/>
  <c r="R21" i="175"/>
  <c r="R13" i="175"/>
  <c r="M7" i="175"/>
  <c r="M37" i="175" s="1"/>
  <c r="CO17" i="176" s="1"/>
  <c r="M37" i="146"/>
  <c r="C17" i="176" s="1"/>
  <c r="R18" i="175"/>
  <c r="R7" i="175"/>
  <c r="R37" i="146"/>
  <c r="C22" i="176" s="1"/>
  <c r="R26" i="175"/>
  <c r="R37" i="174"/>
  <c r="BW22" i="176" s="1"/>
  <c r="R15" i="175"/>
  <c r="R34" i="175"/>
  <c r="R23" i="175"/>
  <c r="R12" i="175"/>
  <c r="R25" i="175"/>
  <c r="BD17" i="176"/>
  <c r="BD19" i="176" s="1"/>
  <c r="AU38" i="58"/>
  <c r="AT38" i="58"/>
  <c r="CN4" i="176" l="1"/>
  <c r="CN6" i="176" s="1"/>
  <c r="B4" i="176"/>
  <c r="B6" i="176" s="1"/>
  <c r="B11" i="176"/>
  <c r="B13" i="176" s="1"/>
  <c r="B17" i="176"/>
  <c r="B19" i="176" s="1"/>
  <c r="C19" i="176"/>
  <c r="B22" i="176"/>
  <c r="C24" i="176"/>
  <c r="CN17" i="176"/>
  <c r="CN19" i="176" s="1"/>
  <c r="CO19" i="176"/>
  <c r="AL22" i="176"/>
  <c r="AL24" i="176" s="1"/>
  <c r="AM24" i="176"/>
  <c r="CN11" i="176"/>
  <c r="CN13" i="176" s="1"/>
  <c r="CO13" i="176"/>
  <c r="BD22" i="176"/>
  <c r="BD24" i="176" s="1"/>
  <c r="BE24" i="176"/>
  <c r="BV22" i="176"/>
  <c r="BV24" i="176" s="1"/>
  <c r="BW24" i="176"/>
  <c r="R37" i="175"/>
  <c r="CO22" i="176" s="1"/>
  <c r="CN22" i="176" l="1"/>
  <c r="CO24" i="176"/>
  <c r="AM7" i="146"/>
  <c r="AM37" i="146" s="1"/>
  <c r="D23" i="176" s="1"/>
  <c r="AM37" i="142"/>
  <c r="D24" i="176" l="1"/>
  <c r="B23" i="176"/>
  <c r="B24" i="176" s="1"/>
  <c r="AM7" i="175"/>
  <c r="AM37" i="175" s="1"/>
  <c r="CP23" i="176" s="1"/>
  <c r="CP24" i="176" l="1"/>
  <c r="CN23" i="176"/>
  <c r="CN24" i="176" s="1"/>
</calcChain>
</file>

<file path=xl/sharedStrings.xml><?xml version="1.0" encoding="utf-8"?>
<sst xmlns="http://schemas.openxmlformats.org/spreadsheetml/2006/main" count="2395" uniqueCount="54">
  <si>
    <t xml:space="preserve">TOTAL </t>
  </si>
  <si>
    <t>OBJECTIFS JOURNALIERS</t>
  </si>
  <si>
    <t>Biblos Lait Premium 16g</t>
  </si>
  <si>
    <t>Biblos Lait Premium 360g</t>
  </si>
  <si>
    <t>Biblos Flocon d'avoine 50g</t>
  </si>
  <si>
    <t>Biblos Flocon d'avoine 400g</t>
  </si>
  <si>
    <t>Commentaires</t>
  </si>
  <si>
    <t>Impressions des PDV et des clients</t>
  </si>
  <si>
    <t>Objectif</t>
  </si>
  <si>
    <t>Réalisé</t>
  </si>
  <si>
    <t>Agent promoteur</t>
  </si>
  <si>
    <t>Nombre de visite / Type de PDV</t>
  </si>
  <si>
    <t>Boutique</t>
  </si>
  <si>
    <t>Superette</t>
  </si>
  <si>
    <t>Kiosque</t>
  </si>
  <si>
    <t>Tablier</t>
  </si>
  <si>
    <t>Pushcart</t>
  </si>
  <si>
    <t>Nombre de référencement / Type de PDV</t>
  </si>
  <si>
    <t>Pose de matériel de visibilité</t>
  </si>
  <si>
    <t>Vente</t>
  </si>
  <si>
    <t>Affiche Biblos Flocons d' Avoine</t>
  </si>
  <si>
    <t>Hanger</t>
  </si>
  <si>
    <t>Wobbler</t>
  </si>
  <si>
    <t>Affiche Biblos Lait  Prémium 16g &amp; 360g</t>
  </si>
  <si>
    <t>Affiche Biblos Lait Excellence</t>
  </si>
  <si>
    <t>REALISATIONS</t>
  </si>
  <si>
    <t>Gratuits offerts</t>
  </si>
  <si>
    <t>Biblos Lait Excellence 900g</t>
  </si>
  <si>
    <t>N°</t>
  </si>
  <si>
    <t>Vente en cartons</t>
  </si>
  <si>
    <t>%</t>
  </si>
  <si>
    <t>Total</t>
  </si>
  <si>
    <t>Visites</t>
  </si>
  <si>
    <t>Référencement</t>
  </si>
  <si>
    <t>Visibilité</t>
  </si>
  <si>
    <t>Semaine 1</t>
  </si>
  <si>
    <t>Semaine 2</t>
  </si>
  <si>
    <t>Semaine 3</t>
  </si>
  <si>
    <t>Semaine 4</t>
  </si>
  <si>
    <t>Semaine 5</t>
  </si>
  <si>
    <t>Total campagne</t>
  </si>
  <si>
    <t>Gratuits offerts en sachet</t>
  </si>
  <si>
    <t>DALOA JOUR 1</t>
  </si>
  <si>
    <t>DALOA JOUR 2</t>
  </si>
  <si>
    <t>GAGNOA JOUR 1</t>
  </si>
  <si>
    <t>GAGNOA JOUR 2</t>
  </si>
  <si>
    <t>YAMOUSSOUKRO JOUR 1</t>
  </si>
  <si>
    <t>Le 360G était indisponible</t>
  </si>
  <si>
    <t>Le commerciale de la zone à déjà référencé certains points de détaillants</t>
  </si>
  <si>
    <t>Certains sont sont reticents car les produits sont nouveaux et prefèrent attendre le demande des consommateurs ou une communication grand media avant de se decider</t>
  </si>
  <si>
    <t>La majeur partie des acheteurs ont fait des achats de détail (chapelet ou sachet)</t>
  </si>
  <si>
    <t>Le format  360g de lait n'était pas disponible</t>
  </si>
  <si>
    <t>Idem</t>
  </si>
  <si>
    <t xml:space="preserve">C'est après le 1er jour de vente que le grossiste nous a signifiés que le 360G est disponible. Nous en avons vendu le 2ème jour  hier.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</si>
</sst>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"/>
    <numFmt numFmtId="165" formatCode="_-* #,##0.0_-;\-* #,##0.0_-;_-* &quot;-&quot;_-;_-@_-"/>
  </numFmts>
  <fonts count="23" x14ac:knownFonts="1">
    <font>
      <sz val="11"/>
      <color theme="1"/>
      <name val="Calibri"/>
      <family val="2"/>
      <scheme val="minor"/>
    </font>
    <font>
      <b/>
      <sz val="16"/>
      <name val="Verdana"/>
      <family val="2"/>
    </font>
    <font>
      <b/>
      <sz val="14"/>
      <name val="Verdana"/>
      <family val="2"/>
    </font>
    <font>
      <b/>
      <sz val="14"/>
      <color theme="1"/>
      <name val="Verdana"/>
      <family val="2"/>
    </font>
    <font>
      <sz val="11"/>
      <color theme="1"/>
      <name val="Verdana"/>
      <family val="2"/>
    </font>
    <font>
      <sz val="16"/>
      <name val="Verdana"/>
      <family val="2"/>
    </font>
    <font>
      <sz val="16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4"/>
      <name val="Verdana"/>
      <family val="2"/>
    </font>
    <font>
      <sz val="10"/>
      <name val="Verdana"/>
      <family val="2"/>
    </font>
    <font>
      <sz val="11"/>
      <name val="Verdana"/>
      <family val="2"/>
    </font>
    <font>
      <sz val="12"/>
      <name val="Verdana"/>
      <family val="2"/>
    </font>
    <font>
      <sz val="14"/>
      <color theme="1"/>
      <name val="Verdana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Verdana"/>
      <family val="2"/>
    </font>
    <font>
      <sz val="11"/>
      <color rgb="FFFF0000"/>
      <name val="Verdana"/>
      <family val="2"/>
    </font>
    <font>
      <b/>
      <sz val="18"/>
      <color theme="1"/>
      <name val="Verdana"/>
      <family val="2"/>
    </font>
    <font>
      <sz val="12"/>
      <color theme="1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BEDEF"/>
        <bgColor indexed="64"/>
      </patternFill>
    </fill>
    <fill>
      <patternFill patternType="solid">
        <fgColor rgb="FFEEE0DC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2">
    <xf numFmtId="0" fontId="0" fillId="0" borderId="0" xfId="0"/>
    <xf numFmtId="0" fontId="4" fillId="0" borderId="0" xfId="0" applyFont="1"/>
    <xf numFmtId="3" fontId="5" fillId="3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 wrapText="1"/>
    </xf>
    <xf numFmtId="41" fontId="9" fillId="4" borderId="11" xfId="1" applyFont="1" applyFill="1" applyBorder="1" applyAlignment="1">
      <alignment horizontal="center" vertical="center"/>
    </xf>
    <xf numFmtId="41" fontId="9" fillId="4" borderId="12" xfId="1" applyFont="1" applyFill="1" applyBorder="1" applyAlignment="1">
      <alignment horizontal="center" vertical="center"/>
    </xf>
    <xf numFmtId="41" fontId="9" fillId="4" borderId="13" xfId="1" applyFont="1" applyFill="1" applyBorder="1" applyAlignment="1">
      <alignment horizontal="center" vertical="center"/>
    </xf>
    <xf numFmtId="41" fontId="9" fillId="4" borderId="5" xfId="1" applyFont="1" applyFill="1" applyBorder="1" applyAlignment="1">
      <alignment horizontal="center" vertical="center"/>
    </xf>
    <xf numFmtId="41" fontId="9" fillId="4" borderId="6" xfId="1" applyFont="1" applyFill="1" applyBorder="1" applyAlignment="1">
      <alignment horizontal="center" vertical="center"/>
    </xf>
    <xf numFmtId="41" fontId="9" fillId="4" borderId="7" xfId="1" applyFont="1" applyFill="1" applyBorder="1" applyAlignment="1">
      <alignment horizontal="center" vertical="center"/>
    </xf>
    <xf numFmtId="41" fontId="10" fillId="4" borderId="9" xfId="1" applyFont="1" applyFill="1" applyBorder="1" applyAlignment="1">
      <alignment horizontal="center" vertical="center"/>
    </xf>
    <xf numFmtId="41" fontId="10" fillId="4" borderId="9" xfId="1" applyFont="1" applyFill="1" applyBorder="1" applyAlignment="1">
      <alignment horizontal="center" vertical="center" wrapText="1"/>
    </xf>
    <xf numFmtId="41" fontId="12" fillId="4" borderId="10" xfId="1" applyFont="1" applyFill="1" applyBorder="1" applyAlignment="1">
      <alignment horizontal="center" vertical="center" wrapText="1"/>
    </xf>
    <xf numFmtId="41" fontId="10" fillId="4" borderId="10" xfId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 textRotation="90" wrapText="1"/>
    </xf>
    <xf numFmtId="0" fontId="2" fillId="8" borderId="17" xfId="0" applyFont="1" applyFill="1" applyBorder="1" applyAlignment="1">
      <alignment horizontal="center" vertical="center" textRotation="90" wrapText="1"/>
    </xf>
    <xf numFmtId="0" fontId="2" fillId="2" borderId="23" xfId="0" applyFont="1" applyFill="1" applyBorder="1" applyAlignment="1">
      <alignment horizontal="center" vertical="center"/>
    </xf>
    <xf numFmtId="41" fontId="11" fillId="4" borderId="28" xfId="1" applyFont="1" applyFill="1" applyBorder="1" applyAlignment="1">
      <alignment horizontal="center" vertical="center"/>
    </xf>
    <xf numFmtId="41" fontId="11" fillId="4" borderId="28" xfId="1" applyFont="1" applyFill="1" applyBorder="1" applyAlignment="1">
      <alignment horizontal="center" vertical="center" wrapText="1"/>
    </xf>
    <xf numFmtId="41" fontId="11" fillId="4" borderId="24" xfId="1" applyFont="1" applyFill="1" applyBorder="1" applyAlignment="1">
      <alignment horizontal="center" vertical="center" wrapText="1"/>
    </xf>
    <xf numFmtId="41" fontId="12" fillId="4" borderId="20" xfId="1" applyFont="1" applyFill="1" applyBorder="1" applyAlignment="1">
      <alignment horizontal="center" vertical="center" wrapText="1"/>
    </xf>
    <xf numFmtId="41" fontId="11" fillId="4" borderId="29" xfId="1" applyFont="1" applyFill="1" applyBorder="1" applyAlignment="1">
      <alignment horizontal="center" vertical="center"/>
    </xf>
    <xf numFmtId="3" fontId="5" fillId="3" borderId="30" xfId="0" applyNumberFormat="1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41" fontId="9" fillId="4" borderId="35" xfId="1" applyFont="1" applyFill="1" applyBorder="1" applyAlignment="1">
      <alignment horizontal="center" vertical="center"/>
    </xf>
    <xf numFmtId="41" fontId="9" fillId="4" borderId="36" xfId="1" applyFont="1" applyFill="1" applyBorder="1" applyAlignment="1">
      <alignment horizontal="center" vertical="center"/>
    </xf>
    <xf numFmtId="41" fontId="9" fillId="4" borderId="37" xfId="1" applyFont="1" applyFill="1" applyBorder="1" applyAlignment="1">
      <alignment horizontal="center" vertical="center"/>
    </xf>
    <xf numFmtId="41" fontId="11" fillId="4" borderId="38" xfId="1" applyFont="1" applyFill="1" applyBorder="1" applyAlignment="1">
      <alignment horizontal="center" vertical="center"/>
    </xf>
    <xf numFmtId="41" fontId="10" fillId="4" borderId="39" xfId="1" applyFont="1" applyFill="1" applyBorder="1" applyAlignment="1">
      <alignment horizontal="center" vertical="center"/>
    </xf>
    <xf numFmtId="0" fontId="2" fillId="7" borderId="40" xfId="0" applyFont="1" applyFill="1" applyBorder="1" applyAlignment="1">
      <alignment horizontal="center" vertical="center" textRotation="90" wrapText="1"/>
    </xf>
    <xf numFmtId="0" fontId="2" fillId="7" borderId="41" xfId="0" applyFont="1" applyFill="1" applyBorder="1" applyAlignment="1">
      <alignment horizontal="center" vertical="center" textRotation="90" wrapText="1"/>
    </xf>
    <xf numFmtId="0" fontId="2" fillId="8" borderId="40" xfId="0" applyFont="1" applyFill="1" applyBorder="1" applyAlignment="1">
      <alignment horizontal="center" vertical="center" textRotation="90" wrapText="1"/>
    </xf>
    <xf numFmtId="0" fontId="2" fillId="8" borderId="41" xfId="0" applyFont="1" applyFill="1" applyBorder="1" applyAlignment="1">
      <alignment horizontal="center" vertical="center" textRotation="90" wrapText="1"/>
    </xf>
    <xf numFmtId="0" fontId="13" fillId="0" borderId="0" xfId="0" applyFont="1" applyAlignment="1">
      <alignment horizontal="center" wrapText="1"/>
    </xf>
    <xf numFmtId="3" fontId="9" fillId="3" borderId="14" xfId="0" applyNumberFormat="1" applyFont="1" applyFill="1" applyBorder="1" applyAlignment="1">
      <alignment horizontal="center" vertical="center"/>
    </xf>
    <xf numFmtId="3" fontId="9" fillId="3" borderId="15" xfId="0" applyNumberFormat="1" applyFont="1" applyFill="1" applyBorder="1" applyAlignment="1">
      <alignment horizontal="center" vertical="center"/>
    </xf>
    <xf numFmtId="3" fontId="9" fillId="3" borderId="16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center" wrapText="1"/>
    </xf>
    <xf numFmtId="0" fontId="15" fillId="0" borderId="0" xfId="0" applyFont="1" applyAlignment="1">
      <alignment horizontal="center" vertical="center"/>
    </xf>
    <xf numFmtId="0" fontId="14" fillId="0" borderId="31" xfId="0" applyFont="1" applyBorder="1"/>
    <xf numFmtId="0" fontId="15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33" xfId="0" applyBorder="1"/>
    <xf numFmtId="3" fontId="15" fillId="0" borderId="0" xfId="0" applyNumberFormat="1" applyFont="1" applyBorder="1" applyAlignment="1">
      <alignment horizontal="center" vertical="center"/>
    </xf>
    <xf numFmtId="9" fontId="15" fillId="0" borderId="0" xfId="2" applyFont="1" applyBorder="1" applyAlignment="1">
      <alignment horizontal="center" vertical="center"/>
    </xf>
    <xf numFmtId="0" fontId="0" fillId="0" borderId="31" xfId="0" applyBorder="1"/>
    <xf numFmtId="0" fontId="15" fillId="0" borderId="0" xfId="0" applyFont="1" applyBorder="1" applyAlignment="1">
      <alignment horizontal="center" vertical="center" wrapText="1"/>
    </xf>
    <xf numFmtId="0" fontId="0" fillId="0" borderId="0" xfId="0" applyNumberFormat="1" applyBorder="1"/>
    <xf numFmtId="0" fontId="0" fillId="0" borderId="32" xfId="0" applyBorder="1"/>
    <xf numFmtId="0" fontId="15" fillId="0" borderId="42" xfId="0" applyFont="1" applyBorder="1" applyAlignment="1">
      <alignment horizontal="center" vertical="center"/>
    </xf>
    <xf numFmtId="0" fontId="0" fillId="0" borderId="42" xfId="0" applyBorder="1"/>
    <xf numFmtId="0" fontId="0" fillId="0" borderId="21" xfId="0" applyBorder="1"/>
    <xf numFmtId="0" fontId="17" fillId="0" borderId="0" xfId="0" applyFont="1" applyFill="1" applyBorder="1" applyAlignment="1">
      <alignment horizontal="center" vertical="center"/>
    </xf>
    <xf numFmtId="165" fontId="9" fillId="4" borderId="11" xfId="1" applyNumberFormat="1" applyFont="1" applyFill="1" applyBorder="1" applyAlignment="1">
      <alignment horizontal="center" vertical="center"/>
    </xf>
    <xf numFmtId="165" fontId="9" fillId="4" borderId="12" xfId="1" applyNumberFormat="1" applyFont="1" applyFill="1" applyBorder="1" applyAlignment="1">
      <alignment horizontal="center" vertical="center"/>
    </xf>
    <xf numFmtId="165" fontId="9" fillId="4" borderId="13" xfId="1" applyNumberFormat="1" applyFont="1" applyFill="1" applyBorder="1" applyAlignment="1">
      <alignment horizontal="center" vertical="center"/>
    </xf>
    <xf numFmtId="165" fontId="9" fillId="4" borderId="5" xfId="1" applyNumberFormat="1" applyFont="1" applyFill="1" applyBorder="1" applyAlignment="1">
      <alignment horizontal="center" vertical="center"/>
    </xf>
    <xf numFmtId="165" fontId="9" fillId="4" borderId="6" xfId="1" applyNumberFormat="1" applyFont="1" applyFill="1" applyBorder="1" applyAlignment="1">
      <alignment horizontal="center" vertical="center"/>
    </xf>
    <xf numFmtId="165" fontId="9" fillId="4" borderId="7" xfId="1" applyNumberFormat="1" applyFont="1" applyFill="1" applyBorder="1" applyAlignment="1">
      <alignment horizontal="center" vertical="center"/>
    </xf>
    <xf numFmtId="165" fontId="9" fillId="4" borderId="35" xfId="1" applyNumberFormat="1" applyFont="1" applyFill="1" applyBorder="1" applyAlignment="1">
      <alignment horizontal="center" vertical="center"/>
    </xf>
    <xf numFmtId="165" fontId="9" fillId="4" borderId="36" xfId="1" applyNumberFormat="1" applyFont="1" applyFill="1" applyBorder="1" applyAlignment="1">
      <alignment horizontal="center" vertical="center"/>
    </xf>
    <xf numFmtId="165" fontId="9" fillId="4" borderId="37" xfId="1" applyNumberFormat="1" applyFont="1" applyFill="1" applyBorder="1" applyAlignment="1">
      <alignment horizontal="center" vertical="center"/>
    </xf>
    <xf numFmtId="41" fontId="9" fillId="4" borderId="11" xfId="1" applyNumberFormat="1" applyFont="1" applyFill="1" applyBorder="1" applyAlignment="1">
      <alignment horizontal="center" vertical="center"/>
    </xf>
    <xf numFmtId="41" fontId="9" fillId="4" borderId="12" xfId="1" applyNumberFormat="1" applyFont="1" applyFill="1" applyBorder="1" applyAlignment="1">
      <alignment horizontal="center" vertical="center"/>
    </xf>
    <xf numFmtId="41" fontId="9" fillId="4" borderId="13" xfId="1" applyNumberFormat="1" applyFont="1" applyFill="1" applyBorder="1" applyAlignment="1">
      <alignment horizontal="center" vertical="center"/>
    </xf>
    <xf numFmtId="41" fontId="9" fillId="4" borderId="5" xfId="1" applyNumberFormat="1" applyFont="1" applyFill="1" applyBorder="1" applyAlignment="1">
      <alignment horizontal="center" vertical="center"/>
    </xf>
    <xf numFmtId="41" fontId="9" fillId="4" borderId="6" xfId="1" applyNumberFormat="1" applyFont="1" applyFill="1" applyBorder="1" applyAlignment="1">
      <alignment horizontal="center" vertical="center"/>
    </xf>
    <xf numFmtId="41" fontId="9" fillId="4" borderId="7" xfId="1" applyNumberFormat="1" applyFont="1" applyFill="1" applyBorder="1" applyAlignment="1">
      <alignment horizontal="center" vertical="center"/>
    </xf>
    <xf numFmtId="41" fontId="9" fillId="4" borderId="35" xfId="1" applyNumberFormat="1" applyFont="1" applyFill="1" applyBorder="1" applyAlignment="1">
      <alignment horizontal="center" vertical="center"/>
    </xf>
    <xf numFmtId="41" fontId="9" fillId="4" borderId="36" xfId="1" applyNumberFormat="1" applyFont="1" applyFill="1" applyBorder="1" applyAlignment="1">
      <alignment horizontal="center" vertical="center"/>
    </xf>
    <xf numFmtId="41" fontId="9" fillId="4" borderId="37" xfId="1" applyNumberFormat="1" applyFont="1" applyFill="1" applyBorder="1" applyAlignment="1">
      <alignment horizontal="center" vertical="center"/>
    </xf>
    <xf numFmtId="41" fontId="19" fillId="4" borderId="5" xfId="1" applyFont="1" applyFill="1" applyBorder="1" applyAlignment="1">
      <alignment horizontal="center" vertical="center"/>
    </xf>
    <xf numFmtId="41" fontId="19" fillId="4" borderId="6" xfId="1" applyFont="1" applyFill="1" applyBorder="1" applyAlignment="1">
      <alignment horizontal="center" vertical="center"/>
    </xf>
    <xf numFmtId="41" fontId="19" fillId="4" borderId="7" xfId="1" applyFont="1" applyFill="1" applyBorder="1" applyAlignment="1">
      <alignment horizontal="center" vertical="center"/>
    </xf>
    <xf numFmtId="9" fontId="3" fillId="0" borderId="0" xfId="2" applyFont="1" applyFill="1" applyAlignment="1">
      <alignment horizontal="center" wrapText="1"/>
    </xf>
    <xf numFmtId="1" fontId="9" fillId="4" borderId="5" xfId="1" applyNumberFormat="1" applyFont="1" applyFill="1" applyBorder="1" applyAlignment="1">
      <alignment horizontal="center" vertical="center"/>
    </xf>
    <xf numFmtId="1" fontId="9" fillId="4" borderId="6" xfId="1" applyNumberFormat="1" applyFont="1" applyFill="1" applyBorder="1" applyAlignment="1">
      <alignment horizontal="center" vertical="center"/>
    </xf>
    <xf numFmtId="1" fontId="9" fillId="4" borderId="7" xfId="1" applyNumberFormat="1" applyFont="1" applyFill="1" applyBorder="1" applyAlignment="1">
      <alignment horizontal="center" vertical="center"/>
    </xf>
    <xf numFmtId="0" fontId="9" fillId="4" borderId="11" xfId="1" applyNumberFormat="1" applyFont="1" applyFill="1" applyBorder="1" applyAlignment="1">
      <alignment horizontal="center" vertical="center"/>
    </xf>
    <xf numFmtId="0" fontId="9" fillId="4" borderId="12" xfId="1" applyNumberFormat="1" applyFont="1" applyFill="1" applyBorder="1" applyAlignment="1">
      <alignment horizontal="center" vertical="center"/>
    </xf>
    <xf numFmtId="0" fontId="9" fillId="4" borderId="13" xfId="1" applyNumberFormat="1" applyFont="1" applyFill="1" applyBorder="1" applyAlignment="1">
      <alignment horizontal="center" vertical="center"/>
    </xf>
    <xf numFmtId="0" fontId="9" fillId="4" borderId="5" xfId="1" applyNumberFormat="1" applyFont="1" applyFill="1" applyBorder="1" applyAlignment="1">
      <alignment horizontal="center" vertical="center"/>
    </xf>
    <xf numFmtId="0" fontId="9" fillId="4" borderId="6" xfId="1" applyNumberFormat="1" applyFont="1" applyFill="1" applyBorder="1" applyAlignment="1">
      <alignment horizontal="center" vertical="center"/>
    </xf>
    <xf numFmtId="0" fontId="9" fillId="4" borderId="7" xfId="1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 textRotation="90" wrapText="1"/>
    </xf>
    <xf numFmtId="0" fontId="9" fillId="4" borderId="35" xfId="1" applyNumberFormat="1" applyFont="1" applyFill="1" applyBorder="1" applyAlignment="1">
      <alignment horizontal="center" vertical="center"/>
    </xf>
    <xf numFmtId="0" fontId="9" fillId="4" borderId="36" xfId="1" applyNumberFormat="1" applyFont="1" applyFill="1" applyBorder="1" applyAlignment="1">
      <alignment horizontal="center" vertical="center"/>
    </xf>
    <xf numFmtId="0" fontId="9" fillId="4" borderId="37" xfId="1" applyNumberFormat="1" applyFont="1" applyFill="1" applyBorder="1" applyAlignment="1">
      <alignment horizontal="center" vertical="center"/>
    </xf>
    <xf numFmtId="0" fontId="9" fillId="3" borderId="1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9" fillId="3" borderId="15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wrapText="1"/>
    </xf>
    <xf numFmtId="0" fontId="21" fillId="0" borderId="0" xfId="0" applyFont="1" applyFill="1" applyAlignment="1">
      <alignment horizontal="center"/>
    </xf>
    <xf numFmtId="0" fontId="4" fillId="0" borderId="0" xfId="0" applyFont="1" applyFill="1"/>
    <xf numFmtId="3" fontId="13" fillId="0" borderId="0" xfId="0" applyNumberFormat="1" applyFont="1" applyAlignment="1">
      <alignment horizontal="center" wrapText="1"/>
    </xf>
    <xf numFmtId="0" fontId="13" fillId="4" borderId="7" xfId="1" applyNumberFormat="1" applyFont="1" applyFill="1" applyBorder="1" applyAlignment="1">
      <alignment horizontal="center" vertical="center"/>
    </xf>
    <xf numFmtId="41" fontId="9" fillId="3" borderId="16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41" fontId="13" fillId="4" borderId="5" xfId="1" applyFont="1" applyFill="1" applyBorder="1" applyAlignment="1">
      <alignment horizontal="center" vertical="center"/>
    </xf>
    <xf numFmtId="41" fontId="13" fillId="4" borderId="6" xfId="1" applyFont="1" applyFill="1" applyBorder="1" applyAlignment="1">
      <alignment horizontal="center" vertical="center"/>
    </xf>
    <xf numFmtId="41" fontId="13" fillId="4" borderId="7" xfId="1" applyFont="1" applyFill="1" applyBorder="1" applyAlignment="1">
      <alignment horizontal="center" vertical="center"/>
    </xf>
    <xf numFmtId="165" fontId="13" fillId="4" borderId="5" xfId="1" applyNumberFormat="1" applyFont="1" applyFill="1" applyBorder="1" applyAlignment="1">
      <alignment horizontal="center" vertical="center"/>
    </xf>
    <xf numFmtId="165" fontId="13" fillId="4" borderId="6" xfId="1" applyNumberFormat="1" applyFont="1" applyFill="1" applyBorder="1" applyAlignment="1">
      <alignment horizontal="center" vertical="center"/>
    </xf>
    <xf numFmtId="165" fontId="13" fillId="4" borderId="7" xfId="1" applyNumberFormat="1" applyFont="1" applyFill="1" applyBorder="1" applyAlignment="1">
      <alignment horizontal="center" vertical="center"/>
    </xf>
    <xf numFmtId="0" fontId="13" fillId="4" borderId="5" xfId="1" applyNumberFormat="1" applyFont="1" applyFill="1" applyBorder="1" applyAlignment="1">
      <alignment horizontal="center" vertical="center"/>
    </xf>
    <xf numFmtId="0" fontId="13" fillId="4" borderId="6" xfId="1" applyNumberFormat="1" applyFont="1" applyFill="1" applyBorder="1" applyAlignment="1">
      <alignment horizontal="center" vertical="center"/>
    </xf>
    <xf numFmtId="41" fontId="4" fillId="4" borderId="24" xfId="1" applyFont="1" applyFill="1" applyBorder="1" applyAlignment="1">
      <alignment horizontal="center" vertical="center" wrapText="1"/>
    </xf>
    <xf numFmtId="41" fontId="22" fillId="4" borderId="10" xfId="1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textRotation="90" wrapText="1"/>
    </xf>
    <xf numFmtId="9" fontId="19" fillId="4" borderId="6" xfId="2" applyFont="1" applyFill="1" applyBorder="1" applyAlignment="1">
      <alignment horizontal="center" vertical="center"/>
    </xf>
    <xf numFmtId="2" fontId="19" fillId="0" borderId="0" xfId="0" applyNumberFormat="1" applyFont="1" applyAlignment="1">
      <alignment horizont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34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17" fillId="6" borderId="26" xfId="0" applyFont="1" applyFill="1" applyBorder="1" applyAlignment="1">
      <alignment horizontal="center" vertical="center"/>
    </xf>
    <xf numFmtId="0" fontId="17" fillId="6" borderId="27" xfId="0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1" xfId="0" applyBorder="1" applyAlignment="1">
      <alignment horizontal="center"/>
    </xf>
    <xf numFmtId="0" fontId="18" fillId="6" borderId="26" xfId="0" applyFont="1" applyFill="1" applyBorder="1" applyAlignment="1">
      <alignment horizontal="center"/>
    </xf>
    <xf numFmtId="0" fontId="18" fillId="6" borderId="27" xfId="0" applyFont="1" applyFill="1" applyBorder="1" applyAlignment="1">
      <alignment horizontal="center"/>
    </xf>
    <xf numFmtId="0" fontId="18" fillId="6" borderId="22" xfId="0" applyFont="1" applyFill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21" fillId="0" borderId="0" xfId="0" applyFont="1" applyFill="1" applyAlignment="1"/>
    <xf numFmtId="1" fontId="9" fillId="3" borderId="14" xfId="0" applyNumberFormat="1" applyFont="1" applyFill="1" applyBorder="1" applyAlignment="1">
      <alignment horizontal="center" vertical="center"/>
    </xf>
    <xf numFmtId="1" fontId="9" fillId="3" borderId="15" xfId="0" applyNumberFormat="1" applyFont="1" applyFill="1" applyBorder="1" applyAlignment="1">
      <alignment horizontal="center" vertical="center"/>
    </xf>
    <xf numFmtId="1" fontId="9" fillId="3" borderId="16" xfId="0" applyNumberFormat="1" applyFont="1" applyFill="1" applyBorder="1" applyAlignment="1">
      <alignment horizontal="center" vertical="center"/>
    </xf>
    <xf numFmtId="1" fontId="13" fillId="4" borderId="5" xfId="1" applyNumberFormat="1" applyFont="1" applyFill="1" applyBorder="1" applyAlignment="1">
      <alignment horizontal="center" vertical="center"/>
    </xf>
    <xf numFmtId="1" fontId="13" fillId="4" borderId="6" xfId="1" applyNumberFormat="1" applyFont="1" applyFill="1" applyBorder="1" applyAlignment="1">
      <alignment horizontal="center" vertical="center"/>
    </xf>
    <xf numFmtId="1" fontId="13" fillId="4" borderId="7" xfId="1" applyNumberFormat="1" applyFont="1" applyFill="1" applyBorder="1" applyAlignment="1">
      <alignment horizontal="center" vertical="center"/>
    </xf>
    <xf numFmtId="41" fontId="11" fillId="4" borderId="39" xfId="1" applyFont="1" applyFill="1" applyBorder="1" applyAlignment="1">
      <alignment horizontal="center" vertical="center" wrapText="1"/>
    </xf>
    <xf numFmtId="41" fontId="11" fillId="4" borderId="34" xfId="1" applyFont="1" applyFill="1" applyBorder="1" applyAlignment="1">
      <alignment horizontal="center" vertical="center" wrapText="1"/>
    </xf>
    <xf numFmtId="41" fontId="11" fillId="4" borderId="10" xfId="1" applyFont="1" applyFill="1" applyBorder="1" applyAlignment="1">
      <alignment horizontal="center" vertical="center" wrapText="1"/>
    </xf>
    <xf numFmtId="41" fontId="11" fillId="4" borderId="28" xfId="1" applyFont="1" applyFill="1" applyBorder="1" applyAlignment="1">
      <alignment horizontal="left" vertical="center" wrapText="1"/>
    </xf>
    <xf numFmtId="41" fontId="11" fillId="4" borderId="39" xfId="1" applyFont="1" applyFill="1" applyBorder="1" applyAlignment="1">
      <alignment horizontal="left" vertical="center" wrapText="1"/>
    </xf>
    <xf numFmtId="41" fontId="11" fillId="4" borderId="34" xfId="1" applyFont="1" applyFill="1" applyBorder="1" applyAlignment="1">
      <alignment horizontal="left" vertical="center" wrapText="1"/>
    </xf>
    <xf numFmtId="41" fontId="11" fillId="4" borderId="10" xfId="1" applyFont="1" applyFill="1" applyBorder="1" applyAlignment="1">
      <alignment horizontal="left" vertical="center" wrapText="1"/>
    </xf>
    <xf numFmtId="41" fontId="11" fillId="4" borderId="37" xfId="1" applyFont="1" applyFill="1" applyBorder="1" applyAlignment="1">
      <alignment horizontal="center" vertical="center" wrapText="1"/>
    </xf>
    <xf numFmtId="41" fontId="11" fillId="4" borderId="43" xfId="1" applyFont="1" applyFill="1" applyBorder="1" applyAlignment="1">
      <alignment horizontal="center" vertical="center" wrapText="1"/>
    </xf>
    <xf numFmtId="41" fontId="11" fillId="4" borderId="13" xfId="1" applyFont="1" applyFill="1" applyBorder="1" applyAlignment="1">
      <alignment horizontal="center" vertical="center" wrapText="1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EEE0DC"/>
      <color rgb="FFEFECDB"/>
      <color rgb="FFDBEDEF"/>
      <color rgb="FFCCFFFF"/>
      <color rgb="FFFFCCCC"/>
      <color rgb="FFFFFFCC"/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Recap!$A$4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Recap!$B$3:$G$3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Recap!$B$4:$G$4</c:f>
              <c:numCache>
                <c:formatCode>#,##0</c:formatCode>
                <c:ptCount val="6"/>
                <c:pt idx="0" formatCode="General">
                  <c:v>5400</c:v>
                </c:pt>
                <c:pt idx="1">
                  <c:v>2700</c:v>
                </c:pt>
                <c:pt idx="2" formatCode="General">
                  <c:v>540</c:v>
                </c:pt>
                <c:pt idx="3" formatCode="General">
                  <c:v>900</c:v>
                </c:pt>
                <c:pt idx="4" formatCode="General">
                  <c:v>360</c:v>
                </c:pt>
                <c:pt idx="5" formatCode="General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7-4EFA-A84B-15033C744099}"/>
            </c:ext>
          </c:extLst>
        </c:ser>
        <c:ser>
          <c:idx val="1"/>
          <c:order val="1"/>
          <c:tx>
            <c:strRef>
              <c:f>Recap!$A$5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Recap!$B$3:$G$3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Recap!$B$5:$G$5</c:f>
              <c:numCache>
                <c:formatCode>#,##0</c:formatCode>
                <c:ptCount val="6"/>
                <c:pt idx="0" formatCode="General">
                  <c:v>4821</c:v>
                </c:pt>
                <c:pt idx="1">
                  <c:v>4400</c:v>
                </c:pt>
                <c:pt idx="2" formatCode="General">
                  <c:v>47</c:v>
                </c:pt>
                <c:pt idx="3" formatCode="General">
                  <c:v>95</c:v>
                </c:pt>
                <c:pt idx="4" formatCode="General">
                  <c:v>199</c:v>
                </c:pt>
                <c:pt idx="5" formatCode="General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7-4EFA-A84B-15033C7440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8078240"/>
        <c:axId val="1458076320"/>
      </c:barChart>
      <c:catAx>
        <c:axId val="145807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8076320"/>
        <c:crosses val="autoZero"/>
        <c:auto val="1"/>
        <c:lblAlgn val="ctr"/>
        <c:lblOffset val="100"/>
        <c:noMultiLvlLbl val="0"/>
      </c:catAx>
      <c:valAx>
        <c:axId val="14580763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807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Référencement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Recap!$A$11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Recap!$B$10:$G$10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Recap!$B$11:$G$11</c:f>
              <c:numCache>
                <c:formatCode>#,##0</c:formatCode>
                <c:ptCount val="6"/>
                <c:pt idx="0" formatCode="General">
                  <c:v>1260</c:v>
                </c:pt>
                <c:pt idx="1">
                  <c:v>540</c:v>
                </c:pt>
                <c:pt idx="2" formatCode="General">
                  <c:v>180</c:v>
                </c:pt>
                <c:pt idx="3" formatCode="General">
                  <c:v>180</c:v>
                </c:pt>
                <c:pt idx="4" formatCode="General">
                  <c:v>180</c:v>
                </c:pt>
                <c:pt idx="5" formatCode="General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8-4B0A-BEB4-FA201E9AB04F}"/>
            </c:ext>
          </c:extLst>
        </c:ser>
        <c:ser>
          <c:idx val="1"/>
          <c:order val="1"/>
          <c:tx>
            <c:strRef>
              <c:f>Recap!$A$12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Recap!$B$10:$G$10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Recap!$B$12:$G$12</c:f>
              <c:numCache>
                <c:formatCode>#,##0</c:formatCode>
                <c:ptCount val="6"/>
                <c:pt idx="0" formatCode="General">
                  <c:v>1327</c:v>
                </c:pt>
                <c:pt idx="1">
                  <c:v>1234</c:v>
                </c:pt>
                <c:pt idx="2" formatCode="General">
                  <c:v>5</c:v>
                </c:pt>
                <c:pt idx="3" formatCode="General">
                  <c:v>26</c:v>
                </c:pt>
                <c:pt idx="4" formatCode="General">
                  <c:v>45</c:v>
                </c:pt>
                <c:pt idx="5" formatCode="General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18-4B0A-BEB4-FA201E9AB0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4742448"/>
        <c:axId val="1564738608"/>
      </c:barChart>
      <c:catAx>
        <c:axId val="156474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4738608"/>
        <c:crosses val="autoZero"/>
        <c:auto val="1"/>
        <c:lblAlgn val="ctr"/>
        <c:lblOffset val="100"/>
        <c:noMultiLvlLbl val="0"/>
      </c:catAx>
      <c:valAx>
        <c:axId val="15647386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474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Visibilité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Recap!$A$17:$B$17</c:f>
              <c:strCache>
                <c:ptCount val="2"/>
                <c:pt idx="0">
                  <c:v>Objectif</c:v>
                </c:pt>
                <c:pt idx="1">
                  <c:v>1260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Recap!$C$16:$E$16</c:f>
              <c:strCache>
                <c:ptCount val="3"/>
                <c:pt idx="0">
                  <c:v>Affiche Biblos Lait  Prémium 16g &amp; 360g</c:v>
                </c:pt>
                <c:pt idx="1">
                  <c:v>Affiche Biblos Lait Excellence</c:v>
                </c:pt>
                <c:pt idx="2">
                  <c:v>Affiche Biblos Flocons d' Avoine</c:v>
                </c:pt>
              </c:strCache>
            </c:strRef>
          </c:cat>
          <c:val>
            <c:numRef>
              <c:f>Recap!$C$17:$E$17</c:f>
              <c:numCache>
                <c:formatCode>General</c:formatCode>
                <c:ptCount val="3"/>
                <c:pt idx="0" formatCode="#,##0">
                  <c:v>540</c:v>
                </c:pt>
                <c:pt idx="1">
                  <c:v>180</c:v>
                </c:pt>
                <c:pt idx="2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0-453A-A8EA-3EEDD97EE286}"/>
            </c:ext>
          </c:extLst>
        </c:ser>
        <c:ser>
          <c:idx val="1"/>
          <c:order val="1"/>
          <c:tx>
            <c:strRef>
              <c:f>Recap!$A$18:$B$18</c:f>
              <c:strCache>
                <c:ptCount val="2"/>
                <c:pt idx="0">
                  <c:v>Réalisé</c:v>
                </c:pt>
                <c:pt idx="1">
                  <c:v>991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Recap!$C$16:$E$16</c:f>
              <c:strCache>
                <c:ptCount val="3"/>
                <c:pt idx="0">
                  <c:v>Affiche Biblos Lait  Prémium 16g &amp; 360g</c:v>
                </c:pt>
                <c:pt idx="1">
                  <c:v>Affiche Biblos Lait Excellence</c:v>
                </c:pt>
                <c:pt idx="2">
                  <c:v>Affiche Biblos Flocons d' Avoine</c:v>
                </c:pt>
              </c:strCache>
            </c:strRef>
          </c:cat>
          <c:val>
            <c:numRef>
              <c:f>Recap!$C$18:$E$18</c:f>
              <c:numCache>
                <c:formatCode>General</c:formatCode>
                <c:ptCount val="3"/>
                <c:pt idx="0" formatCode="#,##0">
                  <c:v>493</c:v>
                </c:pt>
                <c:pt idx="1">
                  <c:v>1</c:v>
                </c:pt>
                <c:pt idx="2">
                  <c:v>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E0-453A-A8EA-3EEDD97EE2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9451232"/>
        <c:axId val="1459451712"/>
      </c:barChart>
      <c:catAx>
        <c:axId val="145945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9451712"/>
        <c:crosses val="autoZero"/>
        <c:auto val="1"/>
        <c:lblAlgn val="ctr"/>
        <c:lblOffset val="100"/>
        <c:noMultiLvlLbl val="0"/>
      </c:catAx>
      <c:valAx>
        <c:axId val="145945171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5945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Recap!$A$22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Recap!$B$21:$G$21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Recap!$B$22:$G$22</c:f>
              <c:numCache>
                <c:formatCode>#,##0</c:formatCode>
                <c:ptCount val="6"/>
                <c:pt idx="0" formatCode="General">
                  <c:v>272.99999999999994</c:v>
                </c:pt>
                <c:pt idx="1">
                  <c:v>90</c:v>
                </c:pt>
                <c:pt idx="2" formatCode="General">
                  <c:v>29.999999999999996</c:v>
                </c:pt>
                <c:pt idx="3" formatCode="General">
                  <c:v>18</c:v>
                </c:pt>
                <c:pt idx="4" formatCode="General">
                  <c:v>107.99999999999994</c:v>
                </c:pt>
                <c:pt idx="5" formatCode="General">
                  <c:v>26.999999999999986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1-4170-BC52-258F26C16D0C}"/>
            </c:ext>
          </c:extLst>
        </c:ser>
        <c:ser>
          <c:idx val="1"/>
          <c:order val="1"/>
          <c:tx>
            <c:strRef>
              <c:f>Recap!$A$23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Recap!$B$21:$G$21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Recap!$B$23:$G$23</c:f>
              <c:numCache>
                <c:formatCode>#,##0</c:formatCode>
                <c:ptCount val="6"/>
                <c:pt idx="0" formatCode="General">
                  <c:v>182.38</c:v>
                </c:pt>
                <c:pt idx="1">
                  <c:v>44.879999999999995</c:v>
                </c:pt>
                <c:pt idx="2" formatCode="General">
                  <c:v>1</c:v>
                </c:pt>
                <c:pt idx="3" formatCode="General">
                  <c:v>10.450000000000001</c:v>
                </c:pt>
                <c:pt idx="4" formatCode="General">
                  <c:v>56.04999999999999</c:v>
                </c:pt>
                <c:pt idx="5" formatCode="General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1-4170-BC52-258F26C16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658815"/>
        <c:axId val="1328667935"/>
      </c:barChart>
      <c:catAx>
        <c:axId val="132865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8667935"/>
        <c:crosses val="autoZero"/>
        <c:auto val="1"/>
        <c:lblAlgn val="ctr"/>
        <c:lblOffset val="100"/>
        <c:noMultiLvlLbl val="0"/>
      </c:catAx>
      <c:valAx>
        <c:axId val="13286679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2865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Recap!$S$4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Recap!$T$3:$Y$3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Recap!$T$4:$Y$4</c:f>
              <c:numCache>
                <c:formatCode>#,##0</c:formatCode>
                <c:ptCount val="6"/>
                <c:pt idx="0" formatCode="General">
                  <c:v>5400</c:v>
                </c:pt>
                <c:pt idx="1">
                  <c:v>2700</c:v>
                </c:pt>
                <c:pt idx="2" formatCode="General">
                  <c:v>540</c:v>
                </c:pt>
                <c:pt idx="3" formatCode="General">
                  <c:v>900</c:v>
                </c:pt>
                <c:pt idx="4" formatCode="General">
                  <c:v>360</c:v>
                </c:pt>
                <c:pt idx="5" formatCode="General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E-4A03-B4DF-DACA158098DD}"/>
            </c:ext>
          </c:extLst>
        </c:ser>
        <c:ser>
          <c:idx val="1"/>
          <c:order val="1"/>
          <c:tx>
            <c:strRef>
              <c:f>Recap!$S$5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Recap!$T$3:$Y$3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Recap!$T$5:$Y$5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E-4A03-B4DF-DACA158098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4077184"/>
        <c:axId val="1584078624"/>
      </c:barChart>
      <c:catAx>
        <c:axId val="158407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4078624"/>
        <c:crosses val="autoZero"/>
        <c:auto val="1"/>
        <c:lblAlgn val="ctr"/>
        <c:lblOffset val="100"/>
        <c:noMultiLvlLbl val="0"/>
      </c:catAx>
      <c:valAx>
        <c:axId val="15840786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407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Référencement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Recap!$S$11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Recap!$T$9:$Y$10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Recap!$T$11:$Y$11</c:f>
              <c:numCache>
                <c:formatCode>#,##0</c:formatCode>
                <c:ptCount val="6"/>
                <c:pt idx="0" formatCode="General">
                  <c:v>1260</c:v>
                </c:pt>
                <c:pt idx="1">
                  <c:v>540</c:v>
                </c:pt>
                <c:pt idx="2" formatCode="General">
                  <c:v>180</c:v>
                </c:pt>
                <c:pt idx="3" formatCode="General">
                  <c:v>180</c:v>
                </c:pt>
                <c:pt idx="4" formatCode="General">
                  <c:v>180</c:v>
                </c:pt>
                <c:pt idx="5" formatCode="General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2-4E2B-BABD-6C3CC5242E77}"/>
            </c:ext>
          </c:extLst>
        </c:ser>
        <c:ser>
          <c:idx val="1"/>
          <c:order val="1"/>
          <c:tx>
            <c:strRef>
              <c:f>Recap!$S$12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Recap!$T$9:$Y$10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Recap!$T$12:$Y$12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F2-4E2B-BABD-6C3CC5242E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4435440"/>
        <c:axId val="1364432080"/>
      </c:barChart>
      <c:catAx>
        <c:axId val="136443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4432080"/>
        <c:crosses val="autoZero"/>
        <c:auto val="1"/>
        <c:lblAlgn val="ctr"/>
        <c:lblOffset val="100"/>
        <c:noMultiLvlLbl val="0"/>
      </c:catAx>
      <c:valAx>
        <c:axId val="1364432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443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Visibilité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Recap!$S$17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Recap!$T$16:$W$16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Recap!$T$17:$W$17</c:f>
              <c:numCache>
                <c:formatCode>#,##0</c:formatCode>
                <c:ptCount val="4"/>
                <c:pt idx="0" formatCode="General">
                  <c:v>1260</c:v>
                </c:pt>
                <c:pt idx="1">
                  <c:v>540</c:v>
                </c:pt>
                <c:pt idx="2" formatCode="General">
                  <c:v>180</c:v>
                </c:pt>
                <c:pt idx="3" formatCode="General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6-4F8D-A2FC-522A85D1DDA9}"/>
            </c:ext>
          </c:extLst>
        </c:ser>
        <c:ser>
          <c:idx val="1"/>
          <c:order val="1"/>
          <c:tx>
            <c:strRef>
              <c:f>Recap!$S$18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Recap!$T$16:$W$16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Recap!$T$18:$W$18</c:f>
              <c:numCache>
                <c:formatCode>#,##0</c:formatCode>
                <c:ptCount val="4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D6-4F8D-A2FC-522A85D1DD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9857823"/>
        <c:axId val="1439859743"/>
      </c:barChart>
      <c:catAx>
        <c:axId val="143985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9859743"/>
        <c:crosses val="autoZero"/>
        <c:auto val="1"/>
        <c:lblAlgn val="ctr"/>
        <c:lblOffset val="100"/>
        <c:noMultiLvlLbl val="0"/>
      </c:catAx>
      <c:valAx>
        <c:axId val="14398597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3985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Recap!$S$22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Recap!$T$21:$Y$21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Recap!$T$22:$Y$22</c:f>
              <c:numCache>
                <c:formatCode>#,##0</c:formatCode>
                <c:ptCount val="6"/>
                <c:pt idx="0" formatCode="General">
                  <c:v>5400</c:v>
                </c:pt>
                <c:pt idx="1">
                  <c:v>2700</c:v>
                </c:pt>
                <c:pt idx="2" formatCode="General">
                  <c:v>540</c:v>
                </c:pt>
                <c:pt idx="3" formatCode="General">
                  <c:v>900</c:v>
                </c:pt>
                <c:pt idx="4" formatCode="General">
                  <c:v>360</c:v>
                </c:pt>
                <c:pt idx="5" formatCode="General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6-406D-A2BA-6C768B558977}"/>
            </c:ext>
          </c:extLst>
        </c:ser>
        <c:ser>
          <c:idx val="1"/>
          <c:order val="1"/>
          <c:tx>
            <c:strRef>
              <c:f>Recap!$S$23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Recap!$T$21:$Y$21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Recap!$T$23:$Y$23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F6-406D-A2BA-6C768B5589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3009727"/>
        <c:axId val="1383010207"/>
      </c:barChart>
      <c:catAx>
        <c:axId val="138300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3010207"/>
        <c:crosses val="autoZero"/>
        <c:auto val="1"/>
        <c:lblAlgn val="ctr"/>
        <c:lblOffset val="100"/>
        <c:noMultiLvlLbl val="0"/>
      </c:catAx>
      <c:valAx>
        <c:axId val="13830102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8300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Recap!$AK$4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Recap!$AL$3:$AQ$3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Recap!$AL$4:$AQ$4</c:f>
              <c:numCache>
                <c:formatCode>#,##0</c:formatCode>
                <c:ptCount val="6"/>
                <c:pt idx="0" formatCode="General">
                  <c:v>5400</c:v>
                </c:pt>
                <c:pt idx="1">
                  <c:v>2700</c:v>
                </c:pt>
                <c:pt idx="2" formatCode="General">
                  <c:v>540</c:v>
                </c:pt>
                <c:pt idx="3" formatCode="General">
                  <c:v>900</c:v>
                </c:pt>
                <c:pt idx="4" formatCode="General">
                  <c:v>360</c:v>
                </c:pt>
                <c:pt idx="5" formatCode="General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E-48C6-AFCD-09ABD3DB4D39}"/>
            </c:ext>
          </c:extLst>
        </c:ser>
        <c:ser>
          <c:idx val="1"/>
          <c:order val="1"/>
          <c:tx>
            <c:strRef>
              <c:f>Recap!$AK$5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Recap!$AL$3:$AQ$3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Recap!$AL$5:$AQ$5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2E-48C6-AFCD-09ABD3DB4D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6093263"/>
        <c:axId val="1386083663"/>
      </c:barChart>
      <c:catAx>
        <c:axId val="138609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6083663"/>
        <c:crosses val="autoZero"/>
        <c:auto val="1"/>
        <c:lblAlgn val="ctr"/>
        <c:lblOffset val="100"/>
        <c:noMultiLvlLbl val="0"/>
      </c:catAx>
      <c:valAx>
        <c:axId val="13860836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8609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Référencement</a:t>
            </a:r>
          </a:p>
        </c:rich>
      </c:tx>
      <c:layout>
        <c:manualLayout>
          <c:xMode val="edge"/>
          <c:yMode val="edge"/>
          <c:x val="0.412270778652668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Recap!$AK$11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Recap!$AL$10:$AQ$10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Recap!$AL$11:$AQ$11</c:f>
              <c:numCache>
                <c:formatCode>#,##0</c:formatCode>
                <c:ptCount val="6"/>
                <c:pt idx="0" formatCode="General">
                  <c:v>1260</c:v>
                </c:pt>
                <c:pt idx="1">
                  <c:v>540</c:v>
                </c:pt>
                <c:pt idx="2" formatCode="General">
                  <c:v>180</c:v>
                </c:pt>
                <c:pt idx="3" formatCode="General">
                  <c:v>180</c:v>
                </c:pt>
                <c:pt idx="4" formatCode="General">
                  <c:v>180</c:v>
                </c:pt>
                <c:pt idx="5" formatCode="General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3-4857-A91C-7E9D6157D6D6}"/>
            </c:ext>
          </c:extLst>
        </c:ser>
        <c:ser>
          <c:idx val="1"/>
          <c:order val="1"/>
          <c:tx>
            <c:strRef>
              <c:f>Recap!$AK$12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Recap!$AL$10:$AQ$10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Recap!$AL$12:$AQ$12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3-4857-A91C-7E9D6157D6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2078607"/>
        <c:axId val="1442088687"/>
      </c:barChart>
      <c:catAx>
        <c:axId val="144207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2088687"/>
        <c:crosses val="autoZero"/>
        <c:auto val="1"/>
        <c:lblAlgn val="ctr"/>
        <c:lblOffset val="100"/>
        <c:noMultiLvlLbl val="0"/>
      </c:catAx>
      <c:valAx>
        <c:axId val="14420886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4207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Visibilité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Recap!$AK$17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Recap!$AL$16:$AO$16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Recap!$AL$17:$AO$17</c:f>
              <c:numCache>
                <c:formatCode>#,##0</c:formatCode>
                <c:ptCount val="4"/>
                <c:pt idx="0" formatCode="General">
                  <c:v>1260</c:v>
                </c:pt>
                <c:pt idx="1">
                  <c:v>540</c:v>
                </c:pt>
                <c:pt idx="2">
                  <c:v>180</c:v>
                </c:pt>
                <c:pt idx="3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C-402A-B6E4-15F2F9F3BBB5}"/>
            </c:ext>
          </c:extLst>
        </c:ser>
        <c:ser>
          <c:idx val="1"/>
          <c:order val="1"/>
          <c:tx>
            <c:strRef>
              <c:f>Recap!$AK$18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Recap!$AL$16:$AO$16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Recap!$AL$18:$AO$18</c:f>
              <c:numCache>
                <c:formatCode>#,##0</c:formatCode>
                <c:ptCount val="4"/>
                <c:pt idx="0" formatCode="General">
                  <c:v>30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AC-402A-B6E4-15F2F9F3BB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4749648"/>
        <c:axId val="1564745808"/>
      </c:barChart>
      <c:catAx>
        <c:axId val="156474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4745808"/>
        <c:crosses val="autoZero"/>
        <c:auto val="1"/>
        <c:lblAlgn val="ctr"/>
        <c:lblOffset val="100"/>
        <c:noMultiLvlLbl val="0"/>
      </c:catAx>
      <c:valAx>
        <c:axId val="15647458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474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Recap!$AK$22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Recap!$AL$21:$AQ$21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Recap!$AL$22:$AQ$22</c:f>
              <c:numCache>
                <c:formatCode>#,##0</c:formatCode>
                <c:ptCount val="6"/>
                <c:pt idx="0" formatCode="General">
                  <c:v>272.99999999999994</c:v>
                </c:pt>
                <c:pt idx="1">
                  <c:v>90</c:v>
                </c:pt>
                <c:pt idx="2" formatCode="General">
                  <c:v>29.999999999999996</c:v>
                </c:pt>
                <c:pt idx="3" formatCode="General">
                  <c:v>18</c:v>
                </c:pt>
                <c:pt idx="4" formatCode="General">
                  <c:v>107.99999999999994</c:v>
                </c:pt>
                <c:pt idx="5" formatCode="General">
                  <c:v>26.999999999999986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6-4E31-847E-681B6F4AF315}"/>
            </c:ext>
          </c:extLst>
        </c:ser>
        <c:ser>
          <c:idx val="1"/>
          <c:order val="1"/>
          <c:tx>
            <c:strRef>
              <c:f>Recap!$AK$23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Recap!$AL$21:$AQ$21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Recap!$AL$23:$AQ$23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46-4E31-847E-681B6F4AF3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8955712"/>
        <c:axId val="1578956192"/>
      </c:barChart>
      <c:catAx>
        <c:axId val="157895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8956192"/>
        <c:crosses val="autoZero"/>
        <c:auto val="1"/>
        <c:lblAlgn val="ctr"/>
        <c:lblOffset val="100"/>
        <c:noMultiLvlLbl val="0"/>
      </c:catAx>
      <c:valAx>
        <c:axId val="15789561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895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Recap!$BC$4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Recap!$BD$3:$BI$3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Recap!$BD$4:$BI$4</c:f>
              <c:numCache>
                <c:formatCode>#,##0</c:formatCode>
                <c:ptCount val="6"/>
                <c:pt idx="0" formatCode="General">
                  <c:v>5400</c:v>
                </c:pt>
                <c:pt idx="1">
                  <c:v>2700</c:v>
                </c:pt>
                <c:pt idx="2" formatCode="General">
                  <c:v>540</c:v>
                </c:pt>
                <c:pt idx="3" formatCode="General">
                  <c:v>900</c:v>
                </c:pt>
                <c:pt idx="4" formatCode="General">
                  <c:v>360</c:v>
                </c:pt>
                <c:pt idx="5" formatCode="General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8-4D47-9E99-6954F40FAB38}"/>
            </c:ext>
          </c:extLst>
        </c:ser>
        <c:ser>
          <c:idx val="1"/>
          <c:order val="1"/>
          <c:tx>
            <c:strRef>
              <c:f>Recap!$BC$5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Recap!$BD$3:$BI$3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Recap!$BD$5:$BI$5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8-4D47-9E99-6954F40FAB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4069984"/>
        <c:axId val="1584065664"/>
      </c:barChart>
      <c:catAx>
        <c:axId val="158406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4065664"/>
        <c:crosses val="autoZero"/>
        <c:auto val="1"/>
        <c:lblAlgn val="ctr"/>
        <c:lblOffset val="100"/>
        <c:noMultiLvlLbl val="0"/>
      </c:catAx>
      <c:valAx>
        <c:axId val="15840656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406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Référencement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Recap!$BC$11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Recap!$BD$10:$BI$10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Recap!$BD$11:$BI$11</c:f>
              <c:numCache>
                <c:formatCode>#,##0</c:formatCode>
                <c:ptCount val="6"/>
                <c:pt idx="0" formatCode="General">
                  <c:v>1260</c:v>
                </c:pt>
                <c:pt idx="1">
                  <c:v>540</c:v>
                </c:pt>
                <c:pt idx="2" formatCode="General">
                  <c:v>180</c:v>
                </c:pt>
                <c:pt idx="3" formatCode="General">
                  <c:v>180</c:v>
                </c:pt>
                <c:pt idx="4" formatCode="General">
                  <c:v>180</c:v>
                </c:pt>
                <c:pt idx="5" formatCode="General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A-4BD1-AA63-B73819CF4072}"/>
            </c:ext>
          </c:extLst>
        </c:ser>
        <c:ser>
          <c:idx val="1"/>
          <c:order val="1"/>
          <c:tx>
            <c:strRef>
              <c:f>Recap!$BC$12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Recap!$BD$10:$BI$10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Recap!$BD$12:$BI$12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9A-4BD1-AA63-B73819CF40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0176591"/>
        <c:axId val="1440171791"/>
      </c:barChart>
      <c:catAx>
        <c:axId val="144017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0171791"/>
        <c:crosses val="autoZero"/>
        <c:auto val="1"/>
        <c:lblAlgn val="ctr"/>
        <c:lblOffset val="100"/>
        <c:noMultiLvlLbl val="0"/>
      </c:catAx>
      <c:valAx>
        <c:axId val="14401717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4017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Visibilité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Recap!$BC$17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Recap!$BD$16:$BG$16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Recap!$BD$17:$BG$17</c:f>
              <c:numCache>
                <c:formatCode>#,##0</c:formatCode>
                <c:ptCount val="4"/>
                <c:pt idx="0" formatCode="General">
                  <c:v>1260</c:v>
                </c:pt>
                <c:pt idx="1">
                  <c:v>540</c:v>
                </c:pt>
                <c:pt idx="2">
                  <c:v>180</c:v>
                </c:pt>
                <c:pt idx="3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7-4335-ADD2-E02347CC662F}"/>
            </c:ext>
          </c:extLst>
        </c:ser>
        <c:ser>
          <c:idx val="1"/>
          <c:order val="1"/>
          <c:tx>
            <c:strRef>
              <c:f>Recap!$BC$18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Recap!$BD$16:$BG$16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Recap!$BD$18:$BG$18</c:f>
              <c:numCache>
                <c:formatCode>#,##0</c:formatCode>
                <c:ptCount val="4"/>
                <c:pt idx="0" formatCode="General">
                  <c:v>30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97-4335-ADD2-E02347CC66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9687824"/>
        <c:axId val="1559689264"/>
      </c:barChart>
      <c:catAx>
        <c:axId val="155968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9689264"/>
        <c:crosses val="autoZero"/>
        <c:auto val="1"/>
        <c:lblAlgn val="ctr"/>
        <c:lblOffset val="100"/>
        <c:noMultiLvlLbl val="0"/>
      </c:catAx>
      <c:valAx>
        <c:axId val="15596892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5968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Recap!$BC$22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Recap!$BD$21:$BI$21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Recap!$BD$22:$BI$22</c:f>
              <c:numCache>
                <c:formatCode>#,##0</c:formatCode>
                <c:ptCount val="6"/>
                <c:pt idx="0" formatCode="General">
                  <c:v>272.99999999999994</c:v>
                </c:pt>
                <c:pt idx="1">
                  <c:v>90</c:v>
                </c:pt>
                <c:pt idx="2" formatCode="General">
                  <c:v>29.999999999999996</c:v>
                </c:pt>
                <c:pt idx="3" formatCode="General">
                  <c:v>18</c:v>
                </c:pt>
                <c:pt idx="4" formatCode="General">
                  <c:v>107.99999999999994</c:v>
                </c:pt>
                <c:pt idx="5" formatCode="General">
                  <c:v>26.999999999999986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5-4940-936A-221DD5BE2B01}"/>
            </c:ext>
          </c:extLst>
        </c:ser>
        <c:ser>
          <c:idx val="1"/>
          <c:order val="1"/>
          <c:tx>
            <c:strRef>
              <c:f>Recap!$BC$23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Recap!$BD$21:$BI$21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Recap!$BD$23:$BI$23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05-4940-936A-221DD5BE2B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045023"/>
        <c:axId val="1376038783"/>
      </c:barChart>
      <c:catAx>
        <c:axId val="137604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6038783"/>
        <c:crosses val="autoZero"/>
        <c:auto val="1"/>
        <c:lblAlgn val="ctr"/>
        <c:lblOffset val="100"/>
        <c:noMultiLvlLbl val="0"/>
      </c:catAx>
      <c:valAx>
        <c:axId val="1376038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7604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Recap!$BU$4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Recap!$BV$3:$CA$3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Recap!$BV$4:$CA$4</c:f>
              <c:numCache>
                <c:formatCode>#,##0</c:formatCode>
                <c:ptCount val="6"/>
                <c:pt idx="0" formatCode="General">
                  <c:v>5400</c:v>
                </c:pt>
                <c:pt idx="1">
                  <c:v>2700</c:v>
                </c:pt>
                <c:pt idx="2">
                  <c:v>540</c:v>
                </c:pt>
                <c:pt idx="3">
                  <c:v>900</c:v>
                </c:pt>
                <c:pt idx="4">
                  <c:v>360</c:v>
                </c:pt>
                <c:pt idx="5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F-46DC-AFC0-7C2E3032C2D7}"/>
            </c:ext>
          </c:extLst>
        </c:ser>
        <c:ser>
          <c:idx val="1"/>
          <c:order val="1"/>
          <c:tx>
            <c:strRef>
              <c:f>Recap!$BU$5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Recap!$BV$3:$CA$3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Recap!$BV$5:$CA$5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BF-46DC-AFC0-7C2E3032C2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8937952"/>
        <c:axId val="1578934592"/>
      </c:barChart>
      <c:catAx>
        <c:axId val="157893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8934592"/>
        <c:crosses val="autoZero"/>
        <c:auto val="1"/>
        <c:lblAlgn val="ctr"/>
        <c:lblOffset val="100"/>
        <c:noMultiLvlLbl val="0"/>
      </c:catAx>
      <c:valAx>
        <c:axId val="15789345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893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Référencement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Recap!$BU$11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Recap!$BV$10:$CA$10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Recap!$BV$11:$CA$11</c:f>
              <c:numCache>
                <c:formatCode>#,##0</c:formatCode>
                <c:ptCount val="6"/>
                <c:pt idx="0" formatCode="General">
                  <c:v>1260</c:v>
                </c:pt>
                <c:pt idx="1">
                  <c:v>540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1-4D3B-8C2A-DC4092649122}"/>
            </c:ext>
          </c:extLst>
        </c:ser>
        <c:ser>
          <c:idx val="1"/>
          <c:order val="1"/>
          <c:tx>
            <c:strRef>
              <c:f>Recap!$BU$12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Recap!$BV$10:$CA$10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Recap!$BV$12:$CA$12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1-4D3B-8C2A-DC40926491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9050496"/>
        <c:axId val="1429052896"/>
      </c:barChart>
      <c:catAx>
        <c:axId val="142905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9052896"/>
        <c:crosses val="autoZero"/>
        <c:auto val="1"/>
        <c:lblAlgn val="ctr"/>
        <c:lblOffset val="100"/>
        <c:noMultiLvlLbl val="0"/>
      </c:catAx>
      <c:valAx>
        <c:axId val="14290528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2905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Visibilité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Recap!$BU$17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Recap!$BV$16:$BY$16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Recap!$BV$17:$BY$17</c:f>
              <c:numCache>
                <c:formatCode>#,##0</c:formatCode>
                <c:ptCount val="4"/>
                <c:pt idx="0" formatCode="General">
                  <c:v>1260</c:v>
                </c:pt>
                <c:pt idx="1">
                  <c:v>540</c:v>
                </c:pt>
                <c:pt idx="2">
                  <c:v>180</c:v>
                </c:pt>
                <c:pt idx="3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3-4108-808A-A0D4C7D45716}"/>
            </c:ext>
          </c:extLst>
        </c:ser>
        <c:ser>
          <c:idx val="1"/>
          <c:order val="1"/>
          <c:tx>
            <c:strRef>
              <c:f>Recap!$BU$18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Recap!$BV$16:$BY$16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Recap!$BV$18:$BY$18</c:f>
              <c:numCache>
                <c:formatCode>#,##0</c:formatCode>
                <c:ptCount val="4"/>
                <c:pt idx="0" formatCode="General">
                  <c:v>30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B3-4108-808A-A0D4C7D457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1159824"/>
        <c:axId val="2011161744"/>
      </c:barChart>
      <c:catAx>
        <c:axId val="201115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1161744"/>
        <c:crosses val="autoZero"/>
        <c:auto val="1"/>
        <c:lblAlgn val="ctr"/>
        <c:lblOffset val="100"/>
        <c:noMultiLvlLbl val="0"/>
      </c:catAx>
      <c:valAx>
        <c:axId val="2011161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1115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Recap!$BU$22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Recap!$BV$21:$CA$21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Recap!$BV$22:$CA$22</c:f>
              <c:numCache>
                <c:formatCode>#,##0</c:formatCode>
                <c:ptCount val="6"/>
                <c:pt idx="0" formatCode="General">
                  <c:v>272.99999999999994</c:v>
                </c:pt>
                <c:pt idx="1">
                  <c:v>90</c:v>
                </c:pt>
                <c:pt idx="2" formatCode="General">
                  <c:v>29.999999999999996</c:v>
                </c:pt>
                <c:pt idx="3" formatCode="General">
                  <c:v>18</c:v>
                </c:pt>
                <c:pt idx="4" formatCode="General">
                  <c:v>107.99999999999994</c:v>
                </c:pt>
                <c:pt idx="5" formatCode="General">
                  <c:v>26.999999999999986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0-46C7-AA05-5F1658FAD891}"/>
            </c:ext>
          </c:extLst>
        </c:ser>
        <c:ser>
          <c:idx val="1"/>
          <c:order val="1"/>
          <c:tx>
            <c:strRef>
              <c:f>Recap!$BU$23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Recap!$BV$21:$CA$21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Recap!$BV$23:$CA$23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A0-46C7-AA05-5F1658FAD8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0812463"/>
        <c:axId val="1470816783"/>
      </c:barChart>
      <c:catAx>
        <c:axId val="147081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0816783"/>
        <c:crosses val="autoZero"/>
        <c:auto val="1"/>
        <c:lblAlgn val="ctr"/>
        <c:lblOffset val="100"/>
        <c:noMultiLvlLbl val="0"/>
      </c:catAx>
      <c:valAx>
        <c:axId val="1470816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7081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Recap!$CM$4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Recap!$CN$3:$CS$3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Recap!$CN$4:$CS$4</c:f>
              <c:numCache>
                <c:formatCode>#,##0</c:formatCode>
                <c:ptCount val="6"/>
                <c:pt idx="0" formatCode="General">
                  <c:v>27000</c:v>
                </c:pt>
                <c:pt idx="1">
                  <c:v>13500</c:v>
                </c:pt>
                <c:pt idx="2">
                  <c:v>2700</c:v>
                </c:pt>
                <c:pt idx="3">
                  <c:v>4500</c:v>
                </c:pt>
                <c:pt idx="4">
                  <c:v>1800</c:v>
                </c:pt>
                <c:pt idx="5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1-4171-88BC-F588EB932454}"/>
            </c:ext>
          </c:extLst>
        </c:ser>
        <c:ser>
          <c:idx val="1"/>
          <c:order val="1"/>
          <c:tx>
            <c:strRef>
              <c:f>Recap!$CM$5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Recap!$CN$3:$CS$3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Recap!$CN$5:$CS$5</c:f>
              <c:numCache>
                <c:formatCode>#,##0</c:formatCode>
                <c:ptCount val="6"/>
                <c:pt idx="0" formatCode="General">
                  <c:v>4941</c:v>
                </c:pt>
                <c:pt idx="1">
                  <c:v>4424</c:v>
                </c:pt>
                <c:pt idx="2">
                  <c:v>71</c:v>
                </c:pt>
                <c:pt idx="3">
                  <c:v>119</c:v>
                </c:pt>
                <c:pt idx="4">
                  <c:v>223</c:v>
                </c:pt>
                <c:pt idx="5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1-4171-88BC-F588EB9324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0727503"/>
        <c:axId val="1470723183"/>
      </c:barChart>
      <c:catAx>
        <c:axId val="147072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0723183"/>
        <c:crosses val="autoZero"/>
        <c:auto val="1"/>
        <c:lblAlgn val="ctr"/>
        <c:lblOffset val="100"/>
        <c:noMultiLvlLbl val="0"/>
      </c:catAx>
      <c:valAx>
        <c:axId val="14707231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7072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Référencemnt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Recap!$CM$11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Recap!$CN$10:$CS$10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Recap!$CN$11:$CS$11</c:f>
              <c:numCache>
                <c:formatCode>#,##0</c:formatCode>
                <c:ptCount val="6"/>
                <c:pt idx="0" formatCode="General">
                  <c:v>6300</c:v>
                </c:pt>
                <c:pt idx="1">
                  <c:v>2700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9-4020-9ABB-67DE375AAE55}"/>
            </c:ext>
          </c:extLst>
        </c:ser>
        <c:ser>
          <c:idx val="1"/>
          <c:order val="1"/>
          <c:tx>
            <c:strRef>
              <c:f>Recap!$CM$12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Recap!$CN$10:$CS$10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Recap!$CN$12:$CS$12</c:f>
              <c:numCache>
                <c:formatCode>#,##0</c:formatCode>
                <c:ptCount val="6"/>
                <c:pt idx="0" formatCode="General">
                  <c:v>1447</c:v>
                </c:pt>
                <c:pt idx="1">
                  <c:v>1258</c:v>
                </c:pt>
                <c:pt idx="2">
                  <c:v>29</c:v>
                </c:pt>
                <c:pt idx="3">
                  <c:v>50</c:v>
                </c:pt>
                <c:pt idx="4">
                  <c:v>69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09-4020-9ABB-67DE375AAE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6270527"/>
        <c:axId val="1386259487"/>
      </c:barChart>
      <c:catAx>
        <c:axId val="138627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6259487"/>
        <c:crosses val="autoZero"/>
        <c:auto val="1"/>
        <c:lblAlgn val="ctr"/>
        <c:lblOffset val="100"/>
        <c:noMultiLvlLbl val="0"/>
      </c:catAx>
      <c:valAx>
        <c:axId val="13862594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8627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Visibilité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Recap!$CM$17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Recap!$CN$16:$CQ$16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Recap!$CN$17:$CQ$17</c:f>
              <c:numCache>
                <c:formatCode>#,##0</c:formatCode>
                <c:ptCount val="4"/>
                <c:pt idx="0" formatCode="General">
                  <c:v>6300</c:v>
                </c:pt>
                <c:pt idx="1">
                  <c:v>2700</c:v>
                </c:pt>
                <c:pt idx="2">
                  <c:v>900</c:v>
                </c:pt>
                <c:pt idx="3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3-42F1-ABAC-E255039AFCC5}"/>
            </c:ext>
          </c:extLst>
        </c:ser>
        <c:ser>
          <c:idx val="1"/>
          <c:order val="1"/>
          <c:tx>
            <c:strRef>
              <c:f>Recap!$CM$18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Recap!$CN$16:$CQ$16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Recap!$CN$18:$CQ$18</c:f>
              <c:numCache>
                <c:formatCode>#,##0</c:formatCode>
                <c:ptCount val="4"/>
                <c:pt idx="0" formatCode="General">
                  <c:v>1111</c:v>
                </c:pt>
                <c:pt idx="1">
                  <c:v>517</c:v>
                </c:pt>
                <c:pt idx="2">
                  <c:v>25</c:v>
                </c:pt>
                <c:pt idx="3">
                  <c:v>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3-42F1-ABAC-E255039AFC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2447487"/>
        <c:axId val="1452444607"/>
      </c:barChart>
      <c:catAx>
        <c:axId val="145244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2444607"/>
        <c:crosses val="autoZero"/>
        <c:auto val="1"/>
        <c:lblAlgn val="ctr"/>
        <c:lblOffset val="100"/>
        <c:noMultiLvlLbl val="0"/>
      </c:catAx>
      <c:valAx>
        <c:axId val="14524446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244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Recap!$CM$22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Recap!$CN$21:$CS$21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Recap!$CN$22:$CS$22</c:f>
              <c:numCache>
                <c:formatCode>#,##0</c:formatCode>
                <c:ptCount val="6"/>
                <c:pt idx="0" formatCode="General">
                  <c:v>1365</c:v>
                </c:pt>
                <c:pt idx="1">
                  <c:v>450</c:v>
                </c:pt>
                <c:pt idx="2" formatCode="General">
                  <c:v>149.99999999999997</c:v>
                </c:pt>
                <c:pt idx="3" formatCode="General">
                  <c:v>90</c:v>
                </c:pt>
                <c:pt idx="4" formatCode="General">
                  <c:v>540</c:v>
                </c:pt>
                <c:pt idx="5" formatCode="General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7-49DD-BBCC-1FD826EF4E9F}"/>
            </c:ext>
          </c:extLst>
        </c:ser>
        <c:ser>
          <c:idx val="1"/>
          <c:order val="1"/>
          <c:tx>
            <c:strRef>
              <c:f>Recap!$CM$23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Recap!$CN$21:$CS$21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Recap!$CN$23:$CS$23</c:f>
              <c:numCache>
                <c:formatCode>#,##0</c:formatCode>
                <c:ptCount val="6"/>
                <c:pt idx="0" formatCode="General">
                  <c:v>302.38</c:v>
                </c:pt>
                <c:pt idx="1">
                  <c:v>68.88000000000001</c:v>
                </c:pt>
                <c:pt idx="2" formatCode="General">
                  <c:v>25</c:v>
                </c:pt>
                <c:pt idx="3" formatCode="General">
                  <c:v>34.449999999999996</c:v>
                </c:pt>
                <c:pt idx="4" formatCode="General">
                  <c:v>80.050000000000011</c:v>
                </c:pt>
                <c:pt idx="5" formatCode="General">
                  <c:v>93.999999999999986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A7-49DD-BBCC-1FD826EF4E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9594303"/>
        <c:axId val="1439596223"/>
      </c:barChart>
      <c:catAx>
        <c:axId val="143959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9596223"/>
        <c:crosses val="autoZero"/>
        <c:auto val="1"/>
        <c:lblAlgn val="ctr"/>
        <c:lblOffset val="100"/>
        <c:noMultiLvlLbl val="0"/>
      </c:catAx>
      <c:valAx>
        <c:axId val="14395962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3959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Recap!$A$4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Recap!$B$3:$G$3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Recap!$B$4:$G$4</c:f>
              <c:numCache>
                <c:formatCode>#,##0</c:formatCode>
                <c:ptCount val="6"/>
                <c:pt idx="0" formatCode="General">
                  <c:v>5400</c:v>
                </c:pt>
                <c:pt idx="1">
                  <c:v>2700</c:v>
                </c:pt>
                <c:pt idx="2" formatCode="General">
                  <c:v>540</c:v>
                </c:pt>
                <c:pt idx="3" formatCode="General">
                  <c:v>900</c:v>
                </c:pt>
                <c:pt idx="4" formatCode="General">
                  <c:v>360</c:v>
                </c:pt>
                <c:pt idx="5" formatCode="General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D-49EC-92BC-59B0D7EDD971}"/>
            </c:ext>
          </c:extLst>
        </c:ser>
        <c:ser>
          <c:idx val="1"/>
          <c:order val="1"/>
          <c:tx>
            <c:strRef>
              <c:f>Recap!$A$5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Recap!$B$3:$G$3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Recap!$B$5:$G$5</c:f>
              <c:numCache>
                <c:formatCode>#,##0</c:formatCode>
                <c:ptCount val="6"/>
                <c:pt idx="0" formatCode="General">
                  <c:v>4821</c:v>
                </c:pt>
                <c:pt idx="1">
                  <c:v>4400</c:v>
                </c:pt>
                <c:pt idx="2" formatCode="General">
                  <c:v>47</c:v>
                </c:pt>
                <c:pt idx="3" formatCode="General">
                  <c:v>95</c:v>
                </c:pt>
                <c:pt idx="4" formatCode="General">
                  <c:v>199</c:v>
                </c:pt>
                <c:pt idx="5" formatCode="General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9D-49EC-92BC-59B0D7EDD9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8078240"/>
        <c:axId val="1458076320"/>
      </c:barChart>
      <c:catAx>
        <c:axId val="145807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8076320"/>
        <c:crosses val="autoZero"/>
        <c:auto val="1"/>
        <c:lblAlgn val="ctr"/>
        <c:lblOffset val="100"/>
        <c:noMultiLvlLbl val="0"/>
      </c:catAx>
      <c:valAx>
        <c:axId val="14580763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807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Référencement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Recap!$A$11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Recap!$B$10:$G$10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Recap!$B$11:$G$11</c:f>
              <c:numCache>
                <c:formatCode>#,##0</c:formatCode>
                <c:ptCount val="6"/>
                <c:pt idx="0" formatCode="General">
                  <c:v>1260</c:v>
                </c:pt>
                <c:pt idx="1">
                  <c:v>540</c:v>
                </c:pt>
                <c:pt idx="2" formatCode="General">
                  <c:v>180</c:v>
                </c:pt>
                <c:pt idx="3" formatCode="General">
                  <c:v>180</c:v>
                </c:pt>
                <c:pt idx="4" formatCode="General">
                  <c:v>180</c:v>
                </c:pt>
                <c:pt idx="5" formatCode="General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2-4014-A079-CFAD3442FED3}"/>
            </c:ext>
          </c:extLst>
        </c:ser>
        <c:ser>
          <c:idx val="1"/>
          <c:order val="1"/>
          <c:tx>
            <c:strRef>
              <c:f>Recap!$A$12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Recap!$B$10:$G$10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Recap!$B$12:$G$12</c:f>
              <c:numCache>
                <c:formatCode>#,##0</c:formatCode>
                <c:ptCount val="6"/>
                <c:pt idx="0" formatCode="General">
                  <c:v>1327</c:v>
                </c:pt>
                <c:pt idx="1">
                  <c:v>1234</c:v>
                </c:pt>
                <c:pt idx="2" formatCode="General">
                  <c:v>5</c:v>
                </c:pt>
                <c:pt idx="3" formatCode="General">
                  <c:v>26</c:v>
                </c:pt>
                <c:pt idx="4" formatCode="General">
                  <c:v>45</c:v>
                </c:pt>
                <c:pt idx="5" formatCode="General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02-4014-A079-CFAD3442FE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4742448"/>
        <c:axId val="1564738608"/>
      </c:barChart>
      <c:catAx>
        <c:axId val="156474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4738608"/>
        <c:crosses val="autoZero"/>
        <c:auto val="1"/>
        <c:lblAlgn val="ctr"/>
        <c:lblOffset val="100"/>
        <c:noMultiLvlLbl val="0"/>
      </c:catAx>
      <c:valAx>
        <c:axId val="15647386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474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Visibilité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Recap!$A$17:$B$17</c:f>
              <c:strCache>
                <c:ptCount val="2"/>
                <c:pt idx="0">
                  <c:v>Objectif</c:v>
                </c:pt>
                <c:pt idx="1">
                  <c:v>1260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Recap!$C$16:$E$16</c:f>
              <c:strCache>
                <c:ptCount val="3"/>
                <c:pt idx="0">
                  <c:v>Affiche Biblos Lait  Prémium 16g &amp; 360g</c:v>
                </c:pt>
                <c:pt idx="1">
                  <c:v>Affiche Biblos Lait Excellence</c:v>
                </c:pt>
                <c:pt idx="2">
                  <c:v>Affiche Biblos Flocons d' Avoine</c:v>
                </c:pt>
              </c:strCache>
            </c:strRef>
          </c:cat>
          <c:val>
            <c:numRef>
              <c:f>Recap!$C$17:$E$17</c:f>
              <c:numCache>
                <c:formatCode>General</c:formatCode>
                <c:ptCount val="3"/>
                <c:pt idx="0" formatCode="#,##0">
                  <c:v>540</c:v>
                </c:pt>
                <c:pt idx="1">
                  <c:v>180</c:v>
                </c:pt>
                <c:pt idx="2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4-4A68-A37B-6BCC62397D13}"/>
            </c:ext>
          </c:extLst>
        </c:ser>
        <c:ser>
          <c:idx val="1"/>
          <c:order val="1"/>
          <c:tx>
            <c:strRef>
              <c:f>Recap!$A$18:$B$18</c:f>
              <c:strCache>
                <c:ptCount val="2"/>
                <c:pt idx="0">
                  <c:v>Réalisé</c:v>
                </c:pt>
                <c:pt idx="1">
                  <c:v>991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Recap!$C$16:$E$16</c:f>
              <c:strCache>
                <c:ptCount val="3"/>
                <c:pt idx="0">
                  <c:v>Affiche Biblos Lait  Prémium 16g &amp; 360g</c:v>
                </c:pt>
                <c:pt idx="1">
                  <c:v>Affiche Biblos Lait Excellence</c:v>
                </c:pt>
                <c:pt idx="2">
                  <c:v>Affiche Biblos Flocons d' Avoine</c:v>
                </c:pt>
              </c:strCache>
            </c:strRef>
          </c:cat>
          <c:val>
            <c:numRef>
              <c:f>Recap!$C$18:$E$18</c:f>
              <c:numCache>
                <c:formatCode>General</c:formatCode>
                <c:ptCount val="3"/>
                <c:pt idx="0" formatCode="#,##0">
                  <c:v>493</c:v>
                </c:pt>
                <c:pt idx="1">
                  <c:v>1</c:v>
                </c:pt>
                <c:pt idx="2">
                  <c:v>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B4-4A68-A37B-6BCC62397D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9451232"/>
        <c:axId val="1459451712"/>
      </c:barChart>
      <c:catAx>
        <c:axId val="145945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9451712"/>
        <c:crosses val="autoZero"/>
        <c:auto val="1"/>
        <c:lblAlgn val="ctr"/>
        <c:lblOffset val="100"/>
        <c:noMultiLvlLbl val="0"/>
      </c:catAx>
      <c:valAx>
        <c:axId val="145945171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5945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Recap!$A$22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Recap!$B$21:$G$21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Recap!$B$22:$G$22</c:f>
              <c:numCache>
                <c:formatCode>#,##0</c:formatCode>
                <c:ptCount val="6"/>
                <c:pt idx="0" formatCode="General">
                  <c:v>272.99999999999994</c:v>
                </c:pt>
                <c:pt idx="1">
                  <c:v>90</c:v>
                </c:pt>
                <c:pt idx="2" formatCode="General">
                  <c:v>29.999999999999996</c:v>
                </c:pt>
                <c:pt idx="3" formatCode="General">
                  <c:v>18</c:v>
                </c:pt>
                <c:pt idx="4" formatCode="General">
                  <c:v>107.99999999999994</c:v>
                </c:pt>
                <c:pt idx="5" formatCode="General">
                  <c:v>26.999999999999986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A-4659-8138-7F8766EF6E68}"/>
            </c:ext>
          </c:extLst>
        </c:ser>
        <c:ser>
          <c:idx val="1"/>
          <c:order val="1"/>
          <c:tx>
            <c:strRef>
              <c:f>Recap!$A$23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Recap!$B$21:$G$21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Recap!$B$23:$G$23</c:f>
              <c:numCache>
                <c:formatCode>#,##0</c:formatCode>
                <c:ptCount val="6"/>
                <c:pt idx="0" formatCode="General">
                  <c:v>182.38</c:v>
                </c:pt>
                <c:pt idx="1">
                  <c:v>44.879999999999995</c:v>
                </c:pt>
                <c:pt idx="2" formatCode="General">
                  <c:v>1</c:v>
                </c:pt>
                <c:pt idx="3" formatCode="General">
                  <c:v>10.450000000000001</c:v>
                </c:pt>
                <c:pt idx="4" formatCode="General">
                  <c:v>56.04999999999999</c:v>
                </c:pt>
                <c:pt idx="5" formatCode="General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8A-4659-8138-7F8766EF6E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8658815"/>
        <c:axId val="1328667935"/>
      </c:barChart>
      <c:catAx>
        <c:axId val="132865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8667935"/>
        <c:crosses val="autoZero"/>
        <c:auto val="1"/>
        <c:lblAlgn val="ctr"/>
        <c:lblOffset val="100"/>
        <c:noMultiLvlLbl val="0"/>
      </c:catAx>
      <c:valAx>
        <c:axId val="13286679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2865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Recap!$S$4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Recap!$T$3:$Y$3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Recap!$T$4:$Y$4</c:f>
              <c:numCache>
                <c:formatCode>#,##0</c:formatCode>
                <c:ptCount val="6"/>
                <c:pt idx="0" formatCode="General">
                  <c:v>5400</c:v>
                </c:pt>
                <c:pt idx="1">
                  <c:v>2700</c:v>
                </c:pt>
                <c:pt idx="2" formatCode="General">
                  <c:v>540</c:v>
                </c:pt>
                <c:pt idx="3" formatCode="General">
                  <c:v>900</c:v>
                </c:pt>
                <c:pt idx="4" formatCode="General">
                  <c:v>360</c:v>
                </c:pt>
                <c:pt idx="5" formatCode="General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F-40B8-B826-371A5259BFDD}"/>
            </c:ext>
          </c:extLst>
        </c:ser>
        <c:ser>
          <c:idx val="1"/>
          <c:order val="1"/>
          <c:tx>
            <c:strRef>
              <c:f>Recap!$S$5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Recap!$T$3:$Y$3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Recap!$T$5:$Y$5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9F-40B8-B826-371A5259BF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4077184"/>
        <c:axId val="1584078624"/>
      </c:barChart>
      <c:catAx>
        <c:axId val="158407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4078624"/>
        <c:crosses val="autoZero"/>
        <c:auto val="1"/>
        <c:lblAlgn val="ctr"/>
        <c:lblOffset val="100"/>
        <c:noMultiLvlLbl val="0"/>
      </c:catAx>
      <c:valAx>
        <c:axId val="15840786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407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Référencement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Recap!$S$11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Recap!$T$9:$Y$10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Recap!$T$11:$Y$11</c:f>
              <c:numCache>
                <c:formatCode>#,##0</c:formatCode>
                <c:ptCount val="6"/>
                <c:pt idx="0" formatCode="General">
                  <c:v>1260</c:v>
                </c:pt>
                <c:pt idx="1">
                  <c:v>540</c:v>
                </c:pt>
                <c:pt idx="2" formatCode="General">
                  <c:v>180</c:v>
                </c:pt>
                <c:pt idx="3" formatCode="General">
                  <c:v>180</c:v>
                </c:pt>
                <c:pt idx="4" formatCode="General">
                  <c:v>180</c:v>
                </c:pt>
                <c:pt idx="5" formatCode="General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F-42C4-AAA4-B396626FE54E}"/>
            </c:ext>
          </c:extLst>
        </c:ser>
        <c:ser>
          <c:idx val="1"/>
          <c:order val="1"/>
          <c:tx>
            <c:strRef>
              <c:f>Recap!$S$12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Recap!$T$9:$Y$10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Recap!$T$12:$Y$12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F-42C4-AAA4-B396626FE5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4435440"/>
        <c:axId val="1364432080"/>
      </c:barChart>
      <c:catAx>
        <c:axId val="136443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4432080"/>
        <c:crosses val="autoZero"/>
        <c:auto val="1"/>
        <c:lblAlgn val="ctr"/>
        <c:lblOffset val="100"/>
        <c:noMultiLvlLbl val="0"/>
      </c:catAx>
      <c:valAx>
        <c:axId val="1364432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443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Visibilité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Recap!$S$17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Recap!$T$16:$W$16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Recap!$T$17:$W$17</c:f>
              <c:numCache>
                <c:formatCode>#,##0</c:formatCode>
                <c:ptCount val="4"/>
                <c:pt idx="0" formatCode="General">
                  <c:v>1260</c:v>
                </c:pt>
                <c:pt idx="1">
                  <c:v>540</c:v>
                </c:pt>
                <c:pt idx="2" formatCode="General">
                  <c:v>180</c:v>
                </c:pt>
                <c:pt idx="3" formatCode="General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3-4F6B-9ED2-DB4B20895ED9}"/>
            </c:ext>
          </c:extLst>
        </c:ser>
        <c:ser>
          <c:idx val="1"/>
          <c:order val="1"/>
          <c:tx>
            <c:strRef>
              <c:f>Recap!$S$18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Recap!$T$16:$W$16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Recap!$T$18:$W$18</c:f>
              <c:numCache>
                <c:formatCode>#,##0</c:formatCode>
                <c:ptCount val="4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B3-4F6B-9ED2-DB4B20895E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9857823"/>
        <c:axId val="1439859743"/>
      </c:barChart>
      <c:catAx>
        <c:axId val="143985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9859743"/>
        <c:crosses val="autoZero"/>
        <c:auto val="1"/>
        <c:lblAlgn val="ctr"/>
        <c:lblOffset val="100"/>
        <c:noMultiLvlLbl val="0"/>
      </c:catAx>
      <c:valAx>
        <c:axId val="14398597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3985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Recap!$S$22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Recap!$T$21:$Y$21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Recap!$T$22:$Y$22</c:f>
              <c:numCache>
                <c:formatCode>#,##0</c:formatCode>
                <c:ptCount val="6"/>
                <c:pt idx="0" formatCode="General">
                  <c:v>5400</c:v>
                </c:pt>
                <c:pt idx="1">
                  <c:v>2700</c:v>
                </c:pt>
                <c:pt idx="2" formatCode="General">
                  <c:v>540</c:v>
                </c:pt>
                <c:pt idx="3" formatCode="General">
                  <c:v>900</c:v>
                </c:pt>
                <c:pt idx="4" formatCode="General">
                  <c:v>360</c:v>
                </c:pt>
                <c:pt idx="5" formatCode="General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7-492E-9517-79E0DEA12581}"/>
            </c:ext>
          </c:extLst>
        </c:ser>
        <c:ser>
          <c:idx val="1"/>
          <c:order val="1"/>
          <c:tx>
            <c:strRef>
              <c:f>Recap!$S$23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Recap!$T$21:$Y$21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Recap!$T$23:$Y$23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B7-492E-9517-79E0DEA125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3009727"/>
        <c:axId val="1383010207"/>
      </c:barChart>
      <c:catAx>
        <c:axId val="138300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3010207"/>
        <c:crosses val="autoZero"/>
        <c:auto val="1"/>
        <c:lblAlgn val="ctr"/>
        <c:lblOffset val="100"/>
        <c:noMultiLvlLbl val="0"/>
      </c:catAx>
      <c:valAx>
        <c:axId val="13830102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8300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Recap!$AK$4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Recap!$AL$3:$AQ$3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Recap!$AL$4:$AQ$4</c:f>
              <c:numCache>
                <c:formatCode>#,##0</c:formatCode>
                <c:ptCount val="6"/>
                <c:pt idx="0" formatCode="General">
                  <c:v>5400</c:v>
                </c:pt>
                <c:pt idx="1">
                  <c:v>2700</c:v>
                </c:pt>
                <c:pt idx="2" formatCode="General">
                  <c:v>540</c:v>
                </c:pt>
                <c:pt idx="3" formatCode="General">
                  <c:v>900</c:v>
                </c:pt>
                <c:pt idx="4" formatCode="General">
                  <c:v>360</c:v>
                </c:pt>
                <c:pt idx="5" formatCode="General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A-48B0-AA95-8050E474E8E3}"/>
            </c:ext>
          </c:extLst>
        </c:ser>
        <c:ser>
          <c:idx val="1"/>
          <c:order val="1"/>
          <c:tx>
            <c:strRef>
              <c:f>Recap!$AK$5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Recap!$AL$3:$AQ$3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Recap!$AL$5:$AQ$5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1A-48B0-AA95-8050E474E8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6093263"/>
        <c:axId val="1386083663"/>
      </c:barChart>
      <c:catAx>
        <c:axId val="138609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6083663"/>
        <c:crosses val="autoZero"/>
        <c:auto val="1"/>
        <c:lblAlgn val="ctr"/>
        <c:lblOffset val="100"/>
        <c:noMultiLvlLbl val="0"/>
      </c:catAx>
      <c:valAx>
        <c:axId val="13860836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8609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Référencement</a:t>
            </a:r>
          </a:p>
        </c:rich>
      </c:tx>
      <c:layout>
        <c:manualLayout>
          <c:xMode val="edge"/>
          <c:yMode val="edge"/>
          <c:x val="0.412270778652668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Recap!$AK$11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Recap!$AL$10:$AQ$10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Recap!$AL$11:$AQ$11</c:f>
              <c:numCache>
                <c:formatCode>#,##0</c:formatCode>
                <c:ptCount val="6"/>
                <c:pt idx="0" formatCode="General">
                  <c:v>1260</c:v>
                </c:pt>
                <c:pt idx="1">
                  <c:v>540</c:v>
                </c:pt>
                <c:pt idx="2" formatCode="General">
                  <c:v>180</c:v>
                </c:pt>
                <c:pt idx="3" formatCode="General">
                  <c:v>180</c:v>
                </c:pt>
                <c:pt idx="4" formatCode="General">
                  <c:v>180</c:v>
                </c:pt>
                <c:pt idx="5" formatCode="General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B-4EBC-AF91-F59369A8CE7C}"/>
            </c:ext>
          </c:extLst>
        </c:ser>
        <c:ser>
          <c:idx val="1"/>
          <c:order val="1"/>
          <c:tx>
            <c:strRef>
              <c:f>Recap!$AK$12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Recap!$AL$10:$AQ$10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Recap!$AL$12:$AQ$12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B-4EBC-AF91-F59369A8CE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2078607"/>
        <c:axId val="1442088687"/>
      </c:barChart>
      <c:catAx>
        <c:axId val="144207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2088687"/>
        <c:crosses val="autoZero"/>
        <c:auto val="1"/>
        <c:lblAlgn val="ctr"/>
        <c:lblOffset val="100"/>
        <c:noMultiLvlLbl val="0"/>
      </c:catAx>
      <c:valAx>
        <c:axId val="14420886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4207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Visibilité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Recap!$AK$17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Recap!$AL$16:$AO$16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Recap!$AL$17:$AO$17</c:f>
              <c:numCache>
                <c:formatCode>#,##0</c:formatCode>
                <c:ptCount val="4"/>
                <c:pt idx="0" formatCode="General">
                  <c:v>1260</c:v>
                </c:pt>
                <c:pt idx="1">
                  <c:v>540</c:v>
                </c:pt>
                <c:pt idx="2">
                  <c:v>180</c:v>
                </c:pt>
                <c:pt idx="3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1-4BA4-927D-DB4D847B0D63}"/>
            </c:ext>
          </c:extLst>
        </c:ser>
        <c:ser>
          <c:idx val="1"/>
          <c:order val="1"/>
          <c:tx>
            <c:strRef>
              <c:f>Recap!$AK$18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Recap!$AL$16:$AO$16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Recap!$AL$18:$AO$18</c:f>
              <c:numCache>
                <c:formatCode>#,##0</c:formatCode>
                <c:ptCount val="4"/>
                <c:pt idx="0" formatCode="General">
                  <c:v>30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91-4BA4-927D-DB4D847B0D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4749648"/>
        <c:axId val="1564745808"/>
      </c:barChart>
      <c:catAx>
        <c:axId val="156474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4745808"/>
        <c:crosses val="autoZero"/>
        <c:auto val="1"/>
        <c:lblAlgn val="ctr"/>
        <c:lblOffset val="100"/>
        <c:noMultiLvlLbl val="0"/>
      </c:catAx>
      <c:valAx>
        <c:axId val="15647458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474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2.7777777777777776E-2"/>
          <c:y val="0.16708333333333336"/>
          <c:w val="0.93888888888888888"/>
          <c:h val="0.513270997375328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Recap!$AK$22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Recap!$AL$21:$AQ$21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Recap!$AL$22:$AQ$22</c:f>
              <c:numCache>
                <c:formatCode>#,##0</c:formatCode>
                <c:ptCount val="6"/>
                <c:pt idx="0" formatCode="General">
                  <c:v>272.99999999999994</c:v>
                </c:pt>
                <c:pt idx="1">
                  <c:v>90</c:v>
                </c:pt>
                <c:pt idx="2" formatCode="General">
                  <c:v>29.999999999999996</c:v>
                </c:pt>
                <c:pt idx="3" formatCode="General">
                  <c:v>18</c:v>
                </c:pt>
                <c:pt idx="4" formatCode="General">
                  <c:v>107.99999999999994</c:v>
                </c:pt>
                <c:pt idx="5" formatCode="General">
                  <c:v>26.999999999999986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E-4BB1-B7AA-BC5BE050F448}"/>
            </c:ext>
          </c:extLst>
        </c:ser>
        <c:ser>
          <c:idx val="1"/>
          <c:order val="1"/>
          <c:tx>
            <c:strRef>
              <c:f>Recap!$AK$23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Recap!$AL$21:$AQ$21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Recap!$AL$23:$AQ$23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BE-4BB1-B7AA-BC5BE050F4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8955712"/>
        <c:axId val="1578956192"/>
      </c:barChart>
      <c:catAx>
        <c:axId val="157895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8956192"/>
        <c:crosses val="autoZero"/>
        <c:auto val="1"/>
        <c:lblAlgn val="ctr"/>
        <c:lblOffset val="100"/>
        <c:noMultiLvlLbl val="0"/>
      </c:catAx>
      <c:valAx>
        <c:axId val="15789561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895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Recap!$BC$4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Recap!$BD$3:$BI$3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Recap!$BD$4:$BI$4</c:f>
              <c:numCache>
                <c:formatCode>#,##0</c:formatCode>
                <c:ptCount val="6"/>
                <c:pt idx="0" formatCode="General">
                  <c:v>5400</c:v>
                </c:pt>
                <c:pt idx="1">
                  <c:v>2700</c:v>
                </c:pt>
                <c:pt idx="2" formatCode="General">
                  <c:v>540</c:v>
                </c:pt>
                <c:pt idx="3" formatCode="General">
                  <c:v>900</c:v>
                </c:pt>
                <c:pt idx="4" formatCode="General">
                  <c:v>360</c:v>
                </c:pt>
                <c:pt idx="5" formatCode="General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8-4A32-93E3-CDEE4CC6117D}"/>
            </c:ext>
          </c:extLst>
        </c:ser>
        <c:ser>
          <c:idx val="1"/>
          <c:order val="1"/>
          <c:tx>
            <c:strRef>
              <c:f>Recap!$BC$5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Recap!$BD$3:$BI$3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Recap!$BD$5:$BI$5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78-4A32-93E3-CDEE4CC611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4069984"/>
        <c:axId val="1584065664"/>
      </c:barChart>
      <c:catAx>
        <c:axId val="158406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4065664"/>
        <c:crosses val="autoZero"/>
        <c:auto val="1"/>
        <c:lblAlgn val="ctr"/>
        <c:lblOffset val="100"/>
        <c:noMultiLvlLbl val="0"/>
      </c:catAx>
      <c:valAx>
        <c:axId val="15840656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406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Référencement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Recap!$BC$11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Recap!$BD$10:$BI$10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Recap!$BD$11:$BI$11</c:f>
              <c:numCache>
                <c:formatCode>#,##0</c:formatCode>
                <c:ptCount val="6"/>
                <c:pt idx="0" formatCode="General">
                  <c:v>1260</c:v>
                </c:pt>
                <c:pt idx="1">
                  <c:v>540</c:v>
                </c:pt>
                <c:pt idx="2" formatCode="General">
                  <c:v>180</c:v>
                </c:pt>
                <c:pt idx="3" formatCode="General">
                  <c:v>180</c:v>
                </c:pt>
                <c:pt idx="4" formatCode="General">
                  <c:v>180</c:v>
                </c:pt>
                <c:pt idx="5" formatCode="General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E-4374-B466-14D77CBFAE08}"/>
            </c:ext>
          </c:extLst>
        </c:ser>
        <c:ser>
          <c:idx val="1"/>
          <c:order val="1"/>
          <c:tx>
            <c:strRef>
              <c:f>Recap!$BC$12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Recap!$BD$10:$BI$10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Recap!$BD$12:$BI$12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BE-4374-B466-14D77CBFAE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0176591"/>
        <c:axId val="1440171791"/>
      </c:barChart>
      <c:catAx>
        <c:axId val="144017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0171791"/>
        <c:crosses val="autoZero"/>
        <c:auto val="1"/>
        <c:lblAlgn val="ctr"/>
        <c:lblOffset val="100"/>
        <c:noMultiLvlLbl val="0"/>
      </c:catAx>
      <c:valAx>
        <c:axId val="14401717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4017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Visibilité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Recap!$BC$17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Recap!$BD$16:$BG$16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Recap!$BD$17:$BG$17</c:f>
              <c:numCache>
                <c:formatCode>#,##0</c:formatCode>
                <c:ptCount val="4"/>
                <c:pt idx="0" formatCode="General">
                  <c:v>1260</c:v>
                </c:pt>
                <c:pt idx="1">
                  <c:v>540</c:v>
                </c:pt>
                <c:pt idx="2">
                  <c:v>180</c:v>
                </c:pt>
                <c:pt idx="3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1-4DEC-AE60-4DFFC1745417}"/>
            </c:ext>
          </c:extLst>
        </c:ser>
        <c:ser>
          <c:idx val="1"/>
          <c:order val="1"/>
          <c:tx>
            <c:strRef>
              <c:f>Recap!$BC$18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Recap!$BD$16:$BG$16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Recap!$BD$18:$BG$18</c:f>
              <c:numCache>
                <c:formatCode>#,##0</c:formatCode>
                <c:ptCount val="4"/>
                <c:pt idx="0" formatCode="General">
                  <c:v>30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C1-4DEC-AE60-4DFFC17454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9687824"/>
        <c:axId val="1559689264"/>
      </c:barChart>
      <c:catAx>
        <c:axId val="155968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9689264"/>
        <c:crosses val="autoZero"/>
        <c:auto val="1"/>
        <c:lblAlgn val="ctr"/>
        <c:lblOffset val="100"/>
        <c:noMultiLvlLbl val="0"/>
      </c:catAx>
      <c:valAx>
        <c:axId val="15596892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5968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Recap!$BC$22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Recap!$BD$21:$BI$21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Recap!$BD$22:$BI$22</c:f>
              <c:numCache>
                <c:formatCode>#,##0</c:formatCode>
                <c:ptCount val="6"/>
                <c:pt idx="0" formatCode="General">
                  <c:v>272.99999999999994</c:v>
                </c:pt>
                <c:pt idx="1">
                  <c:v>90</c:v>
                </c:pt>
                <c:pt idx="2" formatCode="General">
                  <c:v>29.999999999999996</c:v>
                </c:pt>
                <c:pt idx="3" formatCode="General">
                  <c:v>18</c:v>
                </c:pt>
                <c:pt idx="4" formatCode="General">
                  <c:v>107.99999999999994</c:v>
                </c:pt>
                <c:pt idx="5" formatCode="General">
                  <c:v>26.999999999999986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F-4605-BCCE-686EF454936A}"/>
            </c:ext>
          </c:extLst>
        </c:ser>
        <c:ser>
          <c:idx val="1"/>
          <c:order val="1"/>
          <c:tx>
            <c:strRef>
              <c:f>Recap!$BC$23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Recap!$BD$21:$BI$21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Recap!$BD$23:$BI$23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9F-4605-BCCE-686EF45493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6045023"/>
        <c:axId val="1376038783"/>
      </c:barChart>
      <c:catAx>
        <c:axId val="137604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6038783"/>
        <c:crosses val="autoZero"/>
        <c:auto val="1"/>
        <c:lblAlgn val="ctr"/>
        <c:lblOffset val="100"/>
        <c:noMultiLvlLbl val="0"/>
      </c:catAx>
      <c:valAx>
        <c:axId val="1376038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7604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Recap!$BU$4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Recap!$BV$3:$CA$3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Recap!$BV$4:$CA$4</c:f>
              <c:numCache>
                <c:formatCode>#,##0</c:formatCode>
                <c:ptCount val="6"/>
                <c:pt idx="0" formatCode="General">
                  <c:v>5400</c:v>
                </c:pt>
                <c:pt idx="1">
                  <c:v>2700</c:v>
                </c:pt>
                <c:pt idx="2">
                  <c:v>540</c:v>
                </c:pt>
                <c:pt idx="3">
                  <c:v>900</c:v>
                </c:pt>
                <c:pt idx="4">
                  <c:v>360</c:v>
                </c:pt>
                <c:pt idx="5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0-49C2-81E1-E50793205A35}"/>
            </c:ext>
          </c:extLst>
        </c:ser>
        <c:ser>
          <c:idx val="1"/>
          <c:order val="1"/>
          <c:tx>
            <c:strRef>
              <c:f>Recap!$BU$5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Recap!$BV$3:$CA$3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Recap!$BV$5:$CA$5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90-49C2-81E1-E50793205A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8937952"/>
        <c:axId val="1578934592"/>
      </c:barChart>
      <c:catAx>
        <c:axId val="157893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8934592"/>
        <c:crosses val="autoZero"/>
        <c:auto val="1"/>
        <c:lblAlgn val="ctr"/>
        <c:lblOffset val="100"/>
        <c:noMultiLvlLbl val="0"/>
      </c:catAx>
      <c:valAx>
        <c:axId val="15789345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893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Référencement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Recap!$BU$11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Recap!$BV$10:$CA$10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Recap!$BV$11:$CA$11</c:f>
              <c:numCache>
                <c:formatCode>#,##0</c:formatCode>
                <c:ptCount val="6"/>
                <c:pt idx="0" formatCode="General">
                  <c:v>1260</c:v>
                </c:pt>
                <c:pt idx="1">
                  <c:v>540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A-4262-A04C-823DEF962354}"/>
            </c:ext>
          </c:extLst>
        </c:ser>
        <c:ser>
          <c:idx val="1"/>
          <c:order val="1"/>
          <c:tx>
            <c:strRef>
              <c:f>Recap!$BU$12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Recap!$BV$10:$CA$10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Recap!$BV$12:$CA$12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0A-4262-A04C-823DEF9623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9050496"/>
        <c:axId val="1429052896"/>
      </c:barChart>
      <c:catAx>
        <c:axId val="142905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9052896"/>
        <c:crosses val="autoZero"/>
        <c:auto val="1"/>
        <c:lblAlgn val="ctr"/>
        <c:lblOffset val="100"/>
        <c:noMultiLvlLbl val="0"/>
      </c:catAx>
      <c:valAx>
        <c:axId val="14290528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2905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Visibilité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Recap!$BU$17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Recap!$BV$16:$BY$16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Recap!$BV$17:$BY$17</c:f>
              <c:numCache>
                <c:formatCode>#,##0</c:formatCode>
                <c:ptCount val="4"/>
                <c:pt idx="0" formatCode="General">
                  <c:v>1260</c:v>
                </c:pt>
                <c:pt idx="1">
                  <c:v>540</c:v>
                </c:pt>
                <c:pt idx="2">
                  <c:v>180</c:v>
                </c:pt>
                <c:pt idx="3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1-4C5C-899D-495F067E3FDB}"/>
            </c:ext>
          </c:extLst>
        </c:ser>
        <c:ser>
          <c:idx val="1"/>
          <c:order val="1"/>
          <c:tx>
            <c:strRef>
              <c:f>Recap!$BU$18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Recap!$BV$16:$BY$16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Recap!$BV$18:$BY$18</c:f>
              <c:numCache>
                <c:formatCode>#,##0</c:formatCode>
                <c:ptCount val="4"/>
                <c:pt idx="0" formatCode="General">
                  <c:v>30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C1-4C5C-899D-495F067E3F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1159824"/>
        <c:axId val="2011161744"/>
      </c:barChart>
      <c:catAx>
        <c:axId val="201115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1161744"/>
        <c:crosses val="autoZero"/>
        <c:auto val="1"/>
        <c:lblAlgn val="ctr"/>
        <c:lblOffset val="100"/>
        <c:noMultiLvlLbl val="0"/>
      </c:catAx>
      <c:valAx>
        <c:axId val="2011161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1115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Recap!$BU$22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Recap!$BV$21:$CA$21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Recap!$BV$22:$CA$22</c:f>
              <c:numCache>
                <c:formatCode>#,##0</c:formatCode>
                <c:ptCount val="6"/>
                <c:pt idx="0" formatCode="General">
                  <c:v>272.99999999999994</c:v>
                </c:pt>
                <c:pt idx="1">
                  <c:v>90</c:v>
                </c:pt>
                <c:pt idx="2" formatCode="General">
                  <c:v>29.999999999999996</c:v>
                </c:pt>
                <c:pt idx="3" formatCode="General">
                  <c:v>18</c:v>
                </c:pt>
                <c:pt idx="4" formatCode="General">
                  <c:v>107.99999999999994</c:v>
                </c:pt>
                <c:pt idx="5" formatCode="General">
                  <c:v>26.999999999999986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F-4F88-9A9C-95FFEAE854A5}"/>
            </c:ext>
          </c:extLst>
        </c:ser>
        <c:ser>
          <c:idx val="1"/>
          <c:order val="1"/>
          <c:tx>
            <c:strRef>
              <c:f>Recap!$BU$23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Recap!$BV$21:$CA$21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Recap!$BV$23:$CA$23</c:f>
              <c:numCache>
                <c:formatCode>#,##0</c:formatCode>
                <c:ptCount val="6"/>
                <c:pt idx="0" formatCode="General">
                  <c:v>30</c:v>
                </c:pt>
                <c:pt idx="1">
                  <c:v>6</c:v>
                </c:pt>
                <c:pt idx="2" formatCode="General">
                  <c:v>6</c:v>
                </c:pt>
                <c:pt idx="3" formatCode="General">
                  <c:v>6</c:v>
                </c:pt>
                <c:pt idx="4" formatCode="General">
                  <c:v>6</c:v>
                </c:pt>
                <c:pt idx="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EF-4F88-9A9C-95FFEAE854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0812463"/>
        <c:axId val="1470816783"/>
      </c:barChart>
      <c:catAx>
        <c:axId val="147081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0816783"/>
        <c:crosses val="autoZero"/>
        <c:auto val="1"/>
        <c:lblAlgn val="ctr"/>
        <c:lblOffset val="100"/>
        <c:noMultiLvlLbl val="0"/>
      </c:catAx>
      <c:valAx>
        <c:axId val="1470816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7081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Recap!$CM$4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Recap!$CN$3:$CS$3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Recap!$CN$4:$CS$4</c:f>
              <c:numCache>
                <c:formatCode>#,##0</c:formatCode>
                <c:ptCount val="6"/>
                <c:pt idx="0" formatCode="General">
                  <c:v>27000</c:v>
                </c:pt>
                <c:pt idx="1">
                  <c:v>13500</c:v>
                </c:pt>
                <c:pt idx="2">
                  <c:v>2700</c:v>
                </c:pt>
                <c:pt idx="3">
                  <c:v>4500</c:v>
                </c:pt>
                <c:pt idx="4">
                  <c:v>1800</c:v>
                </c:pt>
                <c:pt idx="5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8-43BD-A4CB-C503A3EB0DF8}"/>
            </c:ext>
          </c:extLst>
        </c:ser>
        <c:ser>
          <c:idx val="1"/>
          <c:order val="1"/>
          <c:tx>
            <c:strRef>
              <c:f>Recap!$CM$5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Recap!$CN$3:$CS$3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Recap!$CN$5:$CS$5</c:f>
              <c:numCache>
                <c:formatCode>#,##0</c:formatCode>
                <c:ptCount val="6"/>
                <c:pt idx="0" formatCode="General">
                  <c:v>4941</c:v>
                </c:pt>
                <c:pt idx="1">
                  <c:v>4424</c:v>
                </c:pt>
                <c:pt idx="2">
                  <c:v>71</c:v>
                </c:pt>
                <c:pt idx="3">
                  <c:v>119</c:v>
                </c:pt>
                <c:pt idx="4">
                  <c:v>223</c:v>
                </c:pt>
                <c:pt idx="5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D8-43BD-A4CB-C503A3EB0D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0727503"/>
        <c:axId val="1470723183"/>
      </c:barChart>
      <c:catAx>
        <c:axId val="147072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0723183"/>
        <c:crosses val="autoZero"/>
        <c:auto val="1"/>
        <c:lblAlgn val="ctr"/>
        <c:lblOffset val="100"/>
        <c:noMultiLvlLbl val="0"/>
      </c:catAx>
      <c:valAx>
        <c:axId val="14707231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7072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Référencemnt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Recap!$CM$11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Recap!$CN$10:$CS$10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Recap!$CN$11:$CS$11</c:f>
              <c:numCache>
                <c:formatCode>#,##0</c:formatCode>
                <c:ptCount val="6"/>
                <c:pt idx="0" formatCode="General">
                  <c:v>6300</c:v>
                </c:pt>
                <c:pt idx="1">
                  <c:v>2700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7-4840-B26A-D078AFB100CE}"/>
            </c:ext>
          </c:extLst>
        </c:ser>
        <c:ser>
          <c:idx val="1"/>
          <c:order val="1"/>
          <c:tx>
            <c:strRef>
              <c:f>Recap!$CM$12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Recap!$CN$10:$CS$10</c:f>
              <c:strCache>
                <c:ptCount val="6"/>
                <c:pt idx="0">
                  <c:v>Total</c:v>
                </c:pt>
                <c:pt idx="1">
                  <c:v>Boutique</c:v>
                </c:pt>
                <c:pt idx="2">
                  <c:v>Superette</c:v>
                </c:pt>
                <c:pt idx="3">
                  <c:v>Kiosque</c:v>
                </c:pt>
                <c:pt idx="4">
                  <c:v>Tablier</c:v>
                </c:pt>
                <c:pt idx="5">
                  <c:v>Pushcart</c:v>
                </c:pt>
              </c:strCache>
            </c:strRef>
          </c:cat>
          <c:val>
            <c:numRef>
              <c:f>Recap!$CN$12:$CS$12</c:f>
              <c:numCache>
                <c:formatCode>#,##0</c:formatCode>
                <c:ptCount val="6"/>
                <c:pt idx="0" formatCode="General">
                  <c:v>1447</c:v>
                </c:pt>
                <c:pt idx="1">
                  <c:v>1258</c:v>
                </c:pt>
                <c:pt idx="2">
                  <c:v>29</c:v>
                </c:pt>
                <c:pt idx="3">
                  <c:v>50</c:v>
                </c:pt>
                <c:pt idx="4">
                  <c:v>69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07-4840-B26A-D078AFB100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6270527"/>
        <c:axId val="1386259487"/>
      </c:barChart>
      <c:catAx>
        <c:axId val="138627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6259487"/>
        <c:crosses val="autoZero"/>
        <c:auto val="1"/>
        <c:lblAlgn val="ctr"/>
        <c:lblOffset val="100"/>
        <c:noMultiLvlLbl val="0"/>
      </c:catAx>
      <c:valAx>
        <c:axId val="13862594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8627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Visibilité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Recap!$CM$17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Recap!$CN$16:$CQ$16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Recap!$CN$17:$CQ$17</c:f>
              <c:numCache>
                <c:formatCode>#,##0</c:formatCode>
                <c:ptCount val="4"/>
                <c:pt idx="0" formatCode="General">
                  <c:v>6300</c:v>
                </c:pt>
                <c:pt idx="1">
                  <c:v>2700</c:v>
                </c:pt>
                <c:pt idx="2">
                  <c:v>900</c:v>
                </c:pt>
                <c:pt idx="3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F-41D4-98FE-F719D9CBBC31}"/>
            </c:ext>
          </c:extLst>
        </c:ser>
        <c:ser>
          <c:idx val="1"/>
          <c:order val="1"/>
          <c:tx>
            <c:strRef>
              <c:f>Recap!$CM$18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Recap!$CN$16:$CQ$16</c:f>
              <c:strCache>
                <c:ptCount val="4"/>
                <c:pt idx="0">
                  <c:v>Total</c:v>
                </c:pt>
                <c:pt idx="1">
                  <c:v>Affiche Biblos Lait  Prémium 16g &amp; 360g</c:v>
                </c:pt>
                <c:pt idx="2">
                  <c:v>Affiche Biblos Lait Excellence</c:v>
                </c:pt>
                <c:pt idx="3">
                  <c:v>Affiche Biblos Flocons d' Avoine</c:v>
                </c:pt>
              </c:strCache>
            </c:strRef>
          </c:cat>
          <c:val>
            <c:numRef>
              <c:f>Recap!$CN$18:$CQ$18</c:f>
              <c:numCache>
                <c:formatCode>#,##0</c:formatCode>
                <c:ptCount val="4"/>
                <c:pt idx="0" formatCode="General">
                  <c:v>1111</c:v>
                </c:pt>
                <c:pt idx="1">
                  <c:v>517</c:v>
                </c:pt>
                <c:pt idx="2">
                  <c:v>25</c:v>
                </c:pt>
                <c:pt idx="3">
                  <c:v>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DF-41D4-98FE-F719D9CBBC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2447487"/>
        <c:axId val="1452444607"/>
      </c:barChart>
      <c:catAx>
        <c:axId val="145244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2444607"/>
        <c:crosses val="autoZero"/>
        <c:auto val="1"/>
        <c:lblAlgn val="ctr"/>
        <c:lblOffset val="100"/>
        <c:noMultiLvlLbl val="0"/>
      </c:catAx>
      <c:valAx>
        <c:axId val="14524446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244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Ventes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Recap!$CM$22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Recap!$CN$21:$CS$21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Recap!$CN$22:$CS$22</c:f>
              <c:numCache>
                <c:formatCode>#,##0</c:formatCode>
                <c:ptCount val="6"/>
                <c:pt idx="0" formatCode="General">
                  <c:v>1365</c:v>
                </c:pt>
                <c:pt idx="1">
                  <c:v>450</c:v>
                </c:pt>
                <c:pt idx="2" formatCode="General">
                  <c:v>149.99999999999997</c:v>
                </c:pt>
                <c:pt idx="3" formatCode="General">
                  <c:v>90</c:v>
                </c:pt>
                <c:pt idx="4" formatCode="General">
                  <c:v>540</c:v>
                </c:pt>
                <c:pt idx="5" formatCode="General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E-401A-AF3F-BE90EF46B92C}"/>
            </c:ext>
          </c:extLst>
        </c:ser>
        <c:ser>
          <c:idx val="1"/>
          <c:order val="1"/>
          <c:tx>
            <c:strRef>
              <c:f>Recap!$CM$23</c:f>
              <c:strCache>
                <c:ptCount val="1"/>
                <c:pt idx="0">
                  <c:v>Réalisé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Recap!$CN$21:$CS$21</c:f>
              <c:strCache>
                <c:ptCount val="6"/>
                <c:pt idx="0">
                  <c:v>Total</c:v>
                </c:pt>
                <c:pt idx="1">
                  <c:v>Biblos Lait Premium 16g</c:v>
                </c:pt>
                <c:pt idx="2">
                  <c:v>Biblos Lait Premium 360g</c:v>
                </c:pt>
                <c:pt idx="3">
                  <c:v>Biblos Lait Excellence 900g</c:v>
                </c:pt>
                <c:pt idx="4">
                  <c:v>Biblos Flocon d'avoine 50g</c:v>
                </c:pt>
                <c:pt idx="5">
                  <c:v>Biblos Flocon d'avoine 400g</c:v>
                </c:pt>
              </c:strCache>
            </c:strRef>
          </c:cat>
          <c:val>
            <c:numRef>
              <c:f>Recap!$CN$23:$CS$23</c:f>
              <c:numCache>
                <c:formatCode>#,##0</c:formatCode>
                <c:ptCount val="6"/>
                <c:pt idx="0" formatCode="General">
                  <c:v>302.38</c:v>
                </c:pt>
                <c:pt idx="1">
                  <c:v>68.88000000000001</c:v>
                </c:pt>
                <c:pt idx="2" formatCode="General">
                  <c:v>25</c:v>
                </c:pt>
                <c:pt idx="3" formatCode="General">
                  <c:v>34.449999999999996</c:v>
                </c:pt>
                <c:pt idx="4" formatCode="General">
                  <c:v>80.050000000000011</c:v>
                </c:pt>
                <c:pt idx="5" formatCode="General">
                  <c:v>93.999999999999986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BE-401A-AF3F-BE90EF46B9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9594303"/>
        <c:axId val="1439596223"/>
      </c:barChart>
      <c:catAx>
        <c:axId val="143959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9596223"/>
        <c:crosses val="autoZero"/>
        <c:auto val="1"/>
        <c:lblAlgn val="ctr"/>
        <c:lblOffset val="100"/>
        <c:noMultiLvlLbl val="0"/>
      </c:catAx>
      <c:valAx>
        <c:axId val="14395962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3959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7.xml"/><Relationship Id="rId18" Type="http://schemas.openxmlformats.org/officeDocument/2006/relationships/chart" Target="../charts/chart42.xml"/><Relationship Id="rId3" Type="http://schemas.openxmlformats.org/officeDocument/2006/relationships/chart" Target="../charts/chart27.xml"/><Relationship Id="rId21" Type="http://schemas.openxmlformats.org/officeDocument/2006/relationships/chart" Target="../charts/chart45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17" Type="http://schemas.openxmlformats.org/officeDocument/2006/relationships/chart" Target="../charts/chart41.xml"/><Relationship Id="rId2" Type="http://schemas.openxmlformats.org/officeDocument/2006/relationships/chart" Target="../charts/chart26.xml"/><Relationship Id="rId16" Type="http://schemas.openxmlformats.org/officeDocument/2006/relationships/chart" Target="../charts/chart40.xml"/><Relationship Id="rId20" Type="http://schemas.openxmlformats.org/officeDocument/2006/relationships/chart" Target="../charts/chart44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24" Type="http://schemas.openxmlformats.org/officeDocument/2006/relationships/chart" Target="../charts/chart48.xml"/><Relationship Id="rId5" Type="http://schemas.openxmlformats.org/officeDocument/2006/relationships/chart" Target="../charts/chart29.xml"/><Relationship Id="rId15" Type="http://schemas.openxmlformats.org/officeDocument/2006/relationships/chart" Target="../charts/chart39.xml"/><Relationship Id="rId23" Type="http://schemas.openxmlformats.org/officeDocument/2006/relationships/chart" Target="../charts/chart47.xml"/><Relationship Id="rId10" Type="http://schemas.openxmlformats.org/officeDocument/2006/relationships/chart" Target="../charts/chart34.xml"/><Relationship Id="rId19" Type="http://schemas.openxmlformats.org/officeDocument/2006/relationships/chart" Target="../charts/chart43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4" Type="http://schemas.openxmlformats.org/officeDocument/2006/relationships/chart" Target="../charts/chart38.xml"/><Relationship Id="rId22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167640</xdr:colOff>
      <xdr:row>1</xdr:row>
      <xdr:rowOff>171450</xdr:rowOff>
    </xdr:from>
    <xdr:to>
      <xdr:col>16</xdr:col>
      <xdr:colOff>472440</xdr:colOff>
      <xdr:row>15</xdr:row>
      <xdr:rowOff>354330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BB609B-F406-6AE9-44B7-1FB1F624A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144780</xdr:colOff>
      <xdr:row>15</xdr:row>
      <xdr:rowOff>110490</xdr:rowOff>
    </xdr:from>
    <xdr:to>
      <xdr:col>16</xdr:col>
      <xdr:colOff>449580</xdr:colOff>
      <xdr:row>29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F99C49-B0D6-9565-AB58-E440A717E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152400</xdr:colOff>
      <xdr:row>29</xdr:row>
      <xdr:rowOff>118110</xdr:rowOff>
    </xdr:from>
    <xdr:to>
      <xdr:col>16</xdr:col>
      <xdr:colOff>457200</xdr:colOff>
      <xdr:row>44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90B0AB-8474-E505-D74D-FE6A39DA1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175260</xdr:colOff>
      <xdr:row>45</xdr:row>
      <xdr:rowOff>80010</xdr:rowOff>
    </xdr:from>
    <xdr:to>
      <xdr:col>16</xdr:col>
      <xdr:colOff>480060</xdr:colOff>
      <xdr:row>60</xdr:row>
      <xdr:rowOff>80010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BB697D-B16F-EBCF-C021-811093175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251460</xdr:colOff>
      <xdr:row>1</xdr:row>
      <xdr:rowOff>140970</xdr:rowOff>
    </xdr:from>
    <xdr:to>
      <xdr:col>33</xdr:col>
      <xdr:colOff>556260</xdr:colOff>
      <xdr:row>15</xdr:row>
      <xdr:rowOff>323850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6EE474-BE11-0C0E-9CBF-EF663CA9A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266700</xdr:colOff>
      <xdr:row>15</xdr:row>
      <xdr:rowOff>506730</xdr:rowOff>
    </xdr:from>
    <xdr:to>
      <xdr:col>33</xdr:col>
      <xdr:colOff>571500</xdr:colOff>
      <xdr:row>29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E6833C-0A37-27DC-3831-319DE4ABA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281940</xdr:colOff>
      <xdr:row>29</xdr:row>
      <xdr:rowOff>179070</xdr:rowOff>
    </xdr:from>
    <xdr:to>
      <xdr:col>33</xdr:col>
      <xdr:colOff>586740</xdr:colOff>
      <xdr:row>44</xdr:row>
      <xdr:rowOff>179070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5C97496-9752-AC0E-AE21-8057263AF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297180</xdr:colOff>
      <xdr:row>46</xdr:row>
      <xdr:rowOff>95250</xdr:rowOff>
    </xdr:from>
    <xdr:to>
      <xdr:col>33</xdr:col>
      <xdr:colOff>601980</xdr:colOff>
      <xdr:row>61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A78341F-C46D-6A48-A30A-017351FFA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548640</xdr:colOff>
      <xdr:row>1</xdr:row>
      <xdr:rowOff>163830</xdr:rowOff>
    </xdr:from>
    <xdr:to>
      <xdr:col>51</xdr:col>
      <xdr:colOff>243840</xdr:colOff>
      <xdr:row>15</xdr:row>
      <xdr:rowOff>346710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D542AD3-CDFB-FE1D-7561-86884D73A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43</xdr:col>
      <xdr:colOff>548640</xdr:colOff>
      <xdr:row>15</xdr:row>
      <xdr:rowOff>461010</xdr:rowOff>
    </xdr:from>
    <xdr:to>
      <xdr:col>51</xdr:col>
      <xdr:colOff>243840</xdr:colOff>
      <xdr:row>28</xdr:row>
      <xdr:rowOff>156210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E98206F-02E5-DF9E-1772-1C08E18EB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586740</xdr:colOff>
      <xdr:row>29</xdr:row>
      <xdr:rowOff>140970</xdr:rowOff>
    </xdr:from>
    <xdr:to>
      <xdr:col>51</xdr:col>
      <xdr:colOff>281940</xdr:colOff>
      <xdr:row>44</xdr:row>
      <xdr:rowOff>140970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9F44F7B-230B-FB16-3BB6-5015EF8E8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43</xdr:col>
      <xdr:colOff>601980</xdr:colOff>
      <xdr:row>45</xdr:row>
      <xdr:rowOff>102870</xdr:rowOff>
    </xdr:from>
    <xdr:to>
      <xdr:col>51</xdr:col>
      <xdr:colOff>297180</xdr:colOff>
      <xdr:row>60</xdr:row>
      <xdr:rowOff>102870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E22A21B-6320-0A22-1478-FE85FC6ED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62</xdr:col>
      <xdr:colOff>60960</xdr:colOff>
      <xdr:row>2</xdr:row>
      <xdr:rowOff>19050</xdr:rowOff>
    </xdr:from>
    <xdr:to>
      <xdr:col>69</xdr:col>
      <xdr:colOff>365760</xdr:colOff>
      <xdr:row>15</xdr:row>
      <xdr:rowOff>384810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37A5386-8F83-F86E-3BCA-EE3EF8FD9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62</xdr:col>
      <xdr:colOff>53340</xdr:colOff>
      <xdr:row>15</xdr:row>
      <xdr:rowOff>476250</xdr:rowOff>
    </xdr:from>
    <xdr:to>
      <xdr:col>69</xdr:col>
      <xdr:colOff>358140</xdr:colOff>
      <xdr:row>28</xdr:row>
      <xdr:rowOff>171450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7A8D68-5E30-B81B-085A-726AFA6E7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62</xdr:col>
      <xdr:colOff>53340</xdr:colOff>
      <xdr:row>29</xdr:row>
      <xdr:rowOff>64770</xdr:rowOff>
    </xdr:from>
    <xdr:to>
      <xdr:col>69</xdr:col>
      <xdr:colOff>358140</xdr:colOff>
      <xdr:row>44</xdr:row>
      <xdr:rowOff>64770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98F65C2-A1B9-2206-BA0B-DAAE9F639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62</xdr:col>
      <xdr:colOff>60960</xdr:colOff>
      <xdr:row>44</xdr:row>
      <xdr:rowOff>156210</xdr:rowOff>
    </xdr:from>
    <xdr:to>
      <xdr:col>69</xdr:col>
      <xdr:colOff>365760</xdr:colOff>
      <xdr:row>59</xdr:row>
      <xdr:rowOff>156210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9FD90EC-EB99-DFDC-C61F-62C422F04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80</xdr:col>
      <xdr:colOff>0</xdr:colOff>
      <xdr:row>2</xdr:row>
      <xdr:rowOff>11430</xdr:rowOff>
    </xdr:from>
    <xdr:to>
      <xdr:col>87</xdr:col>
      <xdr:colOff>304800</xdr:colOff>
      <xdr:row>15</xdr:row>
      <xdr:rowOff>377190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03FE2CC-AB49-2D35-7D11-206899157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80</xdr:col>
      <xdr:colOff>7620</xdr:colOff>
      <xdr:row>15</xdr:row>
      <xdr:rowOff>499110</xdr:rowOff>
    </xdr:from>
    <xdr:to>
      <xdr:col>87</xdr:col>
      <xdr:colOff>312420</xdr:colOff>
      <xdr:row>29</xdr:row>
      <xdr:rowOff>11430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AB3051C-07F7-0BC3-8A30-4632A607C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79</xdr:col>
      <xdr:colOff>594360</xdr:colOff>
      <xdr:row>29</xdr:row>
      <xdr:rowOff>148590</xdr:rowOff>
    </xdr:from>
    <xdr:to>
      <xdr:col>87</xdr:col>
      <xdr:colOff>289560</xdr:colOff>
      <xdr:row>44</xdr:row>
      <xdr:rowOff>148590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50ADF3F-3931-F5CD-1090-608CD142E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80</xdr:col>
      <xdr:colOff>7620</xdr:colOff>
      <xdr:row>45</xdr:row>
      <xdr:rowOff>156210</xdr:rowOff>
    </xdr:from>
    <xdr:to>
      <xdr:col>87</xdr:col>
      <xdr:colOff>312420</xdr:colOff>
      <xdr:row>60</xdr:row>
      <xdr:rowOff>156210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65AB5DC-3F33-84DB-9416-E94DB1A97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97</xdr:col>
      <xdr:colOff>243840</xdr:colOff>
      <xdr:row>1</xdr:row>
      <xdr:rowOff>171450</xdr:rowOff>
    </xdr:from>
    <xdr:to>
      <xdr:col>104</xdr:col>
      <xdr:colOff>548640</xdr:colOff>
      <xdr:row>15</xdr:row>
      <xdr:rowOff>354330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2BC5B3C-9D6F-2138-4A72-82827BA2D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97</xdr:col>
      <xdr:colOff>274320</xdr:colOff>
      <xdr:row>15</xdr:row>
      <xdr:rowOff>506730</xdr:rowOff>
    </xdr:from>
    <xdr:to>
      <xdr:col>104</xdr:col>
      <xdr:colOff>579120</xdr:colOff>
      <xdr:row>29</xdr:row>
      <xdr:rowOff>19050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7B49719-CDCC-E933-B9EF-4FC9851FF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97</xdr:col>
      <xdr:colOff>259080</xdr:colOff>
      <xdr:row>29</xdr:row>
      <xdr:rowOff>125730</xdr:rowOff>
    </xdr:from>
    <xdr:to>
      <xdr:col>104</xdr:col>
      <xdr:colOff>563880</xdr:colOff>
      <xdr:row>44</xdr:row>
      <xdr:rowOff>125730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5EA9D999-9B9C-F3F8-3696-F3FAA1343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97</xdr:col>
      <xdr:colOff>251460</xdr:colOff>
      <xdr:row>45</xdr:row>
      <xdr:rowOff>49530</xdr:rowOff>
    </xdr:from>
    <xdr:to>
      <xdr:col>104</xdr:col>
      <xdr:colOff>556260</xdr:colOff>
      <xdr:row>60</xdr:row>
      <xdr:rowOff>49530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5D0C5BC-BD31-8AA0-616E-AFF04F1C4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</xdr:row>
      <xdr:rowOff>160020</xdr:rowOff>
    </xdr:from>
    <xdr:to>
      <xdr:col>10</xdr:col>
      <xdr:colOff>419100</xdr:colOff>
      <xdr:row>18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53CD86-C9B7-4F6E-BB1C-C54E52EF6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548640</xdr:colOff>
      <xdr:row>1</xdr:row>
      <xdr:rowOff>152400</xdr:rowOff>
    </xdr:from>
    <xdr:to>
      <xdr:col>20</xdr:col>
      <xdr:colOff>464820</xdr:colOff>
      <xdr:row>18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098A7C-9562-49E9-8505-1AF152774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15240</xdr:colOff>
      <xdr:row>20</xdr:row>
      <xdr:rowOff>38100</xdr:rowOff>
    </xdr:from>
    <xdr:to>
      <xdr:col>10</xdr:col>
      <xdr:colOff>411480</xdr:colOff>
      <xdr:row>37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ED443A-643E-4C6C-9EC8-CDFCA870F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579120</xdr:colOff>
      <xdr:row>20</xdr:row>
      <xdr:rowOff>45720</xdr:rowOff>
    </xdr:from>
    <xdr:to>
      <xdr:col>20</xdr:col>
      <xdr:colOff>472440</xdr:colOff>
      <xdr:row>37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4210FF-E9AC-4925-82ED-E056CA43E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281940</xdr:colOff>
      <xdr:row>1</xdr:row>
      <xdr:rowOff>167640</xdr:rowOff>
    </xdr:from>
    <xdr:to>
      <xdr:col>32</xdr:col>
      <xdr:colOff>289560</xdr:colOff>
      <xdr:row>19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DD2D7149-7051-42B1-9837-EBDC3713F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464820</xdr:colOff>
      <xdr:row>1</xdr:row>
      <xdr:rowOff>175260</xdr:rowOff>
    </xdr:from>
    <xdr:to>
      <xdr:col>41</xdr:col>
      <xdr:colOff>350520</xdr:colOff>
      <xdr:row>18</xdr:row>
      <xdr:rowOff>160020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A59DF8D2-3A1C-4ED1-8B7C-0DC15F0FA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281940</xdr:colOff>
      <xdr:row>20</xdr:row>
      <xdr:rowOff>45720</xdr:rowOff>
    </xdr:from>
    <xdr:to>
      <xdr:col>32</xdr:col>
      <xdr:colOff>304800</xdr:colOff>
      <xdr:row>36</xdr:row>
      <xdr:rowOff>152400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B1ADABE-47F9-4224-A86D-74552132F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487680</xdr:colOff>
      <xdr:row>20</xdr:row>
      <xdr:rowOff>45720</xdr:rowOff>
    </xdr:from>
    <xdr:to>
      <xdr:col>41</xdr:col>
      <xdr:colOff>365760</xdr:colOff>
      <xdr:row>36</xdr:row>
      <xdr:rowOff>144780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A03C4868-5C69-41A2-BAF8-F5B0BAD6DE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304800</xdr:colOff>
      <xdr:row>2</xdr:row>
      <xdr:rowOff>0</xdr:rowOff>
    </xdr:from>
    <xdr:to>
      <xdr:col>52</xdr:col>
      <xdr:colOff>350520</xdr:colOff>
      <xdr:row>19</xdr:row>
      <xdr:rowOff>7620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D134A7B-02D8-4226-851A-D9458DDE4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52</xdr:col>
      <xdr:colOff>594360</xdr:colOff>
      <xdr:row>2</xdr:row>
      <xdr:rowOff>7620</xdr:rowOff>
    </xdr:from>
    <xdr:to>
      <xdr:col>62</xdr:col>
      <xdr:colOff>137160</xdr:colOff>
      <xdr:row>19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9505CA5B-8570-41EF-99EB-EED44738E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297180</xdr:colOff>
      <xdr:row>20</xdr:row>
      <xdr:rowOff>83820</xdr:rowOff>
    </xdr:from>
    <xdr:to>
      <xdr:col>52</xdr:col>
      <xdr:colOff>327660</xdr:colOff>
      <xdr:row>36</xdr:row>
      <xdr:rowOff>160020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15FC77F2-BB54-4E0D-83AC-3CFE2BE4F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52</xdr:col>
      <xdr:colOff>594360</xdr:colOff>
      <xdr:row>20</xdr:row>
      <xdr:rowOff>106680</xdr:rowOff>
    </xdr:from>
    <xdr:to>
      <xdr:col>62</xdr:col>
      <xdr:colOff>175260</xdr:colOff>
      <xdr:row>36</xdr:row>
      <xdr:rowOff>121920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1D0CEC83-63BB-4D82-883E-95D5619D9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64</xdr:col>
      <xdr:colOff>289560</xdr:colOff>
      <xdr:row>2</xdr:row>
      <xdr:rowOff>22860</xdr:rowOff>
    </xdr:from>
    <xdr:to>
      <xdr:col>74</xdr:col>
      <xdr:colOff>175260</xdr:colOff>
      <xdr:row>19</xdr:row>
      <xdr:rowOff>7620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70C7ED50-BA9F-46E0-95B4-FFE1D3C0A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74</xdr:col>
      <xdr:colOff>365760</xdr:colOff>
      <xdr:row>2</xdr:row>
      <xdr:rowOff>30480</xdr:rowOff>
    </xdr:from>
    <xdr:to>
      <xdr:col>83</xdr:col>
      <xdr:colOff>281940</xdr:colOff>
      <xdr:row>18</xdr:row>
      <xdr:rowOff>175260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B1C1D582-50E3-4981-830E-40E23FD98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64</xdr:col>
      <xdr:colOff>297180</xdr:colOff>
      <xdr:row>19</xdr:row>
      <xdr:rowOff>167640</xdr:rowOff>
    </xdr:from>
    <xdr:to>
      <xdr:col>74</xdr:col>
      <xdr:colOff>190500</xdr:colOff>
      <xdr:row>35</xdr:row>
      <xdr:rowOff>106680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8D053E21-CCA0-497C-B351-36033E499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74</xdr:col>
      <xdr:colOff>365760</xdr:colOff>
      <xdr:row>20</xdr:row>
      <xdr:rowOff>0</xdr:rowOff>
    </xdr:from>
    <xdr:to>
      <xdr:col>83</xdr:col>
      <xdr:colOff>274320</xdr:colOff>
      <xdr:row>35</xdr:row>
      <xdr:rowOff>106680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7587F180-88DA-4AE3-8DE2-560049889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85</xdr:col>
      <xdr:colOff>289560</xdr:colOff>
      <xdr:row>2</xdr:row>
      <xdr:rowOff>0</xdr:rowOff>
    </xdr:from>
    <xdr:to>
      <xdr:col>95</xdr:col>
      <xdr:colOff>106680</xdr:colOff>
      <xdr:row>19</xdr:row>
      <xdr:rowOff>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A2F09999-4C80-4F78-A9BE-BDBD0FE0A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95</xdr:col>
      <xdr:colOff>281940</xdr:colOff>
      <xdr:row>2</xdr:row>
      <xdr:rowOff>15240</xdr:rowOff>
    </xdr:from>
    <xdr:to>
      <xdr:col>104</xdr:col>
      <xdr:colOff>259080</xdr:colOff>
      <xdr:row>18</xdr:row>
      <xdr:rowOff>152400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755BFA7C-E343-4928-A3B5-181805638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85</xdr:col>
      <xdr:colOff>281940</xdr:colOff>
      <xdr:row>20</xdr:row>
      <xdr:rowOff>0</xdr:rowOff>
    </xdr:from>
    <xdr:to>
      <xdr:col>95</xdr:col>
      <xdr:colOff>91440</xdr:colOff>
      <xdr:row>36</xdr:row>
      <xdr:rowOff>68580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9C374463-BE0B-4E13-92E7-0C0615D3E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95</xdr:col>
      <xdr:colOff>289560</xdr:colOff>
      <xdr:row>20</xdr:row>
      <xdr:rowOff>0</xdr:rowOff>
    </xdr:from>
    <xdr:to>
      <xdr:col>104</xdr:col>
      <xdr:colOff>251460</xdr:colOff>
      <xdr:row>36</xdr:row>
      <xdr:rowOff>83820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EF82E4D-816F-4F68-AA26-5FC6D3A5E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106</xdr:col>
      <xdr:colOff>251460</xdr:colOff>
      <xdr:row>2</xdr:row>
      <xdr:rowOff>7620</xdr:rowOff>
    </xdr:from>
    <xdr:to>
      <xdr:col>115</xdr:col>
      <xdr:colOff>274320</xdr:colOff>
      <xdr:row>19</xdr:row>
      <xdr:rowOff>45720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894FE02A-E86F-4581-9FB6-EEB10193D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115</xdr:col>
      <xdr:colOff>495300</xdr:colOff>
      <xdr:row>2</xdr:row>
      <xdr:rowOff>15240</xdr:rowOff>
    </xdr:from>
    <xdr:to>
      <xdr:col>125</xdr:col>
      <xdr:colOff>167640</xdr:colOff>
      <xdr:row>19</xdr:row>
      <xdr:rowOff>22860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16DDFB83-449F-42BF-AC80-D4DE4A5F1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106</xdr:col>
      <xdr:colOff>251460</xdr:colOff>
      <xdr:row>20</xdr:row>
      <xdr:rowOff>22860</xdr:rowOff>
    </xdr:from>
    <xdr:to>
      <xdr:col>115</xdr:col>
      <xdr:colOff>281940</xdr:colOff>
      <xdr:row>36</xdr:row>
      <xdr:rowOff>83820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7480D1C-6AE0-436B-B3AC-C32AB5A3C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115</xdr:col>
      <xdr:colOff>495300</xdr:colOff>
      <xdr:row>20</xdr:row>
      <xdr:rowOff>38100</xdr:rowOff>
    </xdr:from>
    <xdr:to>
      <xdr:col>125</xdr:col>
      <xdr:colOff>198120</xdr:colOff>
      <xdr:row>36</xdr:row>
      <xdr:rowOff>22860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F3DB623-C548-4227-A24D-EEC8A54B4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38"/>
  <sheetViews>
    <sheetView zoomScale="80" zoomScaleNormal="80" workbookViewId="0">
      <pane xSplit="2" ySplit="7" topLeftCell="AB8" activePane="bottomRight" state="frozen"/>
      <selection activeCell="C3" sqref="C3"/>
      <selection pane="topRight" activeCell="C3" sqref="C3"/>
      <selection pane="bottomLeft" activeCell="C3" sqref="C3"/>
      <selection pane="bottomRight" activeCell="AU13" sqref="AU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38" customWidth="1"/>
    <col min="23" max="23" width="11.42578125" style="38" customWidth="1"/>
    <col min="24" max="27" width="8.85546875" style="38" customWidth="1"/>
    <col min="28" max="28" width="11.7109375" style="38" customWidth="1"/>
    <col min="29" max="29" width="8.85546875" style="38" customWidth="1"/>
    <col min="30" max="30" width="10.140625" style="38" bestFit="1" customWidth="1"/>
    <col min="31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1" spans="1:47" ht="18" customHeight="1" x14ac:dyDescent="0.3">
      <c r="A1" s="155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</row>
    <row r="3" spans="1:47" x14ac:dyDescent="0.25">
      <c r="C3" s="38">
        <v>15</v>
      </c>
      <c r="D3" s="38">
        <v>3</v>
      </c>
      <c r="E3" s="38">
        <v>5</v>
      </c>
      <c r="F3" s="38">
        <v>2</v>
      </c>
      <c r="G3" s="38">
        <v>5</v>
      </c>
      <c r="H3" s="38">
        <v>3</v>
      </c>
      <c r="I3" s="38">
        <v>1</v>
      </c>
      <c r="J3" s="38">
        <v>1</v>
      </c>
      <c r="K3" s="38">
        <v>1</v>
      </c>
      <c r="L3" s="38">
        <v>1</v>
      </c>
      <c r="M3" s="38">
        <f>+H3</f>
        <v>3</v>
      </c>
      <c r="N3" s="38">
        <v>1</v>
      </c>
      <c r="O3" s="38">
        <f>+H3</f>
        <v>3</v>
      </c>
      <c r="R3" s="42">
        <f>+(2*M3)/12</f>
        <v>0.5</v>
      </c>
      <c r="S3" s="42">
        <f>+(1*I3)/6</f>
        <v>0.16666666666666666</v>
      </c>
      <c r="T3" s="38">
        <f>+(2*I3)/20</f>
        <v>0.1</v>
      </c>
      <c r="U3" s="42">
        <f>+(2*H3)/10</f>
        <v>0.6</v>
      </c>
      <c r="V3" s="42">
        <f>+(3*I3)/20</f>
        <v>0.15</v>
      </c>
      <c r="AB3" s="79"/>
    </row>
    <row r="4" spans="1:47" ht="18.75" thickBot="1" x14ac:dyDescent="0.3">
      <c r="A4" s="123" t="s">
        <v>44</v>
      </c>
      <c r="B4" s="123"/>
    </row>
    <row r="5" spans="1:47" ht="57.75" customHeight="1" thickBot="1" x14ac:dyDescent="0.25">
      <c r="C5" s="135" t="s">
        <v>1</v>
      </c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2" t="s">
        <v>25</v>
      </c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4"/>
      <c r="AT5" s="120" t="s">
        <v>6</v>
      </c>
      <c r="AU5" s="120" t="s">
        <v>7</v>
      </c>
    </row>
    <row r="6" spans="1:47" ht="69.75" customHeight="1" thickBot="1" x14ac:dyDescent="0.25">
      <c r="A6" s="124" t="s">
        <v>28</v>
      </c>
      <c r="B6" s="124" t="s">
        <v>10</v>
      </c>
      <c r="C6" s="137" t="s">
        <v>11</v>
      </c>
      <c r="D6" s="138"/>
      <c r="E6" s="138"/>
      <c r="F6" s="138"/>
      <c r="G6" s="139"/>
      <c r="H6" s="137" t="s">
        <v>17</v>
      </c>
      <c r="I6" s="138"/>
      <c r="J6" s="138"/>
      <c r="K6" s="138"/>
      <c r="L6" s="139"/>
      <c r="M6" s="126" t="s">
        <v>18</v>
      </c>
      <c r="N6" s="127"/>
      <c r="O6" s="127"/>
      <c r="P6" s="127"/>
      <c r="Q6" s="128"/>
      <c r="R6" s="126" t="s">
        <v>29</v>
      </c>
      <c r="S6" s="127"/>
      <c r="T6" s="127"/>
      <c r="U6" s="127"/>
      <c r="V6" s="128"/>
      <c r="W6" s="117" t="s">
        <v>11</v>
      </c>
      <c r="X6" s="118"/>
      <c r="Y6" s="118"/>
      <c r="Z6" s="118"/>
      <c r="AA6" s="119"/>
      <c r="AB6" s="117" t="s">
        <v>17</v>
      </c>
      <c r="AC6" s="118"/>
      <c r="AD6" s="118"/>
      <c r="AE6" s="118"/>
      <c r="AF6" s="119"/>
      <c r="AG6" s="129" t="s">
        <v>18</v>
      </c>
      <c r="AH6" s="130"/>
      <c r="AI6" s="130"/>
      <c r="AJ6" s="130"/>
      <c r="AK6" s="131"/>
      <c r="AL6" s="129" t="s">
        <v>29</v>
      </c>
      <c r="AM6" s="130"/>
      <c r="AN6" s="130"/>
      <c r="AO6" s="130"/>
      <c r="AP6" s="131"/>
      <c r="AQ6" s="117" t="s">
        <v>41</v>
      </c>
      <c r="AR6" s="118"/>
      <c r="AS6" s="119"/>
      <c r="AT6" s="121"/>
      <c r="AU6" s="121"/>
    </row>
    <row r="7" spans="1:47" ht="222.75" customHeight="1" thickBot="1" x14ac:dyDescent="0.25">
      <c r="A7" s="125"/>
      <c r="B7" s="125"/>
      <c r="C7" s="34" t="s">
        <v>12</v>
      </c>
      <c r="D7" s="17" t="s">
        <v>13</v>
      </c>
      <c r="E7" s="17" t="s">
        <v>14</v>
      </c>
      <c r="F7" s="17" t="s">
        <v>15</v>
      </c>
      <c r="G7" s="35" t="s">
        <v>16</v>
      </c>
      <c r="H7" s="34" t="s">
        <v>12</v>
      </c>
      <c r="I7" s="17" t="s">
        <v>13</v>
      </c>
      <c r="J7" s="17" t="s">
        <v>14</v>
      </c>
      <c r="K7" s="17" t="s">
        <v>15</v>
      </c>
      <c r="L7" s="35" t="s">
        <v>16</v>
      </c>
      <c r="M7" s="34" t="s">
        <v>23</v>
      </c>
      <c r="N7" s="17" t="s">
        <v>24</v>
      </c>
      <c r="O7" s="17" t="s">
        <v>20</v>
      </c>
      <c r="P7" s="17" t="s">
        <v>21</v>
      </c>
      <c r="Q7" s="35" t="s">
        <v>22</v>
      </c>
      <c r="R7" s="34" t="s">
        <v>2</v>
      </c>
      <c r="S7" s="17" t="s">
        <v>3</v>
      </c>
      <c r="T7" s="17" t="s">
        <v>27</v>
      </c>
      <c r="U7" s="17" t="s">
        <v>4</v>
      </c>
      <c r="V7" s="35" t="s">
        <v>5</v>
      </c>
      <c r="W7" s="36" t="s">
        <v>12</v>
      </c>
      <c r="X7" s="18" t="s">
        <v>13</v>
      </c>
      <c r="Y7" s="18" t="s">
        <v>14</v>
      </c>
      <c r="Z7" s="18" t="s">
        <v>15</v>
      </c>
      <c r="AA7" s="37" t="s">
        <v>16</v>
      </c>
      <c r="AB7" s="36" t="s">
        <v>12</v>
      </c>
      <c r="AC7" s="18" t="s">
        <v>13</v>
      </c>
      <c r="AD7" s="18" t="s">
        <v>14</v>
      </c>
      <c r="AE7" s="18" t="s">
        <v>15</v>
      </c>
      <c r="AF7" s="37" t="s">
        <v>16</v>
      </c>
      <c r="AG7" s="36" t="s">
        <v>23</v>
      </c>
      <c r="AH7" s="18" t="s">
        <v>24</v>
      </c>
      <c r="AI7" s="18" t="s">
        <v>20</v>
      </c>
      <c r="AJ7" s="18" t="s">
        <v>21</v>
      </c>
      <c r="AK7" s="37" t="s">
        <v>22</v>
      </c>
      <c r="AL7" s="36" t="s">
        <v>2</v>
      </c>
      <c r="AM7" s="18" t="s">
        <v>3</v>
      </c>
      <c r="AN7" s="18" t="s">
        <v>27</v>
      </c>
      <c r="AO7" s="18" t="s">
        <v>4</v>
      </c>
      <c r="AP7" s="37" t="s">
        <v>5</v>
      </c>
      <c r="AQ7" s="36" t="s">
        <v>2</v>
      </c>
      <c r="AR7" s="114" t="s">
        <v>27</v>
      </c>
      <c r="AS7" s="37" t="s">
        <v>4</v>
      </c>
      <c r="AT7" s="122"/>
      <c r="AU7" s="122"/>
    </row>
    <row r="8" spans="1:47" ht="31.9" customHeight="1" x14ac:dyDescent="0.2">
      <c r="A8" s="26">
        <v>1</v>
      </c>
      <c r="B8" s="19"/>
      <c r="C8" s="6">
        <f>+C$3</f>
        <v>15</v>
      </c>
      <c r="D8" s="7">
        <f>+D$3</f>
        <v>3</v>
      </c>
      <c r="E8" s="7">
        <f t="shared" ref="E8:V22" si="0">+E$3</f>
        <v>5</v>
      </c>
      <c r="F8" s="7">
        <f t="shared" si="0"/>
        <v>2</v>
      </c>
      <c r="G8" s="8">
        <f t="shared" si="0"/>
        <v>5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58">
        <f t="shared" si="0"/>
        <v>0.5</v>
      </c>
      <c r="S8" s="59">
        <f t="shared" si="0"/>
        <v>0.16666666666666666</v>
      </c>
      <c r="T8" s="59">
        <f t="shared" si="0"/>
        <v>0.1</v>
      </c>
      <c r="U8" s="59">
        <f t="shared" si="0"/>
        <v>0.6</v>
      </c>
      <c r="V8" s="60">
        <f t="shared" si="0"/>
        <v>0.15</v>
      </c>
      <c r="W8" s="6">
        <v>21</v>
      </c>
      <c r="X8" s="7"/>
      <c r="Y8" s="7"/>
      <c r="Z8" s="7">
        <v>1</v>
      </c>
      <c r="AA8" s="8">
        <v>1</v>
      </c>
      <c r="AB8" s="6">
        <v>11</v>
      </c>
      <c r="AC8" s="7"/>
      <c r="AD8" s="7"/>
      <c r="AE8" s="7"/>
      <c r="AF8" s="8"/>
      <c r="AG8" s="6">
        <v>5</v>
      </c>
      <c r="AH8" s="7"/>
      <c r="AI8" s="7">
        <v>5</v>
      </c>
      <c r="AJ8" s="7"/>
      <c r="AK8" s="8"/>
      <c r="AL8" s="83">
        <v>0.57999999999999996</v>
      </c>
      <c r="AM8" s="84"/>
      <c r="AN8" s="84"/>
      <c r="AO8" s="84">
        <f>60/100</f>
        <v>0.6</v>
      </c>
      <c r="AP8" s="85"/>
      <c r="AQ8" s="6">
        <v>7</v>
      </c>
      <c r="AR8" s="7"/>
      <c r="AS8" s="8">
        <v>6</v>
      </c>
      <c r="AT8" s="20"/>
      <c r="AU8" s="15"/>
    </row>
    <row r="9" spans="1:47" ht="31.9" customHeight="1" x14ac:dyDescent="0.2">
      <c r="A9" s="26">
        <v>2</v>
      </c>
      <c r="B9" s="19"/>
      <c r="C9" s="9">
        <f t="shared" ref="C9:R37" si="1">+C$3</f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>
        <v>19</v>
      </c>
      <c r="X9" s="10"/>
      <c r="Y9" s="10"/>
      <c r="Z9" s="10"/>
      <c r="AA9" s="11"/>
      <c r="AB9" s="9">
        <v>9</v>
      </c>
      <c r="AC9" s="10"/>
      <c r="AD9" s="10"/>
      <c r="AE9" s="10"/>
      <c r="AF9" s="11"/>
      <c r="AG9" s="9">
        <v>5</v>
      </c>
      <c r="AH9" s="10"/>
      <c r="AI9" s="10">
        <v>5</v>
      </c>
      <c r="AJ9" s="10"/>
      <c r="AK9" s="11"/>
      <c r="AL9" s="86">
        <v>0.42</v>
      </c>
      <c r="AM9" s="87"/>
      <c r="AN9" s="87">
        <f>3/20</f>
        <v>0.15</v>
      </c>
      <c r="AO9" s="87"/>
      <c r="AP9" s="88"/>
      <c r="AQ9" s="9">
        <v>5</v>
      </c>
      <c r="AR9" s="10"/>
      <c r="AS9" s="11"/>
      <c r="AT9" s="165" t="s">
        <v>48</v>
      </c>
      <c r="AU9" s="14"/>
    </row>
    <row r="10" spans="1:47" ht="31.9" customHeight="1" x14ac:dyDescent="0.2">
      <c r="A10" s="26">
        <v>3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>
        <v>21</v>
      </c>
      <c r="X10" s="10"/>
      <c r="Y10" s="10"/>
      <c r="Z10" s="10">
        <v>1</v>
      </c>
      <c r="AA10" s="11"/>
      <c r="AB10" s="9">
        <v>7</v>
      </c>
      <c r="AC10" s="10"/>
      <c r="AD10" s="10"/>
      <c r="AE10" s="10">
        <v>1</v>
      </c>
      <c r="AF10" s="11">
        <v>1</v>
      </c>
      <c r="AG10" s="9">
        <v>5</v>
      </c>
      <c r="AH10" s="10"/>
      <c r="AI10" s="10">
        <v>5</v>
      </c>
      <c r="AJ10" s="10"/>
      <c r="AK10" s="11"/>
      <c r="AL10" s="86">
        <v>0.42</v>
      </c>
      <c r="AM10" s="87"/>
      <c r="AN10" s="87">
        <f>1/20</f>
        <v>0.05</v>
      </c>
      <c r="AO10" s="87">
        <f>40/100</f>
        <v>0.4</v>
      </c>
      <c r="AP10" s="88"/>
      <c r="AQ10" s="9">
        <v>5</v>
      </c>
      <c r="AR10" s="10"/>
      <c r="AS10" s="11">
        <v>4</v>
      </c>
      <c r="AT10" s="166" t="s">
        <v>49</v>
      </c>
      <c r="AU10" s="14"/>
    </row>
    <row r="11" spans="1:47" ht="31.9" customHeight="1" x14ac:dyDescent="0.2">
      <c r="A11" s="26">
        <v>4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>
        <v>22</v>
      </c>
      <c r="X11" s="10"/>
      <c r="Y11" s="10"/>
      <c r="Z11" s="10"/>
      <c r="AA11" s="11">
        <v>1</v>
      </c>
      <c r="AB11" s="9">
        <v>8</v>
      </c>
      <c r="AC11" s="10"/>
      <c r="AD11" s="10"/>
      <c r="AE11" s="10"/>
      <c r="AF11" s="11"/>
      <c r="AG11" s="9">
        <v>5</v>
      </c>
      <c r="AH11" s="10"/>
      <c r="AI11" s="10">
        <v>5</v>
      </c>
      <c r="AJ11" s="10"/>
      <c r="AK11" s="11"/>
      <c r="AL11" s="86">
        <v>0.42</v>
      </c>
      <c r="AM11" s="87"/>
      <c r="AN11" s="87">
        <f>2/20</f>
        <v>0.1</v>
      </c>
      <c r="AO11" s="87">
        <f>50/100</f>
        <v>0.5</v>
      </c>
      <c r="AP11" s="88"/>
      <c r="AQ11" s="9">
        <v>5</v>
      </c>
      <c r="AR11" s="10"/>
      <c r="AS11" s="11">
        <v>5</v>
      </c>
      <c r="AT11" s="167"/>
      <c r="AU11" s="14"/>
    </row>
    <row r="12" spans="1:47" ht="31.9" customHeight="1" x14ac:dyDescent="0.2">
      <c r="A12" s="26">
        <v>5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>
        <v>28</v>
      </c>
      <c r="X12" s="10"/>
      <c r="Y12" s="10"/>
      <c r="Z12" s="10"/>
      <c r="AA12" s="11"/>
      <c r="AB12" s="9">
        <v>10</v>
      </c>
      <c r="AC12" s="10"/>
      <c r="AD12" s="10"/>
      <c r="AE12" s="10"/>
      <c r="AF12" s="11"/>
      <c r="AG12" s="9">
        <v>5</v>
      </c>
      <c r="AH12" s="10"/>
      <c r="AI12" s="10">
        <v>5</v>
      </c>
      <c r="AJ12" s="10"/>
      <c r="AK12" s="11"/>
      <c r="AL12" s="86">
        <v>0.5</v>
      </c>
      <c r="AM12" s="87"/>
      <c r="AN12" s="87"/>
      <c r="AO12" s="87">
        <f>60/100</f>
        <v>0.6</v>
      </c>
      <c r="AP12" s="88"/>
      <c r="AQ12" s="9">
        <v>6</v>
      </c>
      <c r="AR12" s="10"/>
      <c r="AS12" s="11">
        <v>6</v>
      </c>
      <c r="AT12" s="168"/>
      <c r="AU12" s="14"/>
    </row>
    <row r="13" spans="1:47" ht="31.9" customHeight="1" x14ac:dyDescent="0.2">
      <c r="A13" s="26">
        <v>6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>
        <v>26</v>
      </c>
      <c r="X13" s="10"/>
      <c r="Y13" s="10"/>
      <c r="Z13" s="10"/>
      <c r="AA13" s="11"/>
      <c r="AB13" s="9">
        <v>11</v>
      </c>
      <c r="AC13" s="10"/>
      <c r="AD13" s="10"/>
      <c r="AE13" s="10"/>
      <c r="AF13" s="11"/>
      <c r="AG13" s="9">
        <v>5</v>
      </c>
      <c r="AH13" s="10"/>
      <c r="AI13" s="10">
        <v>5</v>
      </c>
      <c r="AJ13" s="10"/>
      <c r="AK13" s="11"/>
      <c r="AL13" s="86">
        <v>0.5</v>
      </c>
      <c r="AM13" s="87"/>
      <c r="AN13" s="87">
        <f>3/20</f>
        <v>0.15</v>
      </c>
      <c r="AO13" s="87"/>
      <c r="AP13" s="88">
        <f>2/20</f>
        <v>0.1</v>
      </c>
      <c r="AQ13" s="9">
        <v>6</v>
      </c>
      <c r="AR13" s="10"/>
      <c r="AS13" s="11"/>
      <c r="AT13" s="22" t="s">
        <v>50</v>
      </c>
      <c r="AU13" s="14"/>
    </row>
    <row r="14" spans="1:47" ht="31.9" customHeight="1" x14ac:dyDescent="0.2">
      <c r="A14" s="26">
        <v>7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>
        <v>23</v>
      </c>
      <c r="X14" s="10"/>
      <c r="Y14" s="10"/>
      <c r="Z14" s="10"/>
      <c r="AA14" s="11"/>
      <c r="AB14" s="9">
        <v>12</v>
      </c>
      <c r="AC14" s="10"/>
      <c r="AD14" s="10"/>
      <c r="AE14" s="10"/>
      <c r="AF14" s="11"/>
      <c r="AG14" s="9">
        <v>5</v>
      </c>
      <c r="AH14" s="10"/>
      <c r="AI14" s="10">
        <v>5</v>
      </c>
      <c r="AJ14" s="10"/>
      <c r="AK14" s="11"/>
      <c r="AL14" s="86">
        <v>1</v>
      </c>
      <c r="AM14" s="87"/>
      <c r="AN14" s="87"/>
      <c r="AO14" s="87">
        <f>70/100</f>
        <v>0.7</v>
      </c>
      <c r="AP14" s="88"/>
      <c r="AQ14" s="9">
        <v>12</v>
      </c>
      <c r="AR14" s="10"/>
      <c r="AS14" s="11">
        <v>8</v>
      </c>
      <c r="AT14" s="22"/>
      <c r="AU14" s="14"/>
    </row>
    <row r="15" spans="1:47" ht="31.9" customHeight="1" x14ac:dyDescent="0.2">
      <c r="A15" s="26">
        <v>8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>
        <v>20</v>
      </c>
      <c r="X15" s="10"/>
      <c r="Y15" s="10"/>
      <c r="Z15" s="10"/>
      <c r="AA15" s="11"/>
      <c r="AB15" s="9">
        <v>9</v>
      </c>
      <c r="AC15" s="10"/>
      <c r="AD15" s="10"/>
      <c r="AE15" s="10"/>
      <c r="AF15" s="11"/>
      <c r="AG15" s="9">
        <v>5</v>
      </c>
      <c r="AH15" s="10"/>
      <c r="AI15" s="10">
        <v>5</v>
      </c>
      <c r="AJ15" s="10"/>
      <c r="AK15" s="11"/>
      <c r="AL15" s="86">
        <v>0</v>
      </c>
      <c r="AM15" s="87"/>
      <c r="AN15" s="87">
        <f>1/20</f>
        <v>0.05</v>
      </c>
      <c r="AO15" s="87">
        <f>50/100</f>
        <v>0.5</v>
      </c>
      <c r="AP15" s="88">
        <f>1/20</f>
        <v>0.05</v>
      </c>
      <c r="AQ15" s="9"/>
      <c r="AR15" s="10"/>
      <c r="AS15" s="11">
        <v>5</v>
      </c>
      <c r="AT15" s="22" t="s">
        <v>51</v>
      </c>
      <c r="AU15" s="14"/>
    </row>
    <row r="16" spans="1:47" ht="31.9" customHeight="1" x14ac:dyDescent="0.2">
      <c r="A16" s="26">
        <v>9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>
        <v>31</v>
      </c>
      <c r="X16" s="10"/>
      <c r="Y16" s="10"/>
      <c r="Z16" s="10">
        <v>2</v>
      </c>
      <c r="AA16" s="11">
        <v>1</v>
      </c>
      <c r="AB16" s="9">
        <v>12</v>
      </c>
      <c r="AC16" s="10"/>
      <c r="AD16" s="10"/>
      <c r="AE16" s="10"/>
      <c r="AF16" s="11">
        <v>1</v>
      </c>
      <c r="AG16" s="9">
        <v>5</v>
      </c>
      <c r="AH16" s="10"/>
      <c r="AI16" s="10">
        <v>5</v>
      </c>
      <c r="AJ16" s="10"/>
      <c r="AK16" s="11"/>
      <c r="AL16" s="86">
        <v>0.33</v>
      </c>
      <c r="AM16" s="87"/>
      <c r="AN16" s="87"/>
      <c r="AO16" s="87"/>
      <c r="AP16" s="88"/>
      <c r="AQ16" s="9">
        <v>4</v>
      </c>
      <c r="AR16" s="10"/>
      <c r="AS16" s="11"/>
      <c r="AT16" s="22"/>
      <c r="AU16" s="14"/>
    </row>
    <row r="17" spans="1:47" ht="31.9" customHeight="1" x14ac:dyDescent="0.2">
      <c r="A17" s="26">
        <v>10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>
        <v>22</v>
      </c>
      <c r="X17" s="10"/>
      <c r="Y17" s="10"/>
      <c r="Z17" s="10"/>
      <c r="AA17" s="11"/>
      <c r="AB17" s="9">
        <v>11</v>
      </c>
      <c r="AC17" s="10"/>
      <c r="AD17" s="10"/>
      <c r="AE17" s="10"/>
      <c r="AF17" s="11"/>
      <c r="AG17" s="9">
        <v>5</v>
      </c>
      <c r="AH17" s="10"/>
      <c r="AI17" s="10">
        <v>5</v>
      </c>
      <c r="AJ17" s="10"/>
      <c r="AK17" s="11"/>
      <c r="AL17" s="86">
        <v>0.17</v>
      </c>
      <c r="AM17" s="87"/>
      <c r="AN17" s="87"/>
      <c r="AO17" s="87">
        <f>10/100</f>
        <v>0.1</v>
      </c>
      <c r="AP17" s="88">
        <f>5/20</f>
        <v>0.25</v>
      </c>
      <c r="AQ17" s="9">
        <v>2</v>
      </c>
      <c r="AR17" s="10"/>
      <c r="AS17" s="11">
        <v>3</v>
      </c>
      <c r="AT17" s="22"/>
      <c r="AU17" s="14"/>
    </row>
    <row r="18" spans="1:47" ht="31.9" customHeight="1" x14ac:dyDescent="0.2">
      <c r="A18" s="26">
        <v>11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>
        <v>19</v>
      </c>
      <c r="X18" s="10"/>
      <c r="Y18" s="10"/>
      <c r="Z18" s="10"/>
      <c r="AA18" s="11"/>
      <c r="AB18" s="9">
        <v>10</v>
      </c>
      <c r="AC18" s="10"/>
      <c r="AD18" s="10"/>
      <c r="AE18" s="10"/>
      <c r="AF18" s="11"/>
      <c r="AG18" s="9">
        <v>5</v>
      </c>
      <c r="AH18" s="10"/>
      <c r="AI18" s="10">
        <v>5</v>
      </c>
      <c r="AJ18" s="10"/>
      <c r="AK18" s="11"/>
      <c r="AL18" s="86">
        <v>0.42</v>
      </c>
      <c r="AM18" s="87"/>
      <c r="AN18" s="87"/>
      <c r="AO18" s="87">
        <f>40/100</f>
        <v>0.4</v>
      </c>
      <c r="AP18" s="88"/>
      <c r="AQ18" s="9">
        <v>5</v>
      </c>
      <c r="AR18" s="10"/>
      <c r="AS18" s="11">
        <v>4</v>
      </c>
      <c r="AT18" s="22"/>
      <c r="AU18" s="14"/>
    </row>
    <row r="19" spans="1:47" ht="31.9" customHeight="1" x14ac:dyDescent="0.2">
      <c r="A19" s="26">
        <v>12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>
        <v>21</v>
      </c>
      <c r="X19" s="10"/>
      <c r="Y19" s="10"/>
      <c r="Z19" s="10"/>
      <c r="AA19" s="11"/>
      <c r="AB19" s="9">
        <v>7</v>
      </c>
      <c r="AC19" s="10"/>
      <c r="AD19" s="10"/>
      <c r="AE19" s="10"/>
      <c r="AF19" s="11"/>
      <c r="AG19" s="9">
        <v>5</v>
      </c>
      <c r="AH19" s="10"/>
      <c r="AI19" s="10">
        <v>5</v>
      </c>
      <c r="AJ19" s="10"/>
      <c r="AK19" s="11"/>
      <c r="AL19" s="86">
        <v>0.42</v>
      </c>
      <c r="AM19" s="87"/>
      <c r="AN19" s="87">
        <f>2/20</f>
        <v>0.1</v>
      </c>
      <c r="AO19" s="87">
        <f>60/100</f>
        <v>0.6</v>
      </c>
      <c r="AP19" s="88"/>
      <c r="AQ19" s="9">
        <v>4</v>
      </c>
      <c r="AR19" s="10"/>
      <c r="AS19" s="11">
        <v>6</v>
      </c>
      <c r="AT19" s="22"/>
      <c r="AU19" s="14"/>
    </row>
    <row r="20" spans="1:47" ht="31.9" customHeight="1" x14ac:dyDescent="0.2">
      <c r="A20" s="26">
        <v>13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>
        <v>23</v>
      </c>
      <c r="X20" s="10"/>
      <c r="Y20" s="10"/>
      <c r="Z20" s="10"/>
      <c r="AA20" s="11"/>
      <c r="AB20" s="9">
        <v>13</v>
      </c>
      <c r="AC20" s="10"/>
      <c r="AD20" s="10"/>
      <c r="AE20" s="10"/>
      <c r="AF20" s="11"/>
      <c r="AG20" s="9">
        <v>5</v>
      </c>
      <c r="AH20" s="10"/>
      <c r="AI20" s="10">
        <v>5</v>
      </c>
      <c r="AJ20" s="10"/>
      <c r="AK20" s="11"/>
      <c r="AL20" s="86">
        <v>0.42</v>
      </c>
      <c r="AM20" s="87"/>
      <c r="AN20" s="87"/>
      <c r="AO20" s="87"/>
      <c r="AP20" s="88"/>
      <c r="AQ20" s="9">
        <v>5</v>
      </c>
      <c r="AR20" s="10"/>
      <c r="AS20" s="11"/>
      <c r="AT20" s="22"/>
      <c r="AU20" s="14"/>
    </row>
    <row r="21" spans="1:47" ht="31.9" customHeight="1" x14ac:dyDescent="0.2">
      <c r="A21" s="26">
        <v>14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61">
        <f t="shared" si="0"/>
        <v>0.5</v>
      </c>
      <c r="S21" s="62">
        <f t="shared" si="0"/>
        <v>0.16666666666666666</v>
      </c>
      <c r="T21" s="62">
        <f t="shared" si="0"/>
        <v>0.1</v>
      </c>
      <c r="U21" s="62">
        <f t="shared" si="0"/>
        <v>0.6</v>
      </c>
      <c r="V21" s="63">
        <f t="shared" si="0"/>
        <v>0.15</v>
      </c>
      <c r="W21" s="9">
        <v>27</v>
      </c>
      <c r="X21" s="10"/>
      <c r="Y21" s="10"/>
      <c r="Z21" s="10"/>
      <c r="AA21" s="11"/>
      <c r="AB21" s="9">
        <v>10</v>
      </c>
      <c r="AC21" s="10"/>
      <c r="AD21" s="10"/>
      <c r="AE21" s="10"/>
      <c r="AF21" s="11"/>
      <c r="AG21" s="9">
        <v>5</v>
      </c>
      <c r="AH21" s="10"/>
      <c r="AI21" s="10">
        <v>5</v>
      </c>
      <c r="AJ21" s="10"/>
      <c r="AK21" s="11"/>
      <c r="AL21" s="86">
        <v>0.17</v>
      </c>
      <c r="AM21" s="87"/>
      <c r="AN21" s="87">
        <f>3/20</f>
        <v>0.15</v>
      </c>
      <c r="AO21" s="87">
        <f>60/100</f>
        <v>0.6</v>
      </c>
      <c r="AP21" s="88"/>
      <c r="AQ21" s="9">
        <v>2</v>
      </c>
      <c r="AR21" s="10"/>
      <c r="AS21" s="11">
        <v>6</v>
      </c>
      <c r="AT21" s="22"/>
      <c r="AU21" s="14"/>
    </row>
    <row r="22" spans="1:47" ht="31.9" customHeight="1" x14ac:dyDescent="0.2">
      <c r="A22" s="26">
        <v>15</v>
      </c>
      <c r="B22" s="19"/>
      <c r="C22" s="9">
        <f t="shared" si="1"/>
        <v>15</v>
      </c>
      <c r="D22" s="10">
        <f t="shared" si="1"/>
        <v>3</v>
      </c>
      <c r="E22" s="10">
        <f t="shared" si="0"/>
        <v>5</v>
      </c>
      <c r="F22" s="10">
        <f t="shared" si="0"/>
        <v>2</v>
      </c>
      <c r="G22" s="11">
        <f t="shared" si="0"/>
        <v>5</v>
      </c>
      <c r="H22" s="9">
        <f t="shared" ref="H22:V36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61">
        <f t="shared" si="2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>
        <v>18</v>
      </c>
      <c r="X22" s="10">
        <v>1</v>
      </c>
      <c r="Y22" s="10"/>
      <c r="Z22" s="10"/>
      <c r="AA22" s="11"/>
      <c r="AB22" s="9">
        <v>10</v>
      </c>
      <c r="AC22" s="10"/>
      <c r="AD22" s="10"/>
      <c r="AE22" s="10"/>
      <c r="AF22" s="11"/>
      <c r="AG22" s="9">
        <v>5</v>
      </c>
      <c r="AH22" s="10"/>
      <c r="AI22" s="10">
        <v>5</v>
      </c>
      <c r="AJ22" s="10"/>
      <c r="AK22" s="11"/>
      <c r="AL22" s="86">
        <v>0.42</v>
      </c>
      <c r="AM22" s="87"/>
      <c r="AN22" s="87"/>
      <c r="AO22" s="87"/>
      <c r="AP22" s="88"/>
      <c r="AQ22" s="9">
        <v>5</v>
      </c>
      <c r="AR22" s="10"/>
      <c r="AS22" s="11"/>
      <c r="AT22" s="22"/>
      <c r="AU22" s="14"/>
    </row>
    <row r="23" spans="1:47" ht="31.9" customHeight="1" x14ac:dyDescent="0.2">
      <c r="A23" s="26">
        <v>16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>
        <v>25</v>
      </c>
      <c r="X23" s="10"/>
      <c r="Y23" s="10"/>
      <c r="Z23" s="10">
        <v>2</v>
      </c>
      <c r="AA23" s="11"/>
      <c r="AB23" s="9">
        <v>12</v>
      </c>
      <c r="AC23" s="10"/>
      <c r="AD23" s="10"/>
      <c r="AE23" s="10"/>
      <c r="AF23" s="11"/>
      <c r="AG23" s="9">
        <v>5</v>
      </c>
      <c r="AH23" s="10"/>
      <c r="AI23" s="10">
        <v>5</v>
      </c>
      <c r="AJ23" s="10"/>
      <c r="AK23" s="11"/>
      <c r="AL23" s="86">
        <v>0.33</v>
      </c>
      <c r="AM23" s="87"/>
      <c r="AN23" s="87"/>
      <c r="AO23" s="87">
        <f>60/100</f>
        <v>0.6</v>
      </c>
      <c r="AP23" s="88"/>
      <c r="AQ23" s="9">
        <v>4</v>
      </c>
      <c r="AR23" s="10"/>
      <c r="AS23" s="11">
        <v>6</v>
      </c>
      <c r="AT23" s="22"/>
      <c r="AU23" s="14"/>
    </row>
    <row r="24" spans="1:47" ht="31.9" customHeight="1" x14ac:dyDescent="0.2">
      <c r="A24" s="26">
        <v>17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>
        <v>23</v>
      </c>
      <c r="X24" s="10"/>
      <c r="Y24" s="10">
        <v>1</v>
      </c>
      <c r="Z24" s="10"/>
      <c r="AA24" s="11">
        <v>1</v>
      </c>
      <c r="AB24" s="9">
        <v>9</v>
      </c>
      <c r="AC24" s="10"/>
      <c r="AD24" s="10"/>
      <c r="AE24" s="10"/>
      <c r="AF24" s="11"/>
      <c r="AG24" s="9">
        <v>5</v>
      </c>
      <c r="AH24" s="10"/>
      <c r="AI24" s="10">
        <v>5</v>
      </c>
      <c r="AJ24" s="10"/>
      <c r="AK24" s="11"/>
      <c r="AL24" s="86">
        <v>0.42</v>
      </c>
      <c r="AM24" s="87"/>
      <c r="AN24" s="87"/>
      <c r="AO24" s="87">
        <f>60/100</f>
        <v>0.6</v>
      </c>
      <c r="AP24" s="88">
        <f>2/20</f>
        <v>0.1</v>
      </c>
      <c r="AQ24" s="9">
        <v>5</v>
      </c>
      <c r="AR24" s="10"/>
      <c r="AS24" s="11">
        <v>7</v>
      </c>
      <c r="AT24" s="22"/>
      <c r="AU24" s="14"/>
    </row>
    <row r="25" spans="1:47" ht="31.9" customHeight="1" x14ac:dyDescent="0.2">
      <c r="A25" s="26">
        <v>18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>
        <v>20</v>
      </c>
      <c r="X25" s="10"/>
      <c r="Y25" s="10"/>
      <c r="Z25" s="10"/>
      <c r="AA25" s="11"/>
      <c r="AB25" s="9">
        <v>12</v>
      </c>
      <c r="AC25" s="10"/>
      <c r="AD25" s="10"/>
      <c r="AE25" s="10"/>
      <c r="AF25" s="11"/>
      <c r="AG25" s="9">
        <v>5</v>
      </c>
      <c r="AH25" s="10"/>
      <c r="AI25" s="10">
        <v>5</v>
      </c>
      <c r="AJ25" s="10"/>
      <c r="AK25" s="11"/>
      <c r="AL25" s="86">
        <v>0.5</v>
      </c>
      <c r="AM25" s="87"/>
      <c r="AN25" s="87">
        <f>1/20</f>
        <v>0.05</v>
      </c>
      <c r="AO25" s="87">
        <f>50/100</f>
        <v>0.5</v>
      </c>
      <c r="AP25" s="88"/>
      <c r="AQ25" s="9">
        <v>6</v>
      </c>
      <c r="AR25" s="10"/>
      <c r="AS25" s="11">
        <v>5</v>
      </c>
      <c r="AT25" s="22"/>
      <c r="AU25" s="14"/>
    </row>
    <row r="26" spans="1:47" ht="31.9" customHeight="1" x14ac:dyDescent="0.2">
      <c r="A26" s="102">
        <v>19</v>
      </c>
      <c r="B26" s="103"/>
      <c r="C26" s="104">
        <f t="shared" si="1"/>
        <v>15</v>
      </c>
      <c r="D26" s="105">
        <f t="shared" si="1"/>
        <v>3</v>
      </c>
      <c r="E26" s="105">
        <f t="shared" si="1"/>
        <v>5</v>
      </c>
      <c r="F26" s="105">
        <f t="shared" si="1"/>
        <v>2</v>
      </c>
      <c r="G26" s="106">
        <f t="shared" si="1"/>
        <v>5</v>
      </c>
      <c r="H26" s="104">
        <f t="shared" si="1"/>
        <v>3</v>
      </c>
      <c r="I26" s="105">
        <f t="shared" si="1"/>
        <v>1</v>
      </c>
      <c r="J26" s="105">
        <f t="shared" si="1"/>
        <v>1</v>
      </c>
      <c r="K26" s="105">
        <f t="shared" si="1"/>
        <v>1</v>
      </c>
      <c r="L26" s="106">
        <f t="shared" si="1"/>
        <v>1</v>
      </c>
      <c r="M26" s="104">
        <f t="shared" si="1"/>
        <v>3</v>
      </c>
      <c r="N26" s="105">
        <f t="shared" si="1"/>
        <v>1</v>
      </c>
      <c r="O26" s="105">
        <f t="shared" si="1"/>
        <v>3</v>
      </c>
      <c r="P26" s="105">
        <f t="shared" si="1"/>
        <v>0</v>
      </c>
      <c r="Q26" s="106">
        <f t="shared" si="1"/>
        <v>0</v>
      </c>
      <c r="R26" s="107">
        <f t="shared" si="1"/>
        <v>0.5</v>
      </c>
      <c r="S26" s="108">
        <f t="shared" si="2"/>
        <v>0.16666666666666666</v>
      </c>
      <c r="T26" s="108">
        <f t="shared" si="2"/>
        <v>0.1</v>
      </c>
      <c r="U26" s="108">
        <f t="shared" si="2"/>
        <v>0.6</v>
      </c>
      <c r="V26" s="109">
        <f t="shared" si="2"/>
        <v>0.15</v>
      </c>
      <c r="W26" s="104">
        <v>18</v>
      </c>
      <c r="X26" s="105">
        <v>1</v>
      </c>
      <c r="Y26" s="105"/>
      <c r="Z26" s="105"/>
      <c r="AA26" s="106"/>
      <c r="AB26" s="104">
        <v>8</v>
      </c>
      <c r="AC26" s="105"/>
      <c r="AD26" s="105"/>
      <c r="AE26" s="105"/>
      <c r="AF26" s="106">
        <v>1</v>
      </c>
      <c r="AG26" s="104">
        <v>5</v>
      </c>
      <c r="AH26" s="105"/>
      <c r="AI26" s="105">
        <v>5</v>
      </c>
      <c r="AJ26" s="105"/>
      <c r="AK26" s="106"/>
      <c r="AL26" s="110">
        <v>0.33</v>
      </c>
      <c r="AM26" s="111"/>
      <c r="AN26" s="111"/>
      <c r="AO26" s="111">
        <f>35/100</f>
        <v>0.35</v>
      </c>
      <c r="AP26" s="100"/>
      <c r="AQ26" s="104">
        <v>4</v>
      </c>
      <c r="AR26" s="105"/>
      <c r="AS26" s="106">
        <v>6</v>
      </c>
      <c r="AT26" s="112"/>
      <c r="AU26" s="113"/>
    </row>
    <row r="27" spans="1:47" ht="31.9" customHeight="1" x14ac:dyDescent="0.2">
      <c r="A27" s="102">
        <v>20</v>
      </c>
      <c r="B27" s="103"/>
      <c r="C27" s="104">
        <f t="shared" si="1"/>
        <v>15</v>
      </c>
      <c r="D27" s="105">
        <f t="shared" si="1"/>
        <v>3</v>
      </c>
      <c r="E27" s="105">
        <f t="shared" si="1"/>
        <v>5</v>
      </c>
      <c r="F27" s="105">
        <f t="shared" si="1"/>
        <v>2</v>
      </c>
      <c r="G27" s="106">
        <f t="shared" si="1"/>
        <v>5</v>
      </c>
      <c r="H27" s="104">
        <f t="shared" si="1"/>
        <v>3</v>
      </c>
      <c r="I27" s="105">
        <f t="shared" si="1"/>
        <v>1</v>
      </c>
      <c r="J27" s="105">
        <f t="shared" si="1"/>
        <v>1</v>
      </c>
      <c r="K27" s="105">
        <f t="shared" si="1"/>
        <v>1</v>
      </c>
      <c r="L27" s="106">
        <f t="shared" si="1"/>
        <v>1</v>
      </c>
      <c r="M27" s="104">
        <f t="shared" si="1"/>
        <v>3</v>
      </c>
      <c r="N27" s="105">
        <f t="shared" si="1"/>
        <v>1</v>
      </c>
      <c r="O27" s="105">
        <f t="shared" si="1"/>
        <v>3</v>
      </c>
      <c r="P27" s="105">
        <f t="shared" si="1"/>
        <v>0</v>
      </c>
      <c r="Q27" s="106">
        <f t="shared" si="1"/>
        <v>0</v>
      </c>
      <c r="R27" s="107">
        <f t="shared" si="1"/>
        <v>0.5</v>
      </c>
      <c r="S27" s="108">
        <f t="shared" si="2"/>
        <v>0.16666666666666666</v>
      </c>
      <c r="T27" s="108">
        <f t="shared" si="2"/>
        <v>0.1</v>
      </c>
      <c r="U27" s="108">
        <f t="shared" si="2"/>
        <v>0.6</v>
      </c>
      <c r="V27" s="109">
        <f t="shared" si="2"/>
        <v>0.15</v>
      </c>
      <c r="W27" s="104"/>
      <c r="X27" s="105"/>
      <c r="Y27" s="105"/>
      <c r="Z27" s="105"/>
      <c r="AA27" s="106"/>
      <c r="AB27" s="104"/>
      <c r="AC27" s="105"/>
      <c r="AD27" s="105"/>
      <c r="AE27" s="105"/>
      <c r="AF27" s="106"/>
      <c r="AG27" s="104"/>
      <c r="AH27" s="105"/>
      <c r="AI27" s="105"/>
      <c r="AJ27" s="105"/>
      <c r="AK27" s="106"/>
      <c r="AL27" s="159"/>
      <c r="AM27" s="160"/>
      <c r="AN27" s="160"/>
      <c r="AO27" s="160"/>
      <c r="AP27" s="161"/>
      <c r="AQ27" s="104"/>
      <c r="AR27" s="105"/>
      <c r="AS27" s="106"/>
      <c r="AT27" s="112"/>
      <c r="AU27" s="113"/>
    </row>
    <row r="28" spans="1:47" ht="31.9" customHeight="1" x14ac:dyDescent="0.2">
      <c r="A28" s="26">
        <v>21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77"/>
      <c r="X28" s="77"/>
      <c r="Y28" s="77"/>
      <c r="Z28" s="77"/>
      <c r="AA28" s="78"/>
      <c r="AB28" s="76"/>
      <c r="AC28" s="10"/>
      <c r="AD28" s="77"/>
      <c r="AE28" s="10"/>
      <c r="AF28" s="11"/>
      <c r="AG28" s="9"/>
      <c r="AH28" s="10"/>
      <c r="AI28" s="10"/>
      <c r="AJ28" s="10"/>
      <c r="AK28" s="11"/>
      <c r="AL28" s="80"/>
      <c r="AM28" s="81"/>
      <c r="AN28" s="81"/>
      <c r="AO28" s="81"/>
      <c r="AP28" s="82"/>
      <c r="AQ28" s="9"/>
      <c r="AR28" s="10"/>
      <c r="AS28" s="11"/>
      <c r="AT28" s="22"/>
      <c r="AU28" s="14"/>
    </row>
    <row r="29" spans="1:47" ht="31.9" customHeight="1" x14ac:dyDescent="0.2">
      <c r="A29" s="26">
        <v>22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80"/>
      <c r="AM29" s="81"/>
      <c r="AN29" s="81"/>
      <c r="AO29" s="81"/>
      <c r="AP29" s="82"/>
      <c r="AQ29" s="9"/>
      <c r="AR29" s="10"/>
      <c r="AS29" s="11"/>
      <c r="AT29" s="22"/>
      <c r="AU29" s="14"/>
    </row>
    <row r="30" spans="1:47" ht="31.9" customHeight="1" x14ac:dyDescent="0.2">
      <c r="A30" s="26">
        <v>23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80"/>
      <c r="AM30" s="81"/>
      <c r="AN30" s="81"/>
      <c r="AO30" s="81"/>
      <c r="AP30" s="82"/>
      <c r="AQ30" s="9"/>
      <c r="AR30" s="10"/>
      <c r="AS30" s="11"/>
      <c r="AT30" s="22"/>
      <c r="AU30" s="14"/>
    </row>
    <row r="31" spans="1:47" ht="31.9" customHeight="1" x14ac:dyDescent="0.2">
      <c r="A31" s="26">
        <v>24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80"/>
      <c r="AM31" s="81"/>
      <c r="AN31" s="81"/>
      <c r="AO31" s="81"/>
      <c r="AP31" s="82"/>
      <c r="AQ31" s="9"/>
      <c r="AR31" s="10"/>
      <c r="AS31" s="11"/>
      <c r="AT31" s="22"/>
      <c r="AU31" s="14"/>
    </row>
    <row r="32" spans="1:47" ht="31.9" customHeight="1" x14ac:dyDescent="0.2">
      <c r="A32" s="26">
        <v>25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80"/>
      <c r="AM32" s="81"/>
      <c r="AN32" s="81"/>
      <c r="AO32" s="81"/>
      <c r="AP32" s="82"/>
      <c r="AQ32" s="9"/>
      <c r="AR32" s="10"/>
      <c r="AS32" s="11"/>
      <c r="AT32" s="22"/>
      <c r="AU32" s="14"/>
    </row>
    <row r="33" spans="1:47" ht="31.9" customHeight="1" x14ac:dyDescent="0.2">
      <c r="A33" s="26">
        <v>26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80"/>
      <c r="AM33" s="81"/>
      <c r="AN33" s="81"/>
      <c r="AO33" s="81"/>
      <c r="AP33" s="82"/>
      <c r="AQ33" s="9"/>
      <c r="AR33" s="10"/>
      <c r="AS33" s="11"/>
      <c r="AT33" s="22"/>
      <c r="AU33" s="14"/>
    </row>
    <row r="34" spans="1:47" ht="31.9" customHeight="1" x14ac:dyDescent="0.2">
      <c r="A34" s="26">
        <v>27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3"/>
      <c r="AU34" s="14"/>
    </row>
    <row r="35" spans="1:47" ht="31.9" customHeight="1" x14ac:dyDescent="0.2">
      <c r="A35" s="26">
        <v>28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3"/>
    </row>
    <row r="36" spans="1:47" ht="31.9" customHeight="1" x14ac:dyDescent="0.2">
      <c r="A36" s="26">
        <v>29</v>
      </c>
      <c r="B36" s="19"/>
      <c r="C36" s="9">
        <f t="shared" si="1"/>
        <v>15</v>
      </c>
      <c r="D36" s="10">
        <f t="shared" si="1"/>
        <v>3</v>
      </c>
      <c r="E36" s="10">
        <f t="shared" si="1"/>
        <v>5</v>
      </c>
      <c r="F36" s="10">
        <f t="shared" si="1"/>
        <v>2</v>
      </c>
      <c r="G36" s="11">
        <f t="shared" si="1"/>
        <v>5</v>
      </c>
      <c r="H36" s="9">
        <f t="shared" si="1"/>
        <v>3</v>
      </c>
      <c r="I36" s="10">
        <f t="shared" si="1"/>
        <v>1</v>
      </c>
      <c r="J36" s="10">
        <f t="shared" si="1"/>
        <v>1</v>
      </c>
      <c r="K36" s="10">
        <f t="shared" si="1"/>
        <v>1</v>
      </c>
      <c r="L36" s="11">
        <f t="shared" si="1"/>
        <v>1</v>
      </c>
      <c r="M36" s="9">
        <f t="shared" si="1"/>
        <v>3</v>
      </c>
      <c r="N36" s="10">
        <f t="shared" si="1"/>
        <v>1</v>
      </c>
      <c r="O36" s="10">
        <f t="shared" si="1"/>
        <v>3</v>
      </c>
      <c r="P36" s="10">
        <f t="shared" si="1"/>
        <v>0</v>
      </c>
      <c r="Q36" s="11">
        <f t="shared" si="1"/>
        <v>0</v>
      </c>
      <c r="R36" s="61">
        <f t="shared" si="1"/>
        <v>0.5</v>
      </c>
      <c r="S36" s="62">
        <f t="shared" si="2"/>
        <v>0.16666666666666666</v>
      </c>
      <c r="T36" s="62">
        <f t="shared" si="2"/>
        <v>0.1</v>
      </c>
      <c r="U36" s="62">
        <f t="shared" si="2"/>
        <v>0.6</v>
      </c>
      <c r="V36" s="63">
        <f t="shared" si="2"/>
        <v>0.15</v>
      </c>
      <c r="W36" s="9"/>
      <c r="X36" s="10"/>
      <c r="Y36" s="10"/>
      <c r="Z36" s="10"/>
      <c r="AA36" s="11"/>
      <c r="AB36" s="9"/>
      <c r="AC36" s="10"/>
      <c r="AD36" s="10"/>
      <c r="AE36" s="10"/>
      <c r="AF36" s="11"/>
      <c r="AG36" s="9"/>
      <c r="AH36" s="10"/>
      <c r="AI36" s="10"/>
      <c r="AJ36" s="10"/>
      <c r="AK36" s="11"/>
      <c r="AL36" s="9"/>
      <c r="AM36" s="10"/>
      <c r="AN36" s="10"/>
      <c r="AO36" s="10"/>
      <c r="AP36" s="11"/>
      <c r="AQ36" s="9"/>
      <c r="AR36" s="10"/>
      <c r="AS36" s="11"/>
      <c r="AT36" s="24"/>
      <c r="AU36" s="12"/>
    </row>
    <row r="37" spans="1:47" ht="31.9" customHeight="1" thickBot="1" x14ac:dyDescent="0.25">
      <c r="A37" s="27">
        <v>30</v>
      </c>
      <c r="B37" s="28"/>
      <c r="C37" s="29">
        <f t="shared" si="1"/>
        <v>15</v>
      </c>
      <c r="D37" s="30">
        <f t="shared" si="1"/>
        <v>3</v>
      </c>
      <c r="E37" s="30">
        <f t="shared" si="1"/>
        <v>5</v>
      </c>
      <c r="F37" s="30">
        <f t="shared" ref="F37:V37" si="3">+F$3</f>
        <v>2</v>
      </c>
      <c r="G37" s="31">
        <f t="shared" si="3"/>
        <v>5</v>
      </c>
      <c r="H37" s="29">
        <f t="shared" si="3"/>
        <v>3</v>
      </c>
      <c r="I37" s="30">
        <f t="shared" si="3"/>
        <v>1</v>
      </c>
      <c r="J37" s="30">
        <f t="shared" si="3"/>
        <v>1</v>
      </c>
      <c r="K37" s="30">
        <f t="shared" si="3"/>
        <v>1</v>
      </c>
      <c r="L37" s="31">
        <f t="shared" si="3"/>
        <v>1</v>
      </c>
      <c r="M37" s="29">
        <f t="shared" si="3"/>
        <v>3</v>
      </c>
      <c r="N37" s="30">
        <f t="shared" si="3"/>
        <v>1</v>
      </c>
      <c r="O37" s="30">
        <f t="shared" si="3"/>
        <v>3</v>
      </c>
      <c r="P37" s="30">
        <f t="shared" si="3"/>
        <v>0</v>
      </c>
      <c r="Q37" s="31">
        <f t="shared" si="3"/>
        <v>0</v>
      </c>
      <c r="R37" s="64">
        <f t="shared" si="3"/>
        <v>0.5</v>
      </c>
      <c r="S37" s="65">
        <f t="shared" si="3"/>
        <v>0.16666666666666666</v>
      </c>
      <c r="T37" s="65">
        <f t="shared" si="3"/>
        <v>0.1</v>
      </c>
      <c r="U37" s="65">
        <f t="shared" si="3"/>
        <v>0.6</v>
      </c>
      <c r="V37" s="66">
        <f t="shared" si="3"/>
        <v>0.15</v>
      </c>
      <c r="W37" s="29"/>
      <c r="X37" s="30"/>
      <c r="Y37" s="30"/>
      <c r="Z37" s="30"/>
      <c r="AA37" s="31"/>
      <c r="AB37" s="29"/>
      <c r="AC37" s="30"/>
      <c r="AD37" s="30"/>
      <c r="AE37" s="30"/>
      <c r="AF37" s="31"/>
      <c r="AG37" s="29"/>
      <c r="AH37" s="30"/>
      <c r="AI37" s="30"/>
      <c r="AJ37" s="30"/>
      <c r="AK37" s="31"/>
      <c r="AL37" s="29"/>
      <c r="AM37" s="30"/>
      <c r="AN37" s="30"/>
      <c r="AO37" s="30"/>
      <c r="AP37" s="31"/>
      <c r="AQ37" s="29"/>
      <c r="AR37" s="30"/>
      <c r="AS37" s="31"/>
      <c r="AT37" s="32"/>
      <c r="AU37" s="33"/>
    </row>
    <row r="38" spans="1:47" s="3" customFormat="1" ht="34.15" customHeight="1" thickBot="1" x14ac:dyDescent="0.3">
      <c r="A38" s="16"/>
      <c r="B38" s="16" t="s">
        <v>0</v>
      </c>
      <c r="C38" s="39">
        <f>SUM(C8:C37)</f>
        <v>450</v>
      </c>
      <c r="D38" s="40">
        <f t="shared" ref="D38:AR38" si="4">SUM(D8:D37)</f>
        <v>90</v>
      </c>
      <c r="E38" s="40">
        <f t="shared" si="4"/>
        <v>150</v>
      </c>
      <c r="F38" s="40">
        <f t="shared" si="4"/>
        <v>60</v>
      </c>
      <c r="G38" s="41">
        <f t="shared" si="4"/>
        <v>150</v>
      </c>
      <c r="H38" s="39">
        <f t="shared" si="4"/>
        <v>90</v>
      </c>
      <c r="I38" s="40">
        <f t="shared" si="4"/>
        <v>30</v>
      </c>
      <c r="J38" s="40">
        <f t="shared" si="4"/>
        <v>30</v>
      </c>
      <c r="K38" s="40">
        <f t="shared" si="4"/>
        <v>30</v>
      </c>
      <c r="L38" s="41">
        <f t="shared" si="4"/>
        <v>30</v>
      </c>
      <c r="M38" s="39">
        <f t="shared" si="4"/>
        <v>90</v>
      </c>
      <c r="N38" s="40">
        <f t="shared" si="4"/>
        <v>30</v>
      </c>
      <c r="O38" s="40">
        <f t="shared" si="4"/>
        <v>90</v>
      </c>
      <c r="P38" s="40">
        <f t="shared" si="4"/>
        <v>0</v>
      </c>
      <c r="Q38" s="41">
        <f t="shared" si="4"/>
        <v>0</v>
      </c>
      <c r="R38" s="39">
        <f>SUM(R8:R37)</f>
        <v>15</v>
      </c>
      <c r="S38" s="40">
        <f t="shared" si="4"/>
        <v>5</v>
      </c>
      <c r="T38" s="40">
        <f t="shared" si="4"/>
        <v>3.0000000000000013</v>
      </c>
      <c r="U38" s="40">
        <f t="shared" si="4"/>
        <v>18</v>
      </c>
      <c r="V38" s="41">
        <f t="shared" si="4"/>
        <v>4.5</v>
      </c>
      <c r="W38" s="39">
        <f t="shared" si="4"/>
        <v>427</v>
      </c>
      <c r="X38" s="40">
        <f t="shared" si="4"/>
        <v>2</v>
      </c>
      <c r="Y38" s="40">
        <f t="shared" si="4"/>
        <v>1</v>
      </c>
      <c r="Z38" s="40">
        <f t="shared" si="4"/>
        <v>6</v>
      </c>
      <c r="AA38" s="41">
        <f t="shared" si="4"/>
        <v>4</v>
      </c>
      <c r="AB38" s="39">
        <f t="shared" si="4"/>
        <v>191</v>
      </c>
      <c r="AC38" s="40">
        <f t="shared" si="4"/>
        <v>0</v>
      </c>
      <c r="AD38" s="40">
        <f t="shared" si="4"/>
        <v>0</v>
      </c>
      <c r="AE38" s="40">
        <f t="shared" si="4"/>
        <v>1</v>
      </c>
      <c r="AF38" s="41">
        <f t="shared" si="4"/>
        <v>3</v>
      </c>
      <c r="AG38" s="39">
        <f t="shared" si="4"/>
        <v>95</v>
      </c>
      <c r="AH38" s="40">
        <f t="shared" si="4"/>
        <v>0</v>
      </c>
      <c r="AI38" s="40">
        <f t="shared" si="4"/>
        <v>95</v>
      </c>
      <c r="AJ38" s="40">
        <f t="shared" si="4"/>
        <v>0</v>
      </c>
      <c r="AK38" s="41">
        <f t="shared" si="4"/>
        <v>0</v>
      </c>
      <c r="AL38" s="156">
        <f t="shared" si="4"/>
        <v>7.77</v>
      </c>
      <c r="AM38" s="157">
        <f t="shared" si="4"/>
        <v>0</v>
      </c>
      <c r="AN38" s="157">
        <f t="shared" si="4"/>
        <v>0.80000000000000016</v>
      </c>
      <c r="AO38" s="157">
        <f t="shared" si="4"/>
        <v>7.049999999999998</v>
      </c>
      <c r="AP38" s="158">
        <f t="shared" si="4"/>
        <v>0.5</v>
      </c>
      <c r="AQ38" s="93">
        <f t="shared" si="4"/>
        <v>92</v>
      </c>
      <c r="AR38" s="95">
        <f t="shared" si="4"/>
        <v>0</v>
      </c>
      <c r="AS38" s="101">
        <f>SUM(AS8:AS37)</f>
        <v>77</v>
      </c>
      <c r="AT38" s="25">
        <f t="shared" ref="AT38:AU38" si="5">SUM(AT8:AT37)</f>
        <v>0</v>
      </c>
      <c r="AU38" s="2">
        <f t="shared" si="5"/>
        <v>0</v>
      </c>
    </row>
  </sheetData>
  <mergeCells count="17">
    <mergeCell ref="M6:Q6"/>
    <mergeCell ref="AT10:AT12"/>
    <mergeCell ref="AQ6:AS6"/>
    <mergeCell ref="AT5:AT7"/>
    <mergeCell ref="A4:B4"/>
    <mergeCell ref="AU5:AU7"/>
    <mergeCell ref="A6:A7"/>
    <mergeCell ref="B6:B7"/>
    <mergeCell ref="R6:V6"/>
    <mergeCell ref="W6:AA6"/>
    <mergeCell ref="AB6:AF6"/>
    <mergeCell ref="AG6:AK6"/>
    <mergeCell ref="AL6:AP6"/>
    <mergeCell ref="W5:AS5"/>
    <mergeCell ref="C5:V5"/>
    <mergeCell ref="C6:G6"/>
    <mergeCell ref="H6:L6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B463-DDC7-47D5-A69A-E0818D5F545A}">
  <dimension ref="A1:AW42"/>
  <sheetViews>
    <sheetView tabSelected="1" zoomScale="80" zoomScaleNormal="80" workbookViewId="0">
      <pane xSplit="2" ySplit="7" topLeftCell="S8" activePane="bottomRight" state="frozen"/>
      <selection activeCell="X13" sqref="X13"/>
      <selection pane="topRight" activeCell="X13" sqref="X13"/>
      <selection pane="bottomLeft" activeCell="X13" sqref="X13"/>
      <selection pane="bottomRight" activeCell="R6" sqref="R6:V6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7" width="8.85546875" style="38" customWidth="1"/>
    <col min="28" max="29" width="9.42578125" style="38" bestFit="1" customWidth="1"/>
    <col min="30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1" spans="1:49" s="98" customFormat="1" ht="22.5" x14ac:dyDescent="0.3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</row>
    <row r="2" spans="1:49" s="98" customFormat="1" ht="22.5" x14ac:dyDescent="0.3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</row>
    <row r="3" spans="1:49" ht="16.5" customHeight="1" x14ac:dyDescent="0.25">
      <c r="C3" s="38">
        <f>+'Lundi S1'!C3</f>
        <v>15</v>
      </c>
      <c r="D3" s="38">
        <f>+'Lundi S1'!D3</f>
        <v>3</v>
      </c>
      <c r="E3" s="38">
        <f>+'Lundi S1'!E3</f>
        <v>5</v>
      </c>
      <c r="F3" s="38">
        <f>+'Lundi S1'!F3</f>
        <v>2</v>
      </c>
      <c r="G3" s="38">
        <f>+'Lundi S1'!G3</f>
        <v>5</v>
      </c>
      <c r="H3" s="38">
        <f>+'Lundi S1'!H3</f>
        <v>3</v>
      </c>
      <c r="I3" s="38">
        <f>+'Lundi S1'!I3</f>
        <v>1</v>
      </c>
      <c r="J3" s="38">
        <f>+'Lundi S1'!J3</f>
        <v>1</v>
      </c>
      <c r="K3" s="38">
        <f>+'Lundi S1'!K3</f>
        <v>1</v>
      </c>
      <c r="L3" s="38">
        <f>+'Lundi S1'!L3</f>
        <v>1</v>
      </c>
      <c r="M3" s="38">
        <f>+'Lundi S1'!M3</f>
        <v>3</v>
      </c>
      <c r="N3" s="38">
        <f>+'Lundi S1'!N3</f>
        <v>1</v>
      </c>
      <c r="O3" s="38">
        <f>+'Lundi S1'!O3</f>
        <v>3</v>
      </c>
      <c r="P3" s="38">
        <f>+'Lundi S1'!P3</f>
        <v>0</v>
      </c>
      <c r="Q3" s="38">
        <f>+'Lundi S1'!Q3</f>
        <v>0</v>
      </c>
      <c r="R3" s="42">
        <f>+'Lundi S1'!R3</f>
        <v>0.5</v>
      </c>
      <c r="S3" s="42">
        <f>+'Lundi S1'!S3</f>
        <v>0.16666666666666666</v>
      </c>
      <c r="T3" s="38">
        <f>+'Lundi S1'!T3</f>
        <v>0.1</v>
      </c>
      <c r="U3" s="42">
        <f>+'Lundi S1'!U3</f>
        <v>0.6</v>
      </c>
      <c r="V3" s="42">
        <f>+'Lundi S1'!V3</f>
        <v>0.15</v>
      </c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T3" s="96"/>
    </row>
    <row r="4" spans="1:49" ht="18.75" thickBot="1" x14ac:dyDescent="0.3">
      <c r="A4" s="123" t="s">
        <v>45</v>
      </c>
      <c r="B4" s="123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</row>
    <row r="5" spans="1:49" ht="57.75" customHeight="1" thickBot="1" x14ac:dyDescent="0.25">
      <c r="C5" s="135" t="s">
        <v>1</v>
      </c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2" t="s">
        <v>25</v>
      </c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4"/>
      <c r="AT5" s="120" t="s">
        <v>6</v>
      </c>
      <c r="AU5" s="120" t="s">
        <v>7</v>
      </c>
    </row>
    <row r="6" spans="1:49" ht="69.75" customHeight="1" thickBot="1" x14ac:dyDescent="0.25">
      <c r="A6" s="124" t="s">
        <v>28</v>
      </c>
      <c r="B6" s="124" t="s">
        <v>10</v>
      </c>
      <c r="C6" s="137" t="s">
        <v>11</v>
      </c>
      <c r="D6" s="138"/>
      <c r="E6" s="138"/>
      <c r="F6" s="138"/>
      <c r="G6" s="139"/>
      <c r="H6" s="137" t="s">
        <v>17</v>
      </c>
      <c r="I6" s="138"/>
      <c r="J6" s="138"/>
      <c r="K6" s="138"/>
      <c r="L6" s="139"/>
      <c r="M6" s="126" t="s">
        <v>18</v>
      </c>
      <c r="N6" s="127"/>
      <c r="O6" s="127"/>
      <c r="P6" s="127"/>
      <c r="Q6" s="128"/>
      <c r="R6" s="126" t="s">
        <v>29</v>
      </c>
      <c r="S6" s="127"/>
      <c r="T6" s="127"/>
      <c r="U6" s="127"/>
      <c r="V6" s="128"/>
      <c r="W6" s="117" t="s">
        <v>11</v>
      </c>
      <c r="X6" s="118"/>
      <c r="Y6" s="118"/>
      <c r="Z6" s="118"/>
      <c r="AA6" s="119"/>
      <c r="AB6" s="117" t="s">
        <v>17</v>
      </c>
      <c r="AC6" s="118"/>
      <c r="AD6" s="118"/>
      <c r="AE6" s="118"/>
      <c r="AF6" s="119"/>
      <c r="AG6" s="129" t="s">
        <v>18</v>
      </c>
      <c r="AH6" s="130"/>
      <c r="AI6" s="130"/>
      <c r="AJ6" s="130"/>
      <c r="AK6" s="131"/>
      <c r="AL6" s="129" t="s">
        <v>29</v>
      </c>
      <c r="AM6" s="130"/>
      <c r="AN6" s="130"/>
      <c r="AO6" s="130"/>
      <c r="AP6" s="131"/>
      <c r="AQ6" s="117" t="s">
        <v>41</v>
      </c>
      <c r="AR6" s="118"/>
      <c r="AS6" s="119"/>
      <c r="AT6" s="121"/>
      <c r="AU6" s="121"/>
    </row>
    <row r="7" spans="1:49" ht="222.75" customHeight="1" thickBot="1" x14ac:dyDescent="0.25">
      <c r="A7" s="125"/>
      <c r="B7" s="125"/>
      <c r="C7" s="34" t="s">
        <v>12</v>
      </c>
      <c r="D7" s="17" t="s">
        <v>13</v>
      </c>
      <c r="E7" s="17" t="s">
        <v>14</v>
      </c>
      <c r="F7" s="17" t="s">
        <v>15</v>
      </c>
      <c r="G7" s="35" t="s">
        <v>16</v>
      </c>
      <c r="H7" s="34" t="s">
        <v>12</v>
      </c>
      <c r="I7" s="17" t="s">
        <v>13</v>
      </c>
      <c r="J7" s="17" t="s">
        <v>14</v>
      </c>
      <c r="K7" s="17" t="s">
        <v>15</v>
      </c>
      <c r="L7" s="35" t="s">
        <v>16</v>
      </c>
      <c r="M7" s="34" t="s">
        <v>23</v>
      </c>
      <c r="N7" s="17" t="s">
        <v>24</v>
      </c>
      <c r="O7" s="17" t="s">
        <v>20</v>
      </c>
      <c r="P7" s="17" t="s">
        <v>21</v>
      </c>
      <c r="Q7" s="35" t="s">
        <v>22</v>
      </c>
      <c r="R7" s="34" t="s">
        <v>2</v>
      </c>
      <c r="S7" s="17" t="s">
        <v>3</v>
      </c>
      <c r="T7" s="17" t="s">
        <v>27</v>
      </c>
      <c r="U7" s="17" t="s">
        <v>4</v>
      </c>
      <c r="V7" s="35" t="s">
        <v>5</v>
      </c>
      <c r="W7" s="36" t="s">
        <v>12</v>
      </c>
      <c r="X7" s="18" t="s">
        <v>13</v>
      </c>
      <c r="Y7" s="18" t="s">
        <v>14</v>
      </c>
      <c r="Z7" s="18" t="s">
        <v>15</v>
      </c>
      <c r="AA7" s="37" t="s">
        <v>16</v>
      </c>
      <c r="AB7" s="36" t="s">
        <v>12</v>
      </c>
      <c r="AC7" s="18" t="s">
        <v>13</v>
      </c>
      <c r="AD7" s="18" t="s">
        <v>14</v>
      </c>
      <c r="AE7" s="18" t="s">
        <v>15</v>
      </c>
      <c r="AF7" s="37" t="s">
        <v>16</v>
      </c>
      <c r="AG7" s="36" t="s">
        <v>23</v>
      </c>
      <c r="AH7" s="18" t="s">
        <v>24</v>
      </c>
      <c r="AI7" s="18" t="s">
        <v>20</v>
      </c>
      <c r="AJ7" s="18" t="s">
        <v>21</v>
      </c>
      <c r="AK7" s="37" t="s">
        <v>22</v>
      </c>
      <c r="AL7" s="36" t="s">
        <v>2</v>
      </c>
      <c r="AM7" s="18" t="s">
        <v>3</v>
      </c>
      <c r="AN7" s="18" t="s">
        <v>27</v>
      </c>
      <c r="AO7" s="18" t="s">
        <v>4</v>
      </c>
      <c r="AP7" s="37" t="s">
        <v>5</v>
      </c>
      <c r="AQ7" s="36" t="s">
        <v>2</v>
      </c>
      <c r="AR7" s="89" t="s">
        <v>27</v>
      </c>
      <c r="AS7" s="37" t="s">
        <v>4</v>
      </c>
      <c r="AT7" s="122"/>
      <c r="AU7" s="122"/>
    </row>
    <row r="8" spans="1:49" ht="31.9" customHeight="1" x14ac:dyDescent="0.2">
      <c r="A8" s="26">
        <v>1</v>
      </c>
      <c r="B8" s="19"/>
      <c r="C8" s="6">
        <f>+C$3</f>
        <v>15</v>
      </c>
      <c r="D8" s="7">
        <f>+D$3</f>
        <v>3</v>
      </c>
      <c r="E8" s="7">
        <f t="shared" ref="E8:V22" si="0">+E$3</f>
        <v>5</v>
      </c>
      <c r="F8" s="7">
        <f t="shared" si="0"/>
        <v>2</v>
      </c>
      <c r="G8" s="8">
        <f t="shared" si="0"/>
        <v>5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58">
        <f t="shared" si="0"/>
        <v>0.5</v>
      </c>
      <c r="S8" s="59">
        <f t="shared" si="0"/>
        <v>0.16666666666666666</v>
      </c>
      <c r="T8" s="59">
        <f t="shared" si="0"/>
        <v>0.1</v>
      </c>
      <c r="U8" s="59">
        <f t="shared" si="0"/>
        <v>0.6</v>
      </c>
      <c r="V8" s="60">
        <f t="shared" si="0"/>
        <v>0.15</v>
      </c>
      <c r="W8" s="6">
        <v>26</v>
      </c>
      <c r="X8" s="7">
        <v>2</v>
      </c>
      <c r="Y8" s="7"/>
      <c r="Z8" s="7">
        <v>1</v>
      </c>
      <c r="AA8" s="8">
        <v>2</v>
      </c>
      <c r="AB8" s="6">
        <v>18</v>
      </c>
      <c r="AC8" s="7"/>
      <c r="AD8" s="7"/>
      <c r="AE8" s="7">
        <v>1</v>
      </c>
      <c r="AF8" s="8"/>
      <c r="AG8" s="6">
        <v>5</v>
      </c>
      <c r="AH8" s="7"/>
      <c r="AI8" s="7">
        <v>5</v>
      </c>
      <c r="AJ8" s="7"/>
      <c r="AK8" s="8"/>
      <c r="AL8" s="83">
        <v>0.67</v>
      </c>
      <c r="AM8" s="84"/>
      <c r="AN8" s="84"/>
      <c r="AO8" s="84">
        <v>1</v>
      </c>
      <c r="AP8" s="85">
        <f>20/20</f>
        <v>1</v>
      </c>
      <c r="AQ8" s="6">
        <v>8</v>
      </c>
      <c r="AR8" s="7"/>
      <c r="AS8" s="8">
        <v>20</v>
      </c>
      <c r="AT8" s="20"/>
      <c r="AU8" s="15"/>
    </row>
    <row r="9" spans="1:49" ht="31.9" customHeight="1" x14ac:dyDescent="0.2">
      <c r="A9" s="26">
        <v>2</v>
      </c>
      <c r="B9" s="19"/>
      <c r="C9" s="9">
        <f t="shared" ref="C9:R37" si="1">+C$3</f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>
        <v>25</v>
      </c>
      <c r="X9" s="10"/>
      <c r="Y9" s="10">
        <v>1</v>
      </c>
      <c r="Z9" s="10">
        <v>2</v>
      </c>
      <c r="AA9" s="11">
        <v>1</v>
      </c>
      <c r="AB9" s="9">
        <v>11</v>
      </c>
      <c r="AC9" s="10"/>
      <c r="AD9" s="10">
        <v>1</v>
      </c>
      <c r="AE9" s="10">
        <v>1</v>
      </c>
      <c r="AF9" s="11"/>
      <c r="AG9" s="6">
        <v>5</v>
      </c>
      <c r="AH9" s="10"/>
      <c r="AI9" s="7">
        <v>5</v>
      </c>
      <c r="AJ9" s="10"/>
      <c r="AK9" s="11"/>
      <c r="AL9" s="86">
        <v>0.5</v>
      </c>
      <c r="AM9" s="87"/>
      <c r="AN9" s="87"/>
      <c r="AO9" s="87">
        <f>20/100</f>
        <v>0.2</v>
      </c>
      <c r="AP9" s="88">
        <f>4/20</f>
        <v>0.2</v>
      </c>
      <c r="AQ9" s="9">
        <v>6</v>
      </c>
      <c r="AR9" s="10"/>
      <c r="AS9" s="11">
        <v>3</v>
      </c>
      <c r="AT9" s="21"/>
      <c r="AU9" s="14"/>
    </row>
    <row r="10" spans="1:49" ht="31.9" customHeight="1" x14ac:dyDescent="0.2">
      <c r="A10" s="26">
        <v>3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>
        <v>31</v>
      </c>
      <c r="X10" s="10"/>
      <c r="Y10" s="10"/>
      <c r="Z10" s="10"/>
      <c r="AA10" s="11"/>
      <c r="AB10" s="9">
        <v>15</v>
      </c>
      <c r="AC10" s="10"/>
      <c r="AD10" s="10"/>
      <c r="AE10" s="10"/>
      <c r="AF10" s="11"/>
      <c r="AG10" s="6">
        <v>5</v>
      </c>
      <c r="AH10" s="10"/>
      <c r="AI10" s="7">
        <v>5</v>
      </c>
      <c r="AJ10" s="10"/>
      <c r="AK10" s="11"/>
      <c r="AL10" s="86">
        <v>0.57999999999999996</v>
      </c>
      <c r="AM10" s="87"/>
      <c r="AN10" s="87">
        <f>2/20</f>
        <v>0.1</v>
      </c>
      <c r="AO10" s="87">
        <f>10/100</f>
        <v>0.1</v>
      </c>
      <c r="AP10" s="88">
        <f>10/20</f>
        <v>0.5</v>
      </c>
      <c r="AQ10" s="9">
        <v>7</v>
      </c>
      <c r="AR10" s="10"/>
      <c r="AS10" s="11">
        <v>5</v>
      </c>
      <c r="AT10" s="22"/>
      <c r="AU10" s="14"/>
    </row>
    <row r="11" spans="1:49" ht="31.9" customHeight="1" x14ac:dyDescent="0.2">
      <c r="A11" s="26">
        <v>4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>
        <v>30</v>
      </c>
      <c r="X11" s="10"/>
      <c r="Y11" s="10"/>
      <c r="Z11" s="10">
        <v>2</v>
      </c>
      <c r="AA11" s="11"/>
      <c r="AB11" s="9">
        <v>14</v>
      </c>
      <c r="AC11" s="10"/>
      <c r="AD11" s="10"/>
      <c r="AE11" s="10">
        <v>1</v>
      </c>
      <c r="AF11" s="11"/>
      <c r="AG11" s="6">
        <v>5</v>
      </c>
      <c r="AH11" s="10"/>
      <c r="AI11" s="7">
        <v>5</v>
      </c>
      <c r="AJ11" s="10"/>
      <c r="AK11" s="11"/>
      <c r="AL11" s="86">
        <v>1</v>
      </c>
      <c r="AM11" s="87"/>
      <c r="AN11" s="87">
        <f>3/20</f>
        <v>0.15</v>
      </c>
      <c r="AO11" s="87">
        <f>40/100</f>
        <v>0.4</v>
      </c>
      <c r="AP11" s="88">
        <f>10/20</f>
        <v>0.5</v>
      </c>
      <c r="AQ11" s="9">
        <v>12</v>
      </c>
      <c r="AR11" s="10"/>
      <c r="AS11" s="11">
        <v>8</v>
      </c>
      <c r="AT11" s="22"/>
      <c r="AU11" s="14"/>
    </row>
    <row r="12" spans="1:49" ht="31.9" customHeight="1" x14ac:dyDescent="0.2">
      <c r="A12" s="26">
        <v>5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>
        <v>27</v>
      </c>
      <c r="X12" s="10"/>
      <c r="Y12" s="10"/>
      <c r="Z12" s="10"/>
      <c r="AA12" s="11"/>
      <c r="AB12" s="9">
        <v>13</v>
      </c>
      <c r="AC12" s="10"/>
      <c r="AD12" s="10"/>
      <c r="AE12" s="10"/>
      <c r="AF12" s="11"/>
      <c r="AG12" s="6">
        <v>5</v>
      </c>
      <c r="AH12" s="10"/>
      <c r="AI12" s="7">
        <v>5</v>
      </c>
      <c r="AJ12" s="10"/>
      <c r="AK12" s="11"/>
      <c r="AL12" s="86">
        <v>0.5</v>
      </c>
      <c r="AM12" s="87"/>
      <c r="AN12" s="87"/>
      <c r="AO12" s="87">
        <f>60/100</f>
        <v>0.6</v>
      </c>
      <c r="AP12" s="88">
        <f>6/20</f>
        <v>0.3</v>
      </c>
      <c r="AQ12" s="9">
        <v>6</v>
      </c>
      <c r="AR12" s="10"/>
      <c r="AS12" s="11">
        <v>8</v>
      </c>
      <c r="AT12" s="22"/>
      <c r="AU12" s="14"/>
    </row>
    <row r="13" spans="1:49" ht="31.9" customHeight="1" x14ac:dyDescent="0.2">
      <c r="A13" s="26">
        <v>6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>
        <v>29</v>
      </c>
      <c r="X13" s="10"/>
      <c r="Y13" s="10"/>
      <c r="Z13" s="10"/>
      <c r="AA13" s="11"/>
      <c r="AB13" s="9">
        <v>15</v>
      </c>
      <c r="AC13" s="10"/>
      <c r="AD13" s="10"/>
      <c r="AE13" s="10"/>
      <c r="AF13" s="11"/>
      <c r="AG13" s="6">
        <v>5</v>
      </c>
      <c r="AH13" s="10"/>
      <c r="AI13" s="7">
        <v>5</v>
      </c>
      <c r="AJ13" s="10"/>
      <c r="AK13" s="11"/>
      <c r="AL13" s="86">
        <v>0.67</v>
      </c>
      <c r="AM13" s="87"/>
      <c r="AN13" s="87"/>
      <c r="AO13" s="87">
        <f>40/100</f>
        <v>0.4</v>
      </c>
      <c r="AP13" s="88">
        <f>10/20</f>
        <v>0.5</v>
      </c>
      <c r="AQ13" s="9">
        <v>8</v>
      </c>
      <c r="AR13" s="10"/>
      <c r="AS13" s="11">
        <v>8</v>
      </c>
      <c r="AT13" s="22"/>
      <c r="AU13" s="14"/>
    </row>
    <row r="14" spans="1:49" ht="31.9" customHeight="1" x14ac:dyDescent="0.2">
      <c r="A14" s="26">
        <v>7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>
        <v>30</v>
      </c>
      <c r="X14" s="10"/>
      <c r="Y14" s="10"/>
      <c r="Z14" s="10"/>
      <c r="AA14" s="11"/>
      <c r="AB14" s="9">
        <v>16</v>
      </c>
      <c r="AC14" s="10"/>
      <c r="AD14" s="10"/>
      <c r="AE14" s="10"/>
      <c r="AF14" s="11"/>
      <c r="AG14" s="6">
        <v>5</v>
      </c>
      <c r="AH14" s="10"/>
      <c r="AI14" s="7">
        <v>5</v>
      </c>
      <c r="AJ14" s="10"/>
      <c r="AK14" s="11"/>
      <c r="AL14" s="86">
        <v>1</v>
      </c>
      <c r="AM14" s="87"/>
      <c r="AN14" s="87">
        <f>2/20</f>
        <v>0.1</v>
      </c>
      <c r="AO14" s="87"/>
      <c r="AP14" s="88">
        <f>6/20</f>
        <v>0.3</v>
      </c>
      <c r="AQ14" s="9">
        <v>12</v>
      </c>
      <c r="AR14" s="10"/>
      <c r="AS14" s="11">
        <v>2</v>
      </c>
      <c r="AT14" s="22"/>
      <c r="AU14" s="14"/>
    </row>
    <row r="15" spans="1:49" ht="31.9" customHeight="1" x14ac:dyDescent="0.2">
      <c r="A15" s="26">
        <v>8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>
        <v>27</v>
      </c>
      <c r="X15" s="10"/>
      <c r="Y15" s="10">
        <v>2</v>
      </c>
      <c r="Z15" s="10">
        <v>2</v>
      </c>
      <c r="AA15" s="11">
        <v>2</v>
      </c>
      <c r="AB15" s="9">
        <v>17</v>
      </c>
      <c r="AC15" s="10"/>
      <c r="AD15" s="10"/>
      <c r="AE15" s="10">
        <v>2</v>
      </c>
      <c r="AF15" s="11">
        <v>1</v>
      </c>
      <c r="AG15" s="6">
        <v>5</v>
      </c>
      <c r="AH15" s="10"/>
      <c r="AI15" s="7">
        <v>5</v>
      </c>
      <c r="AJ15" s="10"/>
      <c r="AK15" s="11"/>
      <c r="AL15" s="86">
        <v>0.83</v>
      </c>
      <c r="AM15" s="87"/>
      <c r="AN15" s="87"/>
      <c r="AO15" s="87">
        <f>60/100</f>
        <v>0.6</v>
      </c>
      <c r="AP15" s="88">
        <f>20/20</f>
        <v>1</v>
      </c>
      <c r="AQ15" s="9">
        <v>10</v>
      </c>
      <c r="AR15" s="10"/>
      <c r="AS15" s="11">
        <v>16</v>
      </c>
      <c r="AT15" s="22"/>
      <c r="AU15" s="14"/>
    </row>
    <row r="16" spans="1:49" ht="31.9" customHeight="1" x14ac:dyDescent="0.2">
      <c r="A16" s="26">
        <v>9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>
        <v>23</v>
      </c>
      <c r="X16" s="10"/>
      <c r="Y16" s="10"/>
      <c r="Z16" s="10"/>
      <c r="AA16" s="11">
        <v>1</v>
      </c>
      <c r="AB16" s="9">
        <v>16</v>
      </c>
      <c r="AC16" s="10"/>
      <c r="AD16" s="10"/>
      <c r="AE16" s="10"/>
      <c r="AF16" s="11"/>
      <c r="AG16" s="6">
        <v>5</v>
      </c>
      <c r="AH16" s="10"/>
      <c r="AI16" s="7">
        <v>5</v>
      </c>
      <c r="AJ16" s="10"/>
      <c r="AK16" s="11"/>
      <c r="AL16" s="86">
        <v>0.92</v>
      </c>
      <c r="AM16" s="87"/>
      <c r="AN16" s="87">
        <f>4/20</f>
        <v>0.2</v>
      </c>
      <c r="AO16" s="87">
        <v>1</v>
      </c>
      <c r="AP16" s="88">
        <f>5/20</f>
        <v>0.25</v>
      </c>
      <c r="AQ16" s="9">
        <v>11</v>
      </c>
      <c r="AR16" s="10"/>
      <c r="AS16" s="11">
        <v>12</v>
      </c>
      <c r="AT16" s="22"/>
      <c r="AU16" s="14"/>
    </row>
    <row r="17" spans="1:47" ht="31.9" customHeight="1" x14ac:dyDescent="0.2">
      <c r="A17" s="26">
        <v>10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>
        <v>30</v>
      </c>
      <c r="X17" s="10"/>
      <c r="Y17" s="10">
        <v>1</v>
      </c>
      <c r="Z17" s="10"/>
      <c r="AA17" s="11"/>
      <c r="AB17" s="9">
        <v>14</v>
      </c>
      <c r="AC17" s="10"/>
      <c r="AD17" s="10"/>
      <c r="AE17" s="10"/>
      <c r="AF17" s="11"/>
      <c r="AG17" s="6">
        <v>5</v>
      </c>
      <c r="AH17" s="10"/>
      <c r="AI17" s="7">
        <v>5</v>
      </c>
      <c r="AJ17" s="10"/>
      <c r="AK17" s="11"/>
      <c r="AL17" s="86">
        <v>1</v>
      </c>
      <c r="AM17" s="87"/>
      <c r="AN17" s="87">
        <f>2/20</f>
        <v>0.1</v>
      </c>
      <c r="AO17" s="87">
        <v>1</v>
      </c>
      <c r="AP17" s="88">
        <f>8/20</f>
        <v>0.4</v>
      </c>
      <c r="AQ17" s="9">
        <v>12</v>
      </c>
      <c r="AR17" s="10"/>
      <c r="AS17" s="11">
        <v>13</v>
      </c>
      <c r="AT17" s="22"/>
      <c r="AU17" s="14"/>
    </row>
    <row r="18" spans="1:47" ht="31.9" customHeight="1" x14ac:dyDescent="0.2">
      <c r="A18" s="26">
        <v>11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>
        <v>27</v>
      </c>
      <c r="X18" s="10"/>
      <c r="Y18" s="10"/>
      <c r="Z18" s="10">
        <v>1</v>
      </c>
      <c r="AA18" s="11"/>
      <c r="AB18" s="9">
        <v>13</v>
      </c>
      <c r="AC18" s="10"/>
      <c r="AD18" s="10"/>
      <c r="AE18" s="10">
        <v>1</v>
      </c>
      <c r="AF18" s="11"/>
      <c r="AG18" s="6">
        <v>5</v>
      </c>
      <c r="AH18" s="10"/>
      <c r="AI18" s="7">
        <v>5</v>
      </c>
      <c r="AJ18" s="10"/>
      <c r="AK18" s="11"/>
      <c r="AL18" s="86">
        <v>0.83</v>
      </c>
      <c r="AM18" s="87"/>
      <c r="AN18" s="87">
        <f>2/20</f>
        <v>0.1</v>
      </c>
      <c r="AO18" s="87">
        <f>60/100</f>
        <v>0.6</v>
      </c>
      <c r="AP18" s="88">
        <f>20/20</f>
        <v>1</v>
      </c>
      <c r="AQ18" s="9">
        <v>10</v>
      </c>
      <c r="AR18" s="10"/>
      <c r="AS18" s="11">
        <v>16</v>
      </c>
      <c r="AT18" s="22"/>
      <c r="AU18" s="14"/>
    </row>
    <row r="19" spans="1:47" ht="31.9" customHeight="1" x14ac:dyDescent="0.2">
      <c r="A19" s="26">
        <v>12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>
        <v>25</v>
      </c>
      <c r="X19" s="10"/>
      <c r="Y19" s="10"/>
      <c r="Z19" s="10"/>
      <c r="AA19" s="11"/>
      <c r="AB19" s="9">
        <v>12</v>
      </c>
      <c r="AC19" s="10"/>
      <c r="AD19" s="10"/>
      <c r="AE19" s="10"/>
      <c r="AF19" s="11"/>
      <c r="AG19" s="6">
        <v>4</v>
      </c>
      <c r="AH19" s="10"/>
      <c r="AI19" s="7">
        <v>5</v>
      </c>
      <c r="AJ19" s="10"/>
      <c r="AK19" s="11"/>
      <c r="AL19" s="86">
        <v>0.6</v>
      </c>
      <c r="AM19" s="87"/>
      <c r="AN19" s="87"/>
      <c r="AO19" s="87">
        <v>1</v>
      </c>
      <c r="AP19" s="88">
        <f>5/20</f>
        <v>0.25</v>
      </c>
      <c r="AQ19" s="9">
        <v>8</v>
      </c>
      <c r="AR19" s="10"/>
      <c r="AS19" s="11">
        <v>12</v>
      </c>
      <c r="AT19" s="22"/>
      <c r="AU19" s="14"/>
    </row>
    <row r="20" spans="1:47" ht="31.9" customHeight="1" x14ac:dyDescent="0.2">
      <c r="A20" s="26">
        <v>13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>
        <v>29</v>
      </c>
      <c r="X20" s="10"/>
      <c r="Y20" s="10"/>
      <c r="Z20" s="10">
        <v>3</v>
      </c>
      <c r="AA20" s="11"/>
      <c r="AB20" s="9">
        <v>10</v>
      </c>
      <c r="AC20" s="10"/>
      <c r="AD20" s="10"/>
      <c r="AE20" s="10">
        <v>2</v>
      </c>
      <c r="AF20" s="11"/>
      <c r="AG20" s="6">
        <v>5</v>
      </c>
      <c r="AH20" s="10"/>
      <c r="AI20" s="7">
        <v>5</v>
      </c>
      <c r="AJ20" s="10"/>
      <c r="AK20" s="11"/>
      <c r="AL20" s="86">
        <v>1</v>
      </c>
      <c r="AM20" s="87"/>
      <c r="AN20" s="87">
        <f>2/20</f>
        <v>0.1</v>
      </c>
      <c r="AO20" s="87">
        <v>2</v>
      </c>
      <c r="AP20" s="88">
        <f>7/20</f>
        <v>0.35</v>
      </c>
      <c r="AQ20" s="9">
        <v>1</v>
      </c>
      <c r="AR20" s="10"/>
      <c r="AS20" s="11">
        <v>23</v>
      </c>
      <c r="AT20" s="22"/>
      <c r="AU20" s="14"/>
    </row>
    <row r="21" spans="1:47" ht="31.9" customHeight="1" x14ac:dyDescent="0.2">
      <c r="A21" s="26">
        <v>14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61">
        <f t="shared" si="0"/>
        <v>0.5</v>
      </c>
      <c r="S21" s="62">
        <f t="shared" si="0"/>
        <v>0.16666666666666666</v>
      </c>
      <c r="T21" s="62">
        <f t="shared" si="0"/>
        <v>0.1</v>
      </c>
      <c r="U21" s="62">
        <f t="shared" si="0"/>
        <v>0.6</v>
      </c>
      <c r="V21" s="63">
        <f t="shared" si="0"/>
        <v>0.15</v>
      </c>
      <c r="W21" s="9">
        <v>26</v>
      </c>
      <c r="X21" s="10">
        <v>1</v>
      </c>
      <c r="Y21" s="10">
        <v>1</v>
      </c>
      <c r="Z21" s="10"/>
      <c r="AA21" s="11"/>
      <c r="AB21" s="9">
        <v>15</v>
      </c>
      <c r="AC21" s="10"/>
      <c r="AD21" s="10">
        <v>1</v>
      </c>
      <c r="AE21" s="10"/>
      <c r="AF21" s="11"/>
      <c r="AG21" s="6">
        <v>5</v>
      </c>
      <c r="AH21" s="10"/>
      <c r="AI21" s="7">
        <v>4</v>
      </c>
      <c r="AJ21" s="10"/>
      <c r="AK21" s="11"/>
      <c r="AL21" s="86">
        <v>1</v>
      </c>
      <c r="AM21" s="87"/>
      <c r="AN21" s="87"/>
      <c r="AO21" s="87">
        <v>1</v>
      </c>
      <c r="AP21" s="88">
        <f>8/20</f>
        <v>0.4</v>
      </c>
      <c r="AQ21" s="9">
        <v>12</v>
      </c>
      <c r="AR21" s="10"/>
      <c r="AS21" s="11">
        <v>13</v>
      </c>
      <c r="AT21" s="22"/>
      <c r="AU21" s="14"/>
    </row>
    <row r="22" spans="1:47" ht="31.9" customHeight="1" x14ac:dyDescent="0.2">
      <c r="A22" s="26">
        <v>15</v>
      </c>
      <c r="B22" s="19"/>
      <c r="C22" s="9">
        <f t="shared" si="1"/>
        <v>15</v>
      </c>
      <c r="D22" s="10">
        <f t="shared" si="1"/>
        <v>3</v>
      </c>
      <c r="E22" s="10">
        <f t="shared" si="0"/>
        <v>5</v>
      </c>
      <c r="F22" s="10">
        <f t="shared" si="0"/>
        <v>2</v>
      </c>
      <c r="G22" s="11">
        <f t="shared" si="0"/>
        <v>5</v>
      </c>
      <c r="H22" s="9">
        <f t="shared" ref="H22:V36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61">
        <f t="shared" si="2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>
        <v>30</v>
      </c>
      <c r="X22" s="10"/>
      <c r="Y22" s="10"/>
      <c r="Z22" s="10"/>
      <c r="AA22" s="11"/>
      <c r="AB22" s="9">
        <v>15</v>
      </c>
      <c r="AC22" s="10"/>
      <c r="AD22" s="10"/>
      <c r="AE22" s="10"/>
      <c r="AF22" s="11"/>
      <c r="AG22" s="6">
        <v>5</v>
      </c>
      <c r="AH22" s="10"/>
      <c r="AI22" s="7">
        <v>5</v>
      </c>
      <c r="AJ22" s="10"/>
      <c r="AK22" s="11"/>
      <c r="AL22" s="86">
        <v>0.42</v>
      </c>
      <c r="AM22" s="87"/>
      <c r="AN22" s="87">
        <f>2/20</f>
        <v>0.1</v>
      </c>
      <c r="AO22" s="87"/>
      <c r="AP22" s="100">
        <f>10/20</f>
        <v>0.5</v>
      </c>
      <c r="AQ22" s="9">
        <v>5</v>
      </c>
      <c r="AR22" s="10"/>
      <c r="AS22" s="11">
        <v>4</v>
      </c>
      <c r="AT22" s="22"/>
      <c r="AU22" s="14"/>
    </row>
    <row r="23" spans="1:47" ht="31.9" customHeight="1" x14ac:dyDescent="0.2">
      <c r="A23" s="26">
        <v>16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>
        <v>28</v>
      </c>
      <c r="X23" s="10"/>
      <c r="Y23" s="10">
        <v>2</v>
      </c>
      <c r="Z23" s="10"/>
      <c r="AA23" s="11">
        <v>1</v>
      </c>
      <c r="AB23" s="9">
        <v>12</v>
      </c>
      <c r="AC23" s="10"/>
      <c r="AD23" s="10"/>
      <c r="AE23" s="10"/>
      <c r="AF23" s="11"/>
      <c r="AG23" s="6">
        <v>5</v>
      </c>
      <c r="AH23" s="10"/>
      <c r="AI23" s="7">
        <v>5</v>
      </c>
      <c r="AJ23" s="10"/>
      <c r="AK23" s="11"/>
      <c r="AL23" s="86">
        <v>0.42</v>
      </c>
      <c r="AM23" s="87"/>
      <c r="AN23" s="87">
        <f>1/20</f>
        <v>0.05</v>
      </c>
      <c r="AO23" s="87">
        <f>80/100</f>
        <v>0.8</v>
      </c>
      <c r="AP23" s="88">
        <f>7/20</f>
        <v>0.35</v>
      </c>
      <c r="AQ23" s="9">
        <v>5</v>
      </c>
      <c r="AR23" s="10"/>
      <c r="AS23" s="11">
        <v>10</v>
      </c>
      <c r="AT23" s="22"/>
      <c r="AU23" s="14"/>
    </row>
    <row r="24" spans="1:47" ht="31.9" customHeight="1" x14ac:dyDescent="0.2">
      <c r="A24" s="26">
        <v>17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>
        <v>24</v>
      </c>
      <c r="X24" s="10">
        <v>1</v>
      </c>
      <c r="Y24" s="10">
        <v>2</v>
      </c>
      <c r="Z24" s="10">
        <v>3</v>
      </c>
      <c r="AA24" s="11"/>
      <c r="AB24" s="9">
        <v>15</v>
      </c>
      <c r="AC24" s="10"/>
      <c r="AD24" s="10">
        <v>1</v>
      </c>
      <c r="AE24" s="10">
        <v>1</v>
      </c>
      <c r="AF24" s="11"/>
      <c r="AG24" s="6">
        <v>5</v>
      </c>
      <c r="AH24" s="10"/>
      <c r="AI24" s="7">
        <v>5</v>
      </c>
      <c r="AJ24" s="10"/>
      <c r="AK24" s="11"/>
      <c r="AL24" s="86">
        <v>0.57999999999999996</v>
      </c>
      <c r="AM24" s="87"/>
      <c r="AN24" s="87">
        <f>1/20</f>
        <v>0.05</v>
      </c>
      <c r="AO24" s="87">
        <f>80/100</f>
        <v>0.8</v>
      </c>
      <c r="AP24" s="88">
        <f>10/20</f>
        <v>0.5</v>
      </c>
      <c r="AQ24" s="9">
        <v>7</v>
      </c>
      <c r="AR24" s="10"/>
      <c r="AS24" s="11">
        <v>12</v>
      </c>
      <c r="AT24" s="22"/>
      <c r="AU24" s="14"/>
    </row>
    <row r="25" spans="1:47" ht="31.9" customHeight="1" x14ac:dyDescent="0.2">
      <c r="A25" s="26">
        <v>18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>
        <v>20</v>
      </c>
      <c r="X25" s="10"/>
      <c r="Y25" s="10"/>
      <c r="Z25" s="10">
        <v>5</v>
      </c>
      <c r="AA25" s="11">
        <v>1</v>
      </c>
      <c r="AB25" s="9">
        <v>10</v>
      </c>
      <c r="AC25" s="10"/>
      <c r="AD25" s="10"/>
      <c r="AE25" s="10">
        <v>3</v>
      </c>
      <c r="AF25" s="11"/>
      <c r="AG25" s="6">
        <v>5</v>
      </c>
      <c r="AH25" s="10"/>
      <c r="AI25" s="7">
        <v>5</v>
      </c>
      <c r="AJ25" s="10"/>
      <c r="AK25" s="11"/>
      <c r="AL25" s="86">
        <v>0.57999999999999996</v>
      </c>
      <c r="AM25" s="87"/>
      <c r="AN25" s="87">
        <f>2/20</f>
        <v>0.1</v>
      </c>
      <c r="AO25" s="87">
        <v>1</v>
      </c>
      <c r="AP25" s="88">
        <f>6/20</f>
        <v>0.3</v>
      </c>
      <c r="AQ25" s="9">
        <v>7</v>
      </c>
      <c r="AR25" s="10"/>
      <c r="AS25" s="11">
        <v>12</v>
      </c>
      <c r="AT25" s="22"/>
      <c r="AU25" s="14"/>
    </row>
    <row r="26" spans="1:47" ht="31.9" customHeight="1" x14ac:dyDescent="0.2">
      <c r="A26" s="26">
        <v>19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>
        <v>25</v>
      </c>
      <c r="X26" s="10"/>
      <c r="Y26" s="10"/>
      <c r="Z26" s="10"/>
      <c r="AA26" s="11">
        <v>1</v>
      </c>
      <c r="AB26" s="9">
        <v>10</v>
      </c>
      <c r="AC26" s="10"/>
      <c r="AD26" s="10"/>
      <c r="AE26" s="10"/>
      <c r="AF26" s="11"/>
      <c r="AG26" s="6">
        <v>5</v>
      </c>
      <c r="AH26" s="10"/>
      <c r="AI26" s="7">
        <v>5</v>
      </c>
      <c r="AJ26" s="10"/>
      <c r="AK26" s="11"/>
      <c r="AL26" s="86">
        <v>0.42</v>
      </c>
      <c r="AM26" s="87"/>
      <c r="AN26" s="87"/>
      <c r="AO26" s="87">
        <f>50/100</f>
        <v>0.5</v>
      </c>
      <c r="AP26" s="88">
        <f>10/20</f>
        <v>0.5</v>
      </c>
      <c r="AQ26" s="9">
        <v>5</v>
      </c>
      <c r="AR26" s="10"/>
      <c r="AS26" s="11">
        <v>10</v>
      </c>
      <c r="AT26" s="22"/>
      <c r="AU26" s="14"/>
    </row>
    <row r="27" spans="1:47" ht="31.9" customHeight="1" x14ac:dyDescent="0.2">
      <c r="A27" s="26">
        <v>20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>
        <v>30</v>
      </c>
      <c r="X27" s="10"/>
      <c r="Y27" s="10"/>
      <c r="Z27" s="10">
        <v>3</v>
      </c>
      <c r="AA27" s="11"/>
      <c r="AB27" s="9">
        <v>14</v>
      </c>
      <c r="AC27" s="10"/>
      <c r="AD27" s="10"/>
      <c r="AE27" s="10">
        <v>1</v>
      </c>
      <c r="AF27" s="11"/>
      <c r="AG27" s="6">
        <v>3</v>
      </c>
      <c r="AH27" s="10"/>
      <c r="AI27" s="7">
        <v>5</v>
      </c>
      <c r="AJ27" s="10"/>
      <c r="AK27" s="11"/>
      <c r="AL27" s="86">
        <v>0.5</v>
      </c>
      <c r="AM27" s="87"/>
      <c r="AN27" s="87">
        <f>3/20</f>
        <v>0.15</v>
      </c>
      <c r="AO27" s="87">
        <v>1</v>
      </c>
      <c r="AP27" s="88">
        <f>8/20</f>
        <v>0.4</v>
      </c>
      <c r="AQ27" s="9">
        <v>6</v>
      </c>
      <c r="AR27" s="10"/>
      <c r="AS27" s="11">
        <v>12</v>
      </c>
      <c r="AT27" s="22"/>
      <c r="AU27" s="14"/>
    </row>
    <row r="28" spans="1:47" ht="31.9" customHeight="1" x14ac:dyDescent="0.2">
      <c r="A28" s="102">
        <v>21</v>
      </c>
      <c r="B28" s="103"/>
      <c r="C28" s="104">
        <f t="shared" si="1"/>
        <v>15</v>
      </c>
      <c r="D28" s="105">
        <f t="shared" si="1"/>
        <v>3</v>
      </c>
      <c r="E28" s="105">
        <f t="shared" si="1"/>
        <v>5</v>
      </c>
      <c r="F28" s="105">
        <f t="shared" si="1"/>
        <v>2</v>
      </c>
      <c r="G28" s="106">
        <f t="shared" si="1"/>
        <v>5</v>
      </c>
      <c r="H28" s="104">
        <f t="shared" si="1"/>
        <v>3</v>
      </c>
      <c r="I28" s="105">
        <f t="shared" si="1"/>
        <v>1</v>
      </c>
      <c r="J28" s="105">
        <f t="shared" si="1"/>
        <v>1</v>
      </c>
      <c r="K28" s="105">
        <f t="shared" si="1"/>
        <v>1</v>
      </c>
      <c r="L28" s="106">
        <f t="shared" si="1"/>
        <v>1</v>
      </c>
      <c r="M28" s="104">
        <f t="shared" si="1"/>
        <v>3</v>
      </c>
      <c r="N28" s="105">
        <f t="shared" si="1"/>
        <v>1</v>
      </c>
      <c r="O28" s="105">
        <f t="shared" si="1"/>
        <v>3</v>
      </c>
      <c r="P28" s="105">
        <f t="shared" si="1"/>
        <v>0</v>
      </c>
      <c r="Q28" s="106">
        <f t="shared" si="1"/>
        <v>0</v>
      </c>
      <c r="R28" s="107">
        <f t="shared" si="1"/>
        <v>0.5</v>
      </c>
      <c r="S28" s="108">
        <f t="shared" si="2"/>
        <v>0.16666666666666666</v>
      </c>
      <c r="T28" s="108">
        <f t="shared" si="2"/>
        <v>0.1</v>
      </c>
      <c r="U28" s="108">
        <f t="shared" si="2"/>
        <v>0.6</v>
      </c>
      <c r="V28" s="109">
        <f t="shared" si="2"/>
        <v>0.15</v>
      </c>
      <c r="W28" s="104"/>
      <c r="X28" s="105"/>
      <c r="Y28" s="105"/>
      <c r="Z28" s="105"/>
      <c r="AA28" s="106"/>
      <c r="AB28" s="104"/>
      <c r="AC28" s="105"/>
      <c r="AD28" s="105"/>
      <c r="AE28" s="105"/>
      <c r="AF28" s="106"/>
      <c r="AG28" s="104"/>
      <c r="AH28" s="105"/>
      <c r="AI28" s="105"/>
      <c r="AJ28" s="105"/>
      <c r="AK28" s="106"/>
      <c r="AL28" s="110"/>
      <c r="AM28" s="111"/>
      <c r="AN28" s="111"/>
      <c r="AO28" s="111"/>
      <c r="AP28" s="100"/>
      <c r="AQ28" s="104"/>
      <c r="AR28" s="105"/>
      <c r="AS28" s="106"/>
      <c r="AT28" s="112"/>
      <c r="AU28" s="113"/>
    </row>
    <row r="29" spans="1:47" ht="31.9" customHeight="1" x14ac:dyDescent="0.2">
      <c r="A29" s="26">
        <v>22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15"/>
      <c r="Z29" s="10"/>
      <c r="AA29" s="11"/>
      <c r="AB29" s="9"/>
      <c r="AC29" s="105"/>
      <c r="AD29" s="10"/>
      <c r="AE29" s="10"/>
      <c r="AF29" s="11"/>
      <c r="AG29" s="9"/>
      <c r="AH29" s="10"/>
      <c r="AI29" s="10"/>
      <c r="AJ29" s="10"/>
      <c r="AK29" s="11"/>
      <c r="AL29" s="86"/>
      <c r="AM29" s="87"/>
      <c r="AN29" s="87"/>
      <c r="AO29" s="87"/>
      <c r="AP29" s="88"/>
      <c r="AQ29" s="9"/>
      <c r="AR29" s="10"/>
      <c r="AS29" s="11"/>
      <c r="AT29" s="22"/>
      <c r="AU29" s="14"/>
    </row>
    <row r="30" spans="1:47" ht="31.9" customHeight="1" x14ac:dyDescent="0.2">
      <c r="A30" s="26">
        <v>23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86"/>
      <c r="AM30" s="87"/>
      <c r="AN30" s="87"/>
      <c r="AO30" s="87"/>
      <c r="AP30" s="88"/>
      <c r="AQ30" s="9"/>
      <c r="AR30" s="10"/>
      <c r="AS30" s="11"/>
      <c r="AT30" s="22"/>
      <c r="AU30" s="14"/>
    </row>
    <row r="31" spans="1:47" ht="31.9" customHeight="1" x14ac:dyDescent="0.2">
      <c r="A31" s="26">
        <v>24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86"/>
      <c r="AM31" s="87"/>
      <c r="AN31" s="87"/>
      <c r="AO31" s="87"/>
      <c r="AP31" s="88"/>
      <c r="AQ31" s="9"/>
      <c r="AR31" s="10"/>
      <c r="AS31" s="11"/>
      <c r="AT31" s="22"/>
      <c r="AU31" s="14"/>
    </row>
    <row r="32" spans="1:47" ht="31.9" customHeight="1" x14ac:dyDescent="0.2">
      <c r="A32" s="26">
        <v>25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86"/>
      <c r="AM32" s="87"/>
      <c r="AN32" s="87"/>
      <c r="AO32" s="87"/>
      <c r="AP32" s="88"/>
      <c r="AQ32" s="9"/>
      <c r="AR32" s="10"/>
      <c r="AS32" s="11"/>
      <c r="AT32" s="22"/>
      <c r="AU32" s="14"/>
    </row>
    <row r="33" spans="1:47" ht="31.9" customHeight="1" x14ac:dyDescent="0.2">
      <c r="A33" s="26">
        <v>26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86"/>
      <c r="AM33" s="87"/>
      <c r="AN33" s="87"/>
      <c r="AO33" s="87"/>
      <c r="AP33" s="88"/>
      <c r="AQ33" s="9"/>
      <c r="AR33" s="10"/>
      <c r="AS33" s="11"/>
      <c r="AT33" s="22"/>
      <c r="AU33" s="14"/>
    </row>
    <row r="34" spans="1:47" ht="31.9" customHeight="1" x14ac:dyDescent="0.2">
      <c r="A34" s="26">
        <v>27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86"/>
      <c r="AM34" s="87"/>
      <c r="AN34" s="87"/>
      <c r="AO34" s="87"/>
      <c r="AP34" s="88"/>
      <c r="AQ34" s="9"/>
      <c r="AR34" s="10"/>
      <c r="AS34" s="11"/>
      <c r="AT34" s="23"/>
      <c r="AU34" s="14"/>
    </row>
    <row r="35" spans="1:47" ht="31.9" customHeight="1" x14ac:dyDescent="0.2">
      <c r="A35" s="26">
        <v>28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86"/>
      <c r="AM35" s="87"/>
      <c r="AN35" s="87"/>
      <c r="AO35" s="87"/>
      <c r="AP35" s="88"/>
      <c r="AQ35" s="9"/>
      <c r="AR35" s="10"/>
      <c r="AS35" s="11"/>
      <c r="AT35" s="24"/>
      <c r="AU35" s="13"/>
    </row>
    <row r="36" spans="1:47" ht="31.9" customHeight="1" x14ac:dyDescent="0.2">
      <c r="A36" s="26">
        <v>29</v>
      </c>
      <c r="B36" s="19"/>
      <c r="C36" s="9">
        <f t="shared" si="1"/>
        <v>15</v>
      </c>
      <c r="D36" s="10">
        <f t="shared" si="1"/>
        <v>3</v>
      </c>
      <c r="E36" s="10">
        <f t="shared" si="1"/>
        <v>5</v>
      </c>
      <c r="F36" s="10">
        <f t="shared" si="1"/>
        <v>2</v>
      </c>
      <c r="G36" s="11">
        <f t="shared" si="1"/>
        <v>5</v>
      </c>
      <c r="H36" s="9">
        <f t="shared" si="1"/>
        <v>3</v>
      </c>
      <c r="I36" s="10">
        <f t="shared" si="1"/>
        <v>1</v>
      </c>
      <c r="J36" s="10">
        <f t="shared" si="1"/>
        <v>1</v>
      </c>
      <c r="K36" s="10">
        <f t="shared" si="1"/>
        <v>1</v>
      </c>
      <c r="L36" s="11">
        <f t="shared" si="1"/>
        <v>1</v>
      </c>
      <c r="M36" s="9">
        <f t="shared" si="1"/>
        <v>3</v>
      </c>
      <c r="N36" s="10">
        <f t="shared" si="1"/>
        <v>1</v>
      </c>
      <c r="O36" s="10">
        <f t="shared" si="1"/>
        <v>3</v>
      </c>
      <c r="P36" s="10">
        <f t="shared" si="1"/>
        <v>0</v>
      </c>
      <c r="Q36" s="11">
        <f t="shared" si="1"/>
        <v>0</v>
      </c>
      <c r="R36" s="61">
        <f t="shared" si="1"/>
        <v>0.5</v>
      </c>
      <c r="S36" s="62">
        <f t="shared" si="2"/>
        <v>0.16666666666666666</v>
      </c>
      <c r="T36" s="62">
        <f t="shared" si="2"/>
        <v>0.1</v>
      </c>
      <c r="U36" s="62">
        <f t="shared" si="2"/>
        <v>0.6</v>
      </c>
      <c r="V36" s="63">
        <f t="shared" si="2"/>
        <v>0.15</v>
      </c>
      <c r="W36" s="9"/>
      <c r="X36" s="10"/>
      <c r="Y36" s="10"/>
      <c r="Z36" s="10"/>
      <c r="AA36" s="11"/>
      <c r="AB36" s="9"/>
      <c r="AC36" s="10"/>
      <c r="AD36" s="10"/>
      <c r="AE36" s="10"/>
      <c r="AF36" s="11"/>
      <c r="AG36" s="9"/>
      <c r="AH36" s="10"/>
      <c r="AI36" s="10"/>
      <c r="AJ36" s="10"/>
      <c r="AK36" s="11"/>
      <c r="AL36" s="86"/>
      <c r="AM36" s="87"/>
      <c r="AN36" s="87"/>
      <c r="AO36" s="87"/>
      <c r="AP36" s="88"/>
      <c r="AQ36" s="9"/>
      <c r="AR36" s="10"/>
      <c r="AS36" s="11"/>
      <c r="AT36" s="24"/>
      <c r="AU36" s="12"/>
    </row>
    <row r="37" spans="1:47" ht="31.9" customHeight="1" thickBot="1" x14ac:dyDescent="0.25">
      <c r="A37" s="27">
        <v>30</v>
      </c>
      <c r="B37" s="28"/>
      <c r="C37" s="29">
        <f t="shared" si="1"/>
        <v>15</v>
      </c>
      <c r="D37" s="30">
        <f t="shared" si="1"/>
        <v>3</v>
      </c>
      <c r="E37" s="30">
        <f t="shared" si="1"/>
        <v>5</v>
      </c>
      <c r="F37" s="30">
        <f t="shared" ref="F37:V37" si="3">+F$3</f>
        <v>2</v>
      </c>
      <c r="G37" s="31">
        <f t="shared" si="3"/>
        <v>5</v>
      </c>
      <c r="H37" s="29">
        <f t="shared" si="3"/>
        <v>3</v>
      </c>
      <c r="I37" s="30">
        <f t="shared" si="3"/>
        <v>1</v>
      </c>
      <c r="J37" s="30">
        <f t="shared" si="3"/>
        <v>1</v>
      </c>
      <c r="K37" s="30">
        <f t="shared" si="3"/>
        <v>1</v>
      </c>
      <c r="L37" s="31">
        <f t="shared" si="3"/>
        <v>1</v>
      </c>
      <c r="M37" s="29">
        <f t="shared" si="3"/>
        <v>3</v>
      </c>
      <c r="N37" s="30">
        <f t="shared" si="3"/>
        <v>1</v>
      </c>
      <c r="O37" s="30">
        <f t="shared" si="3"/>
        <v>3</v>
      </c>
      <c r="P37" s="30">
        <f t="shared" si="3"/>
        <v>0</v>
      </c>
      <c r="Q37" s="31">
        <f t="shared" si="3"/>
        <v>0</v>
      </c>
      <c r="R37" s="64">
        <f t="shared" si="3"/>
        <v>0.5</v>
      </c>
      <c r="S37" s="65">
        <f t="shared" si="3"/>
        <v>0.16666666666666666</v>
      </c>
      <c r="T37" s="65">
        <f t="shared" si="3"/>
        <v>0.1</v>
      </c>
      <c r="U37" s="65">
        <f t="shared" si="3"/>
        <v>0.6</v>
      </c>
      <c r="V37" s="66">
        <f t="shared" si="3"/>
        <v>0.15</v>
      </c>
      <c r="W37" s="29"/>
      <c r="X37" s="30"/>
      <c r="Y37" s="30"/>
      <c r="Z37" s="30"/>
      <c r="AA37" s="31"/>
      <c r="AB37" s="29"/>
      <c r="AC37" s="30"/>
      <c r="AD37" s="30"/>
      <c r="AE37" s="30"/>
      <c r="AF37" s="31"/>
      <c r="AG37" s="29"/>
      <c r="AH37" s="30"/>
      <c r="AI37" s="30"/>
      <c r="AJ37" s="30"/>
      <c r="AK37" s="31"/>
      <c r="AL37" s="90"/>
      <c r="AM37" s="91"/>
      <c r="AN37" s="91"/>
      <c r="AO37" s="91"/>
      <c r="AP37" s="92"/>
      <c r="AQ37" s="29"/>
      <c r="AR37" s="30"/>
      <c r="AS37" s="31"/>
      <c r="AT37" s="32"/>
      <c r="AU37" s="33"/>
    </row>
    <row r="38" spans="1:47" s="3" customFormat="1" ht="34.15" customHeight="1" thickBot="1" x14ac:dyDescent="0.3">
      <c r="A38" s="16"/>
      <c r="B38" s="16" t="s">
        <v>0</v>
      </c>
      <c r="C38" s="39">
        <f>SUM(C8:C37)</f>
        <v>450</v>
      </c>
      <c r="D38" s="40">
        <f t="shared" ref="D38:AS38" si="4">SUM(D8:D37)</f>
        <v>90</v>
      </c>
      <c r="E38" s="40">
        <f t="shared" si="4"/>
        <v>150</v>
      </c>
      <c r="F38" s="40">
        <f t="shared" si="4"/>
        <v>60</v>
      </c>
      <c r="G38" s="41">
        <f t="shared" si="4"/>
        <v>150</v>
      </c>
      <c r="H38" s="39">
        <f t="shared" si="4"/>
        <v>90</v>
      </c>
      <c r="I38" s="40">
        <f t="shared" si="4"/>
        <v>30</v>
      </c>
      <c r="J38" s="40">
        <f t="shared" si="4"/>
        <v>30</v>
      </c>
      <c r="K38" s="40">
        <f t="shared" si="4"/>
        <v>30</v>
      </c>
      <c r="L38" s="41">
        <f t="shared" si="4"/>
        <v>30</v>
      </c>
      <c r="M38" s="39">
        <f t="shared" si="4"/>
        <v>90</v>
      </c>
      <c r="N38" s="40">
        <f t="shared" si="4"/>
        <v>30</v>
      </c>
      <c r="O38" s="40">
        <f t="shared" si="4"/>
        <v>90</v>
      </c>
      <c r="P38" s="40">
        <f t="shared" si="4"/>
        <v>0</v>
      </c>
      <c r="Q38" s="41">
        <f t="shared" si="4"/>
        <v>0</v>
      </c>
      <c r="R38" s="39">
        <f>SUM(R8:R37)</f>
        <v>15</v>
      </c>
      <c r="S38" s="40">
        <f t="shared" si="4"/>
        <v>5</v>
      </c>
      <c r="T38" s="40">
        <f t="shared" si="4"/>
        <v>3.0000000000000013</v>
      </c>
      <c r="U38" s="40">
        <f t="shared" si="4"/>
        <v>18</v>
      </c>
      <c r="V38" s="41">
        <f t="shared" si="4"/>
        <v>4.5</v>
      </c>
      <c r="W38" s="39">
        <f t="shared" si="4"/>
        <v>542</v>
      </c>
      <c r="X38" s="40">
        <f t="shared" si="4"/>
        <v>4</v>
      </c>
      <c r="Y38" s="40">
        <f t="shared" si="4"/>
        <v>9</v>
      </c>
      <c r="Z38" s="40">
        <f t="shared" si="4"/>
        <v>22</v>
      </c>
      <c r="AA38" s="41">
        <f t="shared" si="4"/>
        <v>9</v>
      </c>
      <c r="AB38" s="39">
        <f t="shared" si="4"/>
        <v>275</v>
      </c>
      <c r="AC38" s="40">
        <f t="shared" si="4"/>
        <v>0</v>
      </c>
      <c r="AD38" s="40">
        <f t="shared" si="4"/>
        <v>3</v>
      </c>
      <c r="AE38" s="40">
        <f t="shared" si="4"/>
        <v>13</v>
      </c>
      <c r="AF38" s="41">
        <f t="shared" si="4"/>
        <v>1</v>
      </c>
      <c r="AG38" s="39">
        <f t="shared" si="4"/>
        <v>97</v>
      </c>
      <c r="AH38" s="40">
        <f t="shared" si="4"/>
        <v>0</v>
      </c>
      <c r="AI38" s="40">
        <f t="shared" si="4"/>
        <v>99</v>
      </c>
      <c r="AJ38" s="40">
        <f t="shared" si="4"/>
        <v>0</v>
      </c>
      <c r="AK38" s="41">
        <f t="shared" si="4"/>
        <v>0</v>
      </c>
      <c r="AL38" s="156">
        <f>SUM(AL8:AL37)</f>
        <v>14.02</v>
      </c>
      <c r="AM38" s="157">
        <f t="shared" si="4"/>
        <v>0</v>
      </c>
      <c r="AN38" s="157">
        <f t="shared" si="4"/>
        <v>1.3</v>
      </c>
      <c r="AO38" s="157">
        <f t="shared" si="4"/>
        <v>14.000000000000002</v>
      </c>
      <c r="AP38" s="158">
        <f t="shared" si="4"/>
        <v>9.5000000000000018</v>
      </c>
      <c r="AQ38" s="39">
        <f t="shared" si="4"/>
        <v>158</v>
      </c>
      <c r="AR38" s="40">
        <f t="shared" si="4"/>
        <v>0</v>
      </c>
      <c r="AS38" s="41">
        <f t="shared" si="4"/>
        <v>219</v>
      </c>
      <c r="AT38" s="25">
        <f t="shared" ref="AT38:AU38" si="5">SUM(AT8:AT37)</f>
        <v>0</v>
      </c>
      <c r="AU38" s="2">
        <f t="shared" si="5"/>
        <v>0</v>
      </c>
    </row>
    <row r="41" spans="1:47" x14ac:dyDescent="0.25">
      <c r="AN41" s="99"/>
      <c r="AQ41" s="99"/>
      <c r="AS41" s="99">
        <f>AS38+'Lundi S1'!AS38</f>
        <v>296</v>
      </c>
    </row>
    <row r="42" spans="1:47" x14ac:dyDescent="0.25">
      <c r="AS42" s="38">
        <f>AS41/100</f>
        <v>2.96</v>
      </c>
    </row>
  </sheetData>
  <mergeCells count="16">
    <mergeCell ref="AG6:AK6"/>
    <mergeCell ref="AL6:AP6"/>
    <mergeCell ref="AQ6:AS6"/>
    <mergeCell ref="A4:B4"/>
    <mergeCell ref="C5:V5"/>
    <mergeCell ref="W5:AS5"/>
    <mergeCell ref="AT5:AT7"/>
    <mergeCell ref="AU5:AU7"/>
    <mergeCell ref="A6:A7"/>
    <mergeCell ref="B6:B7"/>
    <mergeCell ref="C6:G6"/>
    <mergeCell ref="H6:L6"/>
    <mergeCell ref="M6:Q6"/>
    <mergeCell ref="R6:V6"/>
    <mergeCell ref="W6:AA6"/>
    <mergeCell ref="AB6:AF6"/>
  </mergeCell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3EFA-B857-4021-A7B2-912E8C5A863E}">
  <dimension ref="A1:AU37"/>
  <sheetViews>
    <sheetView zoomScale="80" zoomScaleNormal="80" workbookViewId="0">
      <pane xSplit="2" ySplit="6" topLeftCell="D31" activePane="bottomRight" state="frozen"/>
      <selection activeCell="X13" sqref="X13"/>
      <selection pane="topRight" activeCell="X13" sqref="X13"/>
      <selection pane="bottomLeft" activeCell="X13" sqref="X13"/>
      <selection pane="bottomRight" activeCell="AO2" sqref="AO2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38" customWidth="1"/>
    <col min="23" max="23" width="10.140625" style="38" bestFit="1" customWidth="1"/>
    <col min="24" max="24" width="8.85546875" style="38" customWidth="1"/>
    <col min="25" max="25" width="10.140625" style="38" bestFit="1" customWidth="1"/>
    <col min="26" max="27" width="8.85546875" style="38" customWidth="1"/>
    <col min="28" max="28" width="10.140625" style="38" bestFit="1" customWidth="1"/>
    <col min="29" max="29" width="8.85546875" style="38" customWidth="1"/>
    <col min="30" max="30" width="10.140625" style="38" bestFit="1" customWidth="1"/>
    <col min="31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1" spans="1:47" x14ac:dyDescent="0.25"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</row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</row>
    <row r="3" spans="1:47" ht="18.75" thickBot="1" x14ac:dyDescent="0.3">
      <c r="A3" s="123" t="s">
        <v>42</v>
      </c>
      <c r="B3" s="123"/>
    </row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17" t="s">
        <v>41</v>
      </c>
      <c r="AR5" s="118"/>
      <c r="AS5" s="119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28</v>
      </c>
      <c r="X7" s="7"/>
      <c r="Y7" s="7">
        <v>2</v>
      </c>
      <c r="Z7" s="7">
        <v>4</v>
      </c>
      <c r="AA7" s="8">
        <v>3</v>
      </c>
      <c r="AB7" s="6">
        <v>12</v>
      </c>
      <c r="AC7" s="7"/>
      <c r="AD7" s="7">
        <v>1</v>
      </c>
      <c r="AE7" s="7">
        <v>1</v>
      </c>
      <c r="AF7" s="8">
        <v>1</v>
      </c>
      <c r="AG7" s="6">
        <v>5</v>
      </c>
      <c r="AH7" s="7"/>
      <c r="AI7" s="7">
        <v>5</v>
      </c>
      <c r="AJ7" s="7"/>
      <c r="AK7" s="8"/>
      <c r="AL7" s="83">
        <v>0.42</v>
      </c>
      <c r="AM7" s="84"/>
      <c r="AN7" s="84">
        <f>2/20</f>
        <v>0.1</v>
      </c>
      <c r="AO7" s="84">
        <f>60/100</f>
        <v>0.6</v>
      </c>
      <c r="AP7" s="85">
        <f>20/20</f>
        <v>1</v>
      </c>
      <c r="AQ7" s="6">
        <v>5</v>
      </c>
      <c r="AR7" s="7"/>
      <c r="AS7" s="7">
        <f>6+10</f>
        <v>16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>
        <v>33</v>
      </c>
      <c r="X8" s="10"/>
      <c r="Y8" s="10"/>
      <c r="Z8" s="10">
        <v>5</v>
      </c>
      <c r="AA8" s="11"/>
      <c r="AB8" s="9">
        <v>15</v>
      </c>
      <c r="AC8" s="10"/>
      <c r="AD8" s="10"/>
      <c r="AE8" s="10"/>
      <c r="AF8" s="11"/>
      <c r="AG8" s="6">
        <v>5</v>
      </c>
      <c r="AH8" s="10"/>
      <c r="AI8" s="7">
        <v>5</v>
      </c>
      <c r="AJ8" s="10"/>
      <c r="AK8" s="11"/>
      <c r="AL8" s="86">
        <v>0.17</v>
      </c>
      <c r="AM8" s="87"/>
      <c r="AN8" s="87">
        <f>3/20</f>
        <v>0.15</v>
      </c>
      <c r="AO8" s="87">
        <f>40/100</f>
        <v>0.4</v>
      </c>
      <c r="AP8" s="88">
        <f>10/20</f>
        <v>0.5</v>
      </c>
      <c r="AQ8" s="9">
        <f>2+5</f>
        <v>7</v>
      </c>
      <c r="AR8" s="10"/>
      <c r="AS8" s="10">
        <f>4+4</f>
        <v>8</v>
      </c>
      <c r="AT8" s="169" t="s">
        <v>52</v>
      </c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>
        <v>24</v>
      </c>
      <c r="X9" s="10">
        <v>1</v>
      </c>
      <c r="Y9" s="10">
        <v>3</v>
      </c>
      <c r="Z9" s="10">
        <v>2</v>
      </c>
      <c r="AA9" s="11">
        <v>2</v>
      </c>
      <c r="AB9" s="9">
        <v>11</v>
      </c>
      <c r="AC9" s="10"/>
      <c r="AD9" s="10"/>
      <c r="AE9" s="10"/>
      <c r="AF9" s="11"/>
      <c r="AG9" s="6">
        <v>5</v>
      </c>
      <c r="AH9" s="10"/>
      <c r="AI9" s="7">
        <v>5</v>
      </c>
      <c r="AJ9" s="10"/>
      <c r="AK9" s="11"/>
      <c r="AL9" s="86">
        <v>0.42</v>
      </c>
      <c r="AM9" s="87"/>
      <c r="AN9" s="87">
        <f>2/20</f>
        <v>0.1</v>
      </c>
      <c r="AO9" s="87">
        <f>60/100</f>
        <v>0.6</v>
      </c>
      <c r="AP9" s="88">
        <f>40/20</f>
        <v>2</v>
      </c>
      <c r="AQ9" s="9">
        <v>5</v>
      </c>
      <c r="AR9" s="10"/>
      <c r="AS9" s="10">
        <f>6+20</f>
        <v>26</v>
      </c>
      <c r="AT9" s="170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>
        <v>30</v>
      </c>
      <c r="X10" s="10"/>
      <c r="Y10" s="10">
        <v>1</v>
      </c>
      <c r="Z10" s="10">
        <v>1</v>
      </c>
      <c r="AA10" s="11"/>
      <c r="AB10" s="9">
        <v>14</v>
      </c>
      <c r="AC10" s="10"/>
      <c r="AD10" s="10"/>
      <c r="AE10" s="10">
        <v>1</v>
      </c>
      <c r="AF10" s="11"/>
      <c r="AG10" s="6">
        <v>5</v>
      </c>
      <c r="AH10" s="10"/>
      <c r="AI10" s="7">
        <v>5</v>
      </c>
      <c r="AJ10" s="10"/>
      <c r="AK10" s="11"/>
      <c r="AL10" s="86">
        <v>0.5</v>
      </c>
      <c r="AM10" s="87"/>
      <c r="AN10" s="87">
        <f>3/20</f>
        <v>0.15</v>
      </c>
      <c r="AO10" s="87">
        <f>40/100</f>
        <v>0.4</v>
      </c>
      <c r="AP10" s="88">
        <f>20/20</f>
        <v>1</v>
      </c>
      <c r="AQ10" s="9">
        <f>6+5</f>
        <v>11</v>
      </c>
      <c r="AR10" s="10"/>
      <c r="AS10" s="10">
        <f>4+10</f>
        <v>14</v>
      </c>
      <c r="AT10" s="170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>
        <v>27</v>
      </c>
      <c r="X11" s="10"/>
      <c r="Y11" s="10">
        <v>2</v>
      </c>
      <c r="Z11" s="10"/>
      <c r="AA11" s="11"/>
      <c r="AB11" s="9">
        <v>16</v>
      </c>
      <c r="AC11" s="10"/>
      <c r="AD11" s="10">
        <v>1</v>
      </c>
      <c r="AE11" s="10"/>
      <c r="AF11" s="11"/>
      <c r="AG11" s="6">
        <v>5</v>
      </c>
      <c r="AH11" s="10"/>
      <c r="AI11" s="7">
        <v>5</v>
      </c>
      <c r="AJ11" s="10"/>
      <c r="AK11" s="11"/>
      <c r="AL11" s="86">
        <v>0.25</v>
      </c>
      <c r="AM11" s="87"/>
      <c r="AN11" s="87">
        <f>2/20</f>
        <v>0.1</v>
      </c>
      <c r="AO11" s="87">
        <f>100/100</f>
        <v>1</v>
      </c>
      <c r="AP11" s="88">
        <f>20/20</f>
        <v>1</v>
      </c>
      <c r="AQ11" s="9">
        <v>3</v>
      </c>
      <c r="AR11" s="10"/>
      <c r="AS11" s="10">
        <f>10+10</f>
        <v>20</v>
      </c>
      <c r="AT11" s="170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>
        <v>31</v>
      </c>
      <c r="X12" s="10"/>
      <c r="Y12" s="10"/>
      <c r="Z12" s="10"/>
      <c r="AA12" s="11"/>
      <c r="AB12" s="9">
        <v>13</v>
      </c>
      <c r="AC12" s="10"/>
      <c r="AD12" s="10">
        <v>1</v>
      </c>
      <c r="AE12" s="10"/>
      <c r="AF12" s="11"/>
      <c r="AG12" s="6">
        <v>5</v>
      </c>
      <c r="AH12" s="10"/>
      <c r="AI12" s="7">
        <v>5</v>
      </c>
      <c r="AJ12" s="10"/>
      <c r="AK12" s="11"/>
      <c r="AL12" s="86">
        <v>0.33</v>
      </c>
      <c r="AM12" s="87"/>
      <c r="AN12" s="87">
        <f>3/20</f>
        <v>0.15</v>
      </c>
      <c r="AO12" s="87">
        <f>60/100</f>
        <v>0.6</v>
      </c>
      <c r="AP12" s="88">
        <f>10/20</f>
        <v>0.5</v>
      </c>
      <c r="AQ12" s="9">
        <f>4+5</f>
        <v>9</v>
      </c>
      <c r="AR12" s="10"/>
      <c r="AS12" s="10">
        <f>6+4</f>
        <v>10</v>
      </c>
      <c r="AT12" s="171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>
        <v>32</v>
      </c>
      <c r="X13" s="10">
        <v>2</v>
      </c>
      <c r="Y13" s="10">
        <v>1</v>
      </c>
      <c r="Z13" s="10"/>
      <c r="AA13" s="11"/>
      <c r="AB13" s="9">
        <v>16</v>
      </c>
      <c r="AC13" s="10"/>
      <c r="AD13" s="10"/>
      <c r="AE13" s="10"/>
      <c r="AF13" s="11"/>
      <c r="AG13" s="6">
        <v>5</v>
      </c>
      <c r="AH13" s="10"/>
      <c r="AI13" s="7">
        <v>5</v>
      </c>
      <c r="AJ13" s="10"/>
      <c r="AK13" s="11"/>
      <c r="AL13" s="86">
        <v>0.33</v>
      </c>
      <c r="AM13" s="87"/>
      <c r="AN13" s="87">
        <f>2/20</f>
        <v>0.1</v>
      </c>
      <c r="AO13" s="87">
        <f>80/100</f>
        <v>0.8</v>
      </c>
      <c r="AP13" s="88">
        <f>10/20</f>
        <v>0.5</v>
      </c>
      <c r="AQ13" s="9">
        <v>4</v>
      </c>
      <c r="AR13" s="10"/>
      <c r="AS13" s="10">
        <f>8+4</f>
        <v>12</v>
      </c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>
        <v>30</v>
      </c>
      <c r="X14" s="10">
        <v>1</v>
      </c>
      <c r="Y14" s="10"/>
      <c r="Z14" s="10"/>
      <c r="AA14" s="11"/>
      <c r="AB14" s="9">
        <v>13</v>
      </c>
      <c r="AC14" s="10"/>
      <c r="AD14" s="10"/>
      <c r="AE14" s="10"/>
      <c r="AF14" s="11"/>
      <c r="AG14" s="6">
        <v>5</v>
      </c>
      <c r="AH14" s="10"/>
      <c r="AI14" s="7">
        <v>5</v>
      </c>
      <c r="AJ14" s="10"/>
      <c r="AK14" s="11"/>
      <c r="AL14" s="86">
        <v>0.67</v>
      </c>
      <c r="AM14" s="87"/>
      <c r="AN14" s="87">
        <f>3/20</f>
        <v>0.15</v>
      </c>
      <c r="AO14" s="87">
        <f>100/100</f>
        <v>1</v>
      </c>
      <c r="AP14" s="88">
        <f>20/20</f>
        <v>1</v>
      </c>
      <c r="AQ14" s="9">
        <f>8+5</f>
        <v>13</v>
      </c>
      <c r="AR14" s="10"/>
      <c r="AS14" s="10">
        <f>10+10</f>
        <v>20</v>
      </c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>
        <v>25</v>
      </c>
      <c r="X15" s="10"/>
      <c r="Y15" s="10">
        <v>3</v>
      </c>
      <c r="Z15" s="10"/>
      <c r="AA15" s="11"/>
      <c r="AB15" s="9">
        <v>14</v>
      </c>
      <c r="AC15" s="10"/>
      <c r="AD15" s="10">
        <v>2</v>
      </c>
      <c r="AE15" s="10"/>
      <c r="AF15" s="11"/>
      <c r="AG15" s="6">
        <v>5</v>
      </c>
      <c r="AH15" s="10"/>
      <c r="AI15" s="7">
        <v>5</v>
      </c>
      <c r="AJ15" s="10"/>
      <c r="AK15" s="11"/>
      <c r="AL15" s="110">
        <v>0.25</v>
      </c>
      <c r="AM15" s="87"/>
      <c r="AN15" s="87">
        <f>3/20</f>
        <v>0.15</v>
      </c>
      <c r="AO15" s="87">
        <f>40/100</f>
        <v>0.4</v>
      </c>
      <c r="AP15" s="88">
        <f>10/20</f>
        <v>0.5</v>
      </c>
      <c r="AQ15" s="9">
        <f>2+5</f>
        <v>7</v>
      </c>
      <c r="AR15" s="10"/>
      <c r="AS15" s="10">
        <f>4+4</f>
        <v>8</v>
      </c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>
        <v>31</v>
      </c>
      <c r="X16" s="10"/>
      <c r="Y16" s="10">
        <v>3</v>
      </c>
      <c r="Z16" s="10"/>
      <c r="AA16" s="11"/>
      <c r="AB16" s="9">
        <v>15</v>
      </c>
      <c r="AC16" s="10"/>
      <c r="AD16" s="10"/>
      <c r="AE16" s="10"/>
      <c r="AF16" s="11"/>
      <c r="AG16" s="6">
        <v>5</v>
      </c>
      <c r="AH16" s="10"/>
      <c r="AI16" s="7">
        <v>5</v>
      </c>
      <c r="AJ16" s="10"/>
      <c r="AK16" s="11"/>
      <c r="AL16" s="86">
        <v>0.5</v>
      </c>
      <c r="AM16" s="87"/>
      <c r="AN16" s="87">
        <f>6/20</f>
        <v>0.3</v>
      </c>
      <c r="AO16" s="87">
        <f>40/100</f>
        <v>0.4</v>
      </c>
      <c r="AP16" s="88">
        <f>10/20</f>
        <v>0.5</v>
      </c>
      <c r="AQ16" s="9">
        <f>6+10</f>
        <v>16</v>
      </c>
      <c r="AR16" s="10"/>
      <c r="AS16" s="10">
        <f>4+4</f>
        <v>8</v>
      </c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>
        <v>25</v>
      </c>
      <c r="X17" s="10"/>
      <c r="Y17" s="10"/>
      <c r="Z17" s="10">
        <v>5</v>
      </c>
      <c r="AA17" s="11"/>
      <c r="AB17" s="9">
        <v>12</v>
      </c>
      <c r="AC17" s="10"/>
      <c r="AD17" s="10"/>
      <c r="AE17" s="10">
        <v>3</v>
      </c>
      <c r="AF17" s="11"/>
      <c r="AG17" s="6">
        <v>5</v>
      </c>
      <c r="AH17" s="10"/>
      <c r="AI17" s="7">
        <v>5</v>
      </c>
      <c r="AJ17" s="10"/>
      <c r="AK17" s="11"/>
      <c r="AL17" s="86">
        <v>0.25</v>
      </c>
      <c r="AM17" s="87"/>
      <c r="AN17" s="87">
        <f>2/20</f>
        <v>0.1</v>
      </c>
      <c r="AO17" s="87">
        <f>100/100</f>
        <v>1</v>
      </c>
      <c r="AP17" s="88">
        <f>15/20</f>
        <v>0.75</v>
      </c>
      <c r="AQ17" s="9">
        <v>3</v>
      </c>
      <c r="AR17" s="10"/>
      <c r="AS17" s="10">
        <f>10+6</f>
        <v>16</v>
      </c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>
        <v>32</v>
      </c>
      <c r="X18" s="10">
        <v>1</v>
      </c>
      <c r="Y18" s="10"/>
      <c r="Z18" s="10"/>
      <c r="AA18" s="11"/>
      <c r="AB18" s="9">
        <v>16</v>
      </c>
      <c r="AC18" s="10">
        <v>1</v>
      </c>
      <c r="AD18" s="10"/>
      <c r="AE18" s="10"/>
      <c r="AF18" s="11"/>
      <c r="AG18" s="6">
        <v>5</v>
      </c>
      <c r="AH18" s="10"/>
      <c r="AI18" s="7">
        <v>5</v>
      </c>
      <c r="AJ18" s="10"/>
      <c r="AK18" s="11"/>
      <c r="AL18" s="86">
        <v>0.25</v>
      </c>
      <c r="AM18" s="87"/>
      <c r="AN18" s="87">
        <f>3/20</f>
        <v>0.15</v>
      </c>
      <c r="AO18" s="87">
        <f>80/100</f>
        <v>0.8</v>
      </c>
      <c r="AP18" s="88">
        <f>40/20</f>
        <v>2</v>
      </c>
      <c r="AQ18" s="9">
        <f>3+5</f>
        <v>8</v>
      </c>
      <c r="AR18" s="10"/>
      <c r="AS18" s="10">
        <f>8+20</f>
        <v>28</v>
      </c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>
        <v>33</v>
      </c>
      <c r="X19" s="10">
        <v>1</v>
      </c>
      <c r="Y19" s="10"/>
      <c r="Z19" s="10">
        <v>1</v>
      </c>
      <c r="AA19" s="11">
        <v>3</v>
      </c>
      <c r="AB19" s="9">
        <v>13</v>
      </c>
      <c r="AC19" s="10"/>
      <c r="AD19" s="10"/>
      <c r="AE19" s="10"/>
      <c r="AF19" s="11"/>
      <c r="AG19" s="6">
        <v>5</v>
      </c>
      <c r="AH19" s="10"/>
      <c r="AI19" s="7">
        <v>5</v>
      </c>
      <c r="AJ19" s="10"/>
      <c r="AK19" s="11"/>
      <c r="AL19" s="86"/>
      <c r="AM19" s="87"/>
      <c r="AN19" s="87">
        <f>3/20</f>
        <v>0.15</v>
      </c>
      <c r="AO19" s="87">
        <f>60/100</f>
        <v>0.6</v>
      </c>
      <c r="AP19" s="88">
        <f>20/20</f>
        <v>1</v>
      </c>
      <c r="AQ19" s="9">
        <f>0+5</f>
        <v>5</v>
      </c>
      <c r="AR19" s="10"/>
      <c r="AS19" s="10">
        <f>6+10</f>
        <v>16</v>
      </c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>
        <v>29</v>
      </c>
      <c r="X20" s="10"/>
      <c r="Y20" s="10">
        <v>4</v>
      </c>
      <c r="Z20" s="10">
        <v>3</v>
      </c>
      <c r="AA20" s="11"/>
      <c r="AB20" s="9">
        <v>14</v>
      </c>
      <c r="AC20" s="10"/>
      <c r="AD20" s="10">
        <v>2</v>
      </c>
      <c r="AE20" s="10">
        <v>1</v>
      </c>
      <c r="AF20" s="11"/>
      <c r="AG20" s="6">
        <v>5</v>
      </c>
      <c r="AH20" s="10"/>
      <c r="AI20" s="7">
        <v>5</v>
      </c>
      <c r="AJ20" s="10"/>
      <c r="AK20" s="11"/>
      <c r="AL20" s="86">
        <v>0.33</v>
      </c>
      <c r="AM20" s="87"/>
      <c r="AN20" s="87">
        <f>3/20</f>
        <v>0.15</v>
      </c>
      <c r="AO20" s="87">
        <f>60/100</f>
        <v>0.6</v>
      </c>
      <c r="AP20" s="88">
        <f>20/20</f>
        <v>1</v>
      </c>
      <c r="AQ20" s="9">
        <f>4+5</f>
        <v>9</v>
      </c>
      <c r="AR20" s="10"/>
      <c r="AS20" s="10">
        <f>6+10</f>
        <v>16</v>
      </c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>
        <v>30</v>
      </c>
      <c r="X21" s="10"/>
      <c r="Y21" s="10"/>
      <c r="Z21" s="10"/>
      <c r="AA21" s="11"/>
      <c r="AB21" s="9">
        <v>15</v>
      </c>
      <c r="AC21" s="10"/>
      <c r="AD21" s="10"/>
      <c r="AE21" s="10"/>
      <c r="AF21" s="11"/>
      <c r="AG21" s="6">
        <v>5</v>
      </c>
      <c r="AH21" s="10"/>
      <c r="AI21" s="7">
        <v>5</v>
      </c>
      <c r="AJ21" s="10"/>
      <c r="AK21" s="11"/>
      <c r="AL21" s="86">
        <v>0.42</v>
      </c>
      <c r="AM21" s="87"/>
      <c r="AN21" s="87">
        <f>3/20</f>
        <v>0.15</v>
      </c>
      <c r="AO21" s="87">
        <f>50/100</f>
        <v>0.5</v>
      </c>
      <c r="AP21" s="88">
        <f>12/20</f>
        <v>0.6</v>
      </c>
      <c r="AQ21" s="9">
        <f>5+5</f>
        <v>10</v>
      </c>
      <c r="AR21" s="10"/>
      <c r="AS21" s="10">
        <f>5+4</f>
        <v>9</v>
      </c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>
        <v>31</v>
      </c>
      <c r="X22" s="10"/>
      <c r="Y22" s="10"/>
      <c r="Z22" s="10"/>
      <c r="AA22" s="11">
        <v>1</v>
      </c>
      <c r="AB22" s="9">
        <v>13</v>
      </c>
      <c r="AC22" s="10"/>
      <c r="AD22" s="10"/>
      <c r="AE22" s="10"/>
      <c r="AF22" s="11"/>
      <c r="AG22" s="6">
        <v>5</v>
      </c>
      <c r="AH22" s="10"/>
      <c r="AI22" s="7">
        <v>5</v>
      </c>
      <c r="AJ22" s="10"/>
      <c r="AK22" s="11"/>
      <c r="AL22" s="86">
        <v>0.67</v>
      </c>
      <c r="AM22" s="87"/>
      <c r="AN22" s="87">
        <f>3/20</f>
        <v>0.15</v>
      </c>
      <c r="AO22" s="87">
        <f>100/100</f>
        <v>1</v>
      </c>
      <c r="AP22" s="88">
        <f>15/20</f>
        <v>0.75</v>
      </c>
      <c r="AQ22" s="9">
        <f>8+5</f>
        <v>13</v>
      </c>
      <c r="AR22" s="10"/>
      <c r="AS22" s="10">
        <f>10+6</f>
        <v>16</v>
      </c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>
        <v>25</v>
      </c>
      <c r="X23" s="10"/>
      <c r="Y23" s="10"/>
      <c r="Z23" s="10">
        <v>3</v>
      </c>
      <c r="AA23" s="11"/>
      <c r="AB23" s="9">
        <v>10</v>
      </c>
      <c r="AC23" s="10"/>
      <c r="AD23" s="10"/>
      <c r="AE23" s="10">
        <v>1</v>
      </c>
      <c r="AF23" s="11"/>
      <c r="AG23" s="6">
        <v>5</v>
      </c>
      <c r="AH23" s="10"/>
      <c r="AI23" s="7">
        <v>5</v>
      </c>
      <c r="AJ23" s="10"/>
      <c r="AK23" s="11"/>
      <c r="AL23" s="86">
        <v>0.42</v>
      </c>
      <c r="AM23" s="87"/>
      <c r="AN23" s="87">
        <f>2/20</f>
        <v>0.1</v>
      </c>
      <c r="AO23" s="87">
        <f>80/100</f>
        <v>0.8</v>
      </c>
      <c r="AP23" s="88">
        <f>20/20</f>
        <v>1</v>
      </c>
      <c r="AQ23" s="9">
        <v>5</v>
      </c>
      <c r="AR23" s="10"/>
      <c r="AS23" s="10">
        <f>8+10</f>
        <v>18</v>
      </c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>
        <v>30</v>
      </c>
      <c r="X24" s="10">
        <v>1</v>
      </c>
      <c r="Y24" s="10"/>
      <c r="Z24" s="10"/>
      <c r="AA24" s="11"/>
      <c r="AB24" s="9">
        <v>17</v>
      </c>
      <c r="AC24" s="10">
        <v>1</v>
      </c>
      <c r="AD24" s="10"/>
      <c r="AE24" s="10"/>
      <c r="AF24" s="11"/>
      <c r="AG24" s="6">
        <v>5</v>
      </c>
      <c r="AH24" s="10"/>
      <c r="AI24" s="7">
        <v>5</v>
      </c>
      <c r="AJ24" s="10"/>
      <c r="AK24" s="11"/>
      <c r="AL24" s="86">
        <v>0.33</v>
      </c>
      <c r="AM24" s="87"/>
      <c r="AN24" s="87">
        <f>3/20</f>
        <v>0.15</v>
      </c>
      <c r="AO24" s="87">
        <f>100/100</f>
        <v>1</v>
      </c>
      <c r="AP24" s="88">
        <f>20/20</f>
        <v>1</v>
      </c>
      <c r="AQ24" s="9">
        <f>4+5</f>
        <v>9</v>
      </c>
      <c r="AR24" s="10"/>
      <c r="AS24" s="10">
        <f>10+10</f>
        <v>20</v>
      </c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>
        <v>28</v>
      </c>
      <c r="X25" s="10"/>
      <c r="Y25" s="10"/>
      <c r="Z25" s="10"/>
      <c r="AA25" s="11"/>
      <c r="AB25" s="9">
        <v>14</v>
      </c>
      <c r="AC25" s="10"/>
      <c r="AD25" s="10"/>
      <c r="AE25" s="10"/>
      <c r="AF25" s="11"/>
      <c r="AG25" s="6">
        <v>5</v>
      </c>
      <c r="AH25" s="10"/>
      <c r="AI25" s="7">
        <v>5</v>
      </c>
      <c r="AJ25" s="10"/>
      <c r="AK25" s="11"/>
      <c r="AL25" s="86">
        <v>0.5</v>
      </c>
      <c r="AM25" s="87"/>
      <c r="AN25" s="87">
        <f>3/20</f>
        <v>0.15</v>
      </c>
      <c r="AO25" s="87">
        <f>50/100</f>
        <v>0.5</v>
      </c>
      <c r="AP25" s="88">
        <f>10/20</f>
        <v>0.5</v>
      </c>
      <c r="AQ25" s="9">
        <f>6+5</f>
        <v>11</v>
      </c>
      <c r="AR25" s="10"/>
      <c r="AS25" s="10">
        <f>5+4</f>
        <v>9</v>
      </c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>
        <v>23</v>
      </c>
      <c r="X26" s="10">
        <v>2</v>
      </c>
      <c r="Y26" s="10">
        <v>1</v>
      </c>
      <c r="Z26" s="10">
        <v>1</v>
      </c>
      <c r="AA26" s="11">
        <v>3</v>
      </c>
      <c r="AB26" s="9">
        <v>11</v>
      </c>
      <c r="AC26" s="10">
        <v>1</v>
      </c>
      <c r="AD26" s="10"/>
      <c r="AE26" s="10">
        <v>1</v>
      </c>
      <c r="AF26" s="11">
        <v>2</v>
      </c>
      <c r="AG26" s="6">
        <v>5</v>
      </c>
      <c r="AH26" s="10"/>
      <c r="AI26" s="7">
        <v>5</v>
      </c>
      <c r="AJ26" s="10"/>
      <c r="AK26" s="11"/>
      <c r="AL26" s="86"/>
      <c r="AM26" s="87"/>
      <c r="AN26" s="87">
        <f>4/20</f>
        <v>0.2</v>
      </c>
      <c r="AO26" s="87">
        <f>100/100</f>
        <v>1</v>
      </c>
      <c r="AP26" s="88">
        <f>20/20</f>
        <v>1</v>
      </c>
      <c r="AQ26" s="9">
        <f>0+5</f>
        <v>5</v>
      </c>
      <c r="AR26" s="10"/>
      <c r="AS26" s="10">
        <f>10+10</f>
        <v>20</v>
      </c>
      <c r="AT26" s="22"/>
      <c r="AU26" s="14"/>
    </row>
    <row r="27" spans="1:47" ht="31.9" customHeight="1" x14ac:dyDescent="0.2">
      <c r="A27" s="102">
        <v>21</v>
      </c>
      <c r="B27" s="102"/>
      <c r="C27" s="104">
        <f t="shared" si="1"/>
        <v>15</v>
      </c>
      <c r="D27" s="105">
        <f t="shared" si="1"/>
        <v>3</v>
      </c>
      <c r="E27" s="105">
        <f t="shared" si="1"/>
        <v>5</v>
      </c>
      <c r="F27" s="105">
        <f t="shared" si="1"/>
        <v>2</v>
      </c>
      <c r="G27" s="106">
        <f t="shared" si="1"/>
        <v>5</v>
      </c>
      <c r="H27" s="104">
        <f t="shared" si="1"/>
        <v>3</v>
      </c>
      <c r="I27" s="105">
        <f t="shared" si="1"/>
        <v>1</v>
      </c>
      <c r="J27" s="105">
        <f t="shared" si="1"/>
        <v>1</v>
      </c>
      <c r="K27" s="105">
        <f t="shared" si="1"/>
        <v>1</v>
      </c>
      <c r="L27" s="106">
        <f t="shared" si="1"/>
        <v>1</v>
      </c>
      <c r="M27" s="104">
        <f t="shared" si="1"/>
        <v>3</v>
      </c>
      <c r="N27" s="105">
        <f t="shared" si="1"/>
        <v>1</v>
      </c>
      <c r="O27" s="105">
        <f t="shared" si="1"/>
        <v>3</v>
      </c>
      <c r="P27" s="105">
        <f t="shared" si="1"/>
        <v>0</v>
      </c>
      <c r="Q27" s="106">
        <f t="shared" si="1"/>
        <v>0</v>
      </c>
      <c r="R27" s="107">
        <f t="shared" si="1"/>
        <v>0.5</v>
      </c>
      <c r="S27" s="108">
        <f t="shared" si="2"/>
        <v>0.16666666666666666</v>
      </c>
      <c r="T27" s="108">
        <f t="shared" si="2"/>
        <v>0.1</v>
      </c>
      <c r="U27" s="108">
        <f t="shared" si="2"/>
        <v>0.6</v>
      </c>
      <c r="V27" s="109">
        <f t="shared" si="2"/>
        <v>0.15</v>
      </c>
      <c r="W27" s="104">
        <f t="shared" ref="W27:AF27" si="3">SUM(W7:W26)</f>
        <v>577</v>
      </c>
      <c r="X27" s="105">
        <f t="shared" si="3"/>
        <v>9</v>
      </c>
      <c r="Y27" s="105">
        <f t="shared" si="3"/>
        <v>20</v>
      </c>
      <c r="Z27" s="105">
        <f t="shared" si="3"/>
        <v>25</v>
      </c>
      <c r="AA27" s="106">
        <f t="shared" si="3"/>
        <v>12</v>
      </c>
      <c r="AB27" s="104"/>
      <c r="AC27" s="105"/>
      <c r="AD27" s="105"/>
      <c r="AE27" s="105"/>
      <c r="AF27" s="106"/>
      <c r="AG27" s="104"/>
      <c r="AH27" s="105"/>
      <c r="AI27" s="105"/>
      <c r="AJ27" s="105"/>
      <c r="AK27" s="106"/>
      <c r="AL27" s="104"/>
      <c r="AM27" s="105"/>
      <c r="AN27" s="105"/>
      <c r="AO27" s="105"/>
      <c r="AP27" s="106"/>
      <c r="AQ27" s="104"/>
      <c r="AR27" s="105"/>
      <c r="AS27" s="106"/>
      <c r="AT27" s="112"/>
      <c r="AU27" s="113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4">+F$2</f>
        <v>2</v>
      </c>
      <c r="G36" s="31">
        <f t="shared" si="4"/>
        <v>5</v>
      </c>
      <c r="H36" s="29">
        <f t="shared" si="4"/>
        <v>3</v>
      </c>
      <c r="I36" s="30">
        <f t="shared" si="4"/>
        <v>1</v>
      </c>
      <c r="J36" s="30">
        <f t="shared" si="4"/>
        <v>1</v>
      </c>
      <c r="K36" s="30">
        <f t="shared" si="4"/>
        <v>1</v>
      </c>
      <c r="L36" s="31">
        <f t="shared" si="4"/>
        <v>1</v>
      </c>
      <c r="M36" s="29">
        <f t="shared" si="4"/>
        <v>3</v>
      </c>
      <c r="N36" s="30">
        <f t="shared" si="4"/>
        <v>1</v>
      </c>
      <c r="O36" s="30">
        <f t="shared" si="4"/>
        <v>3</v>
      </c>
      <c r="P36" s="30">
        <f t="shared" si="4"/>
        <v>0</v>
      </c>
      <c r="Q36" s="31">
        <f t="shared" si="4"/>
        <v>0</v>
      </c>
      <c r="R36" s="64">
        <f t="shared" si="4"/>
        <v>0.5</v>
      </c>
      <c r="S36" s="65">
        <f t="shared" si="4"/>
        <v>0.16666666666666666</v>
      </c>
      <c r="T36" s="65">
        <f t="shared" si="4"/>
        <v>0.1</v>
      </c>
      <c r="U36" s="65">
        <f t="shared" si="4"/>
        <v>0.6</v>
      </c>
      <c r="V36" s="66">
        <f t="shared" si="4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5">SUM(D7:D36)</f>
        <v>90</v>
      </c>
      <c r="E37" s="40">
        <f t="shared" si="5"/>
        <v>150</v>
      </c>
      <c r="F37" s="40">
        <f t="shared" si="5"/>
        <v>60</v>
      </c>
      <c r="G37" s="41">
        <f t="shared" si="5"/>
        <v>150</v>
      </c>
      <c r="H37" s="39">
        <f t="shared" si="5"/>
        <v>90</v>
      </c>
      <c r="I37" s="40">
        <f t="shared" si="5"/>
        <v>30</v>
      </c>
      <c r="J37" s="40">
        <f t="shared" si="5"/>
        <v>30</v>
      </c>
      <c r="K37" s="40">
        <f t="shared" si="5"/>
        <v>30</v>
      </c>
      <c r="L37" s="41">
        <f t="shared" si="5"/>
        <v>30</v>
      </c>
      <c r="M37" s="39">
        <f t="shared" si="5"/>
        <v>90</v>
      </c>
      <c r="N37" s="40">
        <f t="shared" si="5"/>
        <v>30</v>
      </c>
      <c r="O37" s="40">
        <f t="shared" si="5"/>
        <v>90</v>
      </c>
      <c r="P37" s="40">
        <f t="shared" si="5"/>
        <v>0</v>
      </c>
      <c r="Q37" s="41">
        <f t="shared" si="5"/>
        <v>0</v>
      </c>
      <c r="R37" s="39">
        <f>SUM(R7:R36)</f>
        <v>15</v>
      </c>
      <c r="S37" s="40">
        <f t="shared" si="5"/>
        <v>5</v>
      </c>
      <c r="T37" s="40">
        <f t="shared" si="5"/>
        <v>3.0000000000000013</v>
      </c>
      <c r="U37" s="40">
        <f t="shared" si="5"/>
        <v>18</v>
      </c>
      <c r="V37" s="41">
        <f t="shared" si="5"/>
        <v>4.5</v>
      </c>
      <c r="W37" s="39">
        <f t="shared" si="5"/>
        <v>1154</v>
      </c>
      <c r="X37" s="40">
        <f t="shared" si="5"/>
        <v>18</v>
      </c>
      <c r="Y37" s="40">
        <f t="shared" si="5"/>
        <v>40</v>
      </c>
      <c r="Z37" s="40">
        <f t="shared" si="5"/>
        <v>50</v>
      </c>
      <c r="AA37" s="41">
        <f t="shared" si="5"/>
        <v>24</v>
      </c>
      <c r="AB37" s="39">
        <f t="shared" si="5"/>
        <v>274</v>
      </c>
      <c r="AC37" s="40">
        <f t="shared" si="5"/>
        <v>3</v>
      </c>
      <c r="AD37" s="40">
        <f t="shared" si="5"/>
        <v>7</v>
      </c>
      <c r="AE37" s="40">
        <f t="shared" si="5"/>
        <v>8</v>
      </c>
      <c r="AF37" s="41">
        <f t="shared" si="5"/>
        <v>3</v>
      </c>
      <c r="AG37" s="39">
        <f t="shared" si="5"/>
        <v>100</v>
      </c>
      <c r="AH37" s="40">
        <f t="shared" si="5"/>
        <v>0</v>
      </c>
      <c r="AI37" s="40">
        <f t="shared" si="5"/>
        <v>100</v>
      </c>
      <c r="AJ37" s="40">
        <f t="shared" si="5"/>
        <v>0</v>
      </c>
      <c r="AK37" s="41">
        <f t="shared" si="5"/>
        <v>0</v>
      </c>
      <c r="AL37" s="156">
        <f t="shared" si="5"/>
        <v>7.01</v>
      </c>
      <c r="AM37" s="157">
        <f t="shared" si="5"/>
        <v>0</v>
      </c>
      <c r="AN37" s="157">
        <f t="shared" si="5"/>
        <v>2.9</v>
      </c>
      <c r="AO37" s="157">
        <f t="shared" si="5"/>
        <v>14.000000000000002</v>
      </c>
      <c r="AP37" s="158">
        <f t="shared" si="5"/>
        <v>18.100000000000001</v>
      </c>
      <c r="AQ37" s="39">
        <f t="shared" si="5"/>
        <v>158</v>
      </c>
      <c r="AR37" s="40">
        <f t="shared" si="5"/>
        <v>0</v>
      </c>
      <c r="AS37" s="41">
        <f t="shared" si="5"/>
        <v>310</v>
      </c>
      <c r="AT37" s="25">
        <f t="shared" ref="AT37:AU37" si="6">SUM(AT7:AT36)</f>
        <v>0</v>
      </c>
      <c r="AU37" s="2">
        <f t="shared" si="6"/>
        <v>0</v>
      </c>
    </row>
  </sheetData>
  <mergeCells count="17">
    <mergeCell ref="AT8:AT12"/>
    <mergeCell ref="A3:B3"/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C9BA-3B39-4662-BDFE-82DDE7F79170}">
  <dimension ref="A2:AU39"/>
  <sheetViews>
    <sheetView zoomScale="80" zoomScaleNormal="80" workbookViewId="0">
      <pane xSplit="2" ySplit="6" topLeftCell="X34" activePane="bottomRight" state="frozen"/>
      <selection activeCell="X13" sqref="X13"/>
      <selection pane="topRight" activeCell="X13" sqref="X13"/>
      <selection pane="bottomLeft" activeCell="X13" sqref="X13"/>
      <selection pane="bottomRight" activeCell="AB2" sqref="AB2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38" customWidth="1"/>
    <col min="23" max="23" width="9.5703125" style="38" bestFit="1" customWidth="1"/>
    <col min="24" max="24" width="9.42578125" style="38" bestFit="1" customWidth="1"/>
    <col min="25" max="25" width="8.85546875" style="38" customWidth="1"/>
    <col min="26" max="26" width="8.5703125" style="38" customWidth="1"/>
    <col min="27" max="27" width="8.85546875" style="38" customWidth="1"/>
    <col min="28" max="28" width="9.42578125" style="38" bestFit="1" customWidth="1"/>
    <col min="29" max="29" width="8.85546875" style="38" customWidth="1"/>
    <col min="30" max="30" width="9.42578125" style="38" bestFit="1" customWidth="1"/>
    <col min="31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</row>
    <row r="3" spans="1:47" ht="18.75" thickBot="1" x14ac:dyDescent="0.3">
      <c r="A3" s="123" t="s">
        <v>43</v>
      </c>
      <c r="B3" s="123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</row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32.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29</v>
      </c>
      <c r="X7" s="7">
        <v>1</v>
      </c>
      <c r="Y7" s="7"/>
      <c r="Z7" s="7">
        <v>5</v>
      </c>
      <c r="AA7" s="8">
        <v>1</v>
      </c>
      <c r="AB7" s="6">
        <v>15</v>
      </c>
      <c r="AC7" s="7"/>
      <c r="AD7" s="7"/>
      <c r="AE7" s="7">
        <v>2</v>
      </c>
      <c r="AF7" s="8">
        <v>1</v>
      </c>
      <c r="AG7" s="6">
        <v>5</v>
      </c>
      <c r="AH7" s="7"/>
      <c r="AI7" s="7">
        <v>5</v>
      </c>
      <c r="AJ7" s="7"/>
      <c r="AK7" s="8"/>
      <c r="AL7" s="83">
        <v>0.25</v>
      </c>
      <c r="AM7" s="84"/>
      <c r="AN7" s="84"/>
      <c r="AO7" s="84">
        <f>20/100</f>
        <v>0.2</v>
      </c>
      <c r="AP7" s="85">
        <f>20/20</f>
        <v>1</v>
      </c>
      <c r="AQ7" s="6">
        <v>3</v>
      </c>
      <c r="AR7" s="7"/>
      <c r="AS7" s="8">
        <f>2+10</f>
        <v>12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>
        <v>25</v>
      </c>
      <c r="X8" s="10"/>
      <c r="Y8" s="10">
        <v>1</v>
      </c>
      <c r="Z8" s="10">
        <v>3</v>
      </c>
      <c r="AA8" s="11"/>
      <c r="AB8" s="9">
        <v>11</v>
      </c>
      <c r="AC8" s="10"/>
      <c r="AD8" s="10">
        <v>1</v>
      </c>
      <c r="AE8" s="10">
        <v>2</v>
      </c>
      <c r="AF8" s="11"/>
      <c r="AG8" s="6">
        <v>5</v>
      </c>
      <c r="AH8" s="10"/>
      <c r="AI8" s="7">
        <v>5</v>
      </c>
      <c r="AJ8" s="10"/>
      <c r="AK8" s="11"/>
      <c r="AL8" s="86">
        <v>0.83</v>
      </c>
      <c r="AM8" s="87"/>
      <c r="AN8" s="87">
        <f>3/20</f>
        <v>0.15</v>
      </c>
      <c r="AO8" s="87">
        <f>40/100</f>
        <v>0.4</v>
      </c>
      <c r="AP8" s="88">
        <f>10/20</f>
        <v>0.5</v>
      </c>
      <c r="AQ8" s="9">
        <f>10+5</f>
        <v>15</v>
      </c>
      <c r="AR8" s="10"/>
      <c r="AS8" s="11">
        <f>4+4</f>
        <v>8</v>
      </c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>
        <v>28</v>
      </c>
      <c r="X9" s="10"/>
      <c r="Y9" s="10"/>
      <c r="Z9" s="10"/>
      <c r="AA9" s="11"/>
      <c r="AB9" s="9">
        <v>15</v>
      </c>
      <c r="AC9" s="10"/>
      <c r="AD9" s="10"/>
      <c r="AE9" s="10"/>
      <c r="AF9" s="11"/>
      <c r="AG9" s="6">
        <v>5</v>
      </c>
      <c r="AH9" s="10"/>
      <c r="AI9" s="7">
        <v>5</v>
      </c>
      <c r="AJ9" s="10"/>
      <c r="AK9" s="11"/>
      <c r="AL9" s="86">
        <v>0.5</v>
      </c>
      <c r="AM9" s="87"/>
      <c r="AN9" s="87"/>
      <c r="AO9" s="87">
        <f>60/100</f>
        <v>0.6</v>
      </c>
      <c r="AP9" s="88">
        <f>10/20</f>
        <v>0.5</v>
      </c>
      <c r="AQ9" s="9">
        <v>6</v>
      </c>
      <c r="AR9" s="10"/>
      <c r="AS9" s="11">
        <f>6+4</f>
        <v>10</v>
      </c>
      <c r="AT9" s="22" t="s">
        <v>47</v>
      </c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>
        <v>31</v>
      </c>
      <c r="X10" s="10">
        <v>1</v>
      </c>
      <c r="Y10" s="10"/>
      <c r="Z10" s="10">
        <v>4</v>
      </c>
      <c r="AA10" s="11"/>
      <c r="AB10" s="9">
        <v>15</v>
      </c>
      <c r="AC10" s="10"/>
      <c r="AD10" s="10"/>
      <c r="AE10" s="10"/>
      <c r="AF10" s="11">
        <v>4</v>
      </c>
      <c r="AG10" s="6">
        <v>5</v>
      </c>
      <c r="AH10" s="10"/>
      <c r="AI10" s="7">
        <v>5</v>
      </c>
      <c r="AJ10" s="10"/>
      <c r="AK10" s="11"/>
      <c r="AL10" s="86">
        <v>0.33</v>
      </c>
      <c r="AM10" s="87"/>
      <c r="AN10" s="87">
        <f>3/20</f>
        <v>0.15</v>
      </c>
      <c r="AO10" s="87">
        <f>50/100</f>
        <v>0.5</v>
      </c>
      <c r="AP10" s="88">
        <f>20/20</f>
        <v>1</v>
      </c>
      <c r="AQ10" s="9">
        <f>4+5</f>
        <v>9</v>
      </c>
      <c r="AR10" s="10"/>
      <c r="AS10" s="11">
        <f>5+10</f>
        <v>15</v>
      </c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>
        <v>28</v>
      </c>
      <c r="X11" s="10"/>
      <c r="Y11" s="10"/>
      <c r="Z11" s="10">
        <v>1</v>
      </c>
      <c r="AA11" s="11">
        <v>3</v>
      </c>
      <c r="AB11" s="9">
        <v>13</v>
      </c>
      <c r="AC11" s="10"/>
      <c r="AD11" s="10"/>
      <c r="AE11" s="10"/>
      <c r="AF11" s="11"/>
      <c r="AG11" s="6">
        <v>5</v>
      </c>
      <c r="AH11" s="10"/>
      <c r="AI11" s="7">
        <v>5</v>
      </c>
      <c r="AJ11" s="10"/>
      <c r="AK11" s="11"/>
      <c r="AL11" s="86">
        <v>0.25</v>
      </c>
      <c r="AM11" s="87"/>
      <c r="AN11" s="87">
        <f>3/20</f>
        <v>0.15</v>
      </c>
      <c r="AO11" s="87">
        <f>40/100</f>
        <v>0.4</v>
      </c>
      <c r="AP11" s="88">
        <f>20/20</f>
        <v>1</v>
      </c>
      <c r="AQ11" s="9">
        <f>3+5</f>
        <v>8</v>
      </c>
      <c r="AR11" s="10"/>
      <c r="AS11" s="11">
        <f>4+10</f>
        <v>14</v>
      </c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>
        <v>23</v>
      </c>
      <c r="X12" s="10">
        <v>1</v>
      </c>
      <c r="Y12" s="10"/>
      <c r="Z12" s="10">
        <v>6</v>
      </c>
      <c r="AA12" s="11"/>
      <c r="AB12" s="9">
        <v>11</v>
      </c>
      <c r="AC12" s="10"/>
      <c r="AD12" s="10"/>
      <c r="AE12" s="10">
        <v>3</v>
      </c>
      <c r="AF12" s="11"/>
      <c r="AG12" s="6">
        <v>5</v>
      </c>
      <c r="AH12" s="10"/>
      <c r="AI12" s="7">
        <v>5</v>
      </c>
      <c r="AJ12" s="10"/>
      <c r="AK12" s="11"/>
      <c r="AL12" s="86">
        <v>0.25</v>
      </c>
      <c r="AM12" s="87"/>
      <c r="AN12" s="87">
        <f>3/20</f>
        <v>0.15</v>
      </c>
      <c r="AO12" s="87">
        <f>20/100</f>
        <v>0.2</v>
      </c>
      <c r="AP12" s="88">
        <f>15/20</f>
        <v>0.75</v>
      </c>
      <c r="AQ12" s="9">
        <f>3+5</f>
        <v>8</v>
      </c>
      <c r="AR12" s="10"/>
      <c r="AS12" s="11">
        <f>2+6</f>
        <v>8</v>
      </c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>
        <v>26</v>
      </c>
      <c r="X13" s="10"/>
      <c r="Y13" s="10">
        <v>2</v>
      </c>
      <c r="Z13" s="10"/>
      <c r="AA13" s="11">
        <v>2</v>
      </c>
      <c r="AB13" s="9">
        <v>16</v>
      </c>
      <c r="AC13" s="10"/>
      <c r="AD13" s="10">
        <v>1</v>
      </c>
      <c r="AE13" s="10"/>
      <c r="AF13" s="11">
        <v>1</v>
      </c>
      <c r="AG13" s="6">
        <v>5</v>
      </c>
      <c r="AH13" s="10"/>
      <c r="AI13" s="7">
        <v>5</v>
      </c>
      <c r="AJ13" s="10"/>
      <c r="AK13" s="11"/>
      <c r="AL13" s="86">
        <v>0.67</v>
      </c>
      <c r="AM13" s="87"/>
      <c r="AN13" s="87">
        <f>3/20</f>
        <v>0.15</v>
      </c>
      <c r="AO13" s="87">
        <f>20/100</f>
        <v>0.2</v>
      </c>
      <c r="AP13" s="88">
        <f>20/20</f>
        <v>1</v>
      </c>
      <c r="AQ13" s="9">
        <f>8+5</f>
        <v>13</v>
      </c>
      <c r="AR13" s="10"/>
      <c r="AS13" s="11">
        <f>2+10</f>
        <v>12</v>
      </c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>
        <v>30</v>
      </c>
      <c r="X14" s="10"/>
      <c r="Y14" s="10"/>
      <c r="Z14" s="10"/>
      <c r="AA14" s="11"/>
      <c r="AB14" s="9">
        <v>20</v>
      </c>
      <c r="AC14" s="10"/>
      <c r="AD14" s="10"/>
      <c r="AE14" s="10"/>
      <c r="AF14" s="11"/>
      <c r="AG14" s="6">
        <v>5</v>
      </c>
      <c r="AH14" s="10"/>
      <c r="AI14" s="7">
        <v>5</v>
      </c>
      <c r="AJ14" s="10"/>
      <c r="AK14" s="11"/>
      <c r="AL14" s="86">
        <v>0.33</v>
      </c>
      <c r="AM14" s="87"/>
      <c r="AN14" s="87"/>
      <c r="AO14" s="87">
        <f>30/100</f>
        <v>0.3</v>
      </c>
      <c r="AP14" s="88">
        <f>40/20</f>
        <v>2</v>
      </c>
      <c r="AQ14" s="9">
        <v>4</v>
      </c>
      <c r="AR14" s="10"/>
      <c r="AS14" s="11">
        <f>3+20</f>
        <v>23</v>
      </c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>
        <v>34</v>
      </c>
      <c r="X15" s="10">
        <v>1</v>
      </c>
      <c r="Y15" s="10"/>
      <c r="Z15" s="10"/>
      <c r="AA15" s="11">
        <v>2</v>
      </c>
      <c r="AB15" s="9">
        <v>16</v>
      </c>
      <c r="AC15" s="10"/>
      <c r="AD15" s="10"/>
      <c r="AE15" s="10"/>
      <c r="AF15" s="11"/>
      <c r="AG15" s="6">
        <v>5</v>
      </c>
      <c r="AH15" s="10"/>
      <c r="AI15" s="7">
        <v>5</v>
      </c>
      <c r="AJ15" s="10"/>
      <c r="AK15" s="11"/>
      <c r="AL15" s="86">
        <v>0.17</v>
      </c>
      <c r="AM15" s="87"/>
      <c r="AN15" s="87"/>
      <c r="AO15" s="87">
        <f>40/100</f>
        <v>0.4</v>
      </c>
      <c r="AP15" s="88">
        <f>20/20</f>
        <v>1</v>
      </c>
      <c r="AQ15" s="9">
        <v>2</v>
      </c>
      <c r="AR15" s="10"/>
      <c r="AS15" s="11">
        <f>4+10</f>
        <v>14</v>
      </c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>
        <v>28</v>
      </c>
      <c r="X16" s="10"/>
      <c r="Y16" s="10"/>
      <c r="Z16" s="10">
        <v>1</v>
      </c>
      <c r="AA16" s="11"/>
      <c r="AB16" s="9">
        <v>14</v>
      </c>
      <c r="AC16" s="10"/>
      <c r="AD16" s="10"/>
      <c r="AE16" s="10"/>
      <c r="AF16" s="11"/>
      <c r="AG16" s="6">
        <v>5</v>
      </c>
      <c r="AH16" s="10"/>
      <c r="AI16" s="7">
        <v>5</v>
      </c>
      <c r="AJ16" s="10"/>
      <c r="AK16" s="11"/>
      <c r="AL16" s="86">
        <v>0.5</v>
      </c>
      <c r="AM16" s="87"/>
      <c r="AN16" s="87">
        <f>3/20</f>
        <v>0.15</v>
      </c>
      <c r="AO16" s="87">
        <f>60/100</f>
        <v>0.6</v>
      </c>
      <c r="AP16" s="88">
        <f>10/20</f>
        <v>0.5</v>
      </c>
      <c r="AQ16" s="9">
        <f>6+5</f>
        <v>11</v>
      </c>
      <c r="AR16" s="10"/>
      <c r="AS16" s="11">
        <f>6+4</f>
        <v>10</v>
      </c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>
        <v>26</v>
      </c>
      <c r="X17" s="10"/>
      <c r="Y17" s="10">
        <v>2</v>
      </c>
      <c r="Z17" s="10">
        <v>1</v>
      </c>
      <c r="AA17" s="11"/>
      <c r="AB17" s="9">
        <v>15</v>
      </c>
      <c r="AC17" s="10"/>
      <c r="AD17" s="10">
        <v>1</v>
      </c>
      <c r="AE17" s="10"/>
      <c r="AF17" s="11"/>
      <c r="AG17" s="6">
        <v>5</v>
      </c>
      <c r="AH17" s="10"/>
      <c r="AI17" s="7">
        <v>5</v>
      </c>
      <c r="AJ17" s="10"/>
      <c r="AK17" s="11"/>
      <c r="AL17" s="86">
        <v>0.33</v>
      </c>
      <c r="AM17" s="87"/>
      <c r="AN17" s="87"/>
      <c r="AO17" s="87">
        <f>40/100</f>
        <v>0.4</v>
      </c>
      <c r="AP17" s="88">
        <f>5/20</f>
        <v>0.25</v>
      </c>
      <c r="AQ17" s="9">
        <v>4</v>
      </c>
      <c r="AR17" s="10"/>
      <c r="AS17" s="11">
        <f>4+2</f>
        <v>6</v>
      </c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>
        <v>33</v>
      </c>
      <c r="X18" s="10">
        <v>1</v>
      </c>
      <c r="Y18" s="10"/>
      <c r="Z18" s="10"/>
      <c r="AA18" s="11"/>
      <c r="AB18" s="9">
        <v>16</v>
      </c>
      <c r="AC18" s="10"/>
      <c r="AD18" s="10"/>
      <c r="AE18" s="10"/>
      <c r="AF18" s="11"/>
      <c r="AG18" s="6">
        <v>5</v>
      </c>
      <c r="AH18" s="10"/>
      <c r="AI18" s="7">
        <v>5</v>
      </c>
      <c r="AJ18" s="10"/>
      <c r="AK18" s="11"/>
      <c r="AL18" s="86">
        <v>0.33</v>
      </c>
      <c r="AM18" s="87"/>
      <c r="AN18" s="87"/>
      <c r="AO18" s="87">
        <f>20/100</f>
        <v>0.2</v>
      </c>
      <c r="AP18" s="88">
        <f>10/20</f>
        <v>0.5</v>
      </c>
      <c r="AQ18" s="9">
        <v>4</v>
      </c>
      <c r="AR18" s="10"/>
      <c r="AS18" s="11">
        <f>2+4</f>
        <v>6</v>
      </c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>
        <v>28</v>
      </c>
      <c r="X19" s="10"/>
      <c r="Y19" s="10">
        <v>3</v>
      </c>
      <c r="Z19" s="10">
        <v>1</v>
      </c>
      <c r="AA19" s="11"/>
      <c r="AB19" s="9">
        <v>12</v>
      </c>
      <c r="AC19" s="10"/>
      <c r="AD19" s="10">
        <v>1</v>
      </c>
      <c r="AE19" s="10">
        <v>1</v>
      </c>
      <c r="AF19" s="11"/>
      <c r="AG19" s="6">
        <v>5</v>
      </c>
      <c r="AH19" s="10"/>
      <c r="AI19" s="7">
        <v>5</v>
      </c>
      <c r="AJ19" s="10"/>
      <c r="AK19" s="11"/>
      <c r="AL19" s="86">
        <v>0.42</v>
      </c>
      <c r="AM19" s="87"/>
      <c r="AN19" s="87"/>
      <c r="AO19" s="87">
        <f>50/100</f>
        <v>0.5</v>
      </c>
      <c r="AP19" s="88">
        <f>13/20</f>
        <v>0.65</v>
      </c>
      <c r="AQ19" s="9">
        <v>5</v>
      </c>
      <c r="AR19" s="10"/>
      <c r="AS19" s="11">
        <f>5+4</f>
        <v>9</v>
      </c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>
        <v>25</v>
      </c>
      <c r="X20" s="10"/>
      <c r="Y20" s="10"/>
      <c r="Z20" s="10">
        <v>2</v>
      </c>
      <c r="AA20" s="11"/>
      <c r="AB20" s="9">
        <v>16</v>
      </c>
      <c r="AC20" s="10"/>
      <c r="AD20" s="10"/>
      <c r="AE20" s="10"/>
      <c r="AF20" s="11"/>
      <c r="AG20" s="6">
        <v>5</v>
      </c>
      <c r="AH20" s="10"/>
      <c r="AI20" s="7">
        <v>5</v>
      </c>
      <c r="AJ20" s="10"/>
      <c r="AK20" s="11"/>
      <c r="AL20" s="86">
        <v>0.33</v>
      </c>
      <c r="AM20" s="87"/>
      <c r="AN20" s="87">
        <f>2/20</f>
        <v>0.1</v>
      </c>
      <c r="AO20" s="87">
        <f>60/100</f>
        <v>0.6</v>
      </c>
      <c r="AP20" s="88">
        <f>15/20</f>
        <v>0.75</v>
      </c>
      <c r="AQ20" s="9">
        <v>4</v>
      </c>
      <c r="AR20" s="10"/>
      <c r="AS20" s="11">
        <f>6+6</f>
        <v>12</v>
      </c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>
        <v>20</v>
      </c>
      <c r="X21" s="10">
        <v>1</v>
      </c>
      <c r="Y21" s="10"/>
      <c r="Z21" s="10">
        <v>1</v>
      </c>
      <c r="AA21" s="11">
        <v>1</v>
      </c>
      <c r="AB21" s="9">
        <v>13</v>
      </c>
      <c r="AC21" s="10"/>
      <c r="AD21" s="10"/>
      <c r="AE21" s="10"/>
      <c r="AF21" s="11"/>
      <c r="AG21" s="6">
        <v>5</v>
      </c>
      <c r="AH21" s="10"/>
      <c r="AI21" s="7">
        <v>5</v>
      </c>
      <c r="AJ21" s="10"/>
      <c r="AK21" s="11"/>
      <c r="AL21" s="86">
        <v>0.17</v>
      </c>
      <c r="AM21" s="87"/>
      <c r="AN21" s="87"/>
      <c r="AO21" s="87">
        <f>40/100</f>
        <v>0.4</v>
      </c>
      <c r="AP21" s="88">
        <f>40/20</f>
        <v>2</v>
      </c>
      <c r="AQ21" s="9">
        <v>2</v>
      </c>
      <c r="AR21" s="10"/>
      <c r="AS21" s="11">
        <f>4+20</f>
        <v>24</v>
      </c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>
        <v>26</v>
      </c>
      <c r="X22" s="10"/>
      <c r="Y22" s="10">
        <v>2</v>
      </c>
      <c r="Z22" s="10"/>
      <c r="AA22" s="11"/>
      <c r="AB22" s="9">
        <v>15</v>
      </c>
      <c r="AC22" s="10"/>
      <c r="AD22" s="10">
        <v>2</v>
      </c>
      <c r="AE22" s="10"/>
      <c r="AF22" s="11"/>
      <c r="AG22" s="6">
        <v>5</v>
      </c>
      <c r="AH22" s="10"/>
      <c r="AI22" s="7">
        <v>5</v>
      </c>
      <c r="AJ22" s="10"/>
      <c r="AK22" s="11"/>
      <c r="AL22" s="86">
        <v>0.33</v>
      </c>
      <c r="AM22" s="87"/>
      <c r="AN22" s="87">
        <f>3/20</f>
        <v>0.15</v>
      </c>
      <c r="AO22" s="87">
        <f>50/100</f>
        <v>0.5</v>
      </c>
      <c r="AP22" s="88">
        <f>20/20</f>
        <v>1</v>
      </c>
      <c r="AQ22" s="9">
        <f>4+5</f>
        <v>9</v>
      </c>
      <c r="AR22" s="10"/>
      <c r="AS22" s="11">
        <f>5+10</f>
        <v>15</v>
      </c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>
        <v>30</v>
      </c>
      <c r="X23" s="10"/>
      <c r="Y23" s="10"/>
      <c r="Z23" s="10"/>
      <c r="AA23" s="11">
        <v>1</v>
      </c>
      <c r="AB23" s="9">
        <v>15</v>
      </c>
      <c r="AC23" s="10"/>
      <c r="AD23" s="10"/>
      <c r="AE23" s="10"/>
      <c r="AF23" s="11"/>
      <c r="AG23" s="6">
        <v>5</v>
      </c>
      <c r="AH23" s="10"/>
      <c r="AI23" s="7">
        <v>5</v>
      </c>
      <c r="AJ23" s="10"/>
      <c r="AK23" s="11"/>
      <c r="AL23" s="86">
        <v>0.25</v>
      </c>
      <c r="AM23" s="87"/>
      <c r="AN23" s="87"/>
      <c r="AO23" s="87">
        <f>40/100</f>
        <v>0.4</v>
      </c>
      <c r="AP23" s="88">
        <f>20/20</f>
        <v>1</v>
      </c>
      <c r="AQ23" s="9">
        <v>2</v>
      </c>
      <c r="AR23" s="10"/>
      <c r="AS23" s="11">
        <f>4+10</f>
        <v>14</v>
      </c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>
        <v>29</v>
      </c>
      <c r="X24" s="10"/>
      <c r="Y24" s="10">
        <v>1</v>
      </c>
      <c r="Z24" s="10"/>
      <c r="AA24" s="11"/>
      <c r="AB24" s="9">
        <v>10</v>
      </c>
      <c r="AC24" s="10"/>
      <c r="AD24" s="10"/>
      <c r="AE24" s="10"/>
      <c r="AF24" s="11"/>
      <c r="AG24" s="6">
        <v>5</v>
      </c>
      <c r="AH24" s="10"/>
      <c r="AI24" s="7">
        <v>5</v>
      </c>
      <c r="AJ24" s="10"/>
      <c r="AK24" s="11"/>
      <c r="AL24" s="86">
        <v>0.08</v>
      </c>
      <c r="AM24" s="87"/>
      <c r="AN24" s="87">
        <f>2/20</f>
        <v>0.1</v>
      </c>
      <c r="AO24" s="87">
        <f>30/100</f>
        <v>0.3</v>
      </c>
      <c r="AP24" s="88">
        <f>30/20</f>
        <v>1.5</v>
      </c>
      <c r="AQ24" s="9">
        <v>1</v>
      </c>
      <c r="AR24" s="10"/>
      <c r="AS24" s="11">
        <f>3+14</f>
        <v>17</v>
      </c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>
        <v>32</v>
      </c>
      <c r="X25" s="10"/>
      <c r="Y25" s="10"/>
      <c r="Z25" s="10">
        <v>3</v>
      </c>
      <c r="AA25" s="11"/>
      <c r="AB25" s="9">
        <v>13</v>
      </c>
      <c r="AC25" s="10"/>
      <c r="AD25" s="10"/>
      <c r="AE25" s="10">
        <v>2</v>
      </c>
      <c r="AF25" s="11"/>
      <c r="AG25" s="6">
        <v>5</v>
      </c>
      <c r="AH25" s="10"/>
      <c r="AI25" s="7">
        <v>5</v>
      </c>
      <c r="AJ25" s="10"/>
      <c r="AK25" s="11"/>
      <c r="AL25" s="86">
        <v>0.33</v>
      </c>
      <c r="AM25" s="87"/>
      <c r="AN25" s="87">
        <f>1/20</f>
        <v>0.05</v>
      </c>
      <c r="AO25" s="87">
        <f>60/100</f>
        <v>0.6</v>
      </c>
      <c r="AP25" s="88">
        <f>20/20</f>
        <v>1</v>
      </c>
      <c r="AQ25" s="9">
        <v>4</v>
      </c>
      <c r="AR25" s="10"/>
      <c r="AS25" s="11">
        <f>6+10</f>
        <v>16</v>
      </c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>
        <v>27</v>
      </c>
      <c r="X26" s="10"/>
      <c r="Y26" s="10"/>
      <c r="Z26" s="10">
        <v>3</v>
      </c>
      <c r="AA26" s="11"/>
      <c r="AB26" s="9">
        <v>15</v>
      </c>
      <c r="AC26" s="10"/>
      <c r="AD26" s="10"/>
      <c r="AE26" s="10">
        <v>1</v>
      </c>
      <c r="AF26" s="11"/>
      <c r="AG26" s="9">
        <v>5</v>
      </c>
      <c r="AH26" s="10"/>
      <c r="AI26" s="7">
        <v>5</v>
      </c>
      <c r="AJ26" s="10"/>
      <c r="AK26" s="11"/>
      <c r="AL26" s="86">
        <v>0.42</v>
      </c>
      <c r="AM26" s="87"/>
      <c r="AN26" s="87">
        <f>3/20</f>
        <v>0.15</v>
      </c>
      <c r="AO26" s="87">
        <f>30/100</f>
        <v>0.3</v>
      </c>
      <c r="AP26" s="88">
        <f>20/20</f>
        <v>1</v>
      </c>
      <c r="AQ26" s="9">
        <f>5+5</f>
        <v>10</v>
      </c>
      <c r="AR26" s="10"/>
      <c r="AS26" s="11">
        <f>3+10</f>
        <v>13</v>
      </c>
      <c r="AT26" s="22"/>
      <c r="AU26" s="14"/>
    </row>
    <row r="27" spans="1:47" ht="31.9" customHeight="1" x14ac:dyDescent="0.2">
      <c r="A27" s="102">
        <v>21</v>
      </c>
      <c r="B27" s="103"/>
      <c r="C27" s="104">
        <f t="shared" si="1"/>
        <v>15</v>
      </c>
      <c r="D27" s="105">
        <f t="shared" si="1"/>
        <v>3</v>
      </c>
      <c r="E27" s="105">
        <f t="shared" si="1"/>
        <v>5</v>
      </c>
      <c r="F27" s="105">
        <f t="shared" si="1"/>
        <v>2</v>
      </c>
      <c r="G27" s="106">
        <f t="shared" si="1"/>
        <v>5</v>
      </c>
      <c r="H27" s="104">
        <f t="shared" si="1"/>
        <v>3</v>
      </c>
      <c r="I27" s="105">
        <f t="shared" si="1"/>
        <v>1</v>
      </c>
      <c r="J27" s="105">
        <f t="shared" si="1"/>
        <v>1</v>
      </c>
      <c r="K27" s="105">
        <f t="shared" si="1"/>
        <v>1</v>
      </c>
      <c r="L27" s="106">
        <f t="shared" si="1"/>
        <v>1</v>
      </c>
      <c r="M27" s="104">
        <f t="shared" si="1"/>
        <v>3</v>
      </c>
      <c r="N27" s="105">
        <f t="shared" si="1"/>
        <v>1</v>
      </c>
      <c r="O27" s="105">
        <f t="shared" si="1"/>
        <v>3</v>
      </c>
      <c r="P27" s="105">
        <f t="shared" si="1"/>
        <v>0</v>
      </c>
      <c r="Q27" s="106">
        <f t="shared" si="1"/>
        <v>0</v>
      </c>
      <c r="R27" s="107">
        <f t="shared" si="1"/>
        <v>0.5</v>
      </c>
      <c r="S27" s="108">
        <f t="shared" si="2"/>
        <v>0.16666666666666666</v>
      </c>
      <c r="T27" s="108">
        <f t="shared" si="2"/>
        <v>0.1</v>
      </c>
      <c r="U27" s="108">
        <f t="shared" si="2"/>
        <v>0.6</v>
      </c>
      <c r="V27" s="109">
        <f t="shared" si="2"/>
        <v>0.15</v>
      </c>
      <c r="W27" s="104">
        <f t="shared" ref="W27:AB27" si="3">SUM(W7:W26)</f>
        <v>558</v>
      </c>
      <c r="X27" s="105">
        <f t="shared" si="3"/>
        <v>6</v>
      </c>
      <c r="Y27" s="105">
        <f t="shared" si="3"/>
        <v>11</v>
      </c>
      <c r="Z27" s="105">
        <f t="shared" si="3"/>
        <v>31</v>
      </c>
      <c r="AA27" s="106">
        <f t="shared" si="3"/>
        <v>10</v>
      </c>
      <c r="AB27" s="104"/>
      <c r="AC27" s="105"/>
      <c r="AD27" s="105"/>
      <c r="AE27" s="105"/>
      <c r="AF27" s="106"/>
      <c r="AG27" s="104"/>
      <c r="AH27" s="105"/>
      <c r="AI27" s="105"/>
      <c r="AJ27" s="105"/>
      <c r="AK27" s="106"/>
      <c r="AL27" s="110"/>
      <c r="AM27" s="111"/>
      <c r="AN27" s="111"/>
      <c r="AO27" s="111"/>
      <c r="AP27" s="100"/>
      <c r="AQ27" s="104"/>
      <c r="AR27" s="105"/>
      <c r="AS27" s="106"/>
      <c r="AT27" s="112"/>
      <c r="AU27" s="113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86"/>
      <c r="AM28" s="87"/>
      <c r="AN28" s="87"/>
      <c r="AO28" s="87"/>
      <c r="AP28" s="88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86"/>
      <c r="AM29" s="87"/>
      <c r="AN29" s="87"/>
      <c r="AO29" s="87"/>
      <c r="AP29" s="88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86"/>
      <c r="AM30" s="87"/>
      <c r="AN30" s="87"/>
      <c r="AO30" s="87"/>
      <c r="AP30" s="88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86"/>
      <c r="AM31" s="87"/>
      <c r="AN31" s="87"/>
      <c r="AO31" s="87"/>
      <c r="AP31" s="88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86"/>
      <c r="AM32" s="87"/>
      <c r="AN32" s="87"/>
      <c r="AO32" s="87"/>
      <c r="AP32" s="88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86"/>
      <c r="AM33" s="87"/>
      <c r="AN33" s="87"/>
      <c r="AO33" s="87"/>
      <c r="AP33" s="88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86"/>
      <c r="AM34" s="87"/>
      <c r="AN34" s="87"/>
      <c r="AO34" s="87"/>
      <c r="AP34" s="88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86"/>
      <c r="AM35" s="87"/>
      <c r="AN35" s="87"/>
      <c r="AO35" s="87"/>
      <c r="AP35" s="88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4">+F$2</f>
        <v>2</v>
      </c>
      <c r="G36" s="31">
        <f t="shared" si="4"/>
        <v>5</v>
      </c>
      <c r="H36" s="29">
        <f t="shared" si="4"/>
        <v>3</v>
      </c>
      <c r="I36" s="30">
        <f t="shared" si="4"/>
        <v>1</v>
      </c>
      <c r="J36" s="30">
        <f t="shared" si="4"/>
        <v>1</v>
      </c>
      <c r="K36" s="30">
        <f t="shared" si="4"/>
        <v>1</v>
      </c>
      <c r="L36" s="31">
        <f t="shared" si="4"/>
        <v>1</v>
      </c>
      <c r="M36" s="29">
        <f t="shared" si="4"/>
        <v>3</v>
      </c>
      <c r="N36" s="30">
        <f t="shared" si="4"/>
        <v>1</v>
      </c>
      <c r="O36" s="30">
        <f t="shared" si="4"/>
        <v>3</v>
      </c>
      <c r="P36" s="30">
        <f t="shared" si="4"/>
        <v>0</v>
      </c>
      <c r="Q36" s="31">
        <f t="shared" si="4"/>
        <v>0</v>
      </c>
      <c r="R36" s="64">
        <f t="shared" si="4"/>
        <v>0.5</v>
      </c>
      <c r="S36" s="65">
        <f t="shared" si="4"/>
        <v>0.16666666666666666</v>
      </c>
      <c r="T36" s="65">
        <f t="shared" si="4"/>
        <v>0.1</v>
      </c>
      <c r="U36" s="65">
        <f t="shared" si="4"/>
        <v>0.6</v>
      </c>
      <c r="V36" s="66">
        <f t="shared" si="4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90"/>
      <c r="AM36" s="91"/>
      <c r="AN36" s="91"/>
      <c r="AO36" s="91"/>
      <c r="AP36" s="92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5">SUM(D7:D36)</f>
        <v>90</v>
      </c>
      <c r="E37" s="40">
        <f t="shared" si="5"/>
        <v>150</v>
      </c>
      <c r="F37" s="40">
        <f t="shared" si="5"/>
        <v>60</v>
      </c>
      <c r="G37" s="41">
        <f t="shared" si="5"/>
        <v>150</v>
      </c>
      <c r="H37" s="39">
        <f t="shared" si="5"/>
        <v>90</v>
      </c>
      <c r="I37" s="40">
        <f t="shared" si="5"/>
        <v>30</v>
      </c>
      <c r="J37" s="40">
        <f t="shared" si="5"/>
        <v>30</v>
      </c>
      <c r="K37" s="40">
        <f t="shared" si="5"/>
        <v>30</v>
      </c>
      <c r="L37" s="41">
        <f t="shared" si="5"/>
        <v>30</v>
      </c>
      <c r="M37" s="39">
        <f t="shared" si="5"/>
        <v>90</v>
      </c>
      <c r="N37" s="40">
        <f t="shared" si="5"/>
        <v>30</v>
      </c>
      <c r="O37" s="40">
        <f t="shared" si="5"/>
        <v>90</v>
      </c>
      <c r="P37" s="40">
        <f t="shared" si="5"/>
        <v>0</v>
      </c>
      <c r="Q37" s="41">
        <f t="shared" si="5"/>
        <v>0</v>
      </c>
      <c r="R37" s="39">
        <f>SUM(R7:R36)</f>
        <v>15</v>
      </c>
      <c r="S37" s="40">
        <f t="shared" si="5"/>
        <v>5</v>
      </c>
      <c r="T37" s="40">
        <f t="shared" si="5"/>
        <v>3.0000000000000013</v>
      </c>
      <c r="U37" s="40">
        <f t="shared" si="5"/>
        <v>18</v>
      </c>
      <c r="V37" s="41">
        <f t="shared" si="5"/>
        <v>4.5</v>
      </c>
      <c r="W37" s="39">
        <f t="shared" si="5"/>
        <v>1116</v>
      </c>
      <c r="X37" s="40">
        <f t="shared" si="5"/>
        <v>12</v>
      </c>
      <c r="Y37" s="40">
        <f t="shared" si="5"/>
        <v>22</v>
      </c>
      <c r="Z37" s="40">
        <f t="shared" si="5"/>
        <v>62</v>
      </c>
      <c r="AA37" s="41">
        <f t="shared" si="5"/>
        <v>20</v>
      </c>
      <c r="AB37" s="39">
        <f t="shared" si="5"/>
        <v>286</v>
      </c>
      <c r="AC37" s="40">
        <f t="shared" si="5"/>
        <v>0</v>
      </c>
      <c r="AD37" s="40">
        <f t="shared" si="5"/>
        <v>6</v>
      </c>
      <c r="AE37" s="40">
        <f t="shared" si="5"/>
        <v>11</v>
      </c>
      <c r="AF37" s="41">
        <f t="shared" si="5"/>
        <v>6</v>
      </c>
      <c r="AG37" s="39">
        <f t="shared" si="5"/>
        <v>100</v>
      </c>
      <c r="AH37" s="40">
        <f t="shared" si="5"/>
        <v>0</v>
      </c>
      <c r="AI37" s="40">
        <f t="shared" si="5"/>
        <v>100</v>
      </c>
      <c r="AJ37" s="40">
        <f t="shared" si="5"/>
        <v>0</v>
      </c>
      <c r="AK37" s="41">
        <f t="shared" si="5"/>
        <v>0</v>
      </c>
      <c r="AL37" s="156">
        <f t="shared" si="5"/>
        <v>7.07</v>
      </c>
      <c r="AM37" s="157">
        <f t="shared" si="5"/>
        <v>0</v>
      </c>
      <c r="AN37" s="157">
        <f t="shared" si="5"/>
        <v>1.45</v>
      </c>
      <c r="AO37" s="157">
        <f t="shared" si="5"/>
        <v>8</v>
      </c>
      <c r="AP37" s="158">
        <f t="shared" si="5"/>
        <v>18.899999999999999</v>
      </c>
      <c r="AQ37" s="156">
        <f t="shared" si="5"/>
        <v>124</v>
      </c>
      <c r="AR37" s="157">
        <f t="shared" si="5"/>
        <v>0</v>
      </c>
      <c r="AS37" s="158">
        <f t="shared" si="5"/>
        <v>258</v>
      </c>
      <c r="AT37" s="25">
        <f t="shared" ref="AT37:AU37" si="6">SUM(AT7:AT36)</f>
        <v>0</v>
      </c>
      <c r="AU37" s="2">
        <f t="shared" si="6"/>
        <v>0</v>
      </c>
    </row>
    <row r="39" spans="1:47" x14ac:dyDescent="0.25">
      <c r="AQ39" s="99"/>
      <c r="AR39" s="99"/>
      <c r="AS39" s="99"/>
    </row>
  </sheetData>
  <mergeCells count="16">
    <mergeCell ref="A3:B3"/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1D32-083D-47F5-B219-87B135E070CD}">
  <dimension ref="A1:AU37"/>
  <sheetViews>
    <sheetView zoomScale="80" zoomScaleNormal="80" workbookViewId="0">
      <pane xSplit="2" ySplit="6" topLeftCell="G7" activePane="bottomRight" state="frozen"/>
      <selection activeCell="X13" sqref="X13"/>
      <selection pane="topRight" activeCell="X13" sqref="X13"/>
      <selection pane="bottomLeft" activeCell="X13" sqref="X13"/>
      <selection pane="bottomRight" activeCell="AU16" sqref="AU16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4" width="8.85546875" style="38" customWidth="1"/>
    <col min="25" max="25" width="9.42578125" style="38" bestFit="1" customWidth="1"/>
    <col min="26" max="27" width="8.85546875" style="38" customWidth="1"/>
    <col min="28" max="28" width="9.42578125" style="38" bestFit="1" customWidth="1"/>
    <col min="29" max="29" width="8.85546875" style="38" customWidth="1"/>
    <col min="30" max="30" width="9.42578125" style="38" bestFit="1" customWidth="1"/>
    <col min="31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1" spans="1:47" x14ac:dyDescent="0.25"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</row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</row>
    <row r="3" spans="1:47" ht="18.75" thickBot="1" x14ac:dyDescent="0.3">
      <c r="A3" s="123" t="s">
        <v>46</v>
      </c>
      <c r="B3" s="123"/>
    </row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21</v>
      </c>
      <c r="X7" s="7">
        <v>1</v>
      </c>
      <c r="Y7" s="7"/>
      <c r="Z7" s="7">
        <v>4</v>
      </c>
      <c r="AA7" s="8">
        <v>2</v>
      </c>
      <c r="AB7" s="6">
        <v>11</v>
      </c>
      <c r="AC7" s="7"/>
      <c r="AD7" s="7"/>
      <c r="AE7" s="7">
        <v>2</v>
      </c>
      <c r="AF7" s="8"/>
      <c r="AG7" s="6">
        <v>5</v>
      </c>
      <c r="AH7" s="7"/>
      <c r="AI7" s="7">
        <v>5</v>
      </c>
      <c r="AJ7" s="7"/>
      <c r="AK7" s="8"/>
      <c r="AL7" s="83">
        <v>0.67</v>
      </c>
      <c r="AM7" s="84"/>
      <c r="AN7" s="84">
        <f>3/20</f>
        <v>0.15</v>
      </c>
      <c r="AO7" s="84">
        <f>30/100</f>
        <v>0.3</v>
      </c>
      <c r="AP7" s="85">
        <v>1</v>
      </c>
      <c r="AQ7" s="6">
        <f>8+5</f>
        <v>13</v>
      </c>
      <c r="AR7" s="7"/>
      <c r="AS7" s="8">
        <f>3+10</f>
        <v>13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>
        <v>27</v>
      </c>
      <c r="X8" s="10"/>
      <c r="Y8" s="10"/>
      <c r="Z8" s="10">
        <v>5</v>
      </c>
      <c r="AA8" s="11"/>
      <c r="AB8" s="9">
        <v>9</v>
      </c>
      <c r="AC8" s="10"/>
      <c r="AD8" s="10"/>
      <c r="AE8" s="10">
        <v>1</v>
      </c>
      <c r="AF8" s="11"/>
      <c r="AG8" s="6">
        <v>5</v>
      </c>
      <c r="AH8" s="10"/>
      <c r="AI8" s="7">
        <v>5</v>
      </c>
      <c r="AJ8" s="10"/>
      <c r="AK8" s="11"/>
      <c r="AL8" s="86">
        <v>0.5</v>
      </c>
      <c r="AM8" s="87"/>
      <c r="AN8" s="87">
        <f>6/20</f>
        <v>0.3</v>
      </c>
      <c r="AO8" s="87">
        <v>0.5</v>
      </c>
      <c r="AP8" s="88">
        <v>0.5</v>
      </c>
      <c r="AQ8" s="9">
        <f>6+10</f>
        <v>16</v>
      </c>
      <c r="AR8" s="10"/>
      <c r="AS8" s="11">
        <f>5+4</f>
        <v>9</v>
      </c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>
        <v>30</v>
      </c>
      <c r="X9" s="10"/>
      <c r="Y9" s="10">
        <v>2</v>
      </c>
      <c r="Z9" s="10">
        <v>5</v>
      </c>
      <c r="AA9" s="11">
        <v>1</v>
      </c>
      <c r="AB9" s="9">
        <v>14</v>
      </c>
      <c r="AC9" s="10"/>
      <c r="AD9" s="10"/>
      <c r="AE9" s="10">
        <v>2</v>
      </c>
      <c r="AF9" s="11"/>
      <c r="AG9" s="6">
        <v>5</v>
      </c>
      <c r="AH9" s="10"/>
      <c r="AI9" s="7">
        <v>5</v>
      </c>
      <c r="AJ9" s="10"/>
      <c r="AK9" s="11"/>
      <c r="AL9" s="86">
        <v>0.5</v>
      </c>
      <c r="AM9" s="87"/>
      <c r="AN9" s="87">
        <f>3/20</f>
        <v>0.15</v>
      </c>
      <c r="AO9" s="87">
        <v>0.6</v>
      </c>
      <c r="AP9" s="88">
        <v>1</v>
      </c>
      <c r="AQ9" s="9">
        <f>6+5</f>
        <v>11</v>
      </c>
      <c r="AR9" s="10"/>
      <c r="AS9" s="11">
        <f>6+10</f>
        <v>16</v>
      </c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>
        <v>29</v>
      </c>
      <c r="X10" s="10"/>
      <c r="Y10" s="10">
        <v>2</v>
      </c>
      <c r="Z10" s="10"/>
      <c r="AA10" s="11"/>
      <c r="AB10" s="9">
        <v>7</v>
      </c>
      <c r="AC10" s="10"/>
      <c r="AD10" s="10">
        <v>1</v>
      </c>
      <c r="AE10" s="10"/>
      <c r="AF10" s="11"/>
      <c r="AG10" s="6">
        <v>5</v>
      </c>
      <c r="AH10" s="10"/>
      <c r="AI10" s="7">
        <v>5</v>
      </c>
      <c r="AJ10" s="10"/>
      <c r="AK10" s="11"/>
      <c r="AL10" s="86">
        <v>0.33</v>
      </c>
      <c r="AM10" s="87"/>
      <c r="AN10" s="87">
        <f>3/20</f>
        <v>0.15</v>
      </c>
      <c r="AO10" s="87">
        <v>0.4</v>
      </c>
      <c r="AP10" s="88">
        <v>1</v>
      </c>
      <c r="AQ10" s="9">
        <f>4+5</f>
        <v>9</v>
      </c>
      <c r="AR10" s="10"/>
      <c r="AS10" s="11">
        <f>4+10</f>
        <v>14</v>
      </c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>
        <v>30</v>
      </c>
      <c r="X11" s="10"/>
      <c r="Y11" s="10"/>
      <c r="Z11" s="10"/>
      <c r="AA11" s="11"/>
      <c r="AB11" s="9">
        <v>8</v>
      </c>
      <c r="AC11" s="10"/>
      <c r="AD11" s="10"/>
      <c r="AE11" s="10"/>
      <c r="AF11" s="11"/>
      <c r="AG11" s="6">
        <v>5</v>
      </c>
      <c r="AH11" s="10"/>
      <c r="AI11" s="7">
        <v>5</v>
      </c>
      <c r="AJ11" s="10"/>
      <c r="AK11" s="11"/>
      <c r="AL11" s="86">
        <v>0.42</v>
      </c>
      <c r="AM11" s="87"/>
      <c r="AN11" s="87"/>
      <c r="AO11" s="87">
        <v>0.5</v>
      </c>
      <c r="AP11" s="88">
        <v>3</v>
      </c>
      <c r="AQ11" s="9">
        <v>5</v>
      </c>
      <c r="AR11" s="10"/>
      <c r="AS11" s="11">
        <f>5+30</f>
        <v>35</v>
      </c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>
        <v>30</v>
      </c>
      <c r="X12" s="10"/>
      <c r="Y12" s="10">
        <v>2</v>
      </c>
      <c r="Z12" s="10">
        <v>1</v>
      </c>
      <c r="AA12" s="11"/>
      <c r="AB12" s="9">
        <v>10</v>
      </c>
      <c r="AC12" s="10"/>
      <c r="AD12" s="10">
        <v>2</v>
      </c>
      <c r="AE12" s="10"/>
      <c r="AF12" s="11"/>
      <c r="AG12" s="6">
        <v>5</v>
      </c>
      <c r="AH12" s="10"/>
      <c r="AI12" s="7">
        <v>5</v>
      </c>
      <c r="AJ12" s="10"/>
      <c r="AK12" s="11"/>
      <c r="AL12" s="86">
        <v>0.25</v>
      </c>
      <c r="AM12" s="87"/>
      <c r="AN12" s="87">
        <f>6/20</f>
        <v>0.3</v>
      </c>
      <c r="AO12" s="87">
        <v>0.4</v>
      </c>
      <c r="AP12" s="88">
        <v>0.5</v>
      </c>
      <c r="AQ12" s="9">
        <f>3+10</f>
        <v>13</v>
      </c>
      <c r="AR12" s="10"/>
      <c r="AS12" s="11">
        <f>4+4</f>
        <v>8</v>
      </c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>
        <v>35</v>
      </c>
      <c r="X13" s="10">
        <v>1</v>
      </c>
      <c r="Y13" s="10"/>
      <c r="Z13" s="10"/>
      <c r="AA13" s="11"/>
      <c r="AB13" s="9">
        <v>9</v>
      </c>
      <c r="AC13" s="10"/>
      <c r="AD13" s="10">
        <v>1</v>
      </c>
      <c r="AE13" s="10"/>
      <c r="AF13" s="11"/>
      <c r="AG13" s="6">
        <v>5</v>
      </c>
      <c r="AH13" s="10"/>
      <c r="AI13" s="7">
        <v>5</v>
      </c>
      <c r="AJ13" s="10"/>
      <c r="AK13" s="11"/>
      <c r="AL13" s="86">
        <v>0.08</v>
      </c>
      <c r="AM13" s="87"/>
      <c r="AN13" s="87"/>
      <c r="AO13" s="87">
        <v>0.5</v>
      </c>
      <c r="AP13" s="88">
        <v>2</v>
      </c>
      <c r="AQ13" s="9">
        <v>1</v>
      </c>
      <c r="AR13" s="10"/>
      <c r="AS13" s="11">
        <f>5+20</f>
        <v>25</v>
      </c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>
        <v>31</v>
      </c>
      <c r="X14" s="10"/>
      <c r="Y14" s="10"/>
      <c r="Z14" s="10"/>
      <c r="AA14" s="11">
        <v>3</v>
      </c>
      <c r="AB14" s="9">
        <v>13</v>
      </c>
      <c r="AC14" s="10"/>
      <c r="AD14" s="10"/>
      <c r="AE14" s="10"/>
      <c r="AF14" s="11">
        <v>1</v>
      </c>
      <c r="AG14" s="6">
        <v>5</v>
      </c>
      <c r="AH14" s="10"/>
      <c r="AI14" s="7">
        <v>5</v>
      </c>
      <c r="AJ14" s="10"/>
      <c r="AK14" s="11"/>
      <c r="AL14" s="86">
        <v>0.33</v>
      </c>
      <c r="AM14" s="87"/>
      <c r="AN14" s="87">
        <f>3/20</f>
        <v>0.15</v>
      </c>
      <c r="AO14" s="87">
        <v>0.5</v>
      </c>
      <c r="AP14" s="88">
        <v>1</v>
      </c>
      <c r="AQ14" s="9">
        <f>4+5</f>
        <v>9</v>
      </c>
      <c r="AR14" s="10"/>
      <c r="AS14" s="11">
        <f>5+10</f>
        <v>15</v>
      </c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>
        <v>30</v>
      </c>
      <c r="X15" s="10"/>
      <c r="Y15" s="10"/>
      <c r="Z15" s="10"/>
      <c r="AA15" s="11"/>
      <c r="AB15" s="9">
        <v>12</v>
      </c>
      <c r="AC15" s="10"/>
      <c r="AD15" s="10"/>
      <c r="AE15" s="10"/>
      <c r="AF15" s="11"/>
      <c r="AG15" s="6">
        <v>5</v>
      </c>
      <c r="AH15" s="10"/>
      <c r="AI15" s="7">
        <v>5</v>
      </c>
      <c r="AJ15" s="10"/>
      <c r="AK15" s="11"/>
      <c r="AL15" s="86">
        <v>0.42</v>
      </c>
      <c r="AM15" s="87"/>
      <c r="AN15" s="87"/>
      <c r="AO15" s="87">
        <v>0.4</v>
      </c>
      <c r="AP15" s="88">
        <v>1.5</v>
      </c>
      <c r="AQ15" s="9">
        <v>5</v>
      </c>
      <c r="AR15" s="10"/>
      <c r="AS15" s="11">
        <f>4+14</f>
        <v>18</v>
      </c>
      <c r="AT15" s="162" t="s">
        <v>52</v>
      </c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>
        <v>22</v>
      </c>
      <c r="X16" s="10"/>
      <c r="Y16" s="10">
        <v>1</v>
      </c>
      <c r="Z16" s="10">
        <v>3</v>
      </c>
      <c r="AA16" s="11"/>
      <c r="AB16" s="9">
        <v>7</v>
      </c>
      <c r="AC16" s="10"/>
      <c r="AD16" s="10">
        <v>1</v>
      </c>
      <c r="AE16" s="10">
        <v>1</v>
      </c>
      <c r="AF16" s="11"/>
      <c r="AG16" s="6">
        <v>5</v>
      </c>
      <c r="AH16" s="10"/>
      <c r="AI16" s="7">
        <v>5</v>
      </c>
      <c r="AJ16" s="10"/>
      <c r="AK16" s="11"/>
      <c r="AL16" s="86">
        <v>0.33</v>
      </c>
      <c r="AM16" s="87"/>
      <c r="AN16" s="87"/>
      <c r="AO16" s="87">
        <v>0.8</v>
      </c>
      <c r="AP16" s="88">
        <v>1</v>
      </c>
      <c r="AQ16" s="9">
        <v>4</v>
      </c>
      <c r="AR16" s="10"/>
      <c r="AS16" s="11">
        <f>8+10</f>
        <v>18</v>
      </c>
      <c r="AT16" s="163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>
        <v>30</v>
      </c>
      <c r="X17" s="10"/>
      <c r="Y17" s="10"/>
      <c r="Z17" s="10"/>
      <c r="AA17" s="11"/>
      <c r="AB17" s="9">
        <v>10</v>
      </c>
      <c r="AC17" s="10"/>
      <c r="AD17" s="10"/>
      <c r="AE17" s="10"/>
      <c r="AF17" s="11"/>
      <c r="AG17" s="6">
        <v>5</v>
      </c>
      <c r="AH17" s="10"/>
      <c r="AI17" s="7">
        <v>5</v>
      </c>
      <c r="AJ17" s="10"/>
      <c r="AK17" s="11"/>
      <c r="AL17" s="86">
        <v>0.5</v>
      </c>
      <c r="AM17" s="87"/>
      <c r="AN17" s="87">
        <f>6/20</f>
        <v>0.3</v>
      </c>
      <c r="AO17" s="87">
        <v>1</v>
      </c>
      <c r="AP17" s="88">
        <v>1.5</v>
      </c>
      <c r="AQ17" s="9">
        <f>6+10</f>
        <v>16</v>
      </c>
      <c r="AR17" s="10"/>
      <c r="AS17" s="11">
        <f>10+14</f>
        <v>24</v>
      </c>
      <c r="AT17" s="163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>
        <v>27</v>
      </c>
      <c r="X18" s="10">
        <v>1</v>
      </c>
      <c r="Y18" s="10">
        <v>1</v>
      </c>
      <c r="Z18" s="10"/>
      <c r="AA18" s="11"/>
      <c r="AB18" s="9">
        <v>13</v>
      </c>
      <c r="AC18" s="10"/>
      <c r="AD18" s="10">
        <v>1</v>
      </c>
      <c r="AE18" s="10"/>
      <c r="AF18" s="11"/>
      <c r="AG18" s="6">
        <v>5</v>
      </c>
      <c r="AH18" s="10"/>
      <c r="AI18" s="7">
        <v>5</v>
      </c>
      <c r="AJ18" s="10"/>
      <c r="AK18" s="11"/>
      <c r="AL18" s="86">
        <v>0.5</v>
      </c>
      <c r="AM18" s="87"/>
      <c r="AN18" s="87">
        <f>3/20</f>
        <v>0.15</v>
      </c>
      <c r="AO18" s="87">
        <v>0.6</v>
      </c>
      <c r="AP18" s="88">
        <v>1</v>
      </c>
      <c r="AQ18" s="9">
        <f>6+5</f>
        <v>11</v>
      </c>
      <c r="AR18" s="10"/>
      <c r="AS18" s="11">
        <f>6+10</f>
        <v>16</v>
      </c>
      <c r="AT18" s="163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>
        <v>33</v>
      </c>
      <c r="X19" s="10"/>
      <c r="Y19" s="10"/>
      <c r="Z19" s="10"/>
      <c r="AA19" s="11"/>
      <c r="AB19" s="9">
        <v>8</v>
      </c>
      <c r="AC19" s="10"/>
      <c r="AD19" s="10"/>
      <c r="AE19" s="10"/>
      <c r="AF19" s="11"/>
      <c r="AG19" s="6">
        <v>5</v>
      </c>
      <c r="AH19" s="10"/>
      <c r="AI19" s="7">
        <v>5</v>
      </c>
      <c r="AJ19" s="10"/>
      <c r="AK19" s="11"/>
      <c r="AL19" s="86">
        <v>0.42</v>
      </c>
      <c r="AM19" s="87"/>
      <c r="AN19" s="87">
        <f>3/20</f>
        <v>0.15</v>
      </c>
      <c r="AO19" s="87">
        <v>0.5</v>
      </c>
      <c r="AP19" s="88">
        <v>1</v>
      </c>
      <c r="AQ19" s="9">
        <f>5+5</f>
        <v>10</v>
      </c>
      <c r="AR19" s="10"/>
      <c r="AS19" s="11">
        <f>5+10</f>
        <v>15</v>
      </c>
      <c r="AT19" s="164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>
        <v>28</v>
      </c>
      <c r="X20" s="10">
        <v>1</v>
      </c>
      <c r="Y20" s="10"/>
      <c r="Z20" s="10">
        <v>3</v>
      </c>
      <c r="AA20" s="11">
        <v>1</v>
      </c>
      <c r="AB20" s="9">
        <v>10</v>
      </c>
      <c r="AC20" s="10">
        <v>1</v>
      </c>
      <c r="AD20" s="10"/>
      <c r="AE20" s="10">
        <v>2</v>
      </c>
      <c r="AF20" s="11">
        <v>1</v>
      </c>
      <c r="AG20" s="6">
        <v>5</v>
      </c>
      <c r="AH20" s="10"/>
      <c r="AI20" s="7">
        <v>5</v>
      </c>
      <c r="AJ20" s="10"/>
      <c r="AK20" s="11"/>
      <c r="AL20" s="86">
        <v>0.42</v>
      </c>
      <c r="AM20" s="87"/>
      <c r="AN20" s="87">
        <f>3/20</f>
        <v>0.15</v>
      </c>
      <c r="AO20" s="87">
        <v>0.5</v>
      </c>
      <c r="AP20" s="88">
        <v>1</v>
      </c>
      <c r="AQ20" s="9">
        <f>5+5</f>
        <v>10</v>
      </c>
      <c r="AR20" s="10"/>
      <c r="AS20" s="11">
        <f>5+10</f>
        <v>15</v>
      </c>
      <c r="AT20" s="166" t="s">
        <v>53</v>
      </c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>
        <v>30</v>
      </c>
      <c r="X21" s="10"/>
      <c r="Y21" s="10">
        <v>2</v>
      </c>
      <c r="Z21" s="10"/>
      <c r="AA21" s="11"/>
      <c r="AB21" s="9">
        <v>13</v>
      </c>
      <c r="AC21" s="10"/>
      <c r="AD21" s="10">
        <v>2</v>
      </c>
      <c r="AE21" s="10"/>
      <c r="AF21" s="11"/>
      <c r="AG21" s="6">
        <v>5</v>
      </c>
      <c r="AH21" s="10"/>
      <c r="AI21" s="7">
        <v>5</v>
      </c>
      <c r="AJ21" s="10"/>
      <c r="AK21" s="11"/>
      <c r="AL21" s="86">
        <v>0.33</v>
      </c>
      <c r="AM21" s="87"/>
      <c r="AN21" s="87">
        <f>6/20</f>
        <v>0.3</v>
      </c>
      <c r="AO21" s="87">
        <v>1</v>
      </c>
      <c r="AP21" s="88">
        <v>1</v>
      </c>
      <c r="AQ21" s="9">
        <f>4+10</f>
        <v>14</v>
      </c>
      <c r="AR21" s="10"/>
      <c r="AS21" s="11">
        <f>10+10</f>
        <v>20</v>
      </c>
      <c r="AT21" s="167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>
        <v>31</v>
      </c>
      <c r="X22" s="10">
        <v>1</v>
      </c>
      <c r="Y22" s="10"/>
      <c r="Z22" s="10">
        <v>2</v>
      </c>
      <c r="AA22" s="11"/>
      <c r="AB22" s="9">
        <v>9</v>
      </c>
      <c r="AC22" s="10"/>
      <c r="AD22" s="10"/>
      <c r="AE22" s="10">
        <v>1</v>
      </c>
      <c r="AF22" s="11"/>
      <c r="AG22" s="6">
        <v>5</v>
      </c>
      <c r="AH22" s="10"/>
      <c r="AI22" s="7">
        <v>5</v>
      </c>
      <c r="AJ22" s="10"/>
      <c r="AK22" s="11"/>
      <c r="AL22" s="86">
        <v>0.5</v>
      </c>
      <c r="AM22" s="87"/>
      <c r="AN22" s="87">
        <f>3/20</f>
        <v>0.15</v>
      </c>
      <c r="AO22" s="87">
        <v>0.7</v>
      </c>
      <c r="AP22" s="88">
        <v>1</v>
      </c>
      <c r="AQ22" s="9">
        <f>6+5</f>
        <v>11</v>
      </c>
      <c r="AR22" s="10"/>
      <c r="AS22" s="11">
        <f>7+10</f>
        <v>17</v>
      </c>
      <c r="AT22" s="168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>
        <v>32</v>
      </c>
      <c r="X23" s="10"/>
      <c r="Y23" s="10"/>
      <c r="Z23" s="10">
        <v>1</v>
      </c>
      <c r="AA23" s="11">
        <v>1</v>
      </c>
      <c r="AB23" s="9">
        <v>13</v>
      </c>
      <c r="AC23" s="10"/>
      <c r="AD23" s="10"/>
      <c r="AE23" s="10"/>
      <c r="AF23" s="11"/>
      <c r="AG23" s="6">
        <v>5</v>
      </c>
      <c r="AH23" s="10"/>
      <c r="AI23" s="7">
        <v>5</v>
      </c>
      <c r="AJ23" s="10"/>
      <c r="AK23" s="11"/>
      <c r="AL23" s="86">
        <v>0.5</v>
      </c>
      <c r="AM23" s="87"/>
      <c r="AN23" s="87">
        <f>3/20</f>
        <v>0.15</v>
      </c>
      <c r="AO23" s="87">
        <v>1</v>
      </c>
      <c r="AP23" s="88">
        <v>0.5</v>
      </c>
      <c r="AQ23" s="9">
        <f>6+5</f>
        <v>11</v>
      </c>
      <c r="AR23" s="10"/>
      <c r="AS23" s="11">
        <f>10+4</f>
        <v>14</v>
      </c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>
        <v>26</v>
      </c>
      <c r="X24" s="10"/>
      <c r="Y24" s="10"/>
      <c r="Z24" s="10">
        <v>4</v>
      </c>
      <c r="AA24" s="11"/>
      <c r="AB24" s="9">
        <v>11</v>
      </c>
      <c r="AC24" s="10"/>
      <c r="AD24" s="10"/>
      <c r="AE24" s="10">
        <v>1</v>
      </c>
      <c r="AF24" s="11"/>
      <c r="AG24" s="6">
        <v>5</v>
      </c>
      <c r="AH24" s="10"/>
      <c r="AI24" s="7">
        <v>5</v>
      </c>
      <c r="AJ24" s="10"/>
      <c r="AK24" s="11"/>
      <c r="AL24" s="86">
        <v>0.42</v>
      </c>
      <c r="AM24" s="87"/>
      <c r="AN24" s="87">
        <f>3/20</f>
        <v>0.15</v>
      </c>
      <c r="AO24" s="87">
        <v>0.4</v>
      </c>
      <c r="AP24" s="88">
        <v>0.5</v>
      </c>
      <c r="AQ24" s="9">
        <f>5+5</f>
        <v>10</v>
      </c>
      <c r="AR24" s="10"/>
      <c r="AS24" s="11">
        <f>4+4</f>
        <v>8</v>
      </c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>
        <v>28</v>
      </c>
      <c r="X25" s="10"/>
      <c r="Y25" s="10">
        <v>1</v>
      </c>
      <c r="Z25" s="10">
        <v>1</v>
      </c>
      <c r="AA25" s="11">
        <v>1</v>
      </c>
      <c r="AB25" s="9">
        <v>8</v>
      </c>
      <c r="AC25" s="10"/>
      <c r="AD25" s="10">
        <v>1</v>
      </c>
      <c r="AE25" s="10">
        <v>1</v>
      </c>
      <c r="AF25" s="11"/>
      <c r="AG25" s="6">
        <v>5</v>
      </c>
      <c r="AH25" s="10"/>
      <c r="AI25" s="7">
        <v>5</v>
      </c>
      <c r="AJ25" s="10"/>
      <c r="AK25" s="11"/>
      <c r="AL25" s="86">
        <v>0.17</v>
      </c>
      <c r="AM25" s="87"/>
      <c r="AN25" s="87">
        <f>3/20</f>
        <v>0.15</v>
      </c>
      <c r="AO25" s="87">
        <v>0.2</v>
      </c>
      <c r="AP25" s="88">
        <v>1</v>
      </c>
      <c r="AQ25" s="9">
        <f>2+5</f>
        <v>7</v>
      </c>
      <c r="AR25" s="10"/>
      <c r="AS25" s="11">
        <f>2+10</f>
        <v>12</v>
      </c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>
        <v>30</v>
      </c>
      <c r="X26" s="10"/>
      <c r="Y26" s="10"/>
      <c r="Z26" s="10"/>
      <c r="AA26" s="11">
        <v>2</v>
      </c>
      <c r="AB26" s="9">
        <v>12</v>
      </c>
      <c r="AC26" s="10"/>
      <c r="AD26" s="10"/>
      <c r="AE26" s="10"/>
      <c r="AF26" s="11">
        <v>1</v>
      </c>
      <c r="AG26" s="6">
        <v>5</v>
      </c>
      <c r="AH26" s="10"/>
      <c r="AI26" s="7">
        <v>5</v>
      </c>
      <c r="AJ26" s="10"/>
      <c r="AK26" s="11"/>
      <c r="AL26" s="86">
        <v>0.42</v>
      </c>
      <c r="AM26" s="87"/>
      <c r="AN26" s="87">
        <f>3/20</f>
        <v>0.15</v>
      </c>
      <c r="AO26" s="87">
        <v>1.2</v>
      </c>
      <c r="AP26" s="88">
        <v>1</v>
      </c>
      <c r="AQ26" s="9">
        <f>5+5</f>
        <v>10</v>
      </c>
      <c r="AR26" s="10"/>
      <c r="AS26" s="11">
        <f>12+10</f>
        <v>22</v>
      </c>
      <c r="AT26" s="22"/>
      <c r="AU26" s="14"/>
    </row>
    <row r="27" spans="1:47" ht="31.9" customHeight="1" x14ac:dyDescent="0.2">
      <c r="A27" s="102">
        <v>21</v>
      </c>
      <c r="B27" s="103"/>
      <c r="C27" s="104">
        <f t="shared" si="1"/>
        <v>15</v>
      </c>
      <c r="D27" s="105">
        <f t="shared" si="1"/>
        <v>3</v>
      </c>
      <c r="E27" s="105">
        <f t="shared" si="1"/>
        <v>5</v>
      </c>
      <c r="F27" s="105">
        <f t="shared" si="1"/>
        <v>2</v>
      </c>
      <c r="G27" s="106">
        <f t="shared" si="1"/>
        <v>5</v>
      </c>
      <c r="H27" s="104">
        <f t="shared" si="1"/>
        <v>3</v>
      </c>
      <c r="I27" s="105">
        <f t="shared" si="1"/>
        <v>1</v>
      </c>
      <c r="J27" s="105">
        <f t="shared" si="1"/>
        <v>1</v>
      </c>
      <c r="K27" s="105">
        <f t="shared" si="1"/>
        <v>1</v>
      </c>
      <c r="L27" s="106">
        <f t="shared" si="1"/>
        <v>1</v>
      </c>
      <c r="M27" s="104">
        <f t="shared" si="1"/>
        <v>3</v>
      </c>
      <c r="N27" s="105">
        <f t="shared" si="1"/>
        <v>1</v>
      </c>
      <c r="O27" s="105">
        <f t="shared" si="1"/>
        <v>3</v>
      </c>
      <c r="P27" s="105">
        <f t="shared" si="1"/>
        <v>0</v>
      </c>
      <c r="Q27" s="106">
        <f t="shared" si="1"/>
        <v>0</v>
      </c>
      <c r="R27" s="107">
        <f t="shared" si="1"/>
        <v>0.5</v>
      </c>
      <c r="S27" s="108">
        <f t="shared" si="2"/>
        <v>0.16666666666666666</v>
      </c>
      <c r="T27" s="108">
        <f t="shared" si="2"/>
        <v>0.1</v>
      </c>
      <c r="U27" s="108">
        <f t="shared" si="2"/>
        <v>0.6</v>
      </c>
      <c r="V27" s="109">
        <f t="shared" si="2"/>
        <v>0.15</v>
      </c>
      <c r="W27" s="104">
        <f t="shared" ref="W27:AF27" si="3">SUM(W7:W26)</f>
        <v>580</v>
      </c>
      <c r="X27" s="105">
        <f t="shared" si="3"/>
        <v>5</v>
      </c>
      <c r="Y27" s="105">
        <f t="shared" si="3"/>
        <v>11</v>
      </c>
      <c r="Z27" s="105">
        <f t="shared" si="3"/>
        <v>29</v>
      </c>
      <c r="AA27" s="106">
        <f t="shared" si="3"/>
        <v>11</v>
      </c>
      <c r="AB27" s="104"/>
      <c r="AC27" s="105"/>
      <c r="AD27" s="105"/>
      <c r="AE27" s="105"/>
      <c r="AF27" s="106"/>
      <c r="AG27" s="104"/>
      <c r="AH27" s="105"/>
      <c r="AI27" s="105"/>
      <c r="AJ27" s="105"/>
      <c r="AK27" s="106"/>
      <c r="AL27" s="110"/>
      <c r="AM27" s="111"/>
      <c r="AN27" s="111"/>
      <c r="AO27" s="111"/>
      <c r="AP27" s="100"/>
      <c r="AQ27" s="104"/>
      <c r="AR27" s="105"/>
      <c r="AS27" s="106"/>
      <c r="AT27" s="112"/>
      <c r="AU27" s="113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86"/>
      <c r="AM28" s="87"/>
      <c r="AN28" s="87"/>
      <c r="AO28" s="87"/>
      <c r="AP28" s="88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86"/>
      <c r="AM29" s="87"/>
      <c r="AN29" s="87"/>
      <c r="AO29" s="87"/>
      <c r="AP29" s="88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86"/>
      <c r="AM30" s="87"/>
      <c r="AN30" s="87"/>
      <c r="AO30" s="87"/>
      <c r="AP30" s="88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86"/>
      <c r="AM31" s="87"/>
      <c r="AN31" s="87"/>
      <c r="AO31" s="87"/>
      <c r="AP31" s="88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86"/>
      <c r="AM32" s="87"/>
      <c r="AN32" s="87"/>
      <c r="AO32" s="87"/>
      <c r="AP32" s="88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86"/>
      <c r="AM33" s="87"/>
      <c r="AN33" s="87"/>
      <c r="AO33" s="87"/>
      <c r="AP33" s="88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86"/>
      <c r="AM34" s="87"/>
      <c r="AN34" s="87"/>
      <c r="AO34" s="87"/>
      <c r="AP34" s="88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86"/>
      <c r="AM35" s="87"/>
      <c r="AN35" s="87"/>
      <c r="AO35" s="87"/>
      <c r="AP35" s="88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4">+F$2</f>
        <v>2</v>
      </c>
      <c r="G36" s="31">
        <f t="shared" si="4"/>
        <v>5</v>
      </c>
      <c r="H36" s="29">
        <f t="shared" si="4"/>
        <v>3</v>
      </c>
      <c r="I36" s="30">
        <f t="shared" si="4"/>
        <v>1</v>
      </c>
      <c r="J36" s="30">
        <f t="shared" si="4"/>
        <v>1</v>
      </c>
      <c r="K36" s="30">
        <f t="shared" si="4"/>
        <v>1</v>
      </c>
      <c r="L36" s="31">
        <f t="shared" si="4"/>
        <v>1</v>
      </c>
      <c r="M36" s="29">
        <f t="shared" si="4"/>
        <v>3</v>
      </c>
      <c r="N36" s="30">
        <f t="shared" si="4"/>
        <v>1</v>
      </c>
      <c r="O36" s="30">
        <f t="shared" si="4"/>
        <v>3</v>
      </c>
      <c r="P36" s="30">
        <f t="shared" si="4"/>
        <v>0</v>
      </c>
      <c r="Q36" s="31">
        <f t="shared" si="4"/>
        <v>0</v>
      </c>
      <c r="R36" s="64">
        <f t="shared" si="4"/>
        <v>0.5</v>
      </c>
      <c r="S36" s="65">
        <f t="shared" si="4"/>
        <v>0.16666666666666666</v>
      </c>
      <c r="T36" s="65">
        <f t="shared" si="4"/>
        <v>0.1</v>
      </c>
      <c r="U36" s="65">
        <f t="shared" si="4"/>
        <v>0.6</v>
      </c>
      <c r="V36" s="66">
        <f t="shared" si="4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90"/>
      <c r="AM36" s="91"/>
      <c r="AN36" s="91"/>
      <c r="AO36" s="91"/>
      <c r="AP36" s="92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5">SUM(D7:D36)</f>
        <v>90</v>
      </c>
      <c r="E37" s="40">
        <f t="shared" si="5"/>
        <v>150</v>
      </c>
      <c r="F37" s="40">
        <f t="shared" si="5"/>
        <v>60</v>
      </c>
      <c r="G37" s="41">
        <f t="shared" si="5"/>
        <v>150</v>
      </c>
      <c r="H37" s="39">
        <f t="shared" si="5"/>
        <v>90</v>
      </c>
      <c r="I37" s="40">
        <f t="shared" si="5"/>
        <v>30</v>
      </c>
      <c r="J37" s="40">
        <f t="shared" si="5"/>
        <v>30</v>
      </c>
      <c r="K37" s="40">
        <f t="shared" si="5"/>
        <v>30</v>
      </c>
      <c r="L37" s="41">
        <f t="shared" si="5"/>
        <v>30</v>
      </c>
      <c r="M37" s="39">
        <f t="shared" si="5"/>
        <v>90</v>
      </c>
      <c r="N37" s="40">
        <f t="shared" si="5"/>
        <v>30</v>
      </c>
      <c r="O37" s="40">
        <f t="shared" si="5"/>
        <v>90</v>
      </c>
      <c r="P37" s="40">
        <f t="shared" si="5"/>
        <v>0</v>
      </c>
      <c r="Q37" s="41">
        <f t="shared" si="5"/>
        <v>0</v>
      </c>
      <c r="R37" s="39">
        <f>SUM(R7:R36)</f>
        <v>15</v>
      </c>
      <c r="S37" s="40">
        <f t="shared" si="5"/>
        <v>5</v>
      </c>
      <c r="T37" s="40">
        <f t="shared" si="5"/>
        <v>3.0000000000000013</v>
      </c>
      <c r="U37" s="40">
        <f t="shared" si="5"/>
        <v>18</v>
      </c>
      <c r="V37" s="41">
        <f t="shared" si="5"/>
        <v>4.5</v>
      </c>
      <c r="W37" s="39">
        <f t="shared" si="5"/>
        <v>1160</v>
      </c>
      <c r="X37" s="40">
        <f t="shared" si="5"/>
        <v>10</v>
      </c>
      <c r="Y37" s="40">
        <f t="shared" si="5"/>
        <v>22</v>
      </c>
      <c r="Z37" s="40">
        <f t="shared" si="5"/>
        <v>58</v>
      </c>
      <c r="AA37" s="41">
        <f t="shared" si="5"/>
        <v>22</v>
      </c>
      <c r="AB37" s="39">
        <f t="shared" si="5"/>
        <v>207</v>
      </c>
      <c r="AC37" s="40">
        <f t="shared" si="5"/>
        <v>1</v>
      </c>
      <c r="AD37" s="40">
        <f t="shared" si="5"/>
        <v>9</v>
      </c>
      <c r="AE37" s="40">
        <f t="shared" si="5"/>
        <v>11</v>
      </c>
      <c r="AF37" s="41">
        <f t="shared" si="5"/>
        <v>3</v>
      </c>
      <c r="AG37" s="39">
        <f t="shared" si="5"/>
        <v>100</v>
      </c>
      <c r="AH37" s="40">
        <f t="shared" si="5"/>
        <v>0</v>
      </c>
      <c r="AI37" s="40">
        <f t="shared" si="5"/>
        <v>100</v>
      </c>
      <c r="AJ37" s="40">
        <f t="shared" si="5"/>
        <v>0</v>
      </c>
      <c r="AK37" s="41">
        <f t="shared" si="5"/>
        <v>0</v>
      </c>
      <c r="AL37" s="156">
        <f t="shared" si="5"/>
        <v>8.01</v>
      </c>
      <c r="AM37" s="157">
        <f t="shared" si="5"/>
        <v>0</v>
      </c>
      <c r="AN37" s="157">
        <f t="shared" si="5"/>
        <v>2.9999999999999991</v>
      </c>
      <c r="AO37" s="157">
        <f t="shared" si="5"/>
        <v>11.999999999999998</v>
      </c>
      <c r="AP37" s="158">
        <f t="shared" si="5"/>
        <v>22</v>
      </c>
      <c r="AQ37" s="39">
        <f t="shared" si="5"/>
        <v>196</v>
      </c>
      <c r="AR37" s="40">
        <f t="shared" si="5"/>
        <v>0</v>
      </c>
      <c r="AS37" s="41">
        <f t="shared" si="5"/>
        <v>334</v>
      </c>
      <c r="AT37" s="25">
        <f t="shared" ref="AT37:AU37" si="6">SUM(AT7:AT36)</f>
        <v>0</v>
      </c>
      <c r="AU37" s="2">
        <f t="shared" si="6"/>
        <v>0</v>
      </c>
    </row>
  </sheetData>
  <mergeCells count="18">
    <mergeCell ref="AT15:AT19"/>
    <mergeCell ref="AT20:AT22"/>
    <mergeCell ref="A3:B3"/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E3A6-EBBA-441A-AD2C-2DBA7611B039}">
  <dimension ref="A2:AU37"/>
  <sheetViews>
    <sheetView zoomScale="56" zoomScaleNormal="56" workbookViewId="0">
      <pane xSplit="2" ySplit="6" topLeftCell="C7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60FE-0952-456A-A0CE-31F9DC5D81EB}">
  <dimension ref="A2:AU37"/>
  <sheetViews>
    <sheetView zoomScale="56" zoomScaleNormal="56" workbookViewId="0">
      <pane xSplit="2" ySplit="6" topLeftCell="O32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v>15</v>
      </c>
      <c r="D2" s="38">
        <v>3</v>
      </c>
      <c r="E2" s="38">
        <v>5</v>
      </c>
      <c r="F2" s="38">
        <v>2</v>
      </c>
      <c r="G2" s="38">
        <v>5</v>
      </c>
      <c r="H2" s="38">
        <v>5</v>
      </c>
      <c r="I2" s="38">
        <v>1</v>
      </c>
      <c r="J2" s="38">
        <v>1</v>
      </c>
      <c r="K2" s="38">
        <v>1</v>
      </c>
      <c r="L2" s="38">
        <v>2</v>
      </c>
      <c r="M2" s="38">
        <f>+H2</f>
        <v>5</v>
      </c>
      <c r="N2" s="38">
        <v>1</v>
      </c>
      <c r="O2" s="38">
        <f>+H2</f>
        <v>5</v>
      </c>
      <c r="R2" s="42">
        <f>+(2*M2)/12</f>
        <v>0.83333333333333337</v>
      </c>
      <c r="S2" s="42">
        <f>+(1*I2)/6</f>
        <v>0.16666666666666666</v>
      </c>
      <c r="T2" s="38">
        <f>+(2*I2)/20</f>
        <v>0.1</v>
      </c>
      <c r="U2" s="42">
        <f>+(2*H2)/10</f>
        <v>1</v>
      </c>
      <c r="V2" s="42">
        <f>+(3*I2)/20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+'Lundi S1'!C8+'Mardi S1'!C8+'Mercredi S1'!C7+'Jeudi S1'!C7+'Vendredi S1'!C7+'Samedi S1'!C7</f>
        <v>90</v>
      </c>
      <c r="D7" s="7">
        <f>+'Lundi S1'!D8+'Mardi S1'!D8+'Mercredi S1'!D7+'Jeudi S1'!D7+'Vendredi S1'!D7+'Samedi S1'!D7</f>
        <v>18</v>
      </c>
      <c r="E7" s="7">
        <f>+'Lundi S1'!E8+'Mardi S1'!E8+'Mercredi S1'!E7+'Jeudi S1'!E7+'Vendredi S1'!E7+'Samedi S1'!E7</f>
        <v>30</v>
      </c>
      <c r="F7" s="7">
        <f>+'Lundi S1'!F8+'Mardi S1'!F8+'Mercredi S1'!F7+'Jeudi S1'!F7+'Vendredi S1'!F7+'Samedi S1'!F7</f>
        <v>12</v>
      </c>
      <c r="G7" s="8">
        <f>+'Lundi S1'!G8+'Mardi S1'!G8+'Mercredi S1'!G7+'Jeudi S1'!G7+'Vendredi S1'!G7+'Samedi S1'!G7</f>
        <v>30</v>
      </c>
      <c r="H7" s="6">
        <f>+'Lundi S1'!H8+'Mardi S1'!H8+'Mercredi S1'!H7+'Jeudi S1'!H7+'Vendredi S1'!H7+'Samedi S1'!H7</f>
        <v>18</v>
      </c>
      <c r="I7" s="7">
        <f>+'Lundi S1'!I8+'Mardi S1'!I8+'Mercredi S1'!I7+'Jeudi S1'!I7+'Vendredi S1'!I7+'Samedi S1'!I7</f>
        <v>6</v>
      </c>
      <c r="J7" s="7">
        <f>+'Lundi S1'!J8+'Mardi S1'!J8+'Mercredi S1'!J7+'Jeudi S1'!J7+'Vendredi S1'!J7+'Samedi S1'!J7</f>
        <v>6</v>
      </c>
      <c r="K7" s="7">
        <f>+'Lundi S1'!K8+'Mardi S1'!K8+'Mercredi S1'!K7+'Jeudi S1'!K7+'Vendredi S1'!K7+'Samedi S1'!K7</f>
        <v>6</v>
      </c>
      <c r="L7" s="8">
        <f>+'Lundi S1'!L8+'Mardi S1'!L8+'Mercredi S1'!L7+'Jeudi S1'!L7+'Vendredi S1'!L7+'Samedi S1'!L7</f>
        <v>6</v>
      </c>
      <c r="M7" s="6">
        <f>+'Lundi S1'!M8+'Mardi S1'!M8+'Mercredi S1'!M7+'Jeudi S1'!M7+'Vendredi S1'!M7+'Samedi S1'!M7</f>
        <v>18</v>
      </c>
      <c r="N7" s="7">
        <f>+'Lundi S1'!N8+'Mardi S1'!N8+'Mercredi S1'!N7+'Jeudi S1'!N7+'Vendredi S1'!N7+'Samedi S1'!N7</f>
        <v>6</v>
      </c>
      <c r="O7" s="7">
        <f>+'Lundi S1'!O8+'Mardi S1'!O8+'Mercredi S1'!O7+'Jeudi S1'!O7+'Vendredi S1'!O7+'Samedi S1'!O7</f>
        <v>18</v>
      </c>
      <c r="P7" s="7">
        <f>+'Lundi S1'!P8+'Mardi S1'!P8+'Mercredi S1'!P7+'Jeudi S1'!P7+'Vendredi S1'!P7+'Samedi S1'!P7</f>
        <v>0</v>
      </c>
      <c r="Q7" s="8">
        <f>+'Lundi S1'!Q8+'Mardi S1'!Q8+'Mercredi S1'!Q7+'Jeudi S1'!Q7+'Vendredi S1'!Q7+'Samedi S1'!Q7</f>
        <v>0</v>
      </c>
      <c r="R7" s="58">
        <f>+'Lundi S1'!R8+'Mardi S1'!R8+'Mercredi S1'!R7+'Jeudi S1'!R7+'Vendredi S1'!R7+'Samedi S1'!R7</f>
        <v>3</v>
      </c>
      <c r="S7" s="59">
        <f>+'Lundi S1'!S8+'Mardi S1'!S8+'Mercredi S1'!S7+'Jeudi S1'!S7+'Vendredi S1'!S7+'Samedi S1'!S7</f>
        <v>0.99999999999999989</v>
      </c>
      <c r="T7" s="59">
        <f>+'Lundi S1'!T8+'Mardi S1'!T8+'Mercredi S1'!T7+'Jeudi S1'!T7+'Vendredi S1'!T7+'Samedi S1'!T7</f>
        <v>0.6</v>
      </c>
      <c r="U7" s="59">
        <f>+'Lundi S1'!U8+'Mardi S1'!U8+'Mercredi S1'!U7+'Jeudi S1'!U7+'Vendredi S1'!U7+'Samedi S1'!U7</f>
        <v>3.6</v>
      </c>
      <c r="V7" s="60">
        <f>+'Lundi S1'!V8+'Mardi S1'!V8+'Mercredi S1'!V7+'Jeudi S1'!V7+'Vendredi S1'!V7+'Samedi S1'!V7</f>
        <v>0.9</v>
      </c>
      <c r="W7" s="6">
        <f>+'Lundi S1'!W8+'Mardi S1'!W8+'Mercredi S1'!W7+'Jeudi S1'!W7+'Vendredi S1'!W7+'Samedi S1'!W7</f>
        <v>126</v>
      </c>
      <c r="X7" s="7">
        <f>+'Lundi S1'!X8+'Mardi S1'!X8+'Mercredi S1'!X7+'Jeudi S1'!X7+'Vendredi S1'!X7+'Samedi S1'!X7</f>
        <v>5</v>
      </c>
      <c r="Y7" s="7">
        <f>+'Lundi S1'!Y8+'Mardi S1'!Y8+'Mercredi S1'!Y7+'Jeudi S1'!Y7+'Vendredi S1'!Y7+'Samedi S1'!Y7</f>
        <v>3</v>
      </c>
      <c r="Z7" s="7">
        <f>+'Lundi S1'!Z8+'Mardi S1'!Z8+'Mercredi S1'!Z7+'Jeudi S1'!Z7+'Vendredi S1'!Z7+'Samedi S1'!Z7</f>
        <v>16</v>
      </c>
      <c r="AA7" s="8">
        <f>+'Lundi S1'!AA8+'Mardi S1'!AA8+'Mercredi S1'!AA7+'Jeudi S1'!AA7+'Vendredi S1'!AA7+'Samedi S1'!AA7</f>
        <v>10</v>
      </c>
      <c r="AB7" s="6">
        <f>+'Lundi S1'!AB8+'Mardi S1'!AB8+'Mercredi S1'!AB7+'Jeudi S1'!AB7+'Vendredi S1'!AB7+'Samedi S1'!AB7</f>
        <v>68</v>
      </c>
      <c r="AC7" s="7">
        <f>+'Lundi S1'!AC8+'Mardi S1'!AC8+'Mercredi S1'!AC7+'Jeudi S1'!AC7+'Vendredi S1'!AC7+'Samedi S1'!AC7</f>
        <v>1</v>
      </c>
      <c r="AD7" s="7">
        <f>+'Lundi S1'!AD8+'Mardi S1'!AD8+'Mercredi S1'!AD7+'Jeudi S1'!AD7+'Vendredi S1'!AD7+'Samedi S1'!AD7</f>
        <v>2</v>
      </c>
      <c r="AE7" s="7">
        <f>+'Lundi S1'!AE8+'Mardi S1'!AE8+'Mercredi S1'!AE7+'Jeudi S1'!AE7+'Vendredi S1'!AE7+'Samedi S1'!AE7</f>
        <v>7</v>
      </c>
      <c r="AF7" s="8">
        <f>+'Lundi S1'!AF8+'Mardi S1'!AF8+'Mercredi S1'!AF7+'Jeudi S1'!AF7+'Vendredi S1'!AF7+'Samedi S1'!AF7</f>
        <v>3</v>
      </c>
      <c r="AG7" s="6">
        <f>+'Lundi S1'!AG8+'Mardi S1'!AG8+'Mercredi S1'!AG7+'Jeudi S1'!AG7+'Vendredi S1'!AG7+'Samedi S1'!AG7</f>
        <v>26</v>
      </c>
      <c r="AH7" s="7">
        <f>+'Lundi S1'!AH8+'Mardi S1'!AH8+'Mercredi S1'!AH7+'Jeudi S1'!AH7+'Vendredi S1'!AH7+'Samedi S1'!AH7</f>
        <v>1</v>
      </c>
      <c r="AI7" s="7">
        <f>+'Lundi S1'!AI8+'Mardi S1'!AI8+'Mercredi S1'!AI7+'Jeudi S1'!AI7+'Vendredi S1'!AI7+'Samedi S1'!AI7</f>
        <v>26</v>
      </c>
      <c r="AJ7" s="7">
        <f>+'Lundi S1'!AJ8+'Mardi S1'!AJ8+'Mercredi S1'!AJ7+'Jeudi S1'!AJ7+'Vendredi S1'!AJ7+'Samedi S1'!AJ7</f>
        <v>1</v>
      </c>
      <c r="AK7" s="8">
        <f>+'Lundi S1'!AK8+'Mardi S1'!AK8+'Mercredi S1'!AK7+'Jeudi S1'!AK7+'Vendredi S1'!AK7+'Samedi S1'!AK7</f>
        <v>1</v>
      </c>
      <c r="AL7" s="6">
        <f>+'Lundi S1'!AL8+'Mardi S1'!AL8+'Mercredi S1'!AL7+'Jeudi S1'!AL7+'Vendredi S1'!AL7+'Samedi S1'!AL7</f>
        <v>3.59</v>
      </c>
      <c r="AM7" s="7">
        <f>+'Lundi S1'!AM8+'Mardi S1'!AM8+'Mercredi S1'!AM7+'Jeudi S1'!AM7+'Vendredi S1'!AM7+'Samedi S1'!AM7</f>
        <v>1</v>
      </c>
      <c r="AN7" s="7">
        <f>+'Lundi S1'!AN8+'Mardi S1'!AN8+'Mercredi S1'!AN7+'Jeudi S1'!AN7+'Vendredi S1'!AN7+'Samedi S1'!AN7</f>
        <v>1.25</v>
      </c>
      <c r="AO7" s="7">
        <f>+'Lundi S1'!AO8+'Mardi S1'!AO8+'Mercredi S1'!AO7+'Jeudi S1'!AO7+'Vendredi S1'!AO7+'Samedi S1'!AO7</f>
        <v>3.7</v>
      </c>
      <c r="AP7" s="8">
        <f>+'Lundi S1'!AP8+'Mardi S1'!AP8+'Mercredi S1'!AP7+'Jeudi S1'!AP7+'Vendredi S1'!AP7+'Samedi S1'!AP7</f>
        <v>5</v>
      </c>
      <c r="AQ7" s="6">
        <f>+'Lundi S1'!AQ8+'Mardi S1'!AQ8+'Mercredi S1'!AQ7+'Jeudi S1'!AQ7+'Vendredi S1'!AQ7+'Samedi S1'!AQ7</f>
        <v>37</v>
      </c>
      <c r="AR7" s="7">
        <f>+'Lundi S1'!AR8+'Mardi S1'!AR8+'Mercredi S1'!AR7+'Jeudi S1'!AR7+'Vendredi S1'!AR7+'Samedi S1'!AR7</f>
        <v>1</v>
      </c>
      <c r="AS7" s="8">
        <f>+'Lundi S1'!AS8+'Mardi S1'!AS8+'Mercredi S1'!AS7+'Jeudi S1'!AS7+'Vendredi S1'!AS7+'Samedi S1'!AS7</f>
        <v>68</v>
      </c>
      <c r="AT7" s="20"/>
      <c r="AU7" s="15"/>
    </row>
    <row r="8" spans="1:47" ht="31.9" customHeight="1" x14ac:dyDescent="0.2">
      <c r="A8" s="26">
        <v>2</v>
      </c>
      <c r="B8" s="19"/>
      <c r="C8" s="9">
        <f>+'Lundi S1'!C9+'Mardi S1'!C9+'Mercredi S1'!C8+'Jeudi S1'!C8+'Vendredi S1'!C8+'Samedi S1'!C8</f>
        <v>90</v>
      </c>
      <c r="D8" s="10">
        <f>+'Lundi S1'!D9+'Mardi S1'!D9+'Mercredi S1'!D8+'Jeudi S1'!D8+'Vendredi S1'!D8+'Samedi S1'!D8</f>
        <v>18</v>
      </c>
      <c r="E8" s="10">
        <f>+'Lundi S1'!E9+'Mardi S1'!E9+'Mercredi S1'!E8+'Jeudi S1'!E8+'Vendredi S1'!E8+'Samedi S1'!E8</f>
        <v>30</v>
      </c>
      <c r="F8" s="10">
        <f>+'Lundi S1'!F9+'Mardi S1'!F9+'Mercredi S1'!F8+'Jeudi S1'!F8+'Vendredi S1'!F8+'Samedi S1'!F8</f>
        <v>12</v>
      </c>
      <c r="G8" s="11">
        <f>+'Lundi S1'!G9+'Mardi S1'!G9+'Mercredi S1'!G8+'Jeudi S1'!G8+'Vendredi S1'!G8+'Samedi S1'!G8</f>
        <v>30</v>
      </c>
      <c r="H8" s="9">
        <f>+'Lundi S1'!H9+'Mardi S1'!H9+'Mercredi S1'!H8+'Jeudi S1'!H8+'Vendredi S1'!H8+'Samedi S1'!H8</f>
        <v>18</v>
      </c>
      <c r="I8" s="10">
        <f>+'Lundi S1'!I9+'Mardi S1'!I9+'Mercredi S1'!I8+'Jeudi S1'!I8+'Vendredi S1'!I8+'Samedi S1'!I8</f>
        <v>6</v>
      </c>
      <c r="J8" s="10">
        <f>+'Lundi S1'!J9+'Mardi S1'!J9+'Mercredi S1'!J8+'Jeudi S1'!J8+'Vendredi S1'!J8+'Samedi S1'!J8</f>
        <v>6</v>
      </c>
      <c r="K8" s="10">
        <f>+'Lundi S1'!K9+'Mardi S1'!K9+'Mercredi S1'!K8+'Jeudi S1'!K8+'Vendredi S1'!K8+'Samedi S1'!K8</f>
        <v>6</v>
      </c>
      <c r="L8" s="11">
        <f>+'Lundi S1'!L9+'Mardi S1'!L9+'Mercredi S1'!L8+'Jeudi S1'!L8+'Vendredi S1'!L8+'Samedi S1'!L8</f>
        <v>6</v>
      </c>
      <c r="M8" s="9">
        <f>+'Lundi S1'!M9+'Mardi S1'!M9+'Mercredi S1'!M8+'Jeudi S1'!M8+'Vendredi S1'!M8+'Samedi S1'!M8</f>
        <v>18</v>
      </c>
      <c r="N8" s="10">
        <f>+'Lundi S1'!N9+'Mardi S1'!N9+'Mercredi S1'!N8+'Jeudi S1'!N8+'Vendredi S1'!N8+'Samedi S1'!N8</f>
        <v>6</v>
      </c>
      <c r="O8" s="10">
        <f>+'Lundi S1'!O9+'Mardi S1'!O9+'Mercredi S1'!O8+'Jeudi S1'!O8+'Vendredi S1'!O8+'Samedi S1'!O8</f>
        <v>18</v>
      </c>
      <c r="P8" s="10">
        <f>+'Lundi S1'!P9+'Mardi S1'!P9+'Mercredi S1'!P8+'Jeudi S1'!P8+'Vendredi S1'!P8+'Samedi S1'!P8</f>
        <v>0</v>
      </c>
      <c r="Q8" s="11">
        <f>+'Lundi S1'!Q9+'Mardi S1'!Q9+'Mercredi S1'!Q8+'Jeudi S1'!Q8+'Vendredi S1'!Q8+'Samedi S1'!Q8</f>
        <v>0</v>
      </c>
      <c r="R8" s="61">
        <f>+'Lundi S1'!R9+'Mardi S1'!R9+'Mercredi S1'!R8+'Jeudi S1'!R8+'Vendredi S1'!R8+'Samedi S1'!R8</f>
        <v>3</v>
      </c>
      <c r="S8" s="62">
        <f>+'Lundi S1'!S9+'Mardi S1'!S9+'Mercredi S1'!S8+'Jeudi S1'!S8+'Vendredi S1'!S8+'Samedi S1'!S8</f>
        <v>0.99999999999999989</v>
      </c>
      <c r="T8" s="62">
        <f>+'Lundi S1'!T9+'Mardi S1'!T9+'Mercredi S1'!T8+'Jeudi S1'!T8+'Vendredi S1'!T8+'Samedi S1'!T8</f>
        <v>0.6</v>
      </c>
      <c r="U8" s="62">
        <f>+'Lundi S1'!U9+'Mardi S1'!U9+'Mercredi S1'!U8+'Jeudi S1'!U8+'Vendredi S1'!U8+'Samedi S1'!U8</f>
        <v>3.6</v>
      </c>
      <c r="V8" s="63">
        <f>+'Lundi S1'!V9+'Mardi S1'!V9+'Mercredi S1'!V8+'Jeudi S1'!V8+'Vendredi S1'!V8+'Samedi S1'!V8</f>
        <v>0.9</v>
      </c>
      <c r="W8" s="9">
        <f>+'Lundi S1'!W9+'Mardi S1'!W9+'Mercredi S1'!W8+'Jeudi S1'!W8+'Vendredi S1'!W8+'Samedi S1'!W8</f>
        <v>129</v>
      </c>
      <c r="X8" s="10">
        <f>+'Lundi S1'!X9+'Mardi S1'!X9+'Mercredi S1'!X8+'Jeudi S1'!X8+'Vendredi S1'!X8+'Samedi S1'!X8</f>
        <v>0</v>
      </c>
      <c r="Y8" s="10">
        <f>+'Lundi S1'!Y9+'Mardi S1'!Y9+'Mercredi S1'!Y8+'Jeudi S1'!Y8+'Vendredi S1'!Y8+'Samedi S1'!Y8</f>
        <v>2</v>
      </c>
      <c r="Z8" s="10">
        <f>+'Lundi S1'!Z9+'Mardi S1'!Z9+'Mercredi S1'!Z8+'Jeudi S1'!Z8+'Vendredi S1'!Z8+'Samedi S1'!Z8</f>
        <v>15</v>
      </c>
      <c r="AA8" s="11">
        <f>+'Lundi S1'!AA9+'Mardi S1'!AA9+'Mercredi S1'!AA8+'Jeudi S1'!AA8+'Vendredi S1'!AA8+'Samedi S1'!AA8</f>
        <v>1</v>
      </c>
      <c r="AB8" s="9">
        <f>+'Lundi S1'!AB9+'Mardi S1'!AB9+'Mercredi S1'!AB8+'Jeudi S1'!AB8+'Vendredi S1'!AB8+'Samedi S1'!AB8</f>
        <v>55</v>
      </c>
      <c r="AC8" s="10">
        <f>+'Lundi S1'!AC9+'Mardi S1'!AC9+'Mercredi S1'!AC8+'Jeudi S1'!AC8+'Vendredi S1'!AC8+'Samedi S1'!AC8</f>
        <v>0</v>
      </c>
      <c r="AD8" s="10">
        <f>+'Lundi S1'!AD9+'Mardi S1'!AD9+'Mercredi S1'!AD8+'Jeudi S1'!AD8+'Vendredi S1'!AD8+'Samedi S1'!AD8</f>
        <v>2</v>
      </c>
      <c r="AE8" s="10">
        <f>+'Lundi S1'!AE9+'Mardi S1'!AE9+'Mercredi S1'!AE8+'Jeudi S1'!AE8+'Vendredi S1'!AE8+'Samedi S1'!AE8</f>
        <v>4</v>
      </c>
      <c r="AF8" s="11">
        <f>+'Lundi S1'!AF9+'Mardi S1'!AF9+'Mercredi S1'!AF8+'Jeudi S1'!AF8+'Vendredi S1'!AF8+'Samedi S1'!AF8</f>
        <v>0</v>
      </c>
      <c r="AG8" s="9">
        <f>+'Lundi S1'!AG9+'Mardi S1'!AG9+'Mercredi S1'!AG8+'Jeudi S1'!AG8+'Vendredi S1'!AG8+'Samedi S1'!AG8</f>
        <v>25</v>
      </c>
      <c r="AH8" s="10">
        <f>+'Lundi S1'!AH9+'Mardi S1'!AH9+'Mercredi S1'!AH8+'Jeudi S1'!AH8+'Vendredi S1'!AH8+'Samedi S1'!AH8</f>
        <v>0</v>
      </c>
      <c r="AI8" s="10">
        <f>+'Lundi S1'!AI9+'Mardi S1'!AI9+'Mercredi S1'!AI8+'Jeudi S1'!AI8+'Vendredi S1'!AI8+'Samedi S1'!AI8</f>
        <v>25</v>
      </c>
      <c r="AJ8" s="10">
        <f>+'Lundi S1'!AJ9+'Mardi S1'!AJ9+'Mercredi S1'!AJ8+'Jeudi S1'!AJ8+'Vendredi S1'!AJ8+'Samedi S1'!AJ8</f>
        <v>0</v>
      </c>
      <c r="AK8" s="11">
        <f>+'Lundi S1'!AK9+'Mardi S1'!AK9+'Mercredi S1'!AK8+'Jeudi S1'!AK8+'Vendredi S1'!AK8+'Samedi S1'!AK8</f>
        <v>0</v>
      </c>
      <c r="AL8" s="9">
        <f>+'Lundi S1'!AL9+'Mardi S1'!AL9+'Mercredi S1'!AL8+'Jeudi S1'!AL8+'Vendredi S1'!AL8+'Samedi S1'!AL8</f>
        <v>2.42</v>
      </c>
      <c r="AM8" s="10">
        <f>+'Lundi S1'!AM9+'Mardi S1'!AM9+'Mercredi S1'!AM8+'Jeudi S1'!AM8+'Vendredi S1'!AM8+'Samedi S1'!AM8</f>
        <v>0</v>
      </c>
      <c r="AN8" s="10">
        <f>+'Lundi S1'!AN9+'Mardi S1'!AN9+'Mercredi S1'!AN8+'Jeudi S1'!AN8+'Vendredi S1'!AN8+'Samedi S1'!AN8</f>
        <v>0.75</v>
      </c>
      <c r="AO8" s="10">
        <f>+'Lundi S1'!AO9+'Mardi S1'!AO9+'Mercredi S1'!AO8+'Jeudi S1'!AO8+'Vendredi S1'!AO8+'Samedi S1'!AO8</f>
        <v>1.5</v>
      </c>
      <c r="AP8" s="11">
        <f>+'Lundi S1'!AP9+'Mardi S1'!AP9+'Mercredi S1'!AP8+'Jeudi S1'!AP8+'Vendredi S1'!AP8+'Samedi S1'!AP8</f>
        <v>1.7</v>
      </c>
      <c r="AQ8" s="9">
        <f>+'Lundi S1'!AQ9+'Mardi S1'!AQ9+'Mercredi S1'!AQ8+'Jeudi S1'!AQ8+'Vendredi S1'!AQ8+'Samedi S1'!AQ8</f>
        <v>49</v>
      </c>
      <c r="AR8" s="10">
        <f>+'Lundi S1'!AR9+'Mardi S1'!AR9+'Mercredi S1'!AR8+'Jeudi S1'!AR8+'Vendredi S1'!AR8+'Samedi S1'!AR8</f>
        <v>0</v>
      </c>
      <c r="AS8" s="11">
        <f>+'Lundi S1'!AS9+'Mardi S1'!AS9+'Mercredi S1'!AS8+'Jeudi S1'!AS8+'Vendredi S1'!AS8+'Samedi S1'!AS8</f>
        <v>28</v>
      </c>
      <c r="AT8" s="21"/>
      <c r="AU8" s="14"/>
    </row>
    <row r="9" spans="1:47" ht="31.9" customHeight="1" x14ac:dyDescent="0.2">
      <c r="A9" s="26">
        <v>3</v>
      </c>
      <c r="B9" s="19"/>
      <c r="C9" s="9">
        <f>+'Lundi S1'!C10+'Mardi S1'!C10+'Mercredi S1'!C9+'Jeudi S1'!C9+'Vendredi S1'!C9+'Samedi S1'!C9</f>
        <v>90</v>
      </c>
      <c r="D9" s="10">
        <f>+'Lundi S1'!D10+'Mardi S1'!D10+'Mercredi S1'!D9+'Jeudi S1'!D9+'Vendredi S1'!D9+'Samedi S1'!D9</f>
        <v>18</v>
      </c>
      <c r="E9" s="10">
        <f>+'Lundi S1'!E10+'Mardi S1'!E10+'Mercredi S1'!E9+'Jeudi S1'!E9+'Vendredi S1'!E9+'Samedi S1'!E9</f>
        <v>30</v>
      </c>
      <c r="F9" s="10">
        <f>+'Lundi S1'!F10+'Mardi S1'!F10+'Mercredi S1'!F9+'Jeudi S1'!F9+'Vendredi S1'!F9+'Samedi S1'!F9</f>
        <v>12</v>
      </c>
      <c r="G9" s="11">
        <f>+'Lundi S1'!G10+'Mardi S1'!G10+'Mercredi S1'!G9+'Jeudi S1'!G9+'Vendredi S1'!G9+'Samedi S1'!G9</f>
        <v>30</v>
      </c>
      <c r="H9" s="9">
        <f>+'Lundi S1'!H10+'Mardi S1'!H10+'Mercredi S1'!H9+'Jeudi S1'!H9+'Vendredi S1'!H9+'Samedi S1'!H9</f>
        <v>18</v>
      </c>
      <c r="I9" s="10">
        <f>+'Lundi S1'!I10+'Mardi S1'!I10+'Mercredi S1'!I9+'Jeudi S1'!I9+'Vendredi S1'!I9+'Samedi S1'!I9</f>
        <v>6</v>
      </c>
      <c r="J9" s="10">
        <f>+'Lundi S1'!J10+'Mardi S1'!J10+'Mercredi S1'!J9+'Jeudi S1'!J9+'Vendredi S1'!J9+'Samedi S1'!J9</f>
        <v>6</v>
      </c>
      <c r="K9" s="10">
        <f>+'Lundi S1'!K10+'Mardi S1'!K10+'Mercredi S1'!K9+'Jeudi S1'!K9+'Vendredi S1'!K9+'Samedi S1'!K9</f>
        <v>6</v>
      </c>
      <c r="L9" s="11">
        <f>+'Lundi S1'!L10+'Mardi S1'!L10+'Mercredi S1'!L9+'Jeudi S1'!L9+'Vendredi S1'!L9+'Samedi S1'!L9</f>
        <v>6</v>
      </c>
      <c r="M9" s="9">
        <f>+'Lundi S1'!M10+'Mardi S1'!M10+'Mercredi S1'!M9+'Jeudi S1'!M9+'Vendredi S1'!M9+'Samedi S1'!M9</f>
        <v>18</v>
      </c>
      <c r="N9" s="10">
        <f>+'Lundi S1'!N10+'Mardi S1'!N10+'Mercredi S1'!N9+'Jeudi S1'!N9+'Vendredi S1'!N9+'Samedi S1'!N9</f>
        <v>6</v>
      </c>
      <c r="O9" s="10">
        <f>+'Lundi S1'!O10+'Mardi S1'!O10+'Mercredi S1'!O9+'Jeudi S1'!O9+'Vendredi S1'!O9+'Samedi S1'!O9</f>
        <v>18</v>
      </c>
      <c r="P9" s="10">
        <f>+'Lundi S1'!P10+'Mardi S1'!P10+'Mercredi S1'!P9+'Jeudi S1'!P9+'Vendredi S1'!P9+'Samedi S1'!P9</f>
        <v>0</v>
      </c>
      <c r="Q9" s="11">
        <f>+'Lundi S1'!Q10+'Mardi S1'!Q10+'Mercredi S1'!Q9+'Jeudi S1'!Q9+'Vendredi S1'!Q9+'Samedi S1'!Q9</f>
        <v>0</v>
      </c>
      <c r="R9" s="61">
        <f>+'Lundi S1'!R10+'Mardi S1'!R10+'Mercredi S1'!R9+'Jeudi S1'!R9+'Vendredi S1'!R9+'Samedi S1'!R9</f>
        <v>3</v>
      </c>
      <c r="S9" s="62">
        <f>+'Lundi S1'!S10+'Mardi S1'!S10+'Mercredi S1'!S9+'Jeudi S1'!S9+'Vendredi S1'!S9+'Samedi S1'!S9</f>
        <v>0.99999999999999989</v>
      </c>
      <c r="T9" s="62">
        <f>+'Lundi S1'!T10+'Mardi S1'!T10+'Mercredi S1'!T9+'Jeudi S1'!T9+'Vendredi S1'!T9+'Samedi S1'!T9</f>
        <v>0.6</v>
      </c>
      <c r="U9" s="62">
        <f>+'Lundi S1'!U10+'Mardi S1'!U10+'Mercredi S1'!U9+'Jeudi S1'!U9+'Vendredi S1'!U9+'Samedi S1'!U9</f>
        <v>3.6</v>
      </c>
      <c r="V9" s="63">
        <f>+'Lundi S1'!V10+'Mardi S1'!V10+'Mercredi S1'!V9+'Jeudi S1'!V9+'Vendredi S1'!V9+'Samedi S1'!V9</f>
        <v>0.9</v>
      </c>
      <c r="W9" s="9">
        <f>+'Lundi S1'!W10+'Mardi S1'!W10+'Mercredi S1'!W9+'Jeudi S1'!W9+'Vendredi S1'!W9+'Samedi S1'!W9</f>
        <v>134</v>
      </c>
      <c r="X9" s="10">
        <f>+'Lundi S1'!X10+'Mardi S1'!X10+'Mercredi S1'!X9+'Jeudi S1'!X9+'Vendredi S1'!X9+'Samedi S1'!X9</f>
        <v>1</v>
      </c>
      <c r="Y9" s="10">
        <f>+'Lundi S1'!Y10+'Mardi S1'!Y10+'Mercredi S1'!Y9+'Jeudi S1'!Y9+'Vendredi S1'!Y9+'Samedi S1'!Y9</f>
        <v>5</v>
      </c>
      <c r="Z9" s="10">
        <f>+'Lundi S1'!Z10+'Mardi S1'!Z10+'Mercredi S1'!Z9+'Jeudi S1'!Z9+'Vendredi S1'!Z9+'Samedi S1'!Z9</f>
        <v>8</v>
      </c>
      <c r="AA9" s="11">
        <f>+'Lundi S1'!AA10+'Mardi S1'!AA10+'Mercredi S1'!AA9+'Jeudi S1'!AA9+'Vendredi S1'!AA9+'Samedi S1'!AA9</f>
        <v>3</v>
      </c>
      <c r="AB9" s="9">
        <f>+'Lundi S1'!AB10+'Mardi S1'!AB10+'Mercredi S1'!AB9+'Jeudi S1'!AB9+'Vendredi S1'!AB9+'Samedi S1'!AB9</f>
        <v>62</v>
      </c>
      <c r="AC9" s="10">
        <f>+'Lundi S1'!AC10+'Mardi S1'!AC10+'Mercredi S1'!AC9+'Jeudi S1'!AC9+'Vendredi S1'!AC9+'Samedi S1'!AC9</f>
        <v>0</v>
      </c>
      <c r="AD9" s="10">
        <f>+'Lundi S1'!AD10+'Mardi S1'!AD10+'Mercredi S1'!AD9+'Jeudi S1'!AD9+'Vendredi S1'!AD9+'Samedi S1'!AD9</f>
        <v>0</v>
      </c>
      <c r="AE9" s="10">
        <f>+'Lundi S1'!AE10+'Mardi S1'!AE10+'Mercredi S1'!AE9+'Jeudi S1'!AE9+'Vendredi S1'!AE9+'Samedi S1'!AE9</f>
        <v>3</v>
      </c>
      <c r="AF9" s="11">
        <f>+'Lundi S1'!AF10+'Mardi S1'!AF10+'Mercredi S1'!AF9+'Jeudi S1'!AF9+'Vendredi S1'!AF9+'Samedi S1'!AF9</f>
        <v>1</v>
      </c>
      <c r="AG9" s="9">
        <f>+'Lundi S1'!AG10+'Mardi S1'!AG10+'Mercredi S1'!AG9+'Jeudi S1'!AG9+'Vendredi S1'!AG9+'Samedi S1'!AG9</f>
        <v>25</v>
      </c>
      <c r="AH9" s="10">
        <f>+'Lundi S1'!AH10+'Mardi S1'!AH10+'Mercredi S1'!AH9+'Jeudi S1'!AH9+'Vendredi S1'!AH9+'Samedi S1'!AH9</f>
        <v>0</v>
      </c>
      <c r="AI9" s="10">
        <f>+'Lundi S1'!AI10+'Mardi S1'!AI10+'Mercredi S1'!AI9+'Jeudi S1'!AI9+'Vendredi S1'!AI9+'Samedi S1'!AI9</f>
        <v>25</v>
      </c>
      <c r="AJ9" s="10">
        <f>+'Lundi S1'!AJ10+'Mardi S1'!AJ10+'Mercredi S1'!AJ9+'Jeudi S1'!AJ9+'Vendredi S1'!AJ9+'Samedi S1'!AJ9</f>
        <v>0</v>
      </c>
      <c r="AK9" s="11">
        <f>+'Lundi S1'!AK10+'Mardi S1'!AK10+'Mercredi S1'!AK9+'Jeudi S1'!AK9+'Vendredi S1'!AK9+'Samedi S1'!AK9</f>
        <v>0</v>
      </c>
      <c r="AL9" s="9">
        <f>+'Lundi S1'!AL10+'Mardi S1'!AL10+'Mercredi S1'!AL9+'Jeudi S1'!AL9+'Vendredi S1'!AL9+'Samedi S1'!AL9</f>
        <v>2.42</v>
      </c>
      <c r="AM9" s="10">
        <f>+'Lundi S1'!AM10+'Mardi S1'!AM10+'Mercredi S1'!AM9+'Jeudi S1'!AM9+'Vendredi S1'!AM9+'Samedi S1'!AM9</f>
        <v>0</v>
      </c>
      <c r="AN9" s="10">
        <f>+'Lundi S1'!AN10+'Mardi S1'!AN10+'Mercredi S1'!AN9+'Jeudi S1'!AN9+'Vendredi S1'!AN9+'Samedi S1'!AN9</f>
        <v>0.4</v>
      </c>
      <c r="AO9" s="10">
        <f>+'Lundi S1'!AO10+'Mardi S1'!AO10+'Mercredi S1'!AO9+'Jeudi S1'!AO9+'Vendredi S1'!AO9+'Samedi S1'!AO9</f>
        <v>2.3000000000000003</v>
      </c>
      <c r="AP9" s="11">
        <f>+'Lundi S1'!AP10+'Mardi S1'!AP10+'Mercredi S1'!AP9+'Jeudi S1'!AP9+'Vendredi S1'!AP9+'Samedi S1'!AP9</f>
        <v>4</v>
      </c>
      <c r="AQ9" s="9">
        <f>+'Lundi S1'!AQ10+'Mardi S1'!AQ10+'Mercredi S1'!AQ9+'Jeudi S1'!AQ9+'Vendredi S1'!AQ9+'Samedi S1'!AQ9</f>
        <v>34</v>
      </c>
      <c r="AR9" s="10">
        <f>+'Lundi S1'!AR10+'Mardi S1'!AR10+'Mercredi S1'!AR9+'Jeudi S1'!AR9+'Vendredi S1'!AR9+'Samedi S1'!AR9</f>
        <v>0</v>
      </c>
      <c r="AS9" s="11">
        <f>+'Lundi S1'!AS10+'Mardi S1'!AS10+'Mercredi S1'!AS9+'Jeudi S1'!AS9+'Vendredi S1'!AS9+'Samedi S1'!AS9</f>
        <v>61</v>
      </c>
      <c r="AT9" s="22"/>
      <c r="AU9" s="14"/>
    </row>
    <row r="10" spans="1:47" ht="31.9" customHeight="1" x14ac:dyDescent="0.2">
      <c r="A10" s="26">
        <v>4</v>
      </c>
      <c r="B10" s="19"/>
      <c r="C10" s="9">
        <f>+'Lundi S1'!C11+'Mardi S1'!C11+'Mercredi S1'!C10+'Jeudi S1'!C10+'Vendredi S1'!C10+'Samedi S1'!C10</f>
        <v>90</v>
      </c>
      <c r="D10" s="10">
        <f>+'Lundi S1'!D11+'Mardi S1'!D11+'Mercredi S1'!D10+'Jeudi S1'!D10+'Vendredi S1'!D10+'Samedi S1'!D10</f>
        <v>18</v>
      </c>
      <c r="E10" s="10">
        <f>+'Lundi S1'!E11+'Mardi S1'!E11+'Mercredi S1'!E10+'Jeudi S1'!E10+'Vendredi S1'!E10+'Samedi S1'!E10</f>
        <v>30</v>
      </c>
      <c r="F10" s="10">
        <f>+'Lundi S1'!F11+'Mardi S1'!F11+'Mercredi S1'!F10+'Jeudi S1'!F10+'Vendredi S1'!F10+'Samedi S1'!F10</f>
        <v>12</v>
      </c>
      <c r="G10" s="11">
        <f>+'Lundi S1'!G11+'Mardi S1'!G11+'Mercredi S1'!G10+'Jeudi S1'!G10+'Vendredi S1'!G10+'Samedi S1'!G10</f>
        <v>30</v>
      </c>
      <c r="H10" s="9">
        <f>+'Lundi S1'!H11+'Mardi S1'!H11+'Mercredi S1'!H10+'Jeudi S1'!H10+'Vendredi S1'!H10+'Samedi S1'!H10</f>
        <v>18</v>
      </c>
      <c r="I10" s="10">
        <f>+'Lundi S1'!I11+'Mardi S1'!I11+'Mercredi S1'!I10+'Jeudi S1'!I10+'Vendredi S1'!I10+'Samedi S1'!I10</f>
        <v>6</v>
      </c>
      <c r="J10" s="10">
        <f>+'Lundi S1'!J11+'Mardi S1'!J11+'Mercredi S1'!J10+'Jeudi S1'!J10+'Vendredi S1'!J10+'Samedi S1'!J10</f>
        <v>6</v>
      </c>
      <c r="K10" s="10">
        <f>+'Lundi S1'!K11+'Mardi S1'!K11+'Mercredi S1'!K10+'Jeudi S1'!K10+'Vendredi S1'!K10+'Samedi S1'!K10</f>
        <v>6</v>
      </c>
      <c r="L10" s="11">
        <f>+'Lundi S1'!L11+'Mardi S1'!L11+'Mercredi S1'!L10+'Jeudi S1'!L10+'Vendredi S1'!L10+'Samedi S1'!L10</f>
        <v>6</v>
      </c>
      <c r="M10" s="9">
        <f>+'Lundi S1'!M11+'Mardi S1'!M11+'Mercredi S1'!M10+'Jeudi S1'!M10+'Vendredi S1'!M10+'Samedi S1'!M10</f>
        <v>18</v>
      </c>
      <c r="N10" s="10">
        <f>+'Lundi S1'!N11+'Mardi S1'!N11+'Mercredi S1'!N10+'Jeudi S1'!N10+'Vendredi S1'!N10+'Samedi S1'!N10</f>
        <v>6</v>
      </c>
      <c r="O10" s="10">
        <f>+'Lundi S1'!O11+'Mardi S1'!O11+'Mercredi S1'!O10+'Jeudi S1'!O10+'Vendredi S1'!O10+'Samedi S1'!O10</f>
        <v>18</v>
      </c>
      <c r="P10" s="10">
        <f>+'Lundi S1'!P11+'Mardi S1'!P11+'Mercredi S1'!P10+'Jeudi S1'!P10+'Vendredi S1'!P10+'Samedi S1'!P10</f>
        <v>0</v>
      </c>
      <c r="Q10" s="11">
        <f>+'Lundi S1'!Q11+'Mardi S1'!Q11+'Mercredi S1'!Q10+'Jeudi S1'!Q10+'Vendredi S1'!Q10+'Samedi S1'!Q10</f>
        <v>0</v>
      </c>
      <c r="R10" s="61">
        <f>+'Lundi S1'!R11+'Mardi S1'!R11+'Mercredi S1'!R10+'Jeudi S1'!R10+'Vendredi S1'!R10+'Samedi S1'!R10</f>
        <v>3</v>
      </c>
      <c r="S10" s="62">
        <f>+'Lundi S1'!S11+'Mardi S1'!S11+'Mercredi S1'!S10+'Jeudi S1'!S10+'Vendredi S1'!S10+'Samedi S1'!S10</f>
        <v>0.99999999999999989</v>
      </c>
      <c r="T10" s="62">
        <f>+'Lundi S1'!T11+'Mardi S1'!T11+'Mercredi S1'!T10+'Jeudi S1'!T10+'Vendredi S1'!T10+'Samedi S1'!T10</f>
        <v>0.6</v>
      </c>
      <c r="U10" s="62">
        <f>+'Lundi S1'!U11+'Mardi S1'!U11+'Mercredi S1'!U10+'Jeudi S1'!U10+'Vendredi S1'!U10+'Samedi S1'!U10</f>
        <v>3.6</v>
      </c>
      <c r="V10" s="63">
        <f>+'Lundi S1'!V11+'Mardi S1'!V11+'Mercredi S1'!V10+'Jeudi S1'!V10+'Vendredi S1'!V10+'Samedi S1'!V10</f>
        <v>0.9</v>
      </c>
      <c r="W10" s="9">
        <f>+'Lundi S1'!W11+'Mardi S1'!W11+'Mercredi S1'!W10+'Jeudi S1'!W10+'Vendredi S1'!W10+'Samedi S1'!W10</f>
        <v>142</v>
      </c>
      <c r="X10" s="10">
        <f>+'Lundi S1'!X11+'Mardi S1'!X11+'Mercredi S1'!X10+'Jeudi S1'!X10+'Vendredi S1'!X10+'Samedi S1'!X10</f>
        <v>1</v>
      </c>
      <c r="Y10" s="10">
        <f>+'Lundi S1'!Y11+'Mardi S1'!Y11+'Mercredi S1'!Y10+'Jeudi S1'!Y10+'Vendredi S1'!Y10+'Samedi S1'!Y10</f>
        <v>3</v>
      </c>
      <c r="Z10" s="10">
        <f>+'Lundi S1'!Z11+'Mardi S1'!Z11+'Mercredi S1'!Z10+'Jeudi S1'!Z10+'Vendredi S1'!Z10+'Samedi S1'!Z10</f>
        <v>7</v>
      </c>
      <c r="AA10" s="11">
        <f>+'Lundi S1'!AA11+'Mardi S1'!AA11+'Mercredi S1'!AA10+'Jeudi S1'!AA10+'Vendredi S1'!AA10+'Samedi S1'!AA10</f>
        <v>1</v>
      </c>
      <c r="AB10" s="9">
        <f>+'Lundi S1'!AB11+'Mardi S1'!AB11+'Mercredi S1'!AB10+'Jeudi S1'!AB10+'Vendredi S1'!AB10+'Samedi S1'!AB10</f>
        <v>58</v>
      </c>
      <c r="AC10" s="10">
        <f>+'Lundi S1'!AC11+'Mardi S1'!AC11+'Mercredi S1'!AC10+'Jeudi S1'!AC10+'Vendredi S1'!AC10+'Samedi S1'!AC10</f>
        <v>0</v>
      </c>
      <c r="AD10" s="10">
        <f>+'Lundi S1'!AD11+'Mardi S1'!AD11+'Mercredi S1'!AD10+'Jeudi S1'!AD10+'Vendredi S1'!AD10+'Samedi S1'!AD10</f>
        <v>1</v>
      </c>
      <c r="AE10" s="10">
        <f>+'Lundi S1'!AE11+'Mardi S1'!AE11+'Mercredi S1'!AE10+'Jeudi S1'!AE10+'Vendredi S1'!AE10+'Samedi S1'!AE10</f>
        <v>2</v>
      </c>
      <c r="AF10" s="11">
        <f>+'Lundi S1'!AF11+'Mardi S1'!AF11+'Mercredi S1'!AF10+'Jeudi S1'!AF10+'Vendredi S1'!AF10+'Samedi S1'!AF10</f>
        <v>4</v>
      </c>
      <c r="AG10" s="9">
        <f>+'Lundi S1'!AG11+'Mardi S1'!AG11+'Mercredi S1'!AG10+'Jeudi S1'!AG10+'Vendredi S1'!AG10+'Samedi S1'!AG10</f>
        <v>25</v>
      </c>
      <c r="AH10" s="10">
        <f>+'Lundi S1'!AH11+'Mardi S1'!AH11+'Mercredi S1'!AH10+'Jeudi S1'!AH10+'Vendredi S1'!AH10+'Samedi S1'!AH10</f>
        <v>0</v>
      </c>
      <c r="AI10" s="10">
        <f>+'Lundi S1'!AI11+'Mardi S1'!AI11+'Mercredi S1'!AI10+'Jeudi S1'!AI10+'Vendredi S1'!AI10+'Samedi S1'!AI10</f>
        <v>25</v>
      </c>
      <c r="AJ10" s="10">
        <f>+'Lundi S1'!AJ11+'Mardi S1'!AJ11+'Mercredi S1'!AJ10+'Jeudi S1'!AJ10+'Vendredi S1'!AJ10+'Samedi S1'!AJ10</f>
        <v>0</v>
      </c>
      <c r="AK10" s="11">
        <f>+'Lundi S1'!AK11+'Mardi S1'!AK11+'Mercredi S1'!AK10+'Jeudi S1'!AK10+'Vendredi S1'!AK10+'Samedi S1'!AK10</f>
        <v>0</v>
      </c>
      <c r="AL10" s="9">
        <f>+'Lundi S1'!AL11+'Mardi S1'!AL11+'Mercredi S1'!AL10+'Jeudi S1'!AL10+'Vendredi S1'!AL10+'Samedi S1'!AL10</f>
        <v>2.58</v>
      </c>
      <c r="AM10" s="10">
        <f>+'Lundi S1'!AM11+'Mardi S1'!AM11+'Mercredi S1'!AM10+'Jeudi S1'!AM10+'Vendredi S1'!AM10+'Samedi S1'!AM10</f>
        <v>0</v>
      </c>
      <c r="AN10" s="10">
        <f>+'Lundi S1'!AN11+'Mardi S1'!AN11+'Mercredi S1'!AN10+'Jeudi S1'!AN10+'Vendredi S1'!AN10+'Samedi S1'!AN10</f>
        <v>0.70000000000000007</v>
      </c>
      <c r="AO10" s="10">
        <f>+'Lundi S1'!AO11+'Mardi S1'!AO11+'Mercredi S1'!AO10+'Jeudi S1'!AO10+'Vendredi S1'!AO10+'Samedi S1'!AO10</f>
        <v>2.2000000000000002</v>
      </c>
      <c r="AP10" s="11">
        <f>+'Lundi S1'!AP11+'Mardi S1'!AP11+'Mercredi S1'!AP10+'Jeudi S1'!AP10+'Vendredi S1'!AP10+'Samedi S1'!AP10</f>
        <v>3.5</v>
      </c>
      <c r="AQ10" s="9">
        <f>+'Lundi S1'!AQ11+'Mardi S1'!AQ11+'Mercredi S1'!AQ10+'Jeudi S1'!AQ10+'Vendredi S1'!AQ10+'Samedi S1'!AQ10</f>
        <v>46</v>
      </c>
      <c r="AR10" s="10">
        <f>+'Lundi S1'!AR11+'Mardi S1'!AR11+'Mercredi S1'!AR10+'Jeudi S1'!AR10+'Vendredi S1'!AR10+'Samedi S1'!AR10</f>
        <v>0</v>
      </c>
      <c r="AS10" s="11">
        <f>+'Lundi S1'!AS11+'Mardi S1'!AS11+'Mercredi S1'!AS10+'Jeudi S1'!AS10+'Vendredi S1'!AS10+'Samedi S1'!AS10</f>
        <v>56</v>
      </c>
      <c r="AT10" s="22"/>
      <c r="AU10" s="14"/>
    </row>
    <row r="11" spans="1:47" ht="31.9" customHeight="1" x14ac:dyDescent="0.2">
      <c r="A11" s="26">
        <v>5</v>
      </c>
      <c r="B11" s="19"/>
      <c r="C11" s="9">
        <f>+'Lundi S1'!C12+'Mardi S1'!C12+'Mercredi S1'!C11+'Jeudi S1'!C11+'Vendredi S1'!C11+'Samedi S1'!C11</f>
        <v>90</v>
      </c>
      <c r="D11" s="10">
        <f>+'Lundi S1'!D12+'Mardi S1'!D12+'Mercredi S1'!D11+'Jeudi S1'!D11+'Vendredi S1'!D11+'Samedi S1'!D11</f>
        <v>18</v>
      </c>
      <c r="E11" s="10">
        <f>+'Lundi S1'!E12+'Mardi S1'!E12+'Mercredi S1'!E11+'Jeudi S1'!E11+'Vendredi S1'!E11+'Samedi S1'!E11</f>
        <v>30</v>
      </c>
      <c r="F11" s="10">
        <f>+'Lundi S1'!F12+'Mardi S1'!F12+'Mercredi S1'!F11+'Jeudi S1'!F11+'Vendredi S1'!F11+'Samedi S1'!F11</f>
        <v>12</v>
      </c>
      <c r="G11" s="11">
        <f>+'Lundi S1'!G12+'Mardi S1'!G12+'Mercredi S1'!G11+'Jeudi S1'!G11+'Vendredi S1'!G11+'Samedi S1'!G11</f>
        <v>30</v>
      </c>
      <c r="H11" s="9">
        <f>+'Lundi S1'!H12+'Mardi S1'!H12+'Mercredi S1'!H11+'Jeudi S1'!H11+'Vendredi S1'!H11+'Samedi S1'!H11</f>
        <v>18</v>
      </c>
      <c r="I11" s="10">
        <f>+'Lundi S1'!I12+'Mardi S1'!I12+'Mercredi S1'!I11+'Jeudi S1'!I11+'Vendredi S1'!I11+'Samedi S1'!I11</f>
        <v>6</v>
      </c>
      <c r="J11" s="10">
        <f>+'Lundi S1'!J12+'Mardi S1'!J12+'Mercredi S1'!J11+'Jeudi S1'!J11+'Vendredi S1'!J11+'Samedi S1'!J11</f>
        <v>6</v>
      </c>
      <c r="K11" s="10">
        <f>+'Lundi S1'!K12+'Mardi S1'!K12+'Mercredi S1'!K11+'Jeudi S1'!K11+'Vendredi S1'!K11+'Samedi S1'!K11</f>
        <v>6</v>
      </c>
      <c r="L11" s="11">
        <f>+'Lundi S1'!L12+'Mardi S1'!L12+'Mercredi S1'!L11+'Jeudi S1'!L11+'Vendredi S1'!L11+'Samedi S1'!L11</f>
        <v>6</v>
      </c>
      <c r="M11" s="9">
        <f>+'Lundi S1'!M12+'Mardi S1'!M12+'Mercredi S1'!M11+'Jeudi S1'!M11+'Vendredi S1'!M11+'Samedi S1'!M11</f>
        <v>18</v>
      </c>
      <c r="N11" s="10">
        <f>+'Lundi S1'!N12+'Mardi S1'!N12+'Mercredi S1'!N11+'Jeudi S1'!N11+'Vendredi S1'!N11+'Samedi S1'!N11</f>
        <v>6</v>
      </c>
      <c r="O11" s="10">
        <f>+'Lundi S1'!O12+'Mardi S1'!O12+'Mercredi S1'!O11+'Jeudi S1'!O11+'Vendredi S1'!O11+'Samedi S1'!O11</f>
        <v>18</v>
      </c>
      <c r="P11" s="10">
        <f>+'Lundi S1'!P12+'Mardi S1'!P12+'Mercredi S1'!P11+'Jeudi S1'!P11+'Vendredi S1'!P11+'Samedi S1'!P11</f>
        <v>0</v>
      </c>
      <c r="Q11" s="11">
        <f>+'Lundi S1'!Q12+'Mardi S1'!Q12+'Mercredi S1'!Q11+'Jeudi S1'!Q11+'Vendredi S1'!Q11+'Samedi S1'!Q11</f>
        <v>0</v>
      </c>
      <c r="R11" s="61">
        <f>+'Lundi S1'!R12+'Mardi S1'!R12+'Mercredi S1'!R11+'Jeudi S1'!R11+'Vendredi S1'!R11+'Samedi S1'!R11</f>
        <v>3</v>
      </c>
      <c r="S11" s="62">
        <f>+'Lundi S1'!S12+'Mardi S1'!S12+'Mercredi S1'!S11+'Jeudi S1'!S11+'Vendredi S1'!S11+'Samedi S1'!S11</f>
        <v>0.99999999999999989</v>
      </c>
      <c r="T11" s="62">
        <f>+'Lundi S1'!T12+'Mardi S1'!T12+'Mercredi S1'!T11+'Jeudi S1'!T11+'Vendredi S1'!T11+'Samedi S1'!T11</f>
        <v>0.6</v>
      </c>
      <c r="U11" s="62">
        <f>+'Lundi S1'!U12+'Mardi S1'!U12+'Mercredi S1'!U11+'Jeudi S1'!U11+'Vendredi S1'!U11+'Samedi S1'!U11</f>
        <v>3.6</v>
      </c>
      <c r="V11" s="63">
        <f>+'Lundi S1'!V12+'Mardi S1'!V12+'Mercredi S1'!V11+'Jeudi S1'!V11+'Vendredi S1'!V11+'Samedi S1'!V11</f>
        <v>0.9</v>
      </c>
      <c r="W11" s="9">
        <f>+'Lundi S1'!W12+'Mardi S1'!W12+'Mercredi S1'!W11+'Jeudi S1'!W11+'Vendredi S1'!W11+'Samedi S1'!W11</f>
        <v>140</v>
      </c>
      <c r="X11" s="10">
        <f>+'Lundi S1'!X12+'Mardi S1'!X12+'Mercredi S1'!X11+'Jeudi S1'!X11+'Vendredi S1'!X11+'Samedi S1'!X11</f>
        <v>0</v>
      </c>
      <c r="Y11" s="10">
        <f>+'Lundi S1'!Y12+'Mardi S1'!Y12+'Mercredi S1'!Y11+'Jeudi S1'!Y11+'Vendredi S1'!Y11+'Samedi S1'!Y11</f>
        <v>2</v>
      </c>
      <c r="Z11" s="10">
        <f>+'Lundi S1'!Z12+'Mardi S1'!Z12+'Mercredi S1'!Z11+'Jeudi S1'!Z11+'Vendredi S1'!Z11+'Samedi S1'!Z11</f>
        <v>1</v>
      </c>
      <c r="AA11" s="11">
        <f>+'Lundi S1'!AA12+'Mardi S1'!AA12+'Mercredi S1'!AA11+'Jeudi S1'!AA11+'Vendredi S1'!AA11+'Samedi S1'!AA11</f>
        <v>3</v>
      </c>
      <c r="AB11" s="9">
        <f>+'Lundi S1'!AB12+'Mardi S1'!AB12+'Mercredi S1'!AB11+'Jeudi S1'!AB11+'Vendredi S1'!AB11+'Samedi S1'!AB11</f>
        <v>60</v>
      </c>
      <c r="AC11" s="10">
        <f>+'Lundi S1'!AC12+'Mardi S1'!AC12+'Mercredi S1'!AC11+'Jeudi S1'!AC11+'Vendredi S1'!AC11+'Samedi S1'!AC11</f>
        <v>0</v>
      </c>
      <c r="AD11" s="10">
        <f>+'Lundi S1'!AD12+'Mardi S1'!AD12+'Mercredi S1'!AD11+'Jeudi S1'!AD11+'Vendredi S1'!AD11+'Samedi S1'!AD11</f>
        <v>1</v>
      </c>
      <c r="AE11" s="10">
        <f>+'Lundi S1'!AE12+'Mardi S1'!AE12+'Mercredi S1'!AE11+'Jeudi S1'!AE11+'Vendredi S1'!AE11+'Samedi S1'!AE11</f>
        <v>0</v>
      </c>
      <c r="AF11" s="11">
        <f>+'Lundi S1'!AF12+'Mardi S1'!AF12+'Mercredi S1'!AF11+'Jeudi S1'!AF11+'Vendredi S1'!AF11+'Samedi S1'!AF11</f>
        <v>0</v>
      </c>
      <c r="AG11" s="9">
        <f>+'Lundi S1'!AG12+'Mardi S1'!AG12+'Mercredi S1'!AG11+'Jeudi S1'!AG11+'Vendredi S1'!AG11+'Samedi S1'!AG11</f>
        <v>25</v>
      </c>
      <c r="AH11" s="10">
        <f>+'Lundi S1'!AH12+'Mardi S1'!AH12+'Mercredi S1'!AH11+'Jeudi S1'!AH11+'Vendredi S1'!AH11+'Samedi S1'!AH11</f>
        <v>0</v>
      </c>
      <c r="AI11" s="10">
        <f>+'Lundi S1'!AI12+'Mardi S1'!AI12+'Mercredi S1'!AI11+'Jeudi S1'!AI11+'Vendredi S1'!AI11+'Samedi S1'!AI11</f>
        <v>25</v>
      </c>
      <c r="AJ11" s="10">
        <f>+'Lundi S1'!AJ12+'Mardi S1'!AJ12+'Mercredi S1'!AJ11+'Jeudi S1'!AJ11+'Vendredi S1'!AJ11+'Samedi S1'!AJ11</f>
        <v>0</v>
      </c>
      <c r="AK11" s="11">
        <f>+'Lundi S1'!AK12+'Mardi S1'!AK12+'Mercredi S1'!AK11+'Jeudi S1'!AK11+'Vendredi S1'!AK11+'Samedi S1'!AK11</f>
        <v>0</v>
      </c>
      <c r="AL11" s="9">
        <f>+'Lundi S1'!AL12+'Mardi S1'!AL12+'Mercredi S1'!AL11+'Jeudi S1'!AL11+'Vendredi S1'!AL11+'Samedi S1'!AL11</f>
        <v>1.92</v>
      </c>
      <c r="AM11" s="10">
        <f>+'Lundi S1'!AM12+'Mardi S1'!AM12+'Mercredi S1'!AM11+'Jeudi S1'!AM11+'Vendredi S1'!AM11+'Samedi S1'!AM11</f>
        <v>0</v>
      </c>
      <c r="AN11" s="10">
        <f>+'Lundi S1'!AN12+'Mardi S1'!AN12+'Mercredi S1'!AN11+'Jeudi S1'!AN11+'Vendredi S1'!AN11+'Samedi S1'!AN11</f>
        <v>0.25</v>
      </c>
      <c r="AO11" s="10">
        <f>+'Lundi S1'!AO12+'Mardi S1'!AO12+'Mercredi S1'!AO11+'Jeudi S1'!AO11+'Vendredi S1'!AO11+'Samedi S1'!AO11</f>
        <v>3.1</v>
      </c>
      <c r="AP11" s="11">
        <f>+'Lundi S1'!AP12+'Mardi S1'!AP12+'Mercredi S1'!AP11+'Jeudi S1'!AP11+'Vendredi S1'!AP11+'Samedi S1'!AP11</f>
        <v>5.3</v>
      </c>
      <c r="AQ11" s="9">
        <f>+'Lundi S1'!AQ12+'Mardi S1'!AQ12+'Mercredi S1'!AQ11+'Jeudi S1'!AQ11+'Vendredi S1'!AQ11+'Samedi S1'!AQ11</f>
        <v>28</v>
      </c>
      <c r="AR11" s="10">
        <f>+'Lundi S1'!AR12+'Mardi S1'!AR12+'Mercredi S1'!AR11+'Jeudi S1'!AR11+'Vendredi S1'!AR11+'Samedi S1'!AR11</f>
        <v>0</v>
      </c>
      <c r="AS11" s="11">
        <f>+'Lundi S1'!AS12+'Mardi S1'!AS12+'Mercredi S1'!AS11+'Jeudi S1'!AS11+'Vendredi S1'!AS11+'Samedi S1'!AS11</f>
        <v>83</v>
      </c>
      <c r="AT11" s="22"/>
      <c r="AU11" s="14"/>
    </row>
    <row r="12" spans="1:47" ht="31.9" customHeight="1" x14ac:dyDescent="0.2">
      <c r="A12" s="26">
        <v>6</v>
      </c>
      <c r="B12" s="19"/>
      <c r="C12" s="9">
        <f>+'Lundi S1'!C13+'Mardi S1'!C13+'Mercredi S1'!C12+'Jeudi S1'!C12+'Vendredi S1'!C12+'Samedi S1'!C12</f>
        <v>90</v>
      </c>
      <c r="D12" s="10">
        <f>+'Lundi S1'!D13+'Mardi S1'!D13+'Mercredi S1'!D12+'Jeudi S1'!D12+'Vendredi S1'!D12+'Samedi S1'!D12</f>
        <v>18</v>
      </c>
      <c r="E12" s="10">
        <f>+'Lundi S1'!E13+'Mardi S1'!E13+'Mercredi S1'!E12+'Jeudi S1'!E12+'Vendredi S1'!E12+'Samedi S1'!E12</f>
        <v>30</v>
      </c>
      <c r="F12" s="10">
        <f>+'Lundi S1'!F13+'Mardi S1'!F13+'Mercredi S1'!F12+'Jeudi S1'!F12+'Vendredi S1'!F12+'Samedi S1'!F12</f>
        <v>12</v>
      </c>
      <c r="G12" s="11">
        <f>+'Lundi S1'!G13+'Mardi S1'!G13+'Mercredi S1'!G12+'Jeudi S1'!G12+'Vendredi S1'!G12+'Samedi S1'!G12</f>
        <v>30</v>
      </c>
      <c r="H12" s="9">
        <f>+'Lundi S1'!H13+'Mardi S1'!H13+'Mercredi S1'!H12+'Jeudi S1'!H12+'Vendredi S1'!H12+'Samedi S1'!H12</f>
        <v>18</v>
      </c>
      <c r="I12" s="10">
        <f>+'Lundi S1'!I13+'Mardi S1'!I13+'Mercredi S1'!I12+'Jeudi S1'!I12+'Vendredi S1'!I12+'Samedi S1'!I12</f>
        <v>6</v>
      </c>
      <c r="J12" s="10">
        <f>+'Lundi S1'!J13+'Mardi S1'!J13+'Mercredi S1'!J12+'Jeudi S1'!J12+'Vendredi S1'!J12+'Samedi S1'!J12</f>
        <v>6</v>
      </c>
      <c r="K12" s="10">
        <f>+'Lundi S1'!K13+'Mardi S1'!K13+'Mercredi S1'!K12+'Jeudi S1'!K12+'Vendredi S1'!K12+'Samedi S1'!K12</f>
        <v>6</v>
      </c>
      <c r="L12" s="11">
        <f>+'Lundi S1'!L13+'Mardi S1'!L13+'Mercredi S1'!L12+'Jeudi S1'!L12+'Vendredi S1'!L12+'Samedi S1'!L12</f>
        <v>6</v>
      </c>
      <c r="M12" s="9">
        <f>+'Lundi S1'!M13+'Mardi S1'!M13+'Mercredi S1'!M12+'Jeudi S1'!M12+'Vendredi S1'!M12+'Samedi S1'!M12</f>
        <v>18</v>
      </c>
      <c r="N12" s="10">
        <f>+'Lundi S1'!N13+'Mardi S1'!N13+'Mercredi S1'!N12+'Jeudi S1'!N12+'Vendredi S1'!N12+'Samedi S1'!N12</f>
        <v>6</v>
      </c>
      <c r="O12" s="10">
        <f>+'Lundi S1'!O13+'Mardi S1'!O13+'Mercredi S1'!O12+'Jeudi S1'!O12+'Vendredi S1'!O12+'Samedi S1'!O12</f>
        <v>18</v>
      </c>
      <c r="P12" s="10">
        <f>+'Lundi S1'!P13+'Mardi S1'!P13+'Mercredi S1'!P12+'Jeudi S1'!P12+'Vendredi S1'!P12+'Samedi S1'!P12</f>
        <v>0</v>
      </c>
      <c r="Q12" s="11">
        <f>+'Lundi S1'!Q13+'Mardi S1'!Q13+'Mercredi S1'!Q12+'Jeudi S1'!Q12+'Vendredi S1'!Q12+'Samedi S1'!Q12</f>
        <v>0</v>
      </c>
      <c r="R12" s="61">
        <f>+'Lundi S1'!R13+'Mardi S1'!R13+'Mercredi S1'!R12+'Jeudi S1'!R12+'Vendredi S1'!R12+'Samedi S1'!R12</f>
        <v>3</v>
      </c>
      <c r="S12" s="62">
        <f>+'Lundi S1'!S13+'Mardi S1'!S13+'Mercredi S1'!S12+'Jeudi S1'!S12+'Vendredi S1'!S12+'Samedi S1'!S12</f>
        <v>0.99999999999999989</v>
      </c>
      <c r="T12" s="62">
        <f>+'Lundi S1'!T13+'Mardi S1'!T13+'Mercredi S1'!T12+'Jeudi S1'!T12+'Vendredi S1'!T12+'Samedi S1'!T12</f>
        <v>0.6</v>
      </c>
      <c r="U12" s="62">
        <f>+'Lundi S1'!U13+'Mardi S1'!U13+'Mercredi S1'!U12+'Jeudi S1'!U12+'Vendredi S1'!U12+'Samedi S1'!U12</f>
        <v>3.6</v>
      </c>
      <c r="V12" s="63">
        <f>+'Lundi S1'!V13+'Mardi S1'!V13+'Mercredi S1'!V12+'Jeudi S1'!V12+'Vendredi S1'!V12+'Samedi S1'!V12</f>
        <v>0.9</v>
      </c>
      <c r="W12" s="9">
        <f>+'Lundi S1'!W13+'Mardi S1'!W13+'Mercredi S1'!W12+'Jeudi S1'!W12+'Vendredi S1'!W12+'Samedi S1'!W12</f>
        <v>139</v>
      </c>
      <c r="X12" s="10">
        <f>+'Lundi S1'!X13+'Mardi S1'!X13+'Mercredi S1'!X12+'Jeudi S1'!X12+'Vendredi S1'!X12+'Samedi S1'!X12</f>
        <v>1</v>
      </c>
      <c r="Y12" s="10">
        <f>+'Lundi S1'!Y13+'Mardi S1'!Y13+'Mercredi S1'!Y12+'Jeudi S1'!Y12+'Vendredi S1'!Y12+'Samedi S1'!Y12</f>
        <v>2</v>
      </c>
      <c r="Z12" s="10">
        <f>+'Lundi S1'!Z13+'Mardi S1'!Z13+'Mercredi S1'!Z12+'Jeudi S1'!Z12+'Vendredi S1'!Z12+'Samedi S1'!Z12</f>
        <v>7</v>
      </c>
      <c r="AA12" s="11">
        <f>+'Lundi S1'!AA13+'Mardi S1'!AA13+'Mercredi S1'!AA12+'Jeudi S1'!AA12+'Vendredi S1'!AA12+'Samedi S1'!AA12</f>
        <v>0</v>
      </c>
      <c r="AB12" s="9">
        <f>+'Lundi S1'!AB13+'Mardi S1'!AB13+'Mercredi S1'!AB12+'Jeudi S1'!AB12+'Vendredi S1'!AB12+'Samedi S1'!AB12</f>
        <v>60</v>
      </c>
      <c r="AC12" s="10">
        <f>+'Lundi S1'!AC13+'Mardi S1'!AC13+'Mercredi S1'!AC12+'Jeudi S1'!AC12+'Vendredi S1'!AC12+'Samedi S1'!AC12</f>
        <v>0</v>
      </c>
      <c r="AD12" s="10">
        <f>+'Lundi S1'!AD13+'Mardi S1'!AD13+'Mercredi S1'!AD12+'Jeudi S1'!AD12+'Vendredi S1'!AD12+'Samedi S1'!AD12</f>
        <v>3</v>
      </c>
      <c r="AE12" s="10">
        <f>+'Lundi S1'!AE13+'Mardi S1'!AE13+'Mercredi S1'!AE12+'Jeudi S1'!AE12+'Vendredi S1'!AE12+'Samedi S1'!AE12</f>
        <v>3</v>
      </c>
      <c r="AF12" s="11">
        <f>+'Lundi S1'!AF13+'Mardi S1'!AF13+'Mercredi S1'!AF12+'Jeudi S1'!AF12+'Vendredi S1'!AF12+'Samedi S1'!AF12</f>
        <v>0</v>
      </c>
      <c r="AG12" s="9">
        <f>+'Lundi S1'!AG13+'Mardi S1'!AG13+'Mercredi S1'!AG12+'Jeudi S1'!AG12+'Vendredi S1'!AG12+'Samedi S1'!AG12</f>
        <v>25</v>
      </c>
      <c r="AH12" s="10">
        <f>+'Lundi S1'!AH13+'Mardi S1'!AH13+'Mercredi S1'!AH12+'Jeudi S1'!AH12+'Vendredi S1'!AH12+'Samedi S1'!AH12</f>
        <v>0</v>
      </c>
      <c r="AI12" s="10">
        <f>+'Lundi S1'!AI13+'Mardi S1'!AI13+'Mercredi S1'!AI12+'Jeudi S1'!AI12+'Vendredi S1'!AI12+'Samedi S1'!AI12</f>
        <v>25</v>
      </c>
      <c r="AJ12" s="10">
        <f>+'Lundi S1'!AJ13+'Mardi S1'!AJ13+'Mercredi S1'!AJ12+'Jeudi S1'!AJ12+'Vendredi S1'!AJ12+'Samedi S1'!AJ12</f>
        <v>0</v>
      </c>
      <c r="AK12" s="11">
        <f>+'Lundi S1'!AK13+'Mardi S1'!AK13+'Mercredi S1'!AK12+'Jeudi S1'!AK12+'Vendredi S1'!AK12+'Samedi S1'!AK12</f>
        <v>0</v>
      </c>
      <c r="AL12" s="9">
        <f>+'Lundi S1'!AL13+'Mardi S1'!AL13+'Mercredi S1'!AL12+'Jeudi S1'!AL12+'Vendredi S1'!AL12+'Samedi S1'!AL12</f>
        <v>2</v>
      </c>
      <c r="AM12" s="10">
        <f>+'Lundi S1'!AM13+'Mardi S1'!AM13+'Mercredi S1'!AM12+'Jeudi S1'!AM12+'Vendredi S1'!AM12+'Samedi S1'!AM12</f>
        <v>0</v>
      </c>
      <c r="AN12" s="10">
        <f>+'Lundi S1'!AN13+'Mardi S1'!AN13+'Mercredi S1'!AN12+'Jeudi S1'!AN12+'Vendredi S1'!AN12+'Samedi S1'!AN12</f>
        <v>0.75</v>
      </c>
      <c r="AO12" s="10">
        <f>+'Lundi S1'!AO13+'Mardi S1'!AO13+'Mercredi S1'!AO12+'Jeudi S1'!AO12+'Vendredi S1'!AO12+'Samedi S1'!AO12</f>
        <v>1.6</v>
      </c>
      <c r="AP12" s="11">
        <f>+'Lundi S1'!AP13+'Mardi S1'!AP13+'Mercredi S1'!AP12+'Jeudi S1'!AP12+'Vendredi S1'!AP12+'Samedi S1'!AP12</f>
        <v>2.35</v>
      </c>
      <c r="AQ12" s="9">
        <f>+'Lundi S1'!AQ13+'Mardi S1'!AQ13+'Mercredi S1'!AQ12+'Jeudi S1'!AQ12+'Vendredi S1'!AQ12+'Samedi S1'!AQ12</f>
        <v>44</v>
      </c>
      <c r="AR12" s="10">
        <f>+'Lundi S1'!AR13+'Mardi S1'!AR13+'Mercredi S1'!AR12+'Jeudi S1'!AR12+'Vendredi S1'!AR12+'Samedi S1'!AR12</f>
        <v>0</v>
      </c>
      <c r="AS12" s="11">
        <f>+'Lundi S1'!AS13+'Mardi S1'!AS13+'Mercredi S1'!AS12+'Jeudi S1'!AS12+'Vendredi S1'!AS12+'Samedi S1'!AS12</f>
        <v>34</v>
      </c>
      <c r="AT12" s="22"/>
      <c r="AU12" s="14"/>
    </row>
    <row r="13" spans="1:47" ht="31.9" customHeight="1" x14ac:dyDescent="0.2">
      <c r="A13" s="26">
        <v>7</v>
      </c>
      <c r="B13" s="19"/>
      <c r="C13" s="9">
        <f>+'Lundi S1'!C14+'Mardi S1'!C14+'Mercredi S1'!C13+'Jeudi S1'!C13+'Vendredi S1'!C13+'Samedi S1'!C13</f>
        <v>90</v>
      </c>
      <c r="D13" s="10">
        <f>+'Lundi S1'!D14+'Mardi S1'!D14+'Mercredi S1'!D13+'Jeudi S1'!D13+'Vendredi S1'!D13+'Samedi S1'!D13</f>
        <v>18</v>
      </c>
      <c r="E13" s="10">
        <f>+'Lundi S1'!E14+'Mardi S1'!E14+'Mercredi S1'!E13+'Jeudi S1'!E13+'Vendredi S1'!E13+'Samedi S1'!E13</f>
        <v>30</v>
      </c>
      <c r="F13" s="10">
        <f>+'Lundi S1'!F14+'Mardi S1'!F14+'Mercredi S1'!F13+'Jeudi S1'!F13+'Vendredi S1'!F13+'Samedi S1'!F13</f>
        <v>12</v>
      </c>
      <c r="G13" s="11">
        <f>+'Lundi S1'!G14+'Mardi S1'!G14+'Mercredi S1'!G13+'Jeudi S1'!G13+'Vendredi S1'!G13+'Samedi S1'!G13</f>
        <v>30</v>
      </c>
      <c r="H13" s="9">
        <f>+'Lundi S1'!H14+'Mardi S1'!H14+'Mercredi S1'!H13+'Jeudi S1'!H13+'Vendredi S1'!H13+'Samedi S1'!H13</f>
        <v>18</v>
      </c>
      <c r="I13" s="10">
        <f>+'Lundi S1'!I14+'Mardi S1'!I14+'Mercredi S1'!I13+'Jeudi S1'!I13+'Vendredi S1'!I13+'Samedi S1'!I13</f>
        <v>6</v>
      </c>
      <c r="J13" s="10">
        <f>+'Lundi S1'!J14+'Mardi S1'!J14+'Mercredi S1'!J13+'Jeudi S1'!J13+'Vendredi S1'!J13+'Samedi S1'!J13</f>
        <v>6</v>
      </c>
      <c r="K13" s="10">
        <f>+'Lundi S1'!K14+'Mardi S1'!K14+'Mercredi S1'!K13+'Jeudi S1'!K13+'Vendredi S1'!K13+'Samedi S1'!K13</f>
        <v>6</v>
      </c>
      <c r="L13" s="11">
        <f>+'Lundi S1'!L14+'Mardi S1'!L14+'Mercredi S1'!L13+'Jeudi S1'!L13+'Vendredi S1'!L13+'Samedi S1'!L13</f>
        <v>6</v>
      </c>
      <c r="M13" s="9">
        <f>+'Lundi S1'!M14+'Mardi S1'!M14+'Mercredi S1'!M13+'Jeudi S1'!M13+'Vendredi S1'!M13+'Samedi S1'!M13</f>
        <v>18</v>
      </c>
      <c r="N13" s="10">
        <f>+'Lundi S1'!N14+'Mardi S1'!N14+'Mercredi S1'!N13+'Jeudi S1'!N13+'Vendredi S1'!N13+'Samedi S1'!N13</f>
        <v>6</v>
      </c>
      <c r="O13" s="10">
        <f>+'Lundi S1'!O14+'Mardi S1'!O14+'Mercredi S1'!O13+'Jeudi S1'!O13+'Vendredi S1'!O13+'Samedi S1'!O13</f>
        <v>18</v>
      </c>
      <c r="P13" s="10">
        <f>+'Lundi S1'!P14+'Mardi S1'!P14+'Mercredi S1'!P13+'Jeudi S1'!P13+'Vendredi S1'!P13+'Samedi S1'!P13</f>
        <v>0</v>
      </c>
      <c r="Q13" s="11">
        <f>+'Lundi S1'!Q14+'Mardi S1'!Q14+'Mercredi S1'!Q13+'Jeudi S1'!Q13+'Vendredi S1'!Q13+'Samedi S1'!Q13</f>
        <v>0</v>
      </c>
      <c r="R13" s="61">
        <f>+'Lundi S1'!R14+'Mardi S1'!R14+'Mercredi S1'!R13+'Jeudi S1'!R13+'Vendredi S1'!R13+'Samedi S1'!R13</f>
        <v>3</v>
      </c>
      <c r="S13" s="62">
        <f>+'Lundi S1'!S14+'Mardi S1'!S14+'Mercredi S1'!S13+'Jeudi S1'!S13+'Vendredi S1'!S13+'Samedi S1'!S13</f>
        <v>0.99999999999999989</v>
      </c>
      <c r="T13" s="62">
        <f>+'Lundi S1'!T14+'Mardi S1'!T14+'Mercredi S1'!T13+'Jeudi S1'!T13+'Vendredi S1'!T13+'Samedi S1'!T13</f>
        <v>0.6</v>
      </c>
      <c r="U13" s="62">
        <f>+'Lundi S1'!U14+'Mardi S1'!U14+'Mercredi S1'!U13+'Jeudi S1'!U13+'Vendredi S1'!U13+'Samedi S1'!U13</f>
        <v>3.6</v>
      </c>
      <c r="V13" s="63">
        <f>+'Lundi S1'!V14+'Mardi S1'!V14+'Mercredi S1'!V13+'Jeudi S1'!V13+'Vendredi S1'!V13+'Samedi S1'!V13</f>
        <v>0.9</v>
      </c>
      <c r="W13" s="9">
        <f>+'Lundi S1'!W14+'Mardi S1'!W14+'Mercredi S1'!W13+'Jeudi S1'!W13+'Vendredi S1'!W13+'Samedi S1'!W13</f>
        <v>146</v>
      </c>
      <c r="X13" s="10">
        <f>+'Lundi S1'!X14+'Mardi S1'!X14+'Mercredi S1'!X13+'Jeudi S1'!X13+'Vendredi S1'!X13+'Samedi S1'!X13</f>
        <v>3</v>
      </c>
      <c r="Y13" s="10">
        <f>+'Lundi S1'!Y14+'Mardi S1'!Y14+'Mercredi S1'!Y13+'Jeudi S1'!Y13+'Vendredi S1'!Y13+'Samedi S1'!Y13</f>
        <v>3</v>
      </c>
      <c r="Z13" s="10">
        <f>+'Lundi S1'!Z14+'Mardi S1'!Z14+'Mercredi S1'!Z13+'Jeudi S1'!Z13+'Vendredi S1'!Z13+'Samedi S1'!Z13</f>
        <v>0</v>
      </c>
      <c r="AA13" s="11">
        <f>+'Lundi S1'!AA14+'Mardi S1'!AA14+'Mercredi S1'!AA13+'Jeudi S1'!AA13+'Vendredi S1'!AA13+'Samedi S1'!AA13</f>
        <v>2</v>
      </c>
      <c r="AB13" s="9">
        <f>+'Lundi S1'!AB14+'Mardi S1'!AB14+'Mercredi S1'!AB13+'Jeudi S1'!AB13+'Vendredi S1'!AB13+'Samedi S1'!AB13</f>
        <v>69</v>
      </c>
      <c r="AC13" s="10">
        <f>+'Lundi S1'!AC14+'Mardi S1'!AC14+'Mercredi S1'!AC13+'Jeudi S1'!AC13+'Vendredi S1'!AC13+'Samedi S1'!AC13</f>
        <v>0</v>
      </c>
      <c r="AD13" s="10">
        <f>+'Lundi S1'!AD14+'Mardi S1'!AD14+'Mercredi S1'!AD13+'Jeudi S1'!AD13+'Vendredi S1'!AD13+'Samedi S1'!AD13</f>
        <v>2</v>
      </c>
      <c r="AE13" s="10">
        <f>+'Lundi S1'!AE14+'Mardi S1'!AE14+'Mercredi S1'!AE13+'Jeudi S1'!AE13+'Vendredi S1'!AE13+'Samedi S1'!AE13</f>
        <v>0</v>
      </c>
      <c r="AF13" s="11">
        <f>+'Lundi S1'!AF14+'Mardi S1'!AF14+'Mercredi S1'!AF13+'Jeudi S1'!AF13+'Vendredi S1'!AF13+'Samedi S1'!AF13</f>
        <v>1</v>
      </c>
      <c r="AG13" s="9">
        <f>+'Lundi S1'!AG14+'Mardi S1'!AG14+'Mercredi S1'!AG13+'Jeudi S1'!AG13+'Vendredi S1'!AG13+'Samedi S1'!AG13</f>
        <v>25</v>
      </c>
      <c r="AH13" s="10">
        <f>+'Lundi S1'!AH14+'Mardi S1'!AH14+'Mercredi S1'!AH13+'Jeudi S1'!AH13+'Vendredi S1'!AH13+'Samedi S1'!AH13</f>
        <v>0</v>
      </c>
      <c r="AI13" s="10">
        <f>+'Lundi S1'!AI14+'Mardi S1'!AI14+'Mercredi S1'!AI13+'Jeudi S1'!AI13+'Vendredi S1'!AI13+'Samedi S1'!AI13</f>
        <v>25</v>
      </c>
      <c r="AJ13" s="10">
        <f>+'Lundi S1'!AJ14+'Mardi S1'!AJ14+'Mercredi S1'!AJ13+'Jeudi S1'!AJ13+'Vendredi S1'!AJ13+'Samedi S1'!AJ13</f>
        <v>0</v>
      </c>
      <c r="AK13" s="11">
        <f>+'Lundi S1'!AK14+'Mardi S1'!AK14+'Mercredi S1'!AK13+'Jeudi S1'!AK13+'Vendredi S1'!AK13+'Samedi S1'!AK13</f>
        <v>0</v>
      </c>
      <c r="AL13" s="9">
        <f>+'Lundi S1'!AL14+'Mardi S1'!AL14+'Mercredi S1'!AL13+'Jeudi S1'!AL13+'Vendredi S1'!AL13+'Samedi S1'!AL13</f>
        <v>3.08</v>
      </c>
      <c r="AM13" s="10">
        <f>+'Lundi S1'!AM14+'Mardi S1'!AM14+'Mercredi S1'!AM13+'Jeudi S1'!AM13+'Vendredi S1'!AM13+'Samedi S1'!AM13</f>
        <v>0</v>
      </c>
      <c r="AN13" s="10">
        <f>+'Lundi S1'!AN14+'Mardi S1'!AN14+'Mercredi S1'!AN13+'Jeudi S1'!AN13+'Vendredi S1'!AN13+'Samedi S1'!AN13</f>
        <v>0.35</v>
      </c>
      <c r="AO13" s="10">
        <f>+'Lundi S1'!AO14+'Mardi S1'!AO14+'Mercredi S1'!AO13+'Jeudi S1'!AO13+'Vendredi S1'!AO13+'Samedi S1'!AO13</f>
        <v>2.2000000000000002</v>
      </c>
      <c r="AP13" s="11">
        <f>+'Lundi S1'!AP14+'Mardi S1'!AP14+'Mercredi S1'!AP13+'Jeudi S1'!AP13+'Vendredi S1'!AP13+'Samedi S1'!AP13</f>
        <v>3.8</v>
      </c>
      <c r="AQ13" s="9">
        <f>+'Lundi S1'!AQ14+'Mardi S1'!AQ14+'Mercredi S1'!AQ13+'Jeudi S1'!AQ13+'Vendredi S1'!AQ13+'Samedi S1'!AQ13</f>
        <v>42</v>
      </c>
      <c r="AR13" s="10">
        <f>+'Lundi S1'!AR14+'Mardi S1'!AR14+'Mercredi S1'!AR13+'Jeudi S1'!AR13+'Vendredi S1'!AR13+'Samedi S1'!AR13</f>
        <v>0</v>
      </c>
      <c r="AS13" s="11">
        <f>+'Lundi S1'!AS14+'Mardi S1'!AS14+'Mercredi S1'!AS13+'Jeudi S1'!AS13+'Vendredi S1'!AS13+'Samedi S1'!AS13</f>
        <v>59</v>
      </c>
      <c r="AT13" s="22"/>
      <c r="AU13" s="14"/>
    </row>
    <row r="14" spans="1:47" ht="31.9" customHeight="1" x14ac:dyDescent="0.2">
      <c r="A14" s="26">
        <v>8</v>
      </c>
      <c r="B14" s="19"/>
      <c r="C14" s="9">
        <f>+'Lundi S1'!C15+'Mardi S1'!C15+'Mercredi S1'!C14+'Jeudi S1'!C14+'Vendredi S1'!C14+'Samedi S1'!C14</f>
        <v>90</v>
      </c>
      <c r="D14" s="10">
        <f>+'Lundi S1'!D15+'Mardi S1'!D15+'Mercredi S1'!D14+'Jeudi S1'!D14+'Vendredi S1'!D14+'Samedi S1'!D14</f>
        <v>18</v>
      </c>
      <c r="E14" s="10">
        <f>+'Lundi S1'!E15+'Mardi S1'!E15+'Mercredi S1'!E14+'Jeudi S1'!E14+'Vendredi S1'!E14+'Samedi S1'!E14</f>
        <v>30</v>
      </c>
      <c r="F14" s="10">
        <f>+'Lundi S1'!F15+'Mardi S1'!F15+'Mercredi S1'!F14+'Jeudi S1'!F14+'Vendredi S1'!F14+'Samedi S1'!F14</f>
        <v>12</v>
      </c>
      <c r="G14" s="11">
        <f>+'Lundi S1'!G15+'Mardi S1'!G15+'Mercredi S1'!G14+'Jeudi S1'!G14+'Vendredi S1'!G14+'Samedi S1'!G14</f>
        <v>30</v>
      </c>
      <c r="H14" s="9">
        <f>+'Lundi S1'!H15+'Mardi S1'!H15+'Mercredi S1'!H14+'Jeudi S1'!H14+'Vendredi S1'!H14+'Samedi S1'!H14</f>
        <v>18</v>
      </c>
      <c r="I14" s="10">
        <f>+'Lundi S1'!I15+'Mardi S1'!I15+'Mercredi S1'!I14+'Jeudi S1'!I14+'Vendredi S1'!I14+'Samedi S1'!I14</f>
        <v>6</v>
      </c>
      <c r="J14" s="10">
        <f>+'Lundi S1'!J15+'Mardi S1'!J15+'Mercredi S1'!J14+'Jeudi S1'!J14+'Vendredi S1'!J14+'Samedi S1'!J14</f>
        <v>6</v>
      </c>
      <c r="K14" s="10">
        <f>+'Lundi S1'!K15+'Mardi S1'!K15+'Mercredi S1'!K14+'Jeudi S1'!K14+'Vendredi S1'!K14+'Samedi S1'!K14</f>
        <v>6</v>
      </c>
      <c r="L14" s="11">
        <f>+'Lundi S1'!L15+'Mardi S1'!L15+'Mercredi S1'!L14+'Jeudi S1'!L14+'Vendredi S1'!L14+'Samedi S1'!L14</f>
        <v>6</v>
      </c>
      <c r="M14" s="9">
        <f>+'Lundi S1'!M15+'Mardi S1'!M15+'Mercredi S1'!M14+'Jeudi S1'!M14+'Vendredi S1'!M14+'Samedi S1'!M14</f>
        <v>18</v>
      </c>
      <c r="N14" s="10">
        <f>+'Lundi S1'!N15+'Mardi S1'!N15+'Mercredi S1'!N14+'Jeudi S1'!N14+'Vendredi S1'!N14+'Samedi S1'!N14</f>
        <v>6</v>
      </c>
      <c r="O14" s="10">
        <f>+'Lundi S1'!O15+'Mardi S1'!O15+'Mercredi S1'!O14+'Jeudi S1'!O14+'Vendredi S1'!O14+'Samedi S1'!O14</f>
        <v>18</v>
      </c>
      <c r="P14" s="10">
        <f>+'Lundi S1'!P15+'Mardi S1'!P15+'Mercredi S1'!P14+'Jeudi S1'!P14+'Vendredi S1'!P14+'Samedi S1'!P14</f>
        <v>0</v>
      </c>
      <c r="Q14" s="11">
        <f>+'Lundi S1'!Q15+'Mardi S1'!Q15+'Mercredi S1'!Q14+'Jeudi S1'!Q14+'Vendredi S1'!Q14+'Samedi S1'!Q14</f>
        <v>0</v>
      </c>
      <c r="R14" s="61">
        <f>+'Lundi S1'!R15+'Mardi S1'!R15+'Mercredi S1'!R14+'Jeudi S1'!R14+'Vendredi S1'!R14+'Samedi S1'!R14</f>
        <v>3</v>
      </c>
      <c r="S14" s="62">
        <f>+'Lundi S1'!S15+'Mardi S1'!S15+'Mercredi S1'!S14+'Jeudi S1'!S14+'Vendredi S1'!S14+'Samedi S1'!S14</f>
        <v>0.99999999999999989</v>
      </c>
      <c r="T14" s="62">
        <f>+'Lundi S1'!T15+'Mardi S1'!T15+'Mercredi S1'!T14+'Jeudi S1'!T14+'Vendredi S1'!T14+'Samedi S1'!T14</f>
        <v>0.6</v>
      </c>
      <c r="U14" s="62">
        <f>+'Lundi S1'!U15+'Mardi S1'!U15+'Mercredi S1'!U14+'Jeudi S1'!U14+'Vendredi S1'!U14+'Samedi S1'!U14</f>
        <v>3.6</v>
      </c>
      <c r="V14" s="63">
        <f>+'Lundi S1'!V15+'Mardi S1'!V15+'Mercredi S1'!V14+'Jeudi S1'!V14+'Vendredi S1'!V14+'Samedi S1'!V14</f>
        <v>0.9</v>
      </c>
      <c r="W14" s="9">
        <f>+'Lundi S1'!W15+'Mardi S1'!W15+'Mercredi S1'!W14+'Jeudi S1'!W14+'Vendredi S1'!W14+'Samedi S1'!W14</f>
        <v>138</v>
      </c>
      <c r="X14" s="10">
        <f>+'Lundi S1'!X15+'Mardi S1'!X15+'Mercredi S1'!X14+'Jeudi S1'!X14+'Vendredi S1'!X14+'Samedi S1'!X14</f>
        <v>1</v>
      </c>
      <c r="Y14" s="10">
        <f>+'Lundi S1'!Y15+'Mardi S1'!Y15+'Mercredi S1'!Y14+'Jeudi S1'!Y14+'Vendredi S1'!Y14+'Samedi S1'!Y14</f>
        <v>2</v>
      </c>
      <c r="Z14" s="10">
        <f>+'Lundi S1'!Z15+'Mardi S1'!Z15+'Mercredi S1'!Z14+'Jeudi S1'!Z14+'Vendredi S1'!Z14+'Samedi S1'!Z14</f>
        <v>2</v>
      </c>
      <c r="AA14" s="11">
        <f>+'Lundi S1'!AA15+'Mardi S1'!AA15+'Mercredi S1'!AA14+'Jeudi S1'!AA14+'Vendredi S1'!AA14+'Samedi S1'!AA14</f>
        <v>5</v>
      </c>
      <c r="AB14" s="9">
        <f>+'Lundi S1'!AB15+'Mardi S1'!AB15+'Mercredi S1'!AB14+'Jeudi S1'!AB14+'Vendredi S1'!AB14+'Samedi S1'!AB14</f>
        <v>72</v>
      </c>
      <c r="AC14" s="10">
        <f>+'Lundi S1'!AC15+'Mardi S1'!AC15+'Mercredi S1'!AC14+'Jeudi S1'!AC14+'Vendredi S1'!AC14+'Samedi S1'!AC14</f>
        <v>0</v>
      </c>
      <c r="AD14" s="10">
        <f>+'Lundi S1'!AD15+'Mardi S1'!AD15+'Mercredi S1'!AD14+'Jeudi S1'!AD14+'Vendredi S1'!AD14+'Samedi S1'!AD14</f>
        <v>0</v>
      </c>
      <c r="AE14" s="10">
        <f>+'Lundi S1'!AE15+'Mardi S1'!AE15+'Mercredi S1'!AE14+'Jeudi S1'!AE14+'Vendredi S1'!AE14+'Samedi S1'!AE14</f>
        <v>2</v>
      </c>
      <c r="AF14" s="11">
        <f>+'Lundi S1'!AF15+'Mardi S1'!AF15+'Mercredi S1'!AF14+'Jeudi S1'!AF14+'Vendredi S1'!AF14+'Samedi S1'!AF14</f>
        <v>2</v>
      </c>
      <c r="AG14" s="9">
        <f>+'Lundi S1'!AG15+'Mardi S1'!AG15+'Mercredi S1'!AG14+'Jeudi S1'!AG14+'Vendredi S1'!AG14+'Samedi S1'!AG14</f>
        <v>25</v>
      </c>
      <c r="AH14" s="10">
        <f>+'Lundi S1'!AH15+'Mardi S1'!AH15+'Mercredi S1'!AH14+'Jeudi S1'!AH14+'Vendredi S1'!AH14+'Samedi S1'!AH14</f>
        <v>0</v>
      </c>
      <c r="AI14" s="10">
        <f>+'Lundi S1'!AI15+'Mardi S1'!AI15+'Mercredi S1'!AI14+'Jeudi S1'!AI14+'Vendredi S1'!AI14+'Samedi S1'!AI14</f>
        <v>25</v>
      </c>
      <c r="AJ14" s="10">
        <f>+'Lundi S1'!AJ15+'Mardi S1'!AJ15+'Mercredi S1'!AJ14+'Jeudi S1'!AJ14+'Vendredi S1'!AJ14+'Samedi S1'!AJ14</f>
        <v>0</v>
      </c>
      <c r="AK14" s="11">
        <f>+'Lundi S1'!AK15+'Mardi S1'!AK15+'Mercredi S1'!AK14+'Jeudi S1'!AK14+'Vendredi S1'!AK14+'Samedi S1'!AK14</f>
        <v>0</v>
      </c>
      <c r="AL14" s="9">
        <f>+'Lundi S1'!AL15+'Mardi S1'!AL15+'Mercredi S1'!AL14+'Jeudi S1'!AL14+'Vendredi S1'!AL14+'Samedi S1'!AL14</f>
        <v>2.16</v>
      </c>
      <c r="AM14" s="10">
        <f>+'Lundi S1'!AM15+'Mardi S1'!AM15+'Mercredi S1'!AM14+'Jeudi S1'!AM14+'Vendredi S1'!AM14+'Samedi S1'!AM14</f>
        <v>0</v>
      </c>
      <c r="AN14" s="10">
        <f>+'Lundi S1'!AN15+'Mardi S1'!AN15+'Mercredi S1'!AN14+'Jeudi S1'!AN14+'Vendredi S1'!AN14+'Samedi S1'!AN14</f>
        <v>0.35</v>
      </c>
      <c r="AO14" s="10">
        <f>+'Lundi S1'!AO15+'Mardi S1'!AO15+'Mercredi S1'!AO14+'Jeudi S1'!AO14+'Vendredi S1'!AO14+'Samedi S1'!AO14</f>
        <v>2.9</v>
      </c>
      <c r="AP14" s="11">
        <f>+'Lundi S1'!AP15+'Mardi S1'!AP15+'Mercredi S1'!AP14+'Jeudi S1'!AP14+'Vendredi S1'!AP14+'Samedi S1'!AP14</f>
        <v>5.05</v>
      </c>
      <c r="AQ14" s="9">
        <f>+'Lundi S1'!AQ15+'Mardi S1'!AQ15+'Mercredi S1'!AQ14+'Jeudi S1'!AQ14+'Vendredi S1'!AQ14+'Samedi S1'!AQ14</f>
        <v>36</v>
      </c>
      <c r="AR14" s="10">
        <f>+'Lundi S1'!AR15+'Mardi S1'!AR15+'Mercredi S1'!AR14+'Jeudi S1'!AR14+'Vendredi S1'!AR14+'Samedi S1'!AR14</f>
        <v>0</v>
      </c>
      <c r="AS14" s="11">
        <f>+'Lundi S1'!AS15+'Mardi S1'!AS15+'Mercredi S1'!AS14+'Jeudi S1'!AS14+'Vendredi S1'!AS14+'Samedi S1'!AS14</f>
        <v>79</v>
      </c>
      <c r="AT14" s="22"/>
      <c r="AU14" s="14"/>
    </row>
    <row r="15" spans="1:47" ht="31.9" customHeight="1" x14ac:dyDescent="0.2">
      <c r="A15" s="26">
        <v>9</v>
      </c>
      <c r="B15" s="19"/>
      <c r="C15" s="9">
        <f>+'Lundi S1'!C16+'Mardi S1'!C16+'Mercredi S1'!C15+'Jeudi S1'!C15+'Vendredi S1'!C15+'Samedi S1'!C15</f>
        <v>90</v>
      </c>
      <c r="D15" s="10">
        <f>+'Lundi S1'!D16+'Mardi S1'!D16+'Mercredi S1'!D15+'Jeudi S1'!D15+'Vendredi S1'!D15+'Samedi S1'!D15</f>
        <v>18</v>
      </c>
      <c r="E15" s="10">
        <f>+'Lundi S1'!E16+'Mardi S1'!E16+'Mercredi S1'!E15+'Jeudi S1'!E15+'Vendredi S1'!E15+'Samedi S1'!E15</f>
        <v>30</v>
      </c>
      <c r="F15" s="10">
        <f>+'Lundi S1'!F16+'Mardi S1'!F16+'Mercredi S1'!F15+'Jeudi S1'!F15+'Vendredi S1'!F15+'Samedi S1'!F15</f>
        <v>12</v>
      </c>
      <c r="G15" s="11">
        <f>+'Lundi S1'!G16+'Mardi S1'!G16+'Mercredi S1'!G15+'Jeudi S1'!G15+'Vendredi S1'!G15+'Samedi S1'!G15</f>
        <v>30</v>
      </c>
      <c r="H15" s="9">
        <f>+'Lundi S1'!H16+'Mardi S1'!H16+'Mercredi S1'!H15+'Jeudi S1'!H15+'Vendredi S1'!H15+'Samedi S1'!H15</f>
        <v>18</v>
      </c>
      <c r="I15" s="10">
        <f>+'Lundi S1'!I16+'Mardi S1'!I16+'Mercredi S1'!I15+'Jeudi S1'!I15+'Vendredi S1'!I15+'Samedi S1'!I15</f>
        <v>6</v>
      </c>
      <c r="J15" s="10">
        <f>+'Lundi S1'!J16+'Mardi S1'!J16+'Mercredi S1'!J15+'Jeudi S1'!J15+'Vendredi S1'!J15+'Samedi S1'!J15</f>
        <v>6</v>
      </c>
      <c r="K15" s="10">
        <f>+'Lundi S1'!K16+'Mardi S1'!K16+'Mercredi S1'!K15+'Jeudi S1'!K15+'Vendredi S1'!K15+'Samedi S1'!K15</f>
        <v>6</v>
      </c>
      <c r="L15" s="11">
        <f>+'Lundi S1'!L16+'Mardi S1'!L16+'Mercredi S1'!L15+'Jeudi S1'!L15+'Vendredi S1'!L15+'Samedi S1'!L15</f>
        <v>6</v>
      </c>
      <c r="M15" s="9">
        <f>+'Lundi S1'!M16+'Mardi S1'!M16+'Mercredi S1'!M15+'Jeudi S1'!M15+'Vendredi S1'!M15+'Samedi S1'!M15</f>
        <v>18</v>
      </c>
      <c r="N15" s="10">
        <f>+'Lundi S1'!N16+'Mardi S1'!N16+'Mercredi S1'!N15+'Jeudi S1'!N15+'Vendredi S1'!N15+'Samedi S1'!N15</f>
        <v>6</v>
      </c>
      <c r="O15" s="10">
        <f>+'Lundi S1'!O16+'Mardi S1'!O16+'Mercredi S1'!O15+'Jeudi S1'!O15+'Vendredi S1'!O15+'Samedi S1'!O15</f>
        <v>18</v>
      </c>
      <c r="P15" s="10">
        <f>+'Lundi S1'!P16+'Mardi S1'!P16+'Mercredi S1'!P15+'Jeudi S1'!P15+'Vendredi S1'!P15+'Samedi S1'!P15</f>
        <v>0</v>
      </c>
      <c r="Q15" s="11">
        <f>+'Lundi S1'!Q16+'Mardi S1'!Q16+'Mercredi S1'!Q15+'Jeudi S1'!Q15+'Vendredi S1'!Q15+'Samedi S1'!Q15</f>
        <v>0</v>
      </c>
      <c r="R15" s="61">
        <f>+'Lundi S1'!R16+'Mardi S1'!R16+'Mercredi S1'!R15+'Jeudi S1'!R15+'Vendredi S1'!R15+'Samedi S1'!R15</f>
        <v>3</v>
      </c>
      <c r="S15" s="62">
        <f>+'Lundi S1'!S16+'Mardi S1'!S16+'Mercredi S1'!S15+'Jeudi S1'!S15+'Vendredi S1'!S15+'Samedi S1'!S15</f>
        <v>0.99999999999999989</v>
      </c>
      <c r="T15" s="62">
        <f>+'Lundi S1'!T16+'Mardi S1'!T16+'Mercredi S1'!T15+'Jeudi S1'!T15+'Vendredi S1'!T15+'Samedi S1'!T15</f>
        <v>0.6</v>
      </c>
      <c r="U15" s="62">
        <f>+'Lundi S1'!U16+'Mardi S1'!U16+'Mercredi S1'!U15+'Jeudi S1'!U15+'Vendredi S1'!U15+'Samedi S1'!U15</f>
        <v>3.6</v>
      </c>
      <c r="V15" s="63">
        <f>+'Lundi S1'!V16+'Mardi S1'!V16+'Mercredi S1'!V15+'Jeudi S1'!V15+'Vendredi S1'!V15+'Samedi S1'!V15</f>
        <v>0.9</v>
      </c>
      <c r="W15" s="9">
        <f>+'Lundi S1'!W16+'Mardi S1'!W16+'Mercredi S1'!W15+'Jeudi S1'!W15+'Vendredi S1'!W15+'Samedi S1'!W15</f>
        <v>143</v>
      </c>
      <c r="X15" s="10">
        <f>+'Lundi S1'!X16+'Mardi S1'!X16+'Mercredi S1'!X15+'Jeudi S1'!X15+'Vendredi S1'!X15+'Samedi S1'!X15</f>
        <v>1</v>
      </c>
      <c r="Y15" s="10">
        <f>+'Lundi S1'!Y16+'Mardi S1'!Y16+'Mercredi S1'!Y15+'Jeudi S1'!Y15+'Vendredi S1'!Y15+'Samedi S1'!Y15</f>
        <v>3</v>
      </c>
      <c r="Z15" s="10">
        <f>+'Lundi S1'!Z16+'Mardi S1'!Z16+'Mercredi S1'!Z15+'Jeudi S1'!Z15+'Vendredi S1'!Z15+'Samedi S1'!Z15</f>
        <v>2</v>
      </c>
      <c r="AA15" s="11">
        <f>+'Lundi S1'!AA16+'Mardi S1'!AA16+'Mercredi S1'!AA15+'Jeudi S1'!AA15+'Vendredi S1'!AA15+'Samedi S1'!AA15</f>
        <v>4</v>
      </c>
      <c r="AB15" s="9">
        <f>+'Lundi S1'!AB16+'Mardi S1'!AB16+'Mercredi S1'!AB15+'Jeudi S1'!AB15+'Vendredi S1'!AB15+'Samedi S1'!AB15</f>
        <v>70</v>
      </c>
      <c r="AC15" s="10">
        <f>+'Lundi S1'!AC16+'Mardi S1'!AC16+'Mercredi S1'!AC15+'Jeudi S1'!AC15+'Vendredi S1'!AC15+'Samedi S1'!AC15</f>
        <v>0</v>
      </c>
      <c r="AD15" s="10">
        <f>+'Lundi S1'!AD16+'Mardi S1'!AD16+'Mercredi S1'!AD15+'Jeudi S1'!AD15+'Vendredi S1'!AD15+'Samedi S1'!AD15</f>
        <v>2</v>
      </c>
      <c r="AE15" s="10">
        <f>+'Lundi S1'!AE16+'Mardi S1'!AE16+'Mercredi S1'!AE15+'Jeudi S1'!AE15+'Vendredi S1'!AE15+'Samedi S1'!AE15</f>
        <v>0</v>
      </c>
      <c r="AF15" s="11">
        <f>+'Lundi S1'!AF16+'Mardi S1'!AF16+'Mercredi S1'!AF15+'Jeudi S1'!AF15+'Vendredi S1'!AF15+'Samedi S1'!AF15</f>
        <v>1</v>
      </c>
      <c r="AG15" s="9">
        <f>+'Lundi S1'!AG16+'Mardi S1'!AG16+'Mercredi S1'!AG15+'Jeudi S1'!AG15+'Vendredi S1'!AG15+'Samedi S1'!AG15</f>
        <v>25</v>
      </c>
      <c r="AH15" s="10">
        <f>+'Lundi S1'!AH16+'Mardi S1'!AH16+'Mercredi S1'!AH15+'Jeudi S1'!AH15+'Vendredi S1'!AH15+'Samedi S1'!AH15</f>
        <v>0</v>
      </c>
      <c r="AI15" s="10">
        <f>+'Lundi S1'!AI16+'Mardi S1'!AI16+'Mercredi S1'!AI15+'Jeudi S1'!AI15+'Vendredi S1'!AI15+'Samedi S1'!AI15</f>
        <v>25</v>
      </c>
      <c r="AJ15" s="10">
        <f>+'Lundi S1'!AJ16+'Mardi S1'!AJ16+'Mercredi S1'!AJ15+'Jeudi S1'!AJ15+'Vendredi S1'!AJ15+'Samedi S1'!AJ15</f>
        <v>0</v>
      </c>
      <c r="AK15" s="11">
        <f>+'Lundi S1'!AK16+'Mardi S1'!AK16+'Mercredi S1'!AK15+'Jeudi S1'!AK15+'Vendredi S1'!AK15+'Samedi S1'!AK15</f>
        <v>0</v>
      </c>
      <c r="AL15" s="9">
        <f>+'Lundi S1'!AL16+'Mardi S1'!AL16+'Mercredi S1'!AL15+'Jeudi S1'!AL15+'Vendredi S1'!AL15+'Samedi S1'!AL15</f>
        <v>2.09</v>
      </c>
      <c r="AM15" s="10">
        <f>+'Lundi S1'!AM16+'Mardi S1'!AM16+'Mercredi S1'!AM15+'Jeudi S1'!AM15+'Vendredi S1'!AM15+'Samedi S1'!AM15</f>
        <v>0</v>
      </c>
      <c r="AN15" s="10">
        <f>+'Lundi S1'!AN16+'Mardi S1'!AN16+'Mercredi S1'!AN15+'Jeudi S1'!AN15+'Vendredi S1'!AN15+'Samedi S1'!AN15</f>
        <v>0.35</v>
      </c>
      <c r="AO15" s="10">
        <f>+'Lundi S1'!AO16+'Mardi S1'!AO16+'Mercredi S1'!AO15+'Jeudi S1'!AO15+'Vendredi S1'!AO15+'Samedi S1'!AO15</f>
        <v>2.1999999999999997</v>
      </c>
      <c r="AP15" s="11">
        <f>+'Lundi S1'!AP16+'Mardi S1'!AP16+'Mercredi S1'!AP15+'Jeudi S1'!AP15+'Vendredi S1'!AP15+'Samedi S1'!AP15</f>
        <v>3.25</v>
      </c>
      <c r="AQ15" s="9">
        <f>+'Lundi S1'!AQ16+'Mardi S1'!AQ16+'Mercredi S1'!AQ15+'Jeudi S1'!AQ15+'Vendredi S1'!AQ15+'Samedi S1'!AQ15</f>
        <v>29</v>
      </c>
      <c r="AR15" s="10">
        <f>+'Lundi S1'!AR16+'Mardi S1'!AR16+'Mercredi S1'!AR15+'Jeudi S1'!AR15+'Vendredi S1'!AR15+'Samedi S1'!AR15</f>
        <v>0</v>
      </c>
      <c r="AS15" s="11">
        <f>+'Lundi S1'!AS16+'Mardi S1'!AS16+'Mercredi S1'!AS15+'Jeudi S1'!AS15+'Vendredi S1'!AS15+'Samedi S1'!AS15</f>
        <v>52</v>
      </c>
      <c r="AT15" s="22"/>
      <c r="AU15" s="14"/>
    </row>
    <row r="16" spans="1:47" ht="31.9" customHeight="1" x14ac:dyDescent="0.2">
      <c r="A16" s="26">
        <v>10</v>
      </c>
      <c r="B16" s="19"/>
      <c r="C16" s="9">
        <f>+'Lundi S1'!C17+'Mardi S1'!C17+'Mercredi S1'!C16+'Jeudi S1'!C16+'Vendredi S1'!C16+'Samedi S1'!C16</f>
        <v>90</v>
      </c>
      <c r="D16" s="10">
        <f>+'Lundi S1'!D17+'Mardi S1'!D17+'Mercredi S1'!D16+'Jeudi S1'!D16+'Vendredi S1'!D16+'Samedi S1'!D16</f>
        <v>18</v>
      </c>
      <c r="E16" s="10">
        <f>+'Lundi S1'!E17+'Mardi S1'!E17+'Mercredi S1'!E16+'Jeudi S1'!E16+'Vendredi S1'!E16+'Samedi S1'!E16</f>
        <v>30</v>
      </c>
      <c r="F16" s="10">
        <f>+'Lundi S1'!F17+'Mardi S1'!F17+'Mercredi S1'!F16+'Jeudi S1'!F16+'Vendredi S1'!F16+'Samedi S1'!F16</f>
        <v>12</v>
      </c>
      <c r="G16" s="11">
        <f>+'Lundi S1'!G17+'Mardi S1'!G17+'Mercredi S1'!G16+'Jeudi S1'!G16+'Vendredi S1'!G16+'Samedi S1'!G16</f>
        <v>30</v>
      </c>
      <c r="H16" s="9">
        <f>+'Lundi S1'!H17+'Mardi S1'!H17+'Mercredi S1'!H16+'Jeudi S1'!H16+'Vendredi S1'!H16+'Samedi S1'!H16</f>
        <v>18</v>
      </c>
      <c r="I16" s="10">
        <f>+'Lundi S1'!I17+'Mardi S1'!I17+'Mercredi S1'!I16+'Jeudi S1'!I16+'Vendredi S1'!I16+'Samedi S1'!I16</f>
        <v>6</v>
      </c>
      <c r="J16" s="10">
        <f>+'Lundi S1'!J17+'Mardi S1'!J17+'Mercredi S1'!J16+'Jeudi S1'!J16+'Vendredi S1'!J16+'Samedi S1'!J16</f>
        <v>6</v>
      </c>
      <c r="K16" s="10">
        <f>+'Lundi S1'!K17+'Mardi S1'!K17+'Mercredi S1'!K16+'Jeudi S1'!K16+'Vendredi S1'!K16+'Samedi S1'!K16</f>
        <v>6</v>
      </c>
      <c r="L16" s="11">
        <f>+'Lundi S1'!L17+'Mardi S1'!L17+'Mercredi S1'!L16+'Jeudi S1'!L16+'Vendredi S1'!L16+'Samedi S1'!L16</f>
        <v>6</v>
      </c>
      <c r="M16" s="9">
        <f>+'Lundi S1'!M17+'Mardi S1'!M17+'Mercredi S1'!M16+'Jeudi S1'!M16+'Vendredi S1'!M16+'Samedi S1'!M16</f>
        <v>18</v>
      </c>
      <c r="N16" s="10">
        <f>+'Lundi S1'!N17+'Mardi S1'!N17+'Mercredi S1'!N16+'Jeudi S1'!N16+'Vendredi S1'!N16+'Samedi S1'!N16</f>
        <v>6</v>
      </c>
      <c r="O16" s="10">
        <f>+'Lundi S1'!O17+'Mardi S1'!O17+'Mercredi S1'!O16+'Jeudi S1'!O16+'Vendredi S1'!O16+'Samedi S1'!O16</f>
        <v>18</v>
      </c>
      <c r="P16" s="10">
        <f>+'Lundi S1'!P17+'Mardi S1'!P17+'Mercredi S1'!P16+'Jeudi S1'!P16+'Vendredi S1'!P16+'Samedi S1'!P16</f>
        <v>0</v>
      </c>
      <c r="Q16" s="11">
        <f>+'Lundi S1'!Q17+'Mardi S1'!Q17+'Mercredi S1'!Q16+'Jeudi S1'!Q16+'Vendredi S1'!Q16+'Samedi S1'!Q16</f>
        <v>0</v>
      </c>
      <c r="R16" s="61">
        <f>+'Lundi S1'!R17+'Mardi S1'!R17+'Mercredi S1'!R16+'Jeudi S1'!R16+'Vendredi S1'!R16+'Samedi S1'!R16</f>
        <v>3</v>
      </c>
      <c r="S16" s="62">
        <f>+'Lundi S1'!S17+'Mardi S1'!S17+'Mercredi S1'!S16+'Jeudi S1'!S16+'Vendredi S1'!S16+'Samedi S1'!S16</f>
        <v>0.99999999999999989</v>
      </c>
      <c r="T16" s="62">
        <f>+'Lundi S1'!T17+'Mardi S1'!T17+'Mercredi S1'!T16+'Jeudi S1'!T16+'Vendredi S1'!T16+'Samedi S1'!T16</f>
        <v>0.6</v>
      </c>
      <c r="U16" s="62">
        <f>+'Lundi S1'!U17+'Mardi S1'!U17+'Mercredi S1'!U16+'Jeudi S1'!U16+'Vendredi S1'!U16+'Samedi S1'!U16</f>
        <v>3.6</v>
      </c>
      <c r="V16" s="63">
        <f>+'Lundi S1'!V17+'Mardi S1'!V17+'Mercredi S1'!V16+'Jeudi S1'!V16+'Vendredi S1'!V16+'Samedi S1'!V16</f>
        <v>0.9</v>
      </c>
      <c r="W16" s="9">
        <f>+'Lundi S1'!W17+'Mardi S1'!W17+'Mercredi S1'!W16+'Jeudi S1'!W16+'Vendredi S1'!W16+'Samedi S1'!W16</f>
        <v>133</v>
      </c>
      <c r="X16" s="10">
        <f>+'Lundi S1'!X17+'Mardi S1'!X17+'Mercredi S1'!X16+'Jeudi S1'!X16+'Vendredi S1'!X16+'Samedi S1'!X16</f>
        <v>0</v>
      </c>
      <c r="Y16" s="10">
        <f>+'Lundi S1'!Y17+'Mardi S1'!Y17+'Mercredi S1'!Y16+'Jeudi S1'!Y16+'Vendredi S1'!Y16+'Samedi S1'!Y16</f>
        <v>5</v>
      </c>
      <c r="Z16" s="10">
        <f>+'Lundi S1'!Z17+'Mardi S1'!Z17+'Mercredi S1'!Z16+'Jeudi S1'!Z16+'Vendredi S1'!Z16+'Samedi S1'!Z16</f>
        <v>4</v>
      </c>
      <c r="AA16" s="11">
        <f>+'Lundi S1'!AA17+'Mardi S1'!AA17+'Mercredi S1'!AA16+'Jeudi S1'!AA16+'Vendredi S1'!AA16+'Samedi S1'!AA16</f>
        <v>0</v>
      </c>
      <c r="AB16" s="9">
        <f>+'Lundi S1'!AB17+'Mardi S1'!AB17+'Mercredi S1'!AB16+'Jeudi S1'!AB16+'Vendredi S1'!AB16+'Samedi S1'!AB16</f>
        <v>61</v>
      </c>
      <c r="AC16" s="10">
        <f>+'Lundi S1'!AC17+'Mardi S1'!AC17+'Mercredi S1'!AC16+'Jeudi S1'!AC16+'Vendredi S1'!AC16+'Samedi S1'!AC16</f>
        <v>0</v>
      </c>
      <c r="AD16" s="10">
        <f>+'Lundi S1'!AD17+'Mardi S1'!AD17+'Mercredi S1'!AD16+'Jeudi S1'!AD16+'Vendredi S1'!AD16+'Samedi S1'!AD16</f>
        <v>1</v>
      </c>
      <c r="AE16" s="10">
        <f>+'Lundi S1'!AE17+'Mardi S1'!AE17+'Mercredi S1'!AE16+'Jeudi S1'!AE16+'Vendredi S1'!AE16+'Samedi S1'!AE16</f>
        <v>1</v>
      </c>
      <c r="AF16" s="11">
        <f>+'Lundi S1'!AF17+'Mardi S1'!AF17+'Mercredi S1'!AF16+'Jeudi S1'!AF16+'Vendredi S1'!AF16+'Samedi S1'!AF16</f>
        <v>0</v>
      </c>
      <c r="AG16" s="9">
        <f>+'Lundi S1'!AG17+'Mardi S1'!AG17+'Mercredi S1'!AG16+'Jeudi S1'!AG16+'Vendredi S1'!AG16+'Samedi S1'!AG16</f>
        <v>25</v>
      </c>
      <c r="AH16" s="10">
        <f>+'Lundi S1'!AH17+'Mardi S1'!AH17+'Mercredi S1'!AH16+'Jeudi S1'!AH16+'Vendredi S1'!AH16+'Samedi S1'!AH16</f>
        <v>0</v>
      </c>
      <c r="AI16" s="10">
        <f>+'Lundi S1'!AI17+'Mardi S1'!AI17+'Mercredi S1'!AI16+'Jeudi S1'!AI16+'Vendredi S1'!AI16+'Samedi S1'!AI16</f>
        <v>25</v>
      </c>
      <c r="AJ16" s="10">
        <f>+'Lundi S1'!AJ17+'Mardi S1'!AJ17+'Mercredi S1'!AJ16+'Jeudi S1'!AJ16+'Vendredi S1'!AJ16+'Samedi S1'!AJ16</f>
        <v>0</v>
      </c>
      <c r="AK16" s="11">
        <f>+'Lundi S1'!AK17+'Mardi S1'!AK17+'Mercredi S1'!AK16+'Jeudi S1'!AK16+'Vendredi S1'!AK16+'Samedi S1'!AK16</f>
        <v>0</v>
      </c>
      <c r="AL16" s="9">
        <f>+'Lundi S1'!AL17+'Mardi S1'!AL17+'Mercredi S1'!AL16+'Jeudi S1'!AL16+'Vendredi S1'!AL16+'Samedi S1'!AL16</f>
        <v>2.5</v>
      </c>
      <c r="AM16" s="10">
        <f>+'Lundi S1'!AM17+'Mardi S1'!AM17+'Mercredi S1'!AM16+'Jeudi S1'!AM16+'Vendredi S1'!AM16+'Samedi S1'!AM16</f>
        <v>0</v>
      </c>
      <c r="AN16" s="10">
        <f>+'Lundi S1'!AN17+'Mardi S1'!AN17+'Mercredi S1'!AN16+'Jeudi S1'!AN16+'Vendredi S1'!AN16+'Samedi S1'!AN16</f>
        <v>0.55000000000000004</v>
      </c>
      <c r="AO16" s="10">
        <f>+'Lundi S1'!AO17+'Mardi S1'!AO17+'Mercredi S1'!AO16+'Jeudi S1'!AO16+'Vendredi S1'!AO16+'Samedi S1'!AO16</f>
        <v>2.9000000000000004</v>
      </c>
      <c r="AP16" s="11">
        <f>+'Lundi S1'!AP17+'Mardi S1'!AP17+'Mercredi S1'!AP16+'Jeudi S1'!AP16+'Vendredi S1'!AP16+'Samedi S1'!AP16</f>
        <v>2.65</v>
      </c>
      <c r="AQ16" s="9">
        <f>+'Lundi S1'!AQ17+'Mardi S1'!AQ17+'Mercredi S1'!AQ16+'Jeudi S1'!AQ16+'Vendredi S1'!AQ16+'Samedi S1'!AQ16</f>
        <v>45</v>
      </c>
      <c r="AR16" s="10">
        <f>+'Lundi S1'!AR17+'Mardi S1'!AR17+'Mercredi S1'!AR16+'Jeudi S1'!AR16+'Vendredi S1'!AR16+'Samedi S1'!AR16</f>
        <v>0</v>
      </c>
      <c r="AS16" s="11">
        <f>+'Lundi S1'!AS17+'Mardi S1'!AS17+'Mercredi S1'!AS16+'Jeudi S1'!AS16+'Vendredi S1'!AS16+'Samedi S1'!AS16</f>
        <v>52</v>
      </c>
      <c r="AT16" s="22"/>
      <c r="AU16" s="14"/>
    </row>
    <row r="17" spans="1:47" ht="31.9" customHeight="1" x14ac:dyDescent="0.2">
      <c r="A17" s="26">
        <v>11</v>
      </c>
      <c r="B17" s="19"/>
      <c r="C17" s="9">
        <f>+'Lundi S1'!C18+'Mardi S1'!C18+'Mercredi S1'!C17+'Jeudi S1'!C17+'Vendredi S1'!C17+'Samedi S1'!C17</f>
        <v>90</v>
      </c>
      <c r="D17" s="10">
        <f>+'Lundi S1'!D18+'Mardi S1'!D18+'Mercredi S1'!D17+'Jeudi S1'!D17+'Vendredi S1'!D17+'Samedi S1'!D17</f>
        <v>18</v>
      </c>
      <c r="E17" s="10">
        <f>+'Lundi S1'!E18+'Mardi S1'!E18+'Mercredi S1'!E17+'Jeudi S1'!E17+'Vendredi S1'!E17+'Samedi S1'!E17</f>
        <v>30</v>
      </c>
      <c r="F17" s="10">
        <f>+'Lundi S1'!F18+'Mardi S1'!F18+'Mercredi S1'!F17+'Jeudi S1'!F17+'Vendredi S1'!F17+'Samedi S1'!F17</f>
        <v>12</v>
      </c>
      <c r="G17" s="11">
        <f>+'Lundi S1'!G18+'Mardi S1'!G18+'Mercredi S1'!G17+'Jeudi S1'!G17+'Vendredi S1'!G17+'Samedi S1'!G17</f>
        <v>30</v>
      </c>
      <c r="H17" s="9">
        <f>+'Lundi S1'!H18+'Mardi S1'!H18+'Mercredi S1'!H17+'Jeudi S1'!H17+'Vendredi S1'!H17+'Samedi S1'!H17</f>
        <v>18</v>
      </c>
      <c r="I17" s="10">
        <f>+'Lundi S1'!I18+'Mardi S1'!I18+'Mercredi S1'!I17+'Jeudi S1'!I17+'Vendredi S1'!I17+'Samedi S1'!I17</f>
        <v>6</v>
      </c>
      <c r="J17" s="10">
        <f>+'Lundi S1'!J18+'Mardi S1'!J18+'Mercredi S1'!J17+'Jeudi S1'!J17+'Vendredi S1'!J17+'Samedi S1'!J17</f>
        <v>6</v>
      </c>
      <c r="K17" s="10">
        <f>+'Lundi S1'!K18+'Mardi S1'!K18+'Mercredi S1'!K17+'Jeudi S1'!K17+'Vendredi S1'!K17+'Samedi S1'!K17</f>
        <v>6</v>
      </c>
      <c r="L17" s="11">
        <f>+'Lundi S1'!L18+'Mardi S1'!L18+'Mercredi S1'!L17+'Jeudi S1'!L17+'Vendredi S1'!L17+'Samedi S1'!L17</f>
        <v>6</v>
      </c>
      <c r="M17" s="9">
        <f>+'Lundi S1'!M18+'Mardi S1'!M18+'Mercredi S1'!M17+'Jeudi S1'!M17+'Vendredi S1'!M17+'Samedi S1'!M17</f>
        <v>18</v>
      </c>
      <c r="N17" s="10">
        <f>+'Lundi S1'!N18+'Mardi S1'!N18+'Mercredi S1'!N17+'Jeudi S1'!N17+'Vendredi S1'!N17+'Samedi S1'!N17</f>
        <v>6</v>
      </c>
      <c r="O17" s="10">
        <f>+'Lundi S1'!O18+'Mardi S1'!O18+'Mercredi S1'!O17+'Jeudi S1'!O17+'Vendredi S1'!O17+'Samedi S1'!O17</f>
        <v>18</v>
      </c>
      <c r="P17" s="10">
        <f>+'Lundi S1'!P18+'Mardi S1'!P18+'Mercredi S1'!P17+'Jeudi S1'!P17+'Vendredi S1'!P17+'Samedi S1'!P17</f>
        <v>0</v>
      </c>
      <c r="Q17" s="11">
        <f>+'Lundi S1'!Q18+'Mardi S1'!Q18+'Mercredi S1'!Q17+'Jeudi S1'!Q17+'Vendredi S1'!Q17+'Samedi S1'!Q17</f>
        <v>0</v>
      </c>
      <c r="R17" s="61">
        <f>+'Lundi S1'!R18+'Mardi S1'!R18+'Mercredi S1'!R17+'Jeudi S1'!R17+'Vendredi S1'!R17+'Samedi S1'!R17</f>
        <v>3</v>
      </c>
      <c r="S17" s="62">
        <f>+'Lundi S1'!S18+'Mardi S1'!S18+'Mercredi S1'!S17+'Jeudi S1'!S17+'Vendredi S1'!S17+'Samedi S1'!S17</f>
        <v>0.99999999999999989</v>
      </c>
      <c r="T17" s="62">
        <f>+'Lundi S1'!T18+'Mardi S1'!T18+'Mercredi S1'!T17+'Jeudi S1'!T17+'Vendredi S1'!T17+'Samedi S1'!T17</f>
        <v>0.6</v>
      </c>
      <c r="U17" s="62">
        <f>+'Lundi S1'!U18+'Mardi S1'!U18+'Mercredi S1'!U17+'Jeudi S1'!U17+'Vendredi S1'!U17+'Samedi S1'!U17</f>
        <v>3.6</v>
      </c>
      <c r="V17" s="63">
        <f>+'Lundi S1'!V18+'Mardi S1'!V18+'Mercredi S1'!V17+'Jeudi S1'!V17+'Vendredi S1'!V17+'Samedi S1'!V17</f>
        <v>0.9</v>
      </c>
      <c r="W17" s="9">
        <f>+'Lundi S1'!W18+'Mardi S1'!W18+'Mercredi S1'!W17+'Jeudi S1'!W17+'Vendredi S1'!W17+'Samedi S1'!W17</f>
        <v>127</v>
      </c>
      <c r="X17" s="10">
        <f>+'Lundi S1'!X18+'Mardi S1'!X18+'Mercredi S1'!X17+'Jeudi S1'!X17+'Vendredi S1'!X17+'Samedi S1'!X17</f>
        <v>0</v>
      </c>
      <c r="Y17" s="10">
        <f>+'Lundi S1'!Y18+'Mardi S1'!Y18+'Mercredi S1'!Y17+'Jeudi S1'!Y17+'Vendredi S1'!Y17+'Samedi S1'!Y17</f>
        <v>2</v>
      </c>
      <c r="Z17" s="10">
        <f>+'Lundi S1'!Z18+'Mardi S1'!Z18+'Mercredi S1'!Z17+'Jeudi S1'!Z17+'Vendredi S1'!Z17+'Samedi S1'!Z17</f>
        <v>7</v>
      </c>
      <c r="AA17" s="11">
        <f>+'Lundi S1'!AA18+'Mardi S1'!AA18+'Mercredi S1'!AA17+'Jeudi S1'!AA17+'Vendredi S1'!AA17+'Samedi S1'!AA17</f>
        <v>0</v>
      </c>
      <c r="AB17" s="9">
        <f>+'Lundi S1'!AB18+'Mardi S1'!AB18+'Mercredi S1'!AB17+'Jeudi S1'!AB17+'Vendredi S1'!AB17+'Samedi S1'!AB17</f>
        <v>60</v>
      </c>
      <c r="AC17" s="10">
        <f>+'Lundi S1'!AC18+'Mardi S1'!AC18+'Mercredi S1'!AC17+'Jeudi S1'!AC17+'Vendredi S1'!AC17+'Samedi S1'!AC17</f>
        <v>0</v>
      </c>
      <c r="AD17" s="10">
        <f>+'Lundi S1'!AD18+'Mardi S1'!AD18+'Mercredi S1'!AD17+'Jeudi S1'!AD17+'Vendredi S1'!AD17+'Samedi S1'!AD17</f>
        <v>1</v>
      </c>
      <c r="AE17" s="10">
        <f>+'Lundi S1'!AE18+'Mardi S1'!AE18+'Mercredi S1'!AE17+'Jeudi S1'!AE17+'Vendredi S1'!AE17+'Samedi S1'!AE17</f>
        <v>4</v>
      </c>
      <c r="AF17" s="11">
        <f>+'Lundi S1'!AF18+'Mardi S1'!AF18+'Mercredi S1'!AF17+'Jeudi S1'!AF17+'Vendredi S1'!AF17+'Samedi S1'!AF17</f>
        <v>0</v>
      </c>
      <c r="AG17" s="9">
        <f>+'Lundi S1'!AG18+'Mardi S1'!AG18+'Mercredi S1'!AG17+'Jeudi S1'!AG17+'Vendredi S1'!AG17+'Samedi S1'!AG17</f>
        <v>25</v>
      </c>
      <c r="AH17" s="10">
        <f>+'Lundi S1'!AH18+'Mardi S1'!AH18+'Mercredi S1'!AH17+'Jeudi S1'!AH17+'Vendredi S1'!AH17+'Samedi S1'!AH17</f>
        <v>0</v>
      </c>
      <c r="AI17" s="10">
        <f>+'Lundi S1'!AI18+'Mardi S1'!AI18+'Mercredi S1'!AI17+'Jeudi S1'!AI17+'Vendredi S1'!AI17+'Samedi S1'!AI17</f>
        <v>25</v>
      </c>
      <c r="AJ17" s="10">
        <f>+'Lundi S1'!AJ18+'Mardi S1'!AJ18+'Mercredi S1'!AJ17+'Jeudi S1'!AJ17+'Vendredi S1'!AJ17+'Samedi S1'!AJ17</f>
        <v>0</v>
      </c>
      <c r="AK17" s="11">
        <f>+'Lundi S1'!AK18+'Mardi S1'!AK18+'Mercredi S1'!AK17+'Jeudi S1'!AK17+'Vendredi S1'!AK17+'Samedi S1'!AK17</f>
        <v>0</v>
      </c>
      <c r="AL17" s="9">
        <f>+'Lundi S1'!AL18+'Mardi S1'!AL18+'Mercredi S1'!AL17+'Jeudi S1'!AL17+'Vendredi S1'!AL17+'Samedi S1'!AL17</f>
        <v>2.33</v>
      </c>
      <c r="AM17" s="10">
        <f>+'Lundi S1'!AM18+'Mardi S1'!AM18+'Mercredi S1'!AM17+'Jeudi S1'!AM17+'Vendredi S1'!AM17+'Samedi S1'!AM17</f>
        <v>0</v>
      </c>
      <c r="AN17" s="10">
        <f>+'Lundi S1'!AN18+'Mardi S1'!AN18+'Mercredi S1'!AN17+'Jeudi S1'!AN17+'Vendredi S1'!AN17+'Samedi S1'!AN17</f>
        <v>0.5</v>
      </c>
      <c r="AO17" s="10">
        <f>+'Lundi S1'!AO18+'Mardi S1'!AO18+'Mercredi S1'!AO17+'Jeudi S1'!AO17+'Vendredi S1'!AO17+'Samedi S1'!AO17</f>
        <v>3.4</v>
      </c>
      <c r="AP17" s="11">
        <f>+'Lundi S1'!AP18+'Mardi S1'!AP18+'Mercredi S1'!AP17+'Jeudi S1'!AP17+'Vendredi S1'!AP17+'Samedi S1'!AP17</f>
        <v>3.5</v>
      </c>
      <c r="AQ17" s="9">
        <f>+'Lundi S1'!AQ18+'Mardi S1'!AQ18+'Mercredi S1'!AQ17+'Jeudi S1'!AQ17+'Vendredi S1'!AQ17+'Samedi S1'!AQ17</f>
        <v>38</v>
      </c>
      <c r="AR17" s="10">
        <f>+'Lundi S1'!AR18+'Mardi S1'!AR18+'Mercredi S1'!AR17+'Jeudi S1'!AR17+'Vendredi S1'!AR17+'Samedi S1'!AR17</f>
        <v>0</v>
      </c>
      <c r="AS17" s="11">
        <f>+'Lundi S1'!AS18+'Mardi S1'!AS18+'Mercredi S1'!AS17+'Jeudi S1'!AS17+'Vendredi S1'!AS17+'Samedi S1'!AS17</f>
        <v>66</v>
      </c>
      <c r="AT17" s="22"/>
      <c r="AU17" s="14"/>
    </row>
    <row r="18" spans="1:47" ht="31.9" customHeight="1" x14ac:dyDescent="0.2">
      <c r="A18" s="26">
        <v>12</v>
      </c>
      <c r="B18" s="19"/>
      <c r="C18" s="9">
        <f>+'Lundi S1'!C19+'Mardi S1'!C19+'Mercredi S1'!C18+'Jeudi S1'!C18+'Vendredi S1'!C18+'Samedi S1'!C18</f>
        <v>90</v>
      </c>
      <c r="D18" s="10">
        <f>+'Lundi S1'!D19+'Mardi S1'!D19+'Mercredi S1'!D18+'Jeudi S1'!D18+'Vendredi S1'!D18+'Samedi S1'!D18</f>
        <v>18</v>
      </c>
      <c r="E18" s="10">
        <f>+'Lundi S1'!E19+'Mardi S1'!E19+'Mercredi S1'!E18+'Jeudi S1'!E18+'Vendredi S1'!E18+'Samedi S1'!E18</f>
        <v>30</v>
      </c>
      <c r="F18" s="10">
        <f>+'Lundi S1'!F19+'Mardi S1'!F19+'Mercredi S1'!F18+'Jeudi S1'!F18+'Vendredi S1'!F18+'Samedi S1'!F18</f>
        <v>12</v>
      </c>
      <c r="G18" s="11">
        <f>+'Lundi S1'!G19+'Mardi S1'!G19+'Mercredi S1'!G18+'Jeudi S1'!G18+'Vendredi S1'!G18+'Samedi S1'!G18</f>
        <v>30</v>
      </c>
      <c r="H18" s="9">
        <f>+'Lundi S1'!H19+'Mardi S1'!H19+'Mercredi S1'!H18+'Jeudi S1'!H18+'Vendredi S1'!H18+'Samedi S1'!H18</f>
        <v>18</v>
      </c>
      <c r="I18" s="10">
        <f>+'Lundi S1'!I19+'Mardi S1'!I19+'Mercredi S1'!I18+'Jeudi S1'!I18+'Vendredi S1'!I18+'Samedi S1'!I18</f>
        <v>6</v>
      </c>
      <c r="J18" s="10">
        <f>+'Lundi S1'!J19+'Mardi S1'!J19+'Mercredi S1'!J18+'Jeudi S1'!J18+'Vendredi S1'!J18+'Samedi S1'!J18</f>
        <v>6</v>
      </c>
      <c r="K18" s="10">
        <f>+'Lundi S1'!K19+'Mardi S1'!K19+'Mercredi S1'!K18+'Jeudi S1'!K18+'Vendredi S1'!K18+'Samedi S1'!K18</f>
        <v>6</v>
      </c>
      <c r="L18" s="11">
        <f>+'Lundi S1'!L19+'Mardi S1'!L19+'Mercredi S1'!L18+'Jeudi S1'!L18+'Vendredi S1'!L18+'Samedi S1'!L18</f>
        <v>6</v>
      </c>
      <c r="M18" s="9">
        <f>+'Lundi S1'!M19+'Mardi S1'!M19+'Mercredi S1'!M18+'Jeudi S1'!M18+'Vendredi S1'!M18+'Samedi S1'!M18</f>
        <v>18</v>
      </c>
      <c r="N18" s="10">
        <f>+'Lundi S1'!N19+'Mardi S1'!N19+'Mercredi S1'!N18+'Jeudi S1'!N18+'Vendredi S1'!N18+'Samedi S1'!N18</f>
        <v>6</v>
      </c>
      <c r="O18" s="10">
        <f>+'Lundi S1'!O19+'Mardi S1'!O19+'Mercredi S1'!O18+'Jeudi S1'!O18+'Vendredi S1'!O18+'Samedi S1'!O18</f>
        <v>18</v>
      </c>
      <c r="P18" s="10">
        <f>+'Lundi S1'!P19+'Mardi S1'!P19+'Mercredi S1'!P18+'Jeudi S1'!P18+'Vendredi S1'!P18+'Samedi S1'!P18</f>
        <v>0</v>
      </c>
      <c r="Q18" s="11">
        <f>+'Lundi S1'!Q19+'Mardi S1'!Q19+'Mercredi S1'!Q18+'Jeudi S1'!Q18+'Vendredi S1'!Q18+'Samedi S1'!Q18</f>
        <v>0</v>
      </c>
      <c r="R18" s="61">
        <f>+'Lundi S1'!R19+'Mardi S1'!R19+'Mercredi S1'!R18+'Jeudi S1'!R18+'Vendredi S1'!R18+'Samedi S1'!R18</f>
        <v>3</v>
      </c>
      <c r="S18" s="62">
        <f>+'Lundi S1'!S19+'Mardi S1'!S19+'Mercredi S1'!S18+'Jeudi S1'!S18+'Vendredi S1'!S18+'Samedi S1'!S18</f>
        <v>0.99999999999999989</v>
      </c>
      <c r="T18" s="62">
        <f>+'Lundi S1'!T19+'Mardi S1'!T19+'Mercredi S1'!T18+'Jeudi S1'!T18+'Vendredi S1'!T18+'Samedi S1'!T18</f>
        <v>0.6</v>
      </c>
      <c r="U18" s="62">
        <f>+'Lundi S1'!U19+'Mardi S1'!U19+'Mercredi S1'!U18+'Jeudi S1'!U18+'Vendredi S1'!U18+'Samedi S1'!U18</f>
        <v>3.6</v>
      </c>
      <c r="V18" s="63">
        <f>+'Lundi S1'!V19+'Mardi S1'!V19+'Mercredi S1'!V18+'Jeudi S1'!V18+'Vendredi S1'!V18+'Samedi S1'!V18</f>
        <v>0.9</v>
      </c>
      <c r="W18" s="9">
        <f>+'Lundi S1'!W19+'Mardi S1'!W19+'Mercredi S1'!W18+'Jeudi S1'!W18+'Vendredi S1'!W18+'Samedi S1'!W18</f>
        <v>138</v>
      </c>
      <c r="X18" s="10">
        <f>+'Lundi S1'!X19+'Mardi S1'!X19+'Mercredi S1'!X18+'Jeudi S1'!X18+'Vendredi S1'!X18+'Samedi S1'!X18</f>
        <v>3</v>
      </c>
      <c r="Y18" s="10">
        <f>+'Lundi S1'!Y19+'Mardi S1'!Y19+'Mercredi S1'!Y18+'Jeudi S1'!Y18+'Vendredi S1'!Y18+'Samedi S1'!Y18</f>
        <v>1</v>
      </c>
      <c r="Z18" s="10">
        <f>+'Lundi S1'!Z19+'Mardi S1'!Z19+'Mercredi S1'!Z18+'Jeudi S1'!Z18+'Vendredi S1'!Z18+'Samedi S1'!Z18</f>
        <v>0</v>
      </c>
      <c r="AA18" s="11">
        <f>+'Lundi S1'!AA19+'Mardi S1'!AA19+'Mercredi S1'!AA18+'Jeudi S1'!AA18+'Vendredi S1'!AA18+'Samedi S1'!AA18</f>
        <v>0</v>
      </c>
      <c r="AB18" s="9">
        <f>+'Lundi S1'!AB19+'Mardi S1'!AB19+'Mercredi S1'!AB18+'Jeudi S1'!AB18+'Vendredi S1'!AB18+'Samedi S1'!AB18</f>
        <v>64</v>
      </c>
      <c r="AC18" s="10">
        <f>+'Lundi S1'!AC19+'Mardi S1'!AC19+'Mercredi S1'!AC18+'Jeudi S1'!AC18+'Vendredi S1'!AC18+'Samedi S1'!AC18</f>
        <v>1</v>
      </c>
      <c r="AD18" s="10">
        <f>+'Lundi S1'!AD19+'Mardi S1'!AD19+'Mercredi S1'!AD18+'Jeudi S1'!AD18+'Vendredi S1'!AD18+'Samedi S1'!AD18</f>
        <v>1</v>
      </c>
      <c r="AE18" s="10">
        <f>+'Lundi S1'!AE19+'Mardi S1'!AE19+'Mercredi S1'!AE18+'Jeudi S1'!AE18+'Vendredi S1'!AE18+'Samedi S1'!AE18</f>
        <v>0</v>
      </c>
      <c r="AF18" s="11">
        <f>+'Lundi S1'!AF19+'Mardi S1'!AF19+'Mercredi S1'!AF18+'Jeudi S1'!AF18+'Vendredi S1'!AF18+'Samedi S1'!AF18</f>
        <v>0</v>
      </c>
      <c r="AG18" s="9">
        <f>+'Lundi S1'!AG19+'Mardi S1'!AG19+'Mercredi S1'!AG18+'Jeudi S1'!AG18+'Vendredi S1'!AG18+'Samedi S1'!AG18</f>
        <v>24</v>
      </c>
      <c r="AH18" s="10">
        <f>+'Lundi S1'!AH19+'Mardi S1'!AH19+'Mercredi S1'!AH18+'Jeudi S1'!AH18+'Vendredi S1'!AH18+'Samedi S1'!AH18</f>
        <v>0</v>
      </c>
      <c r="AI18" s="10">
        <f>+'Lundi S1'!AI19+'Mardi S1'!AI19+'Mercredi S1'!AI18+'Jeudi S1'!AI18+'Vendredi S1'!AI18+'Samedi S1'!AI18</f>
        <v>25</v>
      </c>
      <c r="AJ18" s="10">
        <f>+'Lundi S1'!AJ19+'Mardi S1'!AJ19+'Mercredi S1'!AJ18+'Jeudi S1'!AJ18+'Vendredi S1'!AJ18+'Samedi S1'!AJ18</f>
        <v>0</v>
      </c>
      <c r="AK18" s="11">
        <f>+'Lundi S1'!AK19+'Mardi S1'!AK19+'Mercredi S1'!AK18+'Jeudi S1'!AK18+'Vendredi S1'!AK18+'Samedi S1'!AK18</f>
        <v>0</v>
      </c>
      <c r="AL18" s="9">
        <f>+'Lundi S1'!AL19+'Mardi S1'!AL19+'Mercredi S1'!AL18+'Jeudi S1'!AL18+'Vendredi S1'!AL18+'Samedi S1'!AL18</f>
        <v>2.1</v>
      </c>
      <c r="AM18" s="10">
        <f>+'Lundi S1'!AM19+'Mardi S1'!AM19+'Mercredi S1'!AM18+'Jeudi S1'!AM18+'Vendredi S1'!AM18+'Samedi S1'!AM18</f>
        <v>0</v>
      </c>
      <c r="AN18" s="10">
        <f>+'Lundi S1'!AN19+'Mardi S1'!AN19+'Mercredi S1'!AN18+'Jeudi S1'!AN18+'Vendredi S1'!AN18+'Samedi S1'!AN18</f>
        <v>0.4</v>
      </c>
      <c r="AO18" s="10">
        <f>+'Lundi S1'!AO19+'Mardi S1'!AO19+'Mercredi S1'!AO18+'Jeudi S1'!AO18+'Vendredi S1'!AO18+'Samedi S1'!AO18</f>
        <v>3.2000000000000006</v>
      </c>
      <c r="AP18" s="11">
        <f>+'Lundi S1'!AP19+'Mardi S1'!AP19+'Mercredi S1'!AP18+'Jeudi S1'!AP18+'Vendredi S1'!AP18+'Samedi S1'!AP18</f>
        <v>3.75</v>
      </c>
      <c r="AQ18" s="9">
        <f>+'Lundi S1'!AQ19+'Mardi S1'!AQ19+'Mercredi S1'!AQ18+'Jeudi S1'!AQ18+'Vendredi S1'!AQ18+'Samedi S1'!AQ18</f>
        <v>35</v>
      </c>
      <c r="AR18" s="10">
        <f>+'Lundi S1'!AR19+'Mardi S1'!AR19+'Mercredi S1'!AR18+'Jeudi S1'!AR18+'Vendredi S1'!AR18+'Samedi S1'!AR18</f>
        <v>0</v>
      </c>
      <c r="AS18" s="11">
        <f>+'Lundi S1'!AS19+'Mardi S1'!AS19+'Mercredi S1'!AS18+'Jeudi S1'!AS18+'Vendredi S1'!AS18+'Samedi S1'!AS18</f>
        <v>68</v>
      </c>
      <c r="AT18" s="22"/>
      <c r="AU18" s="14"/>
    </row>
    <row r="19" spans="1:47" ht="31.9" customHeight="1" x14ac:dyDescent="0.2">
      <c r="A19" s="26">
        <v>13</v>
      </c>
      <c r="B19" s="19"/>
      <c r="C19" s="9">
        <f>+'Lundi S1'!C20+'Mardi S1'!C20+'Mercredi S1'!C19+'Jeudi S1'!C19+'Vendredi S1'!C19+'Samedi S1'!C19</f>
        <v>90</v>
      </c>
      <c r="D19" s="10">
        <f>+'Lundi S1'!D20+'Mardi S1'!D20+'Mercredi S1'!D19+'Jeudi S1'!D19+'Vendredi S1'!D19+'Samedi S1'!D19</f>
        <v>18</v>
      </c>
      <c r="E19" s="10">
        <f>+'Lundi S1'!E20+'Mardi S1'!E20+'Mercredi S1'!E19+'Jeudi S1'!E19+'Vendredi S1'!E19+'Samedi S1'!E19</f>
        <v>30</v>
      </c>
      <c r="F19" s="10">
        <f>+'Lundi S1'!F20+'Mardi S1'!F20+'Mercredi S1'!F19+'Jeudi S1'!F19+'Vendredi S1'!F19+'Samedi S1'!F19</f>
        <v>12</v>
      </c>
      <c r="G19" s="11">
        <f>+'Lundi S1'!G20+'Mardi S1'!G20+'Mercredi S1'!G19+'Jeudi S1'!G19+'Vendredi S1'!G19+'Samedi S1'!G19</f>
        <v>30</v>
      </c>
      <c r="H19" s="9">
        <f>+'Lundi S1'!H20+'Mardi S1'!H20+'Mercredi S1'!H19+'Jeudi S1'!H19+'Vendredi S1'!H19+'Samedi S1'!H19</f>
        <v>18</v>
      </c>
      <c r="I19" s="10">
        <f>+'Lundi S1'!I20+'Mardi S1'!I20+'Mercredi S1'!I19+'Jeudi S1'!I19+'Vendredi S1'!I19+'Samedi S1'!I19</f>
        <v>6</v>
      </c>
      <c r="J19" s="10">
        <f>+'Lundi S1'!J20+'Mardi S1'!J20+'Mercredi S1'!J19+'Jeudi S1'!J19+'Vendredi S1'!J19+'Samedi S1'!J19</f>
        <v>6</v>
      </c>
      <c r="K19" s="10">
        <f>+'Lundi S1'!K20+'Mardi S1'!K20+'Mercredi S1'!K19+'Jeudi S1'!K19+'Vendredi S1'!K19+'Samedi S1'!K19</f>
        <v>6</v>
      </c>
      <c r="L19" s="11">
        <f>+'Lundi S1'!L20+'Mardi S1'!L20+'Mercredi S1'!L19+'Jeudi S1'!L19+'Vendredi S1'!L19+'Samedi S1'!L19</f>
        <v>6</v>
      </c>
      <c r="M19" s="9">
        <f>+'Lundi S1'!M20+'Mardi S1'!M20+'Mercredi S1'!M19+'Jeudi S1'!M19+'Vendredi S1'!M19+'Samedi S1'!M19</f>
        <v>18</v>
      </c>
      <c r="N19" s="10">
        <f>+'Lundi S1'!N20+'Mardi S1'!N20+'Mercredi S1'!N19+'Jeudi S1'!N19+'Vendredi S1'!N19+'Samedi S1'!N19</f>
        <v>6</v>
      </c>
      <c r="O19" s="10">
        <f>+'Lundi S1'!O20+'Mardi S1'!O20+'Mercredi S1'!O19+'Jeudi S1'!O19+'Vendredi S1'!O19+'Samedi S1'!O19</f>
        <v>18</v>
      </c>
      <c r="P19" s="10">
        <f>+'Lundi S1'!P20+'Mardi S1'!P20+'Mercredi S1'!P19+'Jeudi S1'!P19+'Vendredi S1'!P19+'Samedi S1'!P19</f>
        <v>0</v>
      </c>
      <c r="Q19" s="11">
        <f>+'Lundi S1'!Q20+'Mardi S1'!Q20+'Mercredi S1'!Q19+'Jeudi S1'!Q19+'Vendredi S1'!Q19+'Samedi S1'!Q19</f>
        <v>0</v>
      </c>
      <c r="R19" s="61">
        <f>+'Lundi S1'!R20+'Mardi S1'!R20+'Mercredi S1'!R19+'Jeudi S1'!R19+'Vendredi S1'!R19+'Samedi S1'!R19</f>
        <v>3</v>
      </c>
      <c r="S19" s="62">
        <f>+'Lundi S1'!S20+'Mardi S1'!S20+'Mercredi S1'!S19+'Jeudi S1'!S19+'Vendredi S1'!S19+'Samedi S1'!S19</f>
        <v>0.99999999999999989</v>
      </c>
      <c r="T19" s="62">
        <f>+'Lundi S1'!T20+'Mardi S1'!T20+'Mercredi S1'!T19+'Jeudi S1'!T19+'Vendredi S1'!T19+'Samedi S1'!T19</f>
        <v>0.6</v>
      </c>
      <c r="U19" s="62">
        <f>+'Lundi S1'!U20+'Mardi S1'!U20+'Mercredi S1'!U19+'Jeudi S1'!U19+'Vendredi S1'!U19+'Samedi S1'!U19</f>
        <v>3.6</v>
      </c>
      <c r="V19" s="63">
        <f>+'Lundi S1'!V20+'Mardi S1'!V20+'Mercredi S1'!V19+'Jeudi S1'!V19+'Vendredi S1'!V19+'Samedi S1'!V19</f>
        <v>0.9</v>
      </c>
      <c r="W19" s="9">
        <f>+'Lundi S1'!W20+'Mardi S1'!W20+'Mercredi S1'!W19+'Jeudi S1'!W19+'Vendredi S1'!W19+'Samedi S1'!W19</f>
        <v>146</v>
      </c>
      <c r="X19" s="10">
        <f>+'Lundi S1'!X20+'Mardi S1'!X20+'Mercredi S1'!X19+'Jeudi S1'!X19+'Vendredi S1'!X19+'Samedi S1'!X19</f>
        <v>1</v>
      </c>
      <c r="Y19" s="10">
        <f>+'Lundi S1'!Y20+'Mardi S1'!Y20+'Mercredi S1'!Y19+'Jeudi S1'!Y19+'Vendredi S1'!Y19+'Samedi S1'!Y19</f>
        <v>3</v>
      </c>
      <c r="Z19" s="10">
        <f>+'Lundi S1'!Z20+'Mardi S1'!Z20+'Mercredi S1'!Z19+'Jeudi S1'!Z19+'Vendredi S1'!Z19+'Samedi S1'!Z19</f>
        <v>5</v>
      </c>
      <c r="AA19" s="11">
        <f>+'Lundi S1'!AA20+'Mardi S1'!AA20+'Mercredi S1'!AA19+'Jeudi S1'!AA19+'Vendredi S1'!AA19+'Samedi S1'!AA19</f>
        <v>3</v>
      </c>
      <c r="AB19" s="9">
        <f>+'Lundi S1'!AB20+'Mardi S1'!AB20+'Mercredi S1'!AB19+'Jeudi S1'!AB19+'Vendredi S1'!AB19+'Samedi S1'!AB19</f>
        <v>56</v>
      </c>
      <c r="AC19" s="10">
        <f>+'Lundi S1'!AC20+'Mardi S1'!AC20+'Mercredi S1'!AC19+'Jeudi S1'!AC19+'Vendredi S1'!AC19+'Samedi S1'!AC19</f>
        <v>0</v>
      </c>
      <c r="AD19" s="10">
        <f>+'Lundi S1'!AD20+'Mardi S1'!AD20+'Mercredi S1'!AD19+'Jeudi S1'!AD19+'Vendredi S1'!AD19+'Samedi S1'!AD19</f>
        <v>1</v>
      </c>
      <c r="AE19" s="10">
        <f>+'Lundi S1'!AE20+'Mardi S1'!AE20+'Mercredi S1'!AE19+'Jeudi S1'!AE19+'Vendredi S1'!AE19+'Samedi S1'!AE19</f>
        <v>3</v>
      </c>
      <c r="AF19" s="11">
        <f>+'Lundi S1'!AF20+'Mardi S1'!AF20+'Mercredi S1'!AF19+'Jeudi S1'!AF19+'Vendredi S1'!AF19+'Samedi S1'!AF19</f>
        <v>0</v>
      </c>
      <c r="AG19" s="9">
        <f>+'Lundi S1'!AG20+'Mardi S1'!AG20+'Mercredi S1'!AG19+'Jeudi S1'!AG19+'Vendredi S1'!AG19+'Samedi S1'!AG19</f>
        <v>25</v>
      </c>
      <c r="AH19" s="10">
        <f>+'Lundi S1'!AH20+'Mardi S1'!AH20+'Mercredi S1'!AH19+'Jeudi S1'!AH19+'Vendredi S1'!AH19+'Samedi S1'!AH19</f>
        <v>0</v>
      </c>
      <c r="AI19" s="10">
        <f>+'Lundi S1'!AI20+'Mardi S1'!AI20+'Mercredi S1'!AI19+'Jeudi S1'!AI19+'Vendredi S1'!AI19+'Samedi S1'!AI19</f>
        <v>25</v>
      </c>
      <c r="AJ19" s="10">
        <f>+'Lundi S1'!AJ20+'Mardi S1'!AJ20+'Mercredi S1'!AJ19+'Jeudi S1'!AJ19+'Vendredi S1'!AJ19+'Samedi S1'!AJ19</f>
        <v>0</v>
      </c>
      <c r="AK19" s="11">
        <f>+'Lundi S1'!AK20+'Mardi S1'!AK20+'Mercredi S1'!AK19+'Jeudi S1'!AK19+'Vendredi S1'!AK19+'Samedi S1'!AK19</f>
        <v>0</v>
      </c>
      <c r="AL19" s="9">
        <f>+'Lundi S1'!AL20+'Mardi S1'!AL20+'Mercredi S1'!AL19+'Jeudi S1'!AL19+'Vendredi S1'!AL19+'Samedi S1'!AL19</f>
        <v>2.2599999999999998</v>
      </c>
      <c r="AM19" s="10">
        <f>+'Lundi S1'!AM20+'Mardi S1'!AM20+'Mercredi S1'!AM19+'Jeudi S1'!AM19+'Vendredi S1'!AM19+'Samedi S1'!AM19</f>
        <v>0</v>
      </c>
      <c r="AN19" s="10">
        <f>+'Lundi S1'!AN20+'Mardi S1'!AN20+'Mercredi S1'!AN19+'Jeudi S1'!AN19+'Vendredi S1'!AN19+'Samedi S1'!AN19</f>
        <v>0.4</v>
      </c>
      <c r="AO19" s="10">
        <f>+'Lundi S1'!AO20+'Mardi S1'!AO20+'Mercredi S1'!AO19+'Jeudi S1'!AO19+'Vendredi S1'!AO19+'Samedi S1'!AO19</f>
        <v>3.6</v>
      </c>
      <c r="AP19" s="11">
        <f>+'Lundi S1'!AP20+'Mardi S1'!AP20+'Mercredi S1'!AP19+'Jeudi S1'!AP19+'Vendredi S1'!AP19+'Samedi S1'!AP19</f>
        <v>3</v>
      </c>
      <c r="AQ19" s="9">
        <f>+'Lundi S1'!AQ20+'Mardi S1'!AQ20+'Mercredi S1'!AQ19+'Jeudi S1'!AQ19+'Vendredi S1'!AQ19+'Samedi S1'!AQ19</f>
        <v>26</v>
      </c>
      <c r="AR19" s="10">
        <f>+'Lundi S1'!AR20+'Mardi S1'!AR20+'Mercredi S1'!AR19+'Jeudi S1'!AR19+'Vendredi S1'!AR19+'Samedi S1'!AR19</f>
        <v>0</v>
      </c>
      <c r="AS19" s="11">
        <f>+'Lundi S1'!AS20+'Mardi S1'!AS20+'Mercredi S1'!AS19+'Jeudi S1'!AS19+'Vendredi S1'!AS19+'Samedi S1'!AS19</f>
        <v>63</v>
      </c>
      <c r="AT19" s="22"/>
      <c r="AU19" s="14"/>
    </row>
    <row r="20" spans="1:47" ht="31.9" customHeight="1" x14ac:dyDescent="0.2">
      <c r="A20" s="26">
        <v>14</v>
      </c>
      <c r="B20" s="19"/>
      <c r="C20" s="9">
        <f>+'Lundi S1'!C21+'Mardi S1'!C21+'Mercredi S1'!C20+'Jeudi S1'!C20+'Vendredi S1'!C20+'Samedi S1'!C20</f>
        <v>90</v>
      </c>
      <c r="D20" s="10">
        <f>+'Lundi S1'!D21+'Mardi S1'!D21+'Mercredi S1'!D20+'Jeudi S1'!D20+'Vendredi S1'!D20+'Samedi S1'!D20</f>
        <v>18</v>
      </c>
      <c r="E20" s="10">
        <f>+'Lundi S1'!E21+'Mardi S1'!E21+'Mercredi S1'!E20+'Jeudi S1'!E20+'Vendredi S1'!E20+'Samedi S1'!E20</f>
        <v>30</v>
      </c>
      <c r="F20" s="10">
        <f>+'Lundi S1'!F21+'Mardi S1'!F21+'Mercredi S1'!F20+'Jeudi S1'!F20+'Vendredi S1'!F20+'Samedi S1'!F20</f>
        <v>12</v>
      </c>
      <c r="G20" s="11">
        <f>+'Lundi S1'!G21+'Mardi S1'!G21+'Mercredi S1'!G20+'Jeudi S1'!G20+'Vendredi S1'!G20+'Samedi S1'!G20</f>
        <v>30</v>
      </c>
      <c r="H20" s="9">
        <f>+'Lundi S1'!H21+'Mardi S1'!H21+'Mercredi S1'!H20+'Jeudi S1'!H20+'Vendredi S1'!H20+'Samedi S1'!H20</f>
        <v>18</v>
      </c>
      <c r="I20" s="10">
        <f>+'Lundi S1'!I21+'Mardi S1'!I21+'Mercredi S1'!I20+'Jeudi S1'!I20+'Vendredi S1'!I20+'Samedi S1'!I20</f>
        <v>6</v>
      </c>
      <c r="J20" s="10">
        <f>+'Lundi S1'!J21+'Mardi S1'!J21+'Mercredi S1'!J20+'Jeudi S1'!J20+'Vendredi S1'!J20+'Samedi S1'!J20</f>
        <v>6</v>
      </c>
      <c r="K20" s="10">
        <f>+'Lundi S1'!K21+'Mardi S1'!K21+'Mercredi S1'!K20+'Jeudi S1'!K20+'Vendredi S1'!K20+'Samedi S1'!K20</f>
        <v>6</v>
      </c>
      <c r="L20" s="11">
        <f>+'Lundi S1'!L21+'Mardi S1'!L21+'Mercredi S1'!L20+'Jeudi S1'!L20+'Vendredi S1'!L20+'Samedi S1'!L20</f>
        <v>6</v>
      </c>
      <c r="M20" s="9">
        <f>+'Lundi S1'!M21+'Mardi S1'!M21+'Mercredi S1'!M20+'Jeudi S1'!M20+'Vendredi S1'!M20+'Samedi S1'!M20</f>
        <v>18</v>
      </c>
      <c r="N20" s="10">
        <f>+'Lundi S1'!N21+'Mardi S1'!N21+'Mercredi S1'!N20+'Jeudi S1'!N20+'Vendredi S1'!N20+'Samedi S1'!N20</f>
        <v>6</v>
      </c>
      <c r="O20" s="10">
        <f>+'Lundi S1'!O21+'Mardi S1'!O21+'Mercredi S1'!O20+'Jeudi S1'!O20+'Vendredi S1'!O20+'Samedi S1'!O20</f>
        <v>18</v>
      </c>
      <c r="P20" s="10">
        <f>+'Lundi S1'!P21+'Mardi S1'!P21+'Mercredi S1'!P20+'Jeudi S1'!P20+'Vendredi S1'!P20+'Samedi S1'!P20</f>
        <v>0</v>
      </c>
      <c r="Q20" s="11">
        <f>+'Lundi S1'!Q21+'Mardi S1'!Q21+'Mercredi S1'!Q20+'Jeudi S1'!Q20+'Vendredi S1'!Q20+'Samedi S1'!Q20</f>
        <v>0</v>
      </c>
      <c r="R20" s="61">
        <f>+'Lundi S1'!R21+'Mardi S1'!R21+'Mercredi S1'!R20+'Jeudi S1'!R20+'Vendredi S1'!R20+'Samedi S1'!R20</f>
        <v>3</v>
      </c>
      <c r="S20" s="62">
        <f>+'Lundi S1'!S21+'Mardi S1'!S21+'Mercredi S1'!S20+'Jeudi S1'!S20+'Vendredi S1'!S20+'Samedi S1'!S20</f>
        <v>0.99999999999999989</v>
      </c>
      <c r="T20" s="62">
        <f>+'Lundi S1'!T21+'Mardi S1'!T21+'Mercredi S1'!T20+'Jeudi S1'!T20+'Vendredi S1'!T20+'Samedi S1'!T20</f>
        <v>0.6</v>
      </c>
      <c r="U20" s="62">
        <f>+'Lundi S1'!U21+'Mardi S1'!U21+'Mercredi S1'!U20+'Jeudi S1'!U20+'Vendredi S1'!U20+'Samedi S1'!U20</f>
        <v>3.6</v>
      </c>
      <c r="V20" s="63">
        <f>+'Lundi S1'!V21+'Mardi S1'!V21+'Mercredi S1'!V20+'Jeudi S1'!V20+'Vendredi S1'!V20+'Samedi S1'!V20</f>
        <v>0.9</v>
      </c>
      <c r="W20" s="9">
        <f>+'Lundi S1'!W21+'Mardi S1'!W21+'Mercredi S1'!W20+'Jeudi S1'!W20+'Vendredi S1'!W20+'Samedi S1'!W20</f>
        <v>135</v>
      </c>
      <c r="X20" s="10">
        <f>+'Lundi S1'!X21+'Mardi S1'!X21+'Mercredi S1'!X20+'Jeudi S1'!X20+'Vendredi S1'!X20+'Samedi S1'!X20</f>
        <v>2</v>
      </c>
      <c r="Y20" s="10">
        <f>+'Lundi S1'!Y21+'Mardi S1'!Y21+'Mercredi S1'!Y20+'Jeudi S1'!Y20+'Vendredi S1'!Y20+'Samedi S1'!Y20</f>
        <v>5</v>
      </c>
      <c r="Z20" s="10">
        <f>+'Lundi S1'!Z21+'Mardi S1'!Z21+'Mercredi S1'!Z20+'Jeudi S1'!Z20+'Vendredi S1'!Z20+'Samedi S1'!Z20</f>
        <v>8</v>
      </c>
      <c r="AA20" s="11">
        <f>+'Lundi S1'!AA21+'Mardi S1'!AA21+'Mercredi S1'!AA20+'Jeudi S1'!AA20+'Vendredi S1'!AA20+'Samedi S1'!AA20</f>
        <v>1</v>
      </c>
      <c r="AB20" s="9">
        <f>+'Lundi S1'!AB21+'Mardi S1'!AB21+'Mercredi S1'!AB20+'Jeudi S1'!AB20+'Vendredi S1'!AB20+'Samedi S1'!AB20</f>
        <v>65</v>
      </c>
      <c r="AC20" s="10">
        <f>+'Lundi S1'!AC21+'Mardi S1'!AC21+'Mercredi S1'!AC20+'Jeudi S1'!AC20+'Vendredi S1'!AC20+'Samedi S1'!AC20</f>
        <v>1</v>
      </c>
      <c r="AD20" s="10">
        <f>+'Lundi S1'!AD21+'Mardi S1'!AD21+'Mercredi S1'!AD20+'Jeudi S1'!AD20+'Vendredi S1'!AD20+'Samedi S1'!AD20</f>
        <v>3</v>
      </c>
      <c r="AE20" s="10">
        <f>+'Lundi S1'!AE21+'Mardi S1'!AE21+'Mercredi S1'!AE20+'Jeudi S1'!AE20+'Vendredi S1'!AE20+'Samedi S1'!AE20</f>
        <v>3</v>
      </c>
      <c r="AF20" s="11">
        <f>+'Lundi S1'!AF21+'Mardi S1'!AF21+'Mercredi S1'!AF20+'Jeudi S1'!AF20+'Vendredi S1'!AF20+'Samedi S1'!AF20</f>
        <v>1</v>
      </c>
      <c r="AG20" s="9">
        <f>+'Lundi S1'!AG21+'Mardi S1'!AG21+'Mercredi S1'!AG20+'Jeudi S1'!AG20+'Vendredi S1'!AG20+'Samedi S1'!AG20</f>
        <v>25</v>
      </c>
      <c r="AH20" s="10">
        <f>+'Lundi S1'!AH21+'Mardi S1'!AH21+'Mercredi S1'!AH20+'Jeudi S1'!AH20+'Vendredi S1'!AH20+'Samedi S1'!AH20</f>
        <v>0</v>
      </c>
      <c r="AI20" s="10">
        <f>+'Lundi S1'!AI21+'Mardi S1'!AI21+'Mercredi S1'!AI20+'Jeudi S1'!AI20+'Vendredi S1'!AI20+'Samedi S1'!AI20</f>
        <v>24</v>
      </c>
      <c r="AJ20" s="10">
        <f>+'Lundi S1'!AJ21+'Mardi S1'!AJ21+'Mercredi S1'!AJ20+'Jeudi S1'!AJ20+'Vendredi S1'!AJ20+'Samedi S1'!AJ20</f>
        <v>0</v>
      </c>
      <c r="AK20" s="11">
        <f>+'Lundi S1'!AK21+'Mardi S1'!AK21+'Mercredi S1'!AK20+'Jeudi S1'!AK20+'Vendredi S1'!AK20+'Samedi S1'!AK20</f>
        <v>0</v>
      </c>
      <c r="AL20" s="9">
        <f>+'Lundi S1'!AL21+'Mardi S1'!AL21+'Mercredi S1'!AL20+'Jeudi S1'!AL20+'Vendredi S1'!AL20+'Samedi S1'!AL20</f>
        <v>2.25</v>
      </c>
      <c r="AM20" s="10">
        <f>+'Lundi S1'!AM21+'Mardi S1'!AM21+'Mercredi S1'!AM20+'Jeudi S1'!AM20+'Vendredi S1'!AM20+'Samedi S1'!AM20</f>
        <v>0</v>
      </c>
      <c r="AN20" s="10">
        <f>+'Lundi S1'!AN21+'Mardi S1'!AN21+'Mercredi S1'!AN20+'Jeudi S1'!AN20+'Vendredi S1'!AN20+'Samedi S1'!AN20</f>
        <v>0.55000000000000004</v>
      </c>
      <c r="AO20" s="10">
        <f>+'Lundi S1'!AO21+'Mardi S1'!AO21+'Mercredi S1'!AO20+'Jeudi S1'!AO20+'Vendredi S1'!AO20+'Samedi S1'!AO20</f>
        <v>3.3000000000000003</v>
      </c>
      <c r="AP20" s="11">
        <f>+'Lundi S1'!AP21+'Mardi S1'!AP21+'Mercredi S1'!AP20+'Jeudi S1'!AP20+'Vendredi S1'!AP20+'Samedi S1'!AP20</f>
        <v>3.15</v>
      </c>
      <c r="AQ20" s="9">
        <f>+'Lundi S1'!AQ21+'Mardi S1'!AQ21+'Mercredi S1'!AQ20+'Jeudi S1'!AQ20+'Vendredi S1'!AQ20+'Samedi S1'!AQ20</f>
        <v>37</v>
      </c>
      <c r="AR20" s="10">
        <f>+'Lundi S1'!AR21+'Mardi S1'!AR21+'Mercredi S1'!AR20+'Jeudi S1'!AR20+'Vendredi S1'!AR20+'Samedi S1'!AR20</f>
        <v>0</v>
      </c>
      <c r="AS20" s="11">
        <f>+'Lundi S1'!AS21+'Mardi S1'!AS21+'Mercredi S1'!AS20+'Jeudi S1'!AS20+'Vendredi S1'!AS20+'Samedi S1'!AS20</f>
        <v>62</v>
      </c>
      <c r="AT20" s="22"/>
      <c r="AU20" s="14"/>
    </row>
    <row r="21" spans="1:47" ht="31.9" customHeight="1" x14ac:dyDescent="0.2">
      <c r="A21" s="26">
        <v>15</v>
      </c>
      <c r="B21" s="19"/>
      <c r="C21" s="9">
        <f>+'Lundi S1'!C22+'Mardi S1'!C22+'Mercredi S1'!C21+'Jeudi S1'!C21+'Vendredi S1'!C21+'Samedi S1'!C21</f>
        <v>90</v>
      </c>
      <c r="D21" s="10">
        <f>+'Lundi S1'!D22+'Mardi S1'!D22+'Mercredi S1'!D21+'Jeudi S1'!D21+'Vendredi S1'!D21+'Samedi S1'!D21</f>
        <v>18</v>
      </c>
      <c r="E21" s="10">
        <f>+'Lundi S1'!E22+'Mardi S1'!E22+'Mercredi S1'!E21+'Jeudi S1'!E21+'Vendredi S1'!E21+'Samedi S1'!E21</f>
        <v>30</v>
      </c>
      <c r="F21" s="10">
        <f>+'Lundi S1'!F22+'Mardi S1'!F22+'Mercredi S1'!F21+'Jeudi S1'!F21+'Vendredi S1'!F21+'Samedi S1'!F21</f>
        <v>12</v>
      </c>
      <c r="G21" s="11">
        <f>+'Lundi S1'!G22+'Mardi S1'!G22+'Mercredi S1'!G21+'Jeudi S1'!G21+'Vendredi S1'!G21+'Samedi S1'!G21</f>
        <v>30</v>
      </c>
      <c r="H21" s="9">
        <f>+'Lundi S1'!H22+'Mardi S1'!H22+'Mercredi S1'!H21+'Jeudi S1'!H21+'Vendredi S1'!H21+'Samedi S1'!H21</f>
        <v>18</v>
      </c>
      <c r="I21" s="10">
        <f>+'Lundi S1'!I22+'Mardi S1'!I22+'Mercredi S1'!I21+'Jeudi S1'!I21+'Vendredi S1'!I21+'Samedi S1'!I21</f>
        <v>6</v>
      </c>
      <c r="J21" s="10">
        <f>+'Lundi S1'!J22+'Mardi S1'!J22+'Mercredi S1'!J21+'Jeudi S1'!J21+'Vendredi S1'!J21+'Samedi S1'!J21</f>
        <v>6</v>
      </c>
      <c r="K21" s="10">
        <f>+'Lundi S1'!K22+'Mardi S1'!K22+'Mercredi S1'!K21+'Jeudi S1'!K21+'Vendredi S1'!K21+'Samedi S1'!K21</f>
        <v>6</v>
      </c>
      <c r="L21" s="11">
        <f>+'Lundi S1'!L22+'Mardi S1'!L22+'Mercredi S1'!L21+'Jeudi S1'!L21+'Vendredi S1'!L21+'Samedi S1'!L21</f>
        <v>6</v>
      </c>
      <c r="M21" s="9">
        <f>+'Lundi S1'!M22+'Mardi S1'!M22+'Mercredi S1'!M21+'Jeudi S1'!M21+'Vendredi S1'!M21+'Samedi S1'!M21</f>
        <v>18</v>
      </c>
      <c r="N21" s="10">
        <f>+'Lundi S1'!N22+'Mardi S1'!N22+'Mercredi S1'!N21+'Jeudi S1'!N21+'Vendredi S1'!N21+'Samedi S1'!N21</f>
        <v>6</v>
      </c>
      <c r="O21" s="10">
        <f>+'Lundi S1'!O22+'Mardi S1'!O22+'Mercredi S1'!O21+'Jeudi S1'!O21+'Vendredi S1'!O21+'Samedi S1'!O21</f>
        <v>18</v>
      </c>
      <c r="P21" s="10">
        <f>+'Lundi S1'!P22+'Mardi S1'!P22+'Mercredi S1'!P21+'Jeudi S1'!P21+'Vendredi S1'!P21+'Samedi S1'!P21</f>
        <v>0</v>
      </c>
      <c r="Q21" s="11">
        <f>+'Lundi S1'!Q22+'Mardi S1'!Q22+'Mercredi S1'!Q21+'Jeudi S1'!Q21+'Vendredi S1'!Q21+'Samedi S1'!Q21</f>
        <v>0</v>
      </c>
      <c r="R21" s="61">
        <f>+'Lundi S1'!R22+'Mardi S1'!R22+'Mercredi S1'!R21+'Jeudi S1'!R21+'Vendredi S1'!R21+'Samedi S1'!R21</f>
        <v>3</v>
      </c>
      <c r="S21" s="62">
        <f>+'Lundi S1'!S22+'Mardi S1'!S22+'Mercredi S1'!S21+'Jeudi S1'!S21+'Vendredi S1'!S21+'Samedi S1'!S21</f>
        <v>0.99999999999999989</v>
      </c>
      <c r="T21" s="62">
        <f>+'Lundi S1'!T22+'Mardi S1'!T22+'Mercredi S1'!T21+'Jeudi S1'!T21+'Vendredi S1'!T21+'Samedi S1'!T21</f>
        <v>0.6</v>
      </c>
      <c r="U21" s="62">
        <f>+'Lundi S1'!U22+'Mardi S1'!U22+'Mercredi S1'!U21+'Jeudi S1'!U21+'Vendredi S1'!U21+'Samedi S1'!U21</f>
        <v>3.6</v>
      </c>
      <c r="V21" s="63">
        <f>+'Lundi S1'!V22+'Mardi S1'!V22+'Mercredi S1'!V21+'Jeudi S1'!V21+'Vendredi S1'!V21+'Samedi S1'!V21</f>
        <v>0.9</v>
      </c>
      <c r="W21" s="9">
        <f>+'Lundi S1'!W22+'Mardi S1'!W22+'Mercredi S1'!W21+'Jeudi S1'!W21+'Vendredi S1'!W21+'Samedi S1'!W21</f>
        <v>128</v>
      </c>
      <c r="X21" s="10">
        <f>+'Lundi S1'!X22+'Mardi S1'!X22+'Mercredi S1'!X21+'Jeudi S1'!X21+'Vendredi S1'!X21+'Samedi S1'!X21</f>
        <v>2</v>
      </c>
      <c r="Y21" s="10">
        <f>+'Lundi S1'!Y22+'Mardi S1'!Y22+'Mercredi S1'!Y21+'Jeudi S1'!Y21+'Vendredi S1'!Y21+'Samedi S1'!Y21</f>
        <v>2</v>
      </c>
      <c r="Z21" s="10">
        <f>+'Lundi S1'!Z22+'Mardi S1'!Z22+'Mercredi S1'!Z21+'Jeudi S1'!Z21+'Vendredi S1'!Z21+'Samedi S1'!Z21</f>
        <v>1</v>
      </c>
      <c r="AA21" s="11">
        <f>+'Lundi S1'!AA22+'Mardi S1'!AA22+'Mercredi S1'!AA21+'Jeudi S1'!AA21+'Vendredi S1'!AA21+'Samedi S1'!AA21</f>
        <v>1</v>
      </c>
      <c r="AB21" s="9">
        <f>+'Lundi S1'!AB22+'Mardi S1'!AB22+'Mercredi S1'!AB21+'Jeudi S1'!AB21+'Vendredi S1'!AB21+'Samedi S1'!AB21</f>
        <v>66</v>
      </c>
      <c r="AC21" s="10">
        <f>+'Lundi S1'!AC22+'Mardi S1'!AC22+'Mercredi S1'!AC21+'Jeudi S1'!AC21+'Vendredi S1'!AC21+'Samedi S1'!AC21</f>
        <v>0</v>
      </c>
      <c r="AD21" s="10">
        <f>+'Lundi S1'!AD22+'Mardi S1'!AD22+'Mercredi S1'!AD21+'Jeudi S1'!AD21+'Vendredi S1'!AD21+'Samedi S1'!AD21</f>
        <v>2</v>
      </c>
      <c r="AE21" s="10">
        <f>+'Lundi S1'!AE22+'Mardi S1'!AE22+'Mercredi S1'!AE21+'Jeudi S1'!AE21+'Vendredi S1'!AE21+'Samedi S1'!AE21</f>
        <v>0</v>
      </c>
      <c r="AF21" s="11">
        <f>+'Lundi S1'!AF22+'Mardi S1'!AF22+'Mercredi S1'!AF21+'Jeudi S1'!AF21+'Vendredi S1'!AF21+'Samedi S1'!AF21</f>
        <v>0</v>
      </c>
      <c r="AG21" s="9">
        <f>+'Lundi S1'!AG22+'Mardi S1'!AG22+'Mercredi S1'!AG21+'Jeudi S1'!AG21+'Vendredi S1'!AG21+'Samedi S1'!AG21</f>
        <v>25</v>
      </c>
      <c r="AH21" s="10">
        <f>+'Lundi S1'!AH22+'Mardi S1'!AH22+'Mercredi S1'!AH21+'Jeudi S1'!AH21+'Vendredi S1'!AH21+'Samedi S1'!AH21</f>
        <v>0</v>
      </c>
      <c r="AI21" s="10">
        <f>+'Lundi S1'!AI22+'Mardi S1'!AI22+'Mercredi S1'!AI21+'Jeudi S1'!AI21+'Vendredi S1'!AI21+'Samedi S1'!AI21</f>
        <v>25</v>
      </c>
      <c r="AJ21" s="10">
        <f>+'Lundi S1'!AJ22+'Mardi S1'!AJ22+'Mercredi S1'!AJ21+'Jeudi S1'!AJ21+'Vendredi S1'!AJ21+'Samedi S1'!AJ21</f>
        <v>0</v>
      </c>
      <c r="AK21" s="11">
        <f>+'Lundi S1'!AK22+'Mardi S1'!AK22+'Mercredi S1'!AK21+'Jeudi S1'!AK21+'Vendredi S1'!AK21+'Samedi S1'!AK21</f>
        <v>0</v>
      </c>
      <c r="AL21" s="9">
        <f>+'Lundi S1'!AL22+'Mardi S1'!AL22+'Mercredi S1'!AL21+'Jeudi S1'!AL21+'Vendredi S1'!AL21+'Samedi S1'!AL21</f>
        <v>1.76</v>
      </c>
      <c r="AM21" s="10">
        <f>+'Lundi S1'!AM22+'Mardi S1'!AM22+'Mercredi S1'!AM21+'Jeudi S1'!AM21+'Vendredi S1'!AM21+'Samedi S1'!AM21</f>
        <v>0</v>
      </c>
      <c r="AN21" s="10">
        <f>+'Lundi S1'!AN22+'Mardi S1'!AN22+'Mercredi S1'!AN21+'Jeudi S1'!AN21+'Vendredi S1'!AN21+'Samedi S1'!AN21</f>
        <v>0.55000000000000004</v>
      </c>
      <c r="AO21" s="10">
        <f>+'Lundi S1'!AO22+'Mardi S1'!AO22+'Mercredi S1'!AO21+'Jeudi S1'!AO21+'Vendredi S1'!AO21+'Samedi S1'!AO21</f>
        <v>1.9</v>
      </c>
      <c r="AP21" s="11">
        <f>+'Lundi S1'!AP22+'Mardi S1'!AP22+'Mercredi S1'!AP21+'Jeudi S1'!AP21+'Vendredi S1'!AP21+'Samedi S1'!AP21</f>
        <v>4.0999999999999996</v>
      </c>
      <c r="AQ21" s="9">
        <f>+'Lundi S1'!AQ22+'Mardi S1'!AQ22+'Mercredi S1'!AQ21+'Jeudi S1'!AQ21+'Vendredi S1'!AQ21+'Samedi S1'!AQ21</f>
        <v>36</v>
      </c>
      <c r="AR21" s="10">
        <f>+'Lundi S1'!AR22+'Mardi S1'!AR22+'Mercredi S1'!AR21+'Jeudi S1'!AR21+'Vendredi S1'!AR21+'Samedi S1'!AR21</f>
        <v>0</v>
      </c>
      <c r="AS21" s="11">
        <f>+'Lundi S1'!AS22+'Mardi S1'!AS22+'Mercredi S1'!AS21+'Jeudi S1'!AS21+'Vendredi S1'!AS21+'Samedi S1'!AS21</f>
        <v>57</v>
      </c>
      <c r="AT21" s="22"/>
      <c r="AU21" s="14"/>
    </row>
    <row r="22" spans="1:47" ht="31.9" customHeight="1" x14ac:dyDescent="0.2">
      <c r="A22" s="26">
        <v>16</v>
      </c>
      <c r="B22" s="19"/>
      <c r="C22" s="9">
        <f>+'Lundi S1'!C23+'Mardi S1'!C23+'Mercredi S1'!C22+'Jeudi S1'!C22+'Vendredi S1'!C22+'Samedi S1'!C22</f>
        <v>90</v>
      </c>
      <c r="D22" s="10">
        <f>+'Lundi S1'!D23+'Mardi S1'!D23+'Mercredi S1'!D22+'Jeudi S1'!D22+'Vendredi S1'!D22+'Samedi S1'!D22</f>
        <v>18</v>
      </c>
      <c r="E22" s="10">
        <f>+'Lundi S1'!E23+'Mardi S1'!E23+'Mercredi S1'!E22+'Jeudi S1'!E22+'Vendredi S1'!E22+'Samedi S1'!E22</f>
        <v>30</v>
      </c>
      <c r="F22" s="10">
        <f>+'Lundi S1'!F23+'Mardi S1'!F23+'Mercredi S1'!F22+'Jeudi S1'!F22+'Vendredi S1'!F22+'Samedi S1'!F22</f>
        <v>12</v>
      </c>
      <c r="G22" s="11">
        <f>+'Lundi S1'!G23+'Mardi S1'!G23+'Mercredi S1'!G22+'Jeudi S1'!G22+'Vendredi S1'!G22+'Samedi S1'!G22</f>
        <v>30</v>
      </c>
      <c r="H22" s="9">
        <f>+'Lundi S1'!H23+'Mardi S1'!H23+'Mercredi S1'!H22+'Jeudi S1'!H22+'Vendredi S1'!H22+'Samedi S1'!H22</f>
        <v>18</v>
      </c>
      <c r="I22" s="10">
        <f>+'Lundi S1'!I23+'Mardi S1'!I23+'Mercredi S1'!I22+'Jeudi S1'!I22+'Vendredi S1'!I22+'Samedi S1'!I22</f>
        <v>6</v>
      </c>
      <c r="J22" s="10">
        <f>+'Lundi S1'!J23+'Mardi S1'!J23+'Mercredi S1'!J22+'Jeudi S1'!J22+'Vendredi S1'!J22+'Samedi S1'!J22</f>
        <v>6</v>
      </c>
      <c r="K22" s="10">
        <f>+'Lundi S1'!K23+'Mardi S1'!K23+'Mercredi S1'!K22+'Jeudi S1'!K22+'Vendredi S1'!K22+'Samedi S1'!K22</f>
        <v>6</v>
      </c>
      <c r="L22" s="11">
        <f>+'Lundi S1'!L23+'Mardi S1'!L23+'Mercredi S1'!L22+'Jeudi S1'!L22+'Vendredi S1'!L22+'Samedi S1'!L22</f>
        <v>6</v>
      </c>
      <c r="M22" s="9">
        <f>+'Lundi S1'!M23+'Mardi S1'!M23+'Mercredi S1'!M22+'Jeudi S1'!M22+'Vendredi S1'!M22+'Samedi S1'!M22</f>
        <v>18</v>
      </c>
      <c r="N22" s="10">
        <f>+'Lundi S1'!N23+'Mardi S1'!N23+'Mercredi S1'!N22+'Jeudi S1'!N22+'Vendredi S1'!N22+'Samedi S1'!N22</f>
        <v>6</v>
      </c>
      <c r="O22" s="10">
        <f>+'Lundi S1'!O23+'Mardi S1'!O23+'Mercredi S1'!O22+'Jeudi S1'!O22+'Vendredi S1'!O22+'Samedi S1'!O22</f>
        <v>18</v>
      </c>
      <c r="P22" s="10">
        <f>+'Lundi S1'!P23+'Mardi S1'!P23+'Mercredi S1'!P22+'Jeudi S1'!P22+'Vendredi S1'!P22+'Samedi S1'!P22</f>
        <v>0</v>
      </c>
      <c r="Q22" s="11">
        <f>+'Lundi S1'!Q23+'Mardi S1'!Q23+'Mercredi S1'!Q22+'Jeudi S1'!Q22+'Vendredi S1'!Q22+'Samedi S1'!Q22</f>
        <v>0</v>
      </c>
      <c r="R22" s="61">
        <f>+'Lundi S1'!R23+'Mardi S1'!R23+'Mercredi S1'!R22+'Jeudi S1'!R22+'Vendredi S1'!R22+'Samedi S1'!R22</f>
        <v>3</v>
      </c>
      <c r="S22" s="62">
        <f>+'Lundi S1'!S23+'Mardi S1'!S23+'Mercredi S1'!S22+'Jeudi S1'!S22+'Vendredi S1'!S22+'Samedi S1'!S22</f>
        <v>0.99999999999999989</v>
      </c>
      <c r="T22" s="62">
        <f>+'Lundi S1'!T23+'Mardi S1'!T23+'Mercredi S1'!T22+'Jeudi S1'!T22+'Vendredi S1'!T22+'Samedi S1'!T22</f>
        <v>0.6</v>
      </c>
      <c r="U22" s="62">
        <f>+'Lundi S1'!U23+'Mardi S1'!U23+'Mercredi S1'!U22+'Jeudi S1'!U22+'Vendredi S1'!U22+'Samedi S1'!U22</f>
        <v>3.6</v>
      </c>
      <c r="V22" s="63">
        <f>+'Lundi S1'!V23+'Mardi S1'!V23+'Mercredi S1'!V22+'Jeudi S1'!V22+'Vendredi S1'!V22+'Samedi S1'!V22</f>
        <v>0.9</v>
      </c>
      <c r="W22" s="9">
        <f>+'Lundi S1'!W23+'Mardi S1'!W23+'Mercredi S1'!W22+'Jeudi S1'!W22+'Vendredi S1'!W22+'Samedi S1'!W22</f>
        <v>141</v>
      </c>
      <c r="X22" s="10">
        <f>+'Lundi S1'!X23+'Mardi S1'!X23+'Mercredi S1'!X22+'Jeudi S1'!X22+'Vendredi S1'!X22+'Samedi S1'!X22</f>
        <v>1</v>
      </c>
      <c r="Y22" s="10">
        <f>+'Lundi S1'!Y23+'Mardi S1'!Y23+'Mercredi S1'!Y22+'Jeudi S1'!Y22+'Vendredi S1'!Y22+'Samedi S1'!Y22</f>
        <v>4</v>
      </c>
      <c r="Z22" s="10">
        <f>+'Lundi S1'!Z23+'Mardi S1'!Z23+'Mercredi S1'!Z22+'Jeudi S1'!Z22+'Vendredi S1'!Z22+'Samedi S1'!Z22</f>
        <v>4</v>
      </c>
      <c r="AA22" s="11">
        <f>+'Lundi S1'!AA23+'Mardi S1'!AA23+'Mercredi S1'!AA22+'Jeudi S1'!AA22+'Vendredi S1'!AA22+'Samedi S1'!AA22</f>
        <v>2</v>
      </c>
      <c r="AB22" s="9">
        <f>+'Lundi S1'!AB23+'Mardi S1'!AB23+'Mercredi S1'!AB22+'Jeudi S1'!AB22+'Vendredi S1'!AB22+'Samedi S1'!AB22</f>
        <v>61</v>
      </c>
      <c r="AC22" s="10">
        <f>+'Lundi S1'!AC23+'Mardi S1'!AC23+'Mercredi S1'!AC22+'Jeudi S1'!AC22+'Vendredi S1'!AC22+'Samedi S1'!AC22</f>
        <v>0</v>
      </c>
      <c r="AD22" s="10">
        <f>+'Lundi S1'!AD23+'Mardi S1'!AD23+'Mercredi S1'!AD22+'Jeudi S1'!AD22+'Vendredi S1'!AD22+'Samedi S1'!AD22</f>
        <v>2</v>
      </c>
      <c r="AE22" s="10">
        <f>+'Lundi S1'!AE23+'Mardi S1'!AE23+'Mercredi S1'!AE22+'Jeudi S1'!AE22+'Vendredi S1'!AE22+'Samedi S1'!AE22</f>
        <v>1</v>
      </c>
      <c r="AF22" s="11">
        <f>+'Lundi S1'!AF23+'Mardi S1'!AF23+'Mercredi S1'!AF22+'Jeudi S1'!AF22+'Vendredi S1'!AF22+'Samedi S1'!AF22</f>
        <v>0</v>
      </c>
      <c r="AG22" s="9">
        <f>+'Lundi S1'!AG23+'Mardi S1'!AG23+'Mercredi S1'!AG22+'Jeudi S1'!AG22+'Vendredi S1'!AG22+'Samedi S1'!AG22</f>
        <v>25</v>
      </c>
      <c r="AH22" s="10">
        <f>+'Lundi S1'!AH23+'Mardi S1'!AH23+'Mercredi S1'!AH22+'Jeudi S1'!AH22+'Vendredi S1'!AH22+'Samedi S1'!AH22</f>
        <v>0</v>
      </c>
      <c r="AI22" s="10">
        <f>+'Lundi S1'!AI23+'Mardi S1'!AI23+'Mercredi S1'!AI22+'Jeudi S1'!AI22+'Vendredi S1'!AI22+'Samedi S1'!AI22</f>
        <v>25</v>
      </c>
      <c r="AJ22" s="10">
        <f>+'Lundi S1'!AJ23+'Mardi S1'!AJ23+'Mercredi S1'!AJ22+'Jeudi S1'!AJ22+'Vendredi S1'!AJ22+'Samedi S1'!AJ22</f>
        <v>0</v>
      </c>
      <c r="AK22" s="11">
        <f>+'Lundi S1'!AK23+'Mardi S1'!AK23+'Mercredi S1'!AK22+'Jeudi S1'!AK22+'Vendredi S1'!AK22+'Samedi S1'!AK22</f>
        <v>0</v>
      </c>
      <c r="AL22" s="9">
        <f>+'Lundi S1'!AL23+'Mardi S1'!AL23+'Mercredi S1'!AL22+'Jeudi S1'!AL22+'Vendredi S1'!AL22+'Samedi S1'!AL22</f>
        <v>2.25</v>
      </c>
      <c r="AM22" s="10">
        <f>+'Lundi S1'!AM23+'Mardi S1'!AM23+'Mercredi S1'!AM22+'Jeudi S1'!AM22+'Vendredi S1'!AM22+'Samedi S1'!AM22</f>
        <v>0</v>
      </c>
      <c r="AN22" s="10">
        <f>+'Lundi S1'!AN23+'Mardi S1'!AN23+'Mercredi S1'!AN22+'Jeudi S1'!AN22+'Vendredi S1'!AN22+'Samedi S1'!AN22</f>
        <v>0.5</v>
      </c>
      <c r="AO22" s="10">
        <f>+'Lundi S1'!AO23+'Mardi S1'!AO23+'Mercredi S1'!AO22+'Jeudi S1'!AO22+'Vendredi S1'!AO22+'Samedi S1'!AO22</f>
        <v>3.5999999999999996</v>
      </c>
      <c r="AP22" s="11">
        <f>+'Lundi S1'!AP23+'Mardi S1'!AP23+'Mercredi S1'!AP22+'Jeudi S1'!AP22+'Vendredi S1'!AP22+'Samedi S1'!AP22</f>
        <v>3.1</v>
      </c>
      <c r="AQ22" s="9">
        <f>+'Lundi S1'!AQ23+'Mardi S1'!AQ23+'Mercredi S1'!AQ22+'Jeudi S1'!AQ22+'Vendredi S1'!AQ22+'Samedi S1'!AQ22</f>
        <v>42</v>
      </c>
      <c r="AR22" s="10">
        <f>+'Lundi S1'!AR23+'Mardi S1'!AR23+'Mercredi S1'!AR22+'Jeudi S1'!AR22+'Vendredi S1'!AR22+'Samedi S1'!AR22</f>
        <v>0</v>
      </c>
      <c r="AS22" s="11">
        <f>+'Lundi S1'!AS23+'Mardi S1'!AS23+'Mercredi S1'!AS22+'Jeudi S1'!AS22+'Vendredi S1'!AS22+'Samedi S1'!AS22</f>
        <v>64</v>
      </c>
      <c r="AT22" s="22"/>
      <c r="AU22" s="14"/>
    </row>
    <row r="23" spans="1:47" ht="31.9" customHeight="1" x14ac:dyDescent="0.2">
      <c r="A23" s="26">
        <v>17</v>
      </c>
      <c r="B23" s="19"/>
      <c r="C23" s="9">
        <f>+'Lundi S1'!C24+'Mardi S1'!C24+'Mercredi S1'!C23+'Jeudi S1'!C23+'Vendredi S1'!C23+'Samedi S1'!C23</f>
        <v>90</v>
      </c>
      <c r="D23" s="10">
        <f>+'Lundi S1'!D24+'Mardi S1'!D24+'Mercredi S1'!D23+'Jeudi S1'!D23+'Vendredi S1'!D23+'Samedi S1'!D23</f>
        <v>18</v>
      </c>
      <c r="E23" s="10">
        <f>+'Lundi S1'!E24+'Mardi S1'!E24+'Mercredi S1'!E23+'Jeudi S1'!E23+'Vendredi S1'!E23+'Samedi S1'!E23</f>
        <v>30</v>
      </c>
      <c r="F23" s="10">
        <f>+'Lundi S1'!F24+'Mardi S1'!F24+'Mercredi S1'!F23+'Jeudi S1'!F23+'Vendredi S1'!F23+'Samedi S1'!F23</f>
        <v>12</v>
      </c>
      <c r="G23" s="11">
        <f>+'Lundi S1'!G24+'Mardi S1'!G24+'Mercredi S1'!G23+'Jeudi S1'!G23+'Vendredi S1'!G23+'Samedi S1'!G23</f>
        <v>30</v>
      </c>
      <c r="H23" s="9">
        <f>+'Lundi S1'!H24+'Mardi S1'!H24+'Mercredi S1'!H23+'Jeudi S1'!H23+'Vendredi S1'!H23+'Samedi S1'!H23</f>
        <v>18</v>
      </c>
      <c r="I23" s="10">
        <f>+'Lundi S1'!I24+'Mardi S1'!I24+'Mercredi S1'!I23+'Jeudi S1'!I23+'Vendredi S1'!I23+'Samedi S1'!I23</f>
        <v>6</v>
      </c>
      <c r="J23" s="10">
        <f>+'Lundi S1'!J24+'Mardi S1'!J24+'Mercredi S1'!J23+'Jeudi S1'!J23+'Vendredi S1'!J23+'Samedi S1'!J23</f>
        <v>6</v>
      </c>
      <c r="K23" s="10">
        <f>+'Lundi S1'!K24+'Mardi S1'!K24+'Mercredi S1'!K23+'Jeudi S1'!K23+'Vendredi S1'!K23+'Samedi S1'!K23</f>
        <v>6</v>
      </c>
      <c r="L23" s="11">
        <f>+'Lundi S1'!L24+'Mardi S1'!L24+'Mercredi S1'!L23+'Jeudi S1'!L23+'Vendredi S1'!L23+'Samedi S1'!L23</f>
        <v>6</v>
      </c>
      <c r="M23" s="9">
        <f>+'Lundi S1'!M24+'Mardi S1'!M24+'Mercredi S1'!M23+'Jeudi S1'!M23+'Vendredi S1'!M23+'Samedi S1'!M23</f>
        <v>18</v>
      </c>
      <c r="N23" s="10">
        <f>+'Lundi S1'!N24+'Mardi S1'!N24+'Mercredi S1'!N23+'Jeudi S1'!N23+'Vendredi S1'!N23+'Samedi S1'!N23</f>
        <v>6</v>
      </c>
      <c r="O23" s="10">
        <f>+'Lundi S1'!O24+'Mardi S1'!O24+'Mercredi S1'!O23+'Jeudi S1'!O23+'Vendredi S1'!O23+'Samedi S1'!O23</f>
        <v>18</v>
      </c>
      <c r="P23" s="10">
        <f>+'Lundi S1'!P24+'Mardi S1'!P24+'Mercredi S1'!P23+'Jeudi S1'!P23+'Vendredi S1'!P23+'Samedi S1'!P23</f>
        <v>0</v>
      </c>
      <c r="Q23" s="11">
        <f>+'Lundi S1'!Q24+'Mardi S1'!Q24+'Mercredi S1'!Q23+'Jeudi S1'!Q23+'Vendredi S1'!Q23+'Samedi S1'!Q23</f>
        <v>0</v>
      </c>
      <c r="R23" s="61">
        <f>+'Lundi S1'!R24+'Mardi S1'!R24+'Mercredi S1'!R23+'Jeudi S1'!R23+'Vendredi S1'!R23+'Samedi S1'!R23</f>
        <v>3</v>
      </c>
      <c r="S23" s="62">
        <f>+'Lundi S1'!S24+'Mardi S1'!S24+'Mercredi S1'!S23+'Jeudi S1'!S23+'Vendredi S1'!S23+'Samedi S1'!S23</f>
        <v>0.99999999999999989</v>
      </c>
      <c r="T23" s="62">
        <f>+'Lundi S1'!T24+'Mardi S1'!T24+'Mercredi S1'!T23+'Jeudi S1'!T23+'Vendredi S1'!T23+'Samedi S1'!T23</f>
        <v>0.6</v>
      </c>
      <c r="U23" s="62">
        <f>+'Lundi S1'!U24+'Mardi S1'!U24+'Mercredi S1'!U23+'Jeudi S1'!U23+'Vendredi S1'!U23+'Samedi S1'!U23</f>
        <v>3.6</v>
      </c>
      <c r="V23" s="63">
        <f>+'Lundi S1'!V24+'Mardi S1'!V24+'Mercredi S1'!V23+'Jeudi S1'!V23+'Vendredi S1'!V23+'Samedi S1'!V23</f>
        <v>0.9</v>
      </c>
      <c r="W23" s="9">
        <f>+'Lundi S1'!W24+'Mardi S1'!W24+'Mercredi S1'!W23+'Jeudi S1'!W23+'Vendredi S1'!W23+'Samedi S1'!W23</f>
        <v>134</v>
      </c>
      <c r="X23" s="10">
        <f>+'Lundi S1'!X24+'Mardi S1'!X24+'Mercredi S1'!X23+'Jeudi S1'!X23+'Vendredi S1'!X23+'Samedi S1'!X23</f>
        <v>1</v>
      </c>
      <c r="Y23" s="10">
        <f>+'Lundi S1'!Y24+'Mardi S1'!Y24+'Mercredi S1'!Y23+'Jeudi S1'!Y23+'Vendredi S1'!Y23+'Samedi S1'!Y23</f>
        <v>3</v>
      </c>
      <c r="Z23" s="10">
        <f>+'Lundi S1'!Z24+'Mardi S1'!Z24+'Mercredi S1'!Z23+'Jeudi S1'!Z23+'Vendredi S1'!Z23+'Samedi S1'!Z23</f>
        <v>7</v>
      </c>
      <c r="AA23" s="11">
        <f>+'Lundi S1'!AA24+'Mardi S1'!AA24+'Mercredi S1'!AA23+'Jeudi S1'!AA23+'Vendredi S1'!AA23+'Samedi S1'!AA23</f>
        <v>3</v>
      </c>
      <c r="AB23" s="9">
        <f>+'Lundi S1'!AB24+'Mardi S1'!AB24+'Mercredi S1'!AB23+'Jeudi S1'!AB23+'Vendredi S1'!AB23+'Samedi S1'!AB23</f>
        <v>62</v>
      </c>
      <c r="AC23" s="10">
        <f>+'Lundi S1'!AC24+'Mardi S1'!AC24+'Mercredi S1'!AC23+'Jeudi S1'!AC23+'Vendredi S1'!AC23+'Samedi S1'!AC23</f>
        <v>0</v>
      </c>
      <c r="AD23" s="10">
        <f>+'Lundi S1'!AD24+'Mardi S1'!AD24+'Mercredi S1'!AD23+'Jeudi S1'!AD23+'Vendredi S1'!AD23+'Samedi S1'!AD23</f>
        <v>1</v>
      </c>
      <c r="AE23" s="10">
        <f>+'Lundi S1'!AE24+'Mardi S1'!AE24+'Mercredi S1'!AE23+'Jeudi S1'!AE23+'Vendredi S1'!AE23+'Samedi S1'!AE23</f>
        <v>2</v>
      </c>
      <c r="AF23" s="11">
        <f>+'Lundi S1'!AF24+'Mardi S1'!AF24+'Mercredi S1'!AF23+'Jeudi S1'!AF23+'Vendredi S1'!AF23+'Samedi S1'!AF23</f>
        <v>0</v>
      </c>
      <c r="AG23" s="9">
        <f>+'Lundi S1'!AG24+'Mardi S1'!AG24+'Mercredi S1'!AG23+'Jeudi S1'!AG23+'Vendredi S1'!AG23+'Samedi S1'!AG23</f>
        <v>25</v>
      </c>
      <c r="AH23" s="10">
        <f>+'Lundi S1'!AH24+'Mardi S1'!AH24+'Mercredi S1'!AH23+'Jeudi S1'!AH23+'Vendredi S1'!AH23+'Samedi S1'!AH23</f>
        <v>0</v>
      </c>
      <c r="AI23" s="10">
        <f>+'Lundi S1'!AI24+'Mardi S1'!AI24+'Mercredi S1'!AI23+'Jeudi S1'!AI23+'Vendredi S1'!AI23+'Samedi S1'!AI23</f>
        <v>25</v>
      </c>
      <c r="AJ23" s="10">
        <f>+'Lundi S1'!AJ24+'Mardi S1'!AJ24+'Mercredi S1'!AJ23+'Jeudi S1'!AJ23+'Vendredi S1'!AJ23+'Samedi S1'!AJ23</f>
        <v>0</v>
      </c>
      <c r="AK23" s="11">
        <f>+'Lundi S1'!AK24+'Mardi S1'!AK24+'Mercredi S1'!AK23+'Jeudi S1'!AK23+'Vendredi S1'!AK23+'Samedi S1'!AK23</f>
        <v>0</v>
      </c>
      <c r="AL23" s="9">
        <f>+'Lundi S1'!AL24+'Mardi S1'!AL24+'Mercredi S1'!AL23+'Jeudi S1'!AL23+'Vendredi S1'!AL23+'Samedi S1'!AL23</f>
        <v>2.17</v>
      </c>
      <c r="AM23" s="10">
        <f>+'Lundi S1'!AM24+'Mardi S1'!AM24+'Mercredi S1'!AM23+'Jeudi S1'!AM23+'Vendredi S1'!AM23+'Samedi S1'!AM23</f>
        <v>0</v>
      </c>
      <c r="AN23" s="10">
        <f>+'Lundi S1'!AN24+'Mardi S1'!AN24+'Mercredi S1'!AN23+'Jeudi S1'!AN23+'Vendredi S1'!AN23+'Samedi S1'!AN23</f>
        <v>0.30000000000000004</v>
      </c>
      <c r="AO23" s="10">
        <f>+'Lundi S1'!AO24+'Mardi S1'!AO24+'Mercredi S1'!AO23+'Jeudi S1'!AO23+'Vendredi S1'!AO23+'Samedi S1'!AO23</f>
        <v>3.6</v>
      </c>
      <c r="AP23" s="11">
        <f>+'Lundi S1'!AP24+'Mardi S1'!AP24+'Mercredi S1'!AP23+'Jeudi S1'!AP23+'Vendredi S1'!AP23+'Samedi S1'!AP23</f>
        <v>3.1</v>
      </c>
      <c r="AQ23" s="9">
        <f>+'Lundi S1'!AQ24+'Mardi S1'!AQ24+'Mercredi S1'!AQ23+'Jeudi S1'!AQ23+'Vendredi S1'!AQ23+'Samedi S1'!AQ23</f>
        <v>30</v>
      </c>
      <c r="AR23" s="10">
        <f>+'Lundi S1'!AR24+'Mardi S1'!AR24+'Mercredi S1'!AR23+'Jeudi S1'!AR23+'Vendredi S1'!AR23+'Samedi S1'!AR23</f>
        <v>0</v>
      </c>
      <c r="AS23" s="11">
        <f>+'Lundi S1'!AS24+'Mardi S1'!AS24+'Mercredi S1'!AS23+'Jeudi S1'!AS23+'Vendredi S1'!AS23+'Samedi S1'!AS23</f>
        <v>65</v>
      </c>
      <c r="AT23" s="22"/>
      <c r="AU23" s="14"/>
    </row>
    <row r="24" spans="1:47" ht="31.9" customHeight="1" x14ac:dyDescent="0.2">
      <c r="A24" s="26">
        <v>18</v>
      </c>
      <c r="B24" s="19"/>
      <c r="C24" s="9">
        <f>+'Lundi S1'!C25+'Mardi S1'!C25+'Mercredi S1'!C24+'Jeudi S1'!C24+'Vendredi S1'!C24+'Samedi S1'!C24</f>
        <v>90</v>
      </c>
      <c r="D24" s="10">
        <f>+'Lundi S1'!D25+'Mardi S1'!D25+'Mercredi S1'!D24+'Jeudi S1'!D24+'Vendredi S1'!D24+'Samedi S1'!D24</f>
        <v>18</v>
      </c>
      <c r="E24" s="10">
        <f>+'Lundi S1'!E25+'Mardi S1'!E25+'Mercredi S1'!E24+'Jeudi S1'!E24+'Vendredi S1'!E24+'Samedi S1'!E24</f>
        <v>30</v>
      </c>
      <c r="F24" s="10">
        <f>+'Lundi S1'!F25+'Mardi S1'!F25+'Mercredi S1'!F24+'Jeudi S1'!F24+'Vendredi S1'!F24+'Samedi S1'!F24</f>
        <v>12</v>
      </c>
      <c r="G24" s="11">
        <f>+'Lundi S1'!G25+'Mardi S1'!G25+'Mercredi S1'!G24+'Jeudi S1'!G24+'Vendredi S1'!G24+'Samedi S1'!G24</f>
        <v>30</v>
      </c>
      <c r="H24" s="9">
        <f>+'Lundi S1'!H25+'Mardi S1'!H25+'Mercredi S1'!H24+'Jeudi S1'!H24+'Vendredi S1'!H24+'Samedi S1'!H24</f>
        <v>18</v>
      </c>
      <c r="I24" s="10">
        <f>+'Lundi S1'!I25+'Mardi S1'!I25+'Mercredi S1'!I24+'Jeudi S1'!I24+'Vendredi S1'!I24+'Samedi S1'!I24</f>
        <v>6</v>
      </c>
      <c r="J24" s="10">
        <f>+'Lundi S1'!J25+'Mardi S1'!J25+'Mercredi S1'!J24+'Jeudi S1'!J24+'Vendredi S1'!J24+'Samedi S1'!J24</f>
        <v>6</v>
      </c>
      <c r="K24" s="10">
        <f>+'Lundi S1'!K25+'Mardi S1'!K25+'Mercredi S1'!K24+'Jeudi S1'!K24+'Vendredi S1'!K24+'Samedi S1'!K24</f>
        <v>6</v>
      </c>
      <c r="L24" s="11">
        <f>+'Lundi S1'!L25+'Mardi S1'!L25+'Mercredi S1'!L24+'Jeudi S1'!L24+'Vendredi S1'!L24+'Samedi S1'!L24</f>
        <v>6</v>
      </c>
      <c r="M24" s="9">
        <f>+'Lundi S1'!M25+'Mardi S1'!M25+'Mercredi S1'!M24+'Jeudi S1'!M24+'Vendredi S1'!M24+'Samedi S1'!M24</f>
        <v>18</v>
      </c>
      <c r="N24" s="10">
        <f>+'Lundi S1'!N25+'Mardi S1'!N25+'Mercredi S1'!N24+'Jeudi S1'!N24+'Vendredi S1'!N24+'Samedi S1'!N24</f>
        <v>6</v>
      </c>
      <c r="O24" s="10">
        <f>+'Lundi S1'!O25+'Mardi S1'!O25+'Mercredi S1'!O24+'Jeudi S1'!O24+'Vendredi S1'!O24+'Samedi S1'!O24</f>
        <v>18</v>
      </c>
      <c r="P24" s="10">
        <f>+'Lundi S1'!P25+'Mardi S1'!P25+'Mercredi S1'!P24+'Jeudi S1'!P24+'Vendredi S1'!P24+'Samedi S1'!P24</f>
        <v>0</v>
      </c>
      <c r="Q24" s="11">
        <f>+'Lundi S1'!Q25+'Mardi S1'!Q25+'Mercredi S1'!Q24+'Jeudi S1'!Q24+'Vendredi S1'!Q24+'Samedi S1'!Q24</f>
        <v>0</v>
      </c>
      <c r="R24" s="61">
        <f>+'Lundi S1'!R25+'Mardi S1'!R25+'Mercredi S1'!R24+'Jeudi S1'!R24+'Vendredi S1'!R24+'Samedi S1'!R24</f>
        <v>3</v>
      </c>
      <c r="S24" s="62">
        <f>+'Lundi S1'!S25+'Mardi S1'!S25+'Mercredi S1'!S24+'Jeudi S1'!S24+'Vendredi S1'!S24+'Samedi S1'!S24</f>
        <v>0.99999999999999989</v>
      </c>
      <c r="T24" s="62">
        <f>+'Lundi S1'!T25+'Mardi S1'!T25+'Mercredi S1'!T24+'Jeudi S1'!T24+'Vendredi S1'!T24+'Samedi S1'!T24</f>
        <v>0.6</v>
      </c>
      <c r="U24" s="62">
        <f>+'Lundi S1'!U25+'Mardi S1'!U25+'Mercredi S1'!U24+'Jeudi S1'!U24+'Vendredi S1'!U24+'Samedi S1'!U24</f>
        <v>3.6</v>
      </c>
      <c r="V24" s="63">
        <f>+'Lundi S1'!V25+'Mardi S1'!V25+'Mercredi S1'!V24+'Jeudi S1'!V24+'Vendredi S1'!V24+'Samedi S1'!V24</f>
        <v>0.9</v>
      </c>
      <c r="W24" s="9">
        <f>+'Lundi S1'!W25+'Mardi S1'!W25+'Mercredi S1'!W24+'Jeudi S1'!W24+'Vendredi S1'!W24+'Samedi S1'!W24</f>
        <v>125</v>
      </c>
      <c r="X24" s="10">
        <f>+'Lundi S1'!X25+'Mardi S1'!X25+'Mercredi S1'!X24+'Jeudi S1'!X24+'Vendredi S1'!X24+'Samedi S1'!X24</f>
        <v>1</v>
      </c>
      <c r="Y24" s="10">
        <f>+'Lundi S1'!Y25+'Mardi S1'!Y25+'Mercredi S1'!Y24+'Jeudi S1'!Y24+'Vendredi S1'!Y24+'Samedi S1'!Y24</f>
        <v>1</v>
      </c>
      <c r="Z24" s="10">
        <f>+'Lundi S1'!Z25+'Mardi S1'!Z25+'Mercredi S1'!Z24+'Jeudi S1'!Z24+'Vendredi S1'!Z24+'Samedi S1'!Z24</f>
        <v>9</v>
      </c>
      <c r="AA24" s="11">
        <f>+'Lundi S1'!AA25+'Mardi S1'!AA25+'Mercredi S1'!AA24+'Jeudi S1'!AA24+'Vendredi S1'!AA24+'Samedi S1'!AA24</f>
        <v>1</v>
      </c>
      <c r="AB24" s="9">
        <f>+'Lundi S1'!AB25+'Mardi S1'!AB25+'Mercredi S1'!AB24+'Jeudi S1'!AB24+'Vendredi S1'!AB24+'Samedi S1'!AB24</f>
        <v>60</v>
      </c>
      <c r="AC24" s="10">
        <f>+'Lundi S1'!AC25+'Mardi S1'!AC25+'Mercredi S1'!AC24+'Jeudi S1'!AC24+'Vendredi S1'!AC24+'Samedi S1'!AC24</f>
        <v>1</v>
      </c>
      <c r="AD24" s="10">
        <f>+'Lundi S1'!AD25+'Mardi S1'!AD25+'Mercredi S1'!AD24+'Jeudi S1'!AD24+'Vendredi S1'!AD24+'Samedi S1'!AD24</f>
        <v>0</v>
      </c>
      <c r="AE24" s="10">
        <f>+'Lundi S1'!AE25+'Mardi S1'!AE25+'Mercredi S1'!AE24+'Jeudi S1'!AE24+'Vendredi S1'!AE24+'Samedi S1'!AE24</f>
        <v>4</v>
      </c>
      <c r="AF24" s="11">
        <f>+'Lundi S1'!AF25+'Mardi S1'!AF25+'Mercredi S1'!AF24+'Jeudi S1'!AF24+'Vendredi S1'!AF24+'Samedi S1'!AF24</f>
        <v>0</v>
      </c>
      <c r="AG24" s="9">
        <f>+'Lundi S1'!AG25+'Mardi S1'!AG25+'Mercredi S1'!AG24+'Jeudi S1'!AG24+'Vendredi S1'!AG24+'Samedi S1'!AG24</f>
        <v>25</v>
      </c>
      <c r="AH24" s="10">
        <f>+'Lundi S1'!AH25+'Mardi S1'!AH25+'Mercredi S1'!AH24+'Jeudi S1'!AH24+'Vendredi S1'!AH24+'Samedi S1'!AH24</f>
        <v>0</v>
      </c>
      <c r="AI24" s="10">
        <f>+'Lundi S1'!AI25+'Mardi S1'!AI25+'Mercredi S1'!AI24+'Jeudi S1'!AI24+'Vendredi S1'!AI24+'Samedi S1'!AI24</f>
        <v>25</v>
      </c>
      <c r="AJ24" s="10">
        <f>+'Lundi S1'!AJ25+'Mardi S1'!AJ25+'Mercredi S1'!AJ24+'Jeudi S1'!AJ24+'Vendredi S1'!AJ24+'Samedi S1'!AJ24</f>
        <v>0</v>
      </c>
      <c r="AK24" s="11">
        <f>+'Lundi S1'!AK25+'Mardi S1'!AK25+'Mercredi S1'!AK24+'Jeudi S1'!AK24+'Vendredi S1'!AK24+'Samedi S1'!AK24</f>
        <v>0</v>
      </c>
      <c r="AL24" s="9">
        <f>+'Lundi S1'!AL25+'Mardi S1'!AL25+'Mercredi S1'!AL24+'Jeudi S1'!AL24+'Vendredi S1'!AL24+'Samedi S1'!AL24</f>
        <v>1.9100000000000001</v>
      </c>
      <c r="AM24" s="10">
        <f>+'Lundi S1'!AM25+'Mardi S1'!AM25+'Mercredi S1'!AM24+'Jeudi S1'!AM24+'Vendredi S1'!AM24+'Samedi S1'!AM24</f>
        <v>0</v>
      </c>
      <c r="AN24" s="10">
        <f>+'Lundi S1'!AN25+'Mardi S1'!AN25+'Mercredi S1'!AN24+'Jeudi S1'!AN24+'Vendredi S1'!AN24+'Samedi S1'!AN24</f>
        <v>0.55000000000000004</v>
      </c>
      <c r="AO24" s="10">
        <f>+'Lundi S1'!AO25+'Mardi S1'!AO25+'Mercredi S1'!AO24+'Jeudi S1'!AO24+'Vendredi S1'!AO24+'Samedi S1'!AO24</f>
        <v>3.1999999999999997</v>
      </c>
      <c r="AP24" s="11">
        <f>+'Lundi S1'!AP25+'Mardi S1'!AP25+'Mercredi S1'!AP24+'Jeudi S1'!AP24+'Vendredi S1'!AP24+'Samedi S1'!AP24</f>
        <v>3.3</v>
      </c>
      <c r="AQ24" s="9">
        <f>+'Lundi S1'!AQ25+'Mardi S1'!AQ25+'Mercredi S1'!AQ24+'Jeudi S1'!AQ24+'Vendredi S1'!AQ24+'Samedi S1'!AQ24</f>
        <v>33</v>
      </c>
      <c r="AR24" s="10">
        <f>+'Lundi S1'!AR25+'Mardi S1'!AR25+'Mercredi S1'!AR24+'Jeudi S1'!AR24+'Vendredi S1'!AR24+'Samedi S1'!AR24</f>
        <v>0</v>
      </c>
      <c r="AS24" s="11">
        <f>+'Lundi S1'!AS25+'Mardi S1'!AS25+'Mercredi S1'!AS24+'Jeudi S1'!AS24+'Vendredi S1'!AS24+'Samedi S1'!AS24</f>
        <v>62</v>
      </c>
      <c r="AT24" s="22"/>
      <c r="AU24" s="14"/>
    </row>
    <row r="25" spans="1:47" ht="31.9" customHeight="1" x14ac:dyDescent="0.2">
      <c r="A25" s="26">
        <v>19</v>
      </c>
      <c r="B25" s="19"/>
      <c r="C25" s="9">
        <f>+'Lundi S1'!C26+'Mardi S1'!C26+'Mercredi S1'!C25+'Jeudi S1'!C25+'Vendredi S1'!C25+'Samedi S1'!C25</f>
        <v>90</v>
      </c>
      <c r="D25" s="10">
        <f>+'Lundi S1'!D26+'Mardi S1'!D26+'Mercredi S1'!D25+'Jeudi S1'!D25+'Vendredi S1'!D25+'Samedi S1'!D25</f>
        <v>18</v>
      </c>
      <c r="E25" s="10">
        <f>+'Lundi S1'!E26+'Mardi S1'!E26+'Mercredi S1'!E25+'Jeudi S1'!E25+'Vendredi S1'!E25+'Samedi S1'!E25</f>
        <v>30</v>
      </c>
      <c r="F25" s="10">
        <f>+'Lundi S1'!F26+'Mardi S1'!F26+'Mercredi S1'!F25+'Jeudi S1'!F25+'Vendredi S1'!F25+'Samedi S1'!F25</f>
        <v>12</v>
      </c>
      <c r="G25" s="11">
        <f>+'Lundi S1'!G26+'Mardi S1'!G26+'Mercredi S1'!G25+'Jeudi S1'!G25+'Vendredi S1'!G25+'Samedi S1'!G25</f>
        <v>30</v>
      </c>
      <c r="H25" s="9">
        <f>+'Lundi S1'!H26+'Mardi S1'!H26+'Mercredi S1'!H25+'Jeudi S1'!H25+'Vendredi S1'!H25+'Samedi S1'!H25</f>
        <v>18</v>
      </c>
      <c r="I25" s="10">
        <f>+'Lundi S1'!I26+'Mardi S1'!I26+'Mercredi S1'!I25+'Jeudi S1'!I25+'Vendredi S1'!I25+'Samedi S1'!I25</f>
        <v>6</v>
      </c>
      <c r="J25" s="10">
        <f>+'Lundi S1'!J26+'Mardi S1'!J26+'Mercredi S1'!J25+'Jeudi S1'!J25+'Vendredi S1'!J25+'Samedi S1'!J25</f>
        <v>6</v>
      </c>
      <c r="K25" s="10">
        <f>+'Lundi S1'!K26+'Mardi S1'!K26+'Mercredi S1'!K25+'Jeudi S1'!K25+'Vendredi S1'!K25+'Samedi S1'!K25</f>
        <v>6</v>
      </c>
      <c r="L25" s="11">
        <f>+'Lundi S1'!L26+'Mardi S1'!L26+'Mercredi S1'!L25+'Jeudi S1'!L25+'Vendredi S1'!L25+'Samedi S1'!L25</f>
        <v>6</v>
      </c>
      <c r="M25" s="9">
        <f>+'Lundi S1'!M26+'Mardi S1'!M26+'Mercredi S1'!M25+'Jeudi S1'!M25+'Vendredi S1'!M25+'Samedi S1'!M25</f>
        <v>18</v>
      </c>
      <c r="N25" s="10">
        <f>+'Lundi S1'!N26+'Mardi S1'!N26+'Mercredi S1'!N25+'Jeudi S1'!N25+'Vendredi S1'!N25+'Samedi S1'!N25</f>
        <v>6</v>
      </c>
      <c r="O25" s="10">
        <f>+'Lundi S1'!O26+'Mardi S1'!O26+'Mercredi S1'!O25+'Jeudi S1'!O25+'Vendredi S1'!O25+'Samedi S1'!O25</f>
        <v>18</v>
      </c>
      <c r="P25" s="10">
        <f>+'Lundi S1'!P26+'Mardi S1'!P26+'Mercredi S1'!P25+'Jeudi S1'!P25+'Vendredi S1'!P25+'Samedi S1'!P25</f>
        <v>0</v>
      </c>
      <c r="Q25" s="11">
        <f>+'Lundi S1'!Q26+'Mardi S1'!Q26+'Mercredi S1'!Q25+'Jeudi S1'!Q25+'Vendredi S1'!Q25+'Samedi S1'!Q25</f>
        <v>0</v>
      </c>
      <c r="R25" s="61">
        <f>+'Lundi S1'!R26+'Mardi S1'!R26+'Mercredi S1'!R25+'Jeudi S1'!R25+'Vendredi S1'!R25+'Samedi S1'!R25</f>
        <v>3</v>
      </c>
      <c r="S25" s="62">
        <f>+'Lundi S1'!S26+'Mardi S1'!S26+'Mercredi S1'!S25+'Jeudi S1'!S25+'Vendredi S1'!S25+'Samedi S1'!S25</f>
        <v>0.99999999999999989</v>
      </c>
      <c r="T25" s="62">
        <f>+'Lundi S1'!T26+'Mardi S1'!T26+'Mercredi S1'!T25+'Jeudi S1'!T25+'Vendredi S1'!T25+'Samedi S1'!T25</f>
        <v>0.6</v>
      </c>
      <c r="U25" s="62">
        <f>+'Lundi S1'!U26+'Mardi S1'!U26+'Mercredi S1'!U25+'Jeudi S1'!U25+'Vendredi S1'!U25+'Samedi S1'!U25</f>
        <v>3.6</v>
      </c>
      <c r="V25" s="63">
        <f>+'Lundi S1'!V26+'Mardi S1'!V26+'Mercredi S1'!V25+'Jeudi S1'!V25+'Vendredi S1'!V25+'Samedi S1'!V25</f>
        <v>0.9</v>
      </c>
      <c r="W25" s="9">
        <f>+'Lundi S1'!W26+'Mardi S1'!W26+'Mercredi S1'!W25+'Jeudi S1'!W25+'Vendredi S1'!W25+'Samedi S1'!W25</f>
        <v>131</v>
      </c>
      <c r="X25" s="10">
        <f>+'Lundi S1'!X26+'Mardi S1'!X26+'Mercredi S1'!X25+'Jeudi S1'!X25+'Vendredi S1'!X25+'Samedi S1'!X25</f>
        <v>1</v>
      </c>
      <c r="Y25" s="10">
        <f>+'Lundi S1'!Y26+'Mardi S1'!Y26+'Mercredi S1'!Y25+'Jeudi S1'!Y25+'Vendredi S1'!Y25+'Samedi S1'!Y25</f>
        <v>1</v>
      </c>
      <c r="Z25" s="10">
        <f>+'Lundi S1'!Z26+'Mardi S1'!Z26+'Mercredi S1'!Z25+'Jeudi S1'!Z25+'Vendredi S1'!Z25+'Samedi S1'!Z25</f>
        <v>4</v>
      </c>
      <c r="AA25" s="11">
        <f>+'Lundi S1'!AA26+'Mardi S1'!AA26+'Mercredi S1'!AA25+'Jeudi S1'!AA25+'Vendredi S1'!AA25+'Samedi S1'!AA25</f>
        <v>2</v>
      </c>
      <c r="AB25" s="9">
        <f>+'Lundi S1'!AB26+'Mardi S1'!AB26+'Mercredi S1'!AB25+'Jeudi S1'!AB25+'Vendredi S1'!AB25+'Samedi S1'!AB25</f>
        <v>53</v>
      </c>
      <c r="AC25" s="10">
        <f>+'Lundi S1'!AC26+'Mardi S1'!AC26+'Mercredi S1'!AC25+'Jeudi S1'!AC25+'Vendredi S1'!AC25+'Samedi S1'!AC25</f>
        <v>0</v>
      </c>
      <c r="AD25" s="10">
        <f>+'Lundi S1'!AD26+'Mardi S1'!AD26+'Mercredi S1'!AD25+'Jeudi S1'!AD25+'Vendredi S1'!AD25+'Samedi S1'!AD25</f>
        <v>1</v>
      </c>
      <c r="AE25" s="10">
        <f>+'Lundi S1'!AE26+'Mardi S1'!AE26+'Mercredi S1'!AE25+'Jeudi S1'!AE25+'Vendredi S1'!AE25+'Samedi S1'!AE25</f>
        <v>3</v>
      </c>
      <c r="AF25" s="11">
        <f>+'Lundi S1'!AF26+'Mardi S1'!AF26+'Mercredi S1'!AF25+'Jeudi S1'!AF25+'Vendredi S1'!AF25+'Samedi S1'!AF25</f>
        <v>1</v>
      </c>
      <c r="AG25" s="9">
        <f>+'Lundi S1'!AG26+'Mardi S1'!AG26+'Mercredi S1'!AG25+'Jeudi S1'!AG25+'Vendredi S1'!AG25+'Samedi S1'!AG25</f>
        <v>25</v>
      </c>
      <c r="AH25" s="10">
        <f>+'Lundi S1'!AH26+'Mardi S1'!AH26+'Mercredi S1'!AH25+'Jeudi S1'!AH25+'Vendredi S1'!AH25+'Samedi S1'!AH25</f>
        <v>0</v>
      </c>
      <c r="AI25" s="10">
        <f>+'Lundi S1'!AI26+'Mardi S1'!AI26+'Mercredi S1'!AI25+'Jeudi S1'!AI25+'Vendredi S1'!AI25+'Samedi S1'!AI25</f>
        <v>25</v>
      </c>
      <c r="AJ25" s="10">
        <f>+'Lundi S1'!AJ26+'Mardi S1'!AJ26+'Mercredi S1'!AJ25+'Jeudi S1'!AJ25+'Vendredi S1'!AJ25+'Samedi S1'!AJ25</f>
        <v>0</v>
      </c>
      <c r="AK25" s="11">
        <f>+'Lundi S1'!AK26+'Mardi S1'!AK26+'Mercredi S1'!AK25+'Jeudi S1'!AK25+'Vendredi S1'!AK25+'Samedi S1'!AK25</f>
        <v>0</v>
      </c>
      <c r="AL25" s="9">
        <f>+'Lundi S1'!AL26+'Mardi S1'!AL26+'Mercredi S1'!AL25+'Jeudi S1'!AL25+'Vendredi S1'!AL25+'Samedi S1'!AL25</f>
        <v>1.75</v>
      </c>
      <c r="AM25" s="10">
        <f>+'Lundi S1'!AM26+'Mardi S1'!AM26+'Mercredi S1'!AM25+'Jeudi S1'!AM25+'Vendredi S1'!AM25+'Samedi S1'!AM25</f>
        <v>0</v>
      </c>
      <c r="AN25" s="10">
        <f>+'Lundi S1'!AN26+'Mardi S1'!AN26+'Mercredi S1'!AN25+'Jeudi S1'!AN25+'Vendredi S1'!AN25+'Samedi S1'!AN25</f>
        <v>0.35</v>
      </c>
      <c r="AO25" s="10">
        <f>+'Lundi S1'!AO26+'Mardi S1'!AO26+'Mercredi S1'!AO25+'Jeudi S1'!AO25+'Vendredi S1'!AO25+'Samedi S1'!AO25</f>
        <v>2.1500000000000004</v>
      </c>
      <c r="AP25" s="11">
        <f>+'Lundi S1'!AP26+'Mardi S1'!AP26+'Mercredi S1'!AP25+'Jeudi S1'!AP25+'Vendredi S1'!AP25+'Samedi S1'!AP25</f>
        <v>3</v>
      </c>
      <c r="AQ25" s="9">
        <f>+'Lundi S1'!AQ26+'Mardi S1'!AQ26+'Mercredi S1'!AQ25+'Jeudi S1'!AQ25+'Vendredi S1'!AQ25+'Samedi S1'!AQ25</f>
        <v>31</v>
      </c>
      <c r="AR25" s="10">
        <f>+'Lundi S1'!AR26+'Mardi S1'!AR26+'Mercredi S1'!AR25+'Jeudi S1'!AR25+'Vendredi S1'!AR25+'Samedi S1'!AR25</f>
        <v>0</v>
      </c>
      <c r="AS25" s="11">
        <f>+'Lundi S1'!AS26+'Mardi S1'!AS26+'Mercredi S1'!AS25+'Jeudi S1'!AS25+'Vendredi S1'!AS25+'Samedi S1'!AS25</f>
        <v>53</v>
      </c>
      <c r="AT25" s="22"/>
      <c r="AU25" s="14"/>
    </row>
    <row r="26" spans="1:47" ht="31.9" customHeight="1" x14ac:dyDescent="0.2">
      <c r="A26" s="26">
        <v>20</v>
      </c>
      <c r="B26" s="19"/>
      <c r="C26" s="9">
        <f>+'Lundi S1'!C27+'Mardi S1'!C27+'Mercredi S1'!C26+'Jeudi S1'!C26+'Vendredi S1'!C26+'Samedi S1'!C26</f>
        <v>90</v>
      </c>
      <c r="D26" s="10">
        <f>+'Lundi S1'!D27+'Mardi S1'!D27+'Mercredi S1'!D26+'Jeudi S1'!D26+'Vendredi S1'!D26+'Samedi S1'!D26</f>
        <v>18</v>
      </c>
      <c r="E26" s="10">
        <f>+'Lundi S1'!E27+'Mardi S1'!E27+'Mercredi S1'!E26+'Jeudi S1'!E26+'Vendredi S1'!E26+'Samedi S1'!E26</f>
        <v>30</v>
      </c>
      <c r="F26" s="10">
        <f>+'Lundi S1'!F27+'Mardi S1'!F27+'Mercredi S1'!F26+'Jeudi S1'!F26+'Vendredi S1'!F26+'Samedi S1'!F26</f>
        <v>12</v>
      </c>
      <c r="G26" s="11">
        <f>+'Lundi S1'!G27+'Mardi S1'!G27+'Mercredi S1'!G26+'Jeudi S1'!G26+'Vendredi S1'!G26+'Samedi S1'!G26</f>
        <v>30</v>
      </c>
      <c r="H26" s="9">
        <f>+'Lundi S1'!H27+'Mardi S1'!H27+'Mercredi S1'!H26+'Jeudi S1'!H26+'Vendredi S1'!H26+'Samedi S1'!H26</f>
        <v>18</v>
      </c>
      <c r="I26" s="10">
        <f>+'Lundi S1'!I27+'Mardi S1'!I27+'Mercredi S1'!I26+'Jeudi S1'!I26+'Vendredi S1'!I26+'Samedi S1'!I26</f>
        <v>6</v>
      </c>
      <c r="J26" s="10">
        <f>+'Lundi S1'!J27+'Mardi S1'!J27+'Mercredi S1'!J26+'Jeudi S1'!J26+'Vendredi S1'!J26+'Samedi S1'!J26</f>
        <v>6</v>
      </c>
      <c r="K26" s="10">
        <f>+'Lundi S1'!K27+'Mardi S1'!K27+'Mercredi S1'!K26+'Jeudi S1'!K26+'Vendredi S1'!K26+'Samedi S1'!K26</f>
        <v>6</v>
      </c>
      <c r="L26" s="11">
        <f>+'Lundi S1'!L27+'Mardi S1'!L27+'Mercredi S1'!L26+'Jeudi S1'!L26+'Vendredi S1'!L26+'Samedi S1'!L26</f>
        <v>6</v>
      </c>
      <c r="M26" s="9">
        <f>+'Lundi S1'!M27+'Mardi S1'!M27+'Mercredi S1'!M26+'Jeudi S1'!M26+'Vendredi S1'!M26+'Samedi S1'!M26</f>
        <v>18</v>
      </c>
      <c r="N26" s="10">
        <f>+'Lundi S1'!N27+'Mardi S1'!N27+'Mercredi S1'!N26+'Jeudi S1'!N26+'Vendredi S1'!N26+'Samedi S1'!N26</f>
        <v>6</v>
      </c>
      <c r="O26" s="10">
        <f>+'Lundi S1'!O27+'Mardi S1'!O27+'Mercredi S1'!O26+'Jeudi S1'!O26+'Vendredi S1'!O26+'Samedi S1'!O26</f>
        <v>18</v>
      </c>
      <c r="P26" s="10">
        <f>+'Lundi S1'!P27+'Mardi S1'!P27+'Mercredi S1'!P26+'Jeudi S1'!P26+'Vendredi S1'!P26+'Samedi S1'!P26</f>
        <v>0</v>
      </c>
      <c r="Q26" s="11">
        <f>+'Lundi S1'!Q27+'Mardi S1'!Q27+'Mercredi S1'!Q26+'Jeudi S1'!Q26+'Vendredi S1'!Q26+'Samedi S1'!Q26</f>
        <v>0</v>
      </c>
      <c r="R26" s="61">
        <f>+'Lundi S1'!R27+'Mardi S1'!R27+'Mercredi S1'!R26+'Jeudi S1'!R26+'Vendredi S1'!R26+'Samedi S1'!R26</f>
        <v>3</v>
      </c>
      <c r="S26" s="62">
        <f>+'Lundi S1'!S27+'Mardi S1'!S27+'Mercredi S1'!S26+'Jeudi S1'!S26+'Vendredi S1'!S26+'Samedi S1'!S26</f>
        <v>0.99999999999999989</v>
      </c>
      <c r="T26" s="62">
        <f>+'Lundi S1'!T27+'Mardi S1'!T27+'Mercredi S1'!T26+'Jeudi S1'!T26+'Vendredi S1'!T26+'Samedi S1'!T26</f>
        <v>0.6</v>
      </c>
      <c r="U26" s="62">
        <f>+'Lundi S1'!U27+'Mardi S1'!U27+'Mercredi S1'!U26+'Jeudi S1'!U26+'Vendredi S1'!U26+'Samedi S1'!U26</f>
        <v>3.6</v>
      </c>
      <c r="V26" s="63">
        <f>+'Lundi S1'!V27+'Mardi S1'!V27+'Mercredi S1'!V26+'Jeudi S1'!V26+'Vendredi S1'!V26+'Samedi S1'!V26</f>
        <v>0.9</v>
      </c>
      <c r="W26" s="9">
        <f>+'Lundi S1'!W27+'Mardi S1'!W27+'Mercredi S1'!W26+'Jeudi S1'!W26+'Vendredi S1'!W26+'Samedi S1'!W26</f>
        <v>110</v>
      </c>
      <c r="X26" s="10">
        <f>+'Lundi S1'!X27+'Mardi S1'!X27+'Mercredi S1'!X26+'Jeudi S1'!X26+'Vendredi S1'!X26+'Samedi S1'!X26</f>
        <v>2</v>
      </c>
      <c r="Y26" s="10">
        <f>+'Lundi S1'!Y27+'Mardi S1'!Y27+'Mercredi S1'!Y26+'Jeudi S1'!Y26+'Vendredi S1'!Y26+'Samedi S1'!Y26</f>
        <v>1</v>
      </c>
      <c r="Z26" s="10">
        <f>+'Lundi S1'!Z27+'Mardi S1'!Z27+'Mercredi S1'!Z26+'Jeudi S1'!Z26+'Vendredi S1'!Z26+'Samedi S1'!Z26</f>
        <v>7</v>
      </c>
      <c r="AA26" s="11">
        <f>+'Lundi S1'!AA27+'Mardi S1'!AA27+'Mercredi S1'!AA26+'Jeudi S1'!AA26+'Vendredi S1'!AA26+'Samedi S1'!AA26</f>
        <v>5</v>
      </c>
      <c r="AB26" s="9">
        <f>+'Lundi S1'!AB27+'Mardi S1'!AB27+'Mercredi S1'!AB26+'Jeudi S1'!AB26+'Vendredi S1'!AB26+'Samedi S1'!AB26</f>
        <v>52</v>
      </c>
      <c r="AC26" s="10">
        <f>+'Lundi S1'!AC27+'Mardi S1'!AC27+'Mercredi S1'!AC26+'Jeudi S1'!AC26+'Vendredi S1'!AC26+'Samedi S1'!AC26</f>
        <v>1</v>
      </c>
      <c r="AD26" s="10">
        <f>+'Lundi S1'!AD27+'Mardi S1'!AD27+'Mercredi S1'!AD26+'Jeudi S1'!AD26+'Vendredi S1'!AD26+'Samedi S1'!AD26</f>
        <v>0</v>
      </c>
      <c r="AE26" s="10">
        <f>+'Lundi S1'!AE27+'Mardi S1'!AE27+'Mercredi S1'!AE26+'Jeudi S1'!AE26+'Vendredi S1'!AE26+'Samedi S1'!AE26</f>
        <v>3</v>
      </c>
      <c r="AF26" s="11">
        <f>+'Lundi S1'!AF27+'Mardi S1'!AF27+'Mercredi S1'!AF26+'Jeudi S1'!AF26+'Vendredi S1'!AF26+'Samedi S1'!AF26</f>
        <v>3</v>
      </c>
      <c r="AG26" s="9">
        <f>+'Lundi S1'!AG27+'Mardi S1'!AG27+'Mercredi S1'!AG26+'Jeudi S1'!AG26+'Vendredi S1'!AG26+'Samedi S1'!AG26</f>
        <v>18</v>
      </c>
      <c r="AH26" s="10">
        <f>+'Lundi S1'!AH27+'Mardi S1'!AH27+'Mercredi S1'!AH26+'Jeudi S1'!AH26+'Vendredi S1'!AH26+'Samedi S1'!AH26</f>
        <v>0</v>
      </c>
      <c r="AI26" s="10">
        <f>+'Lundi S1'!AI27+'Mardi S1'!AI27+'Mercredi S1'!AI26+'Jeudi S1'!AI26+'Vendredi S1'!AI26+'Samedi S1'!AI26</f>
        <v>20</v>
      </c>
      <c r="AJ26" s="10">
        <f>+'Lundi S1'!AJ27+'Mardi S1'!AJ27+'Mercredi S1'!AJ26+'Jeudi S1'!AJ26+'Vendredi S1'!AJ26+'Samedi S1'!AJ26</f>
        <v>0</v>
      </c>
      <c r="AK26" s="11">
        <f>+'Lundi S1'!AK27+'Mardi S1'!AK27+'Mercredi S1'!AK26+'Jeudi S1'!AK26+'Vendredi S1'!AK26+'Samedi S1'!AK26</f>
        <v>0</v>
      </c>
      <c r="AL26" s="9">
        <f>+'Lundi S1'!AL27+'Mardi S1'!AL27+'Mercredi S1'!AL26+'Jeudi S1'!AL26+'Vendredi S1'!AL26+'Samedi S1'!AL26</f>
        <v>1.3399999999999999</v>
      </c>
      <c r="AM26" s="10">
        <f>+'Lundi S1'!AM27+'Mardi S1'!AM27+'Mercredi S1'!AM26+'Jeudi S1'!AM26+'Vendredi S1'!AM26+'Samedi S1'!AM26</f>
        <v>0</v>
      </c>
      <c r="AN26" s="10">
        <f>+'Lundi S1'!AN27+'Mardi S1'!AN27+'Mercredi S1'!AN26+'Jeudi S1'!AN26+'Vendredi S1'!AN26+'Samedi S1'!AN26</f>
        <v>0.65</v>
      </c>
      <c r="AO26" s="10">
        <f>+'Lundi S1'!AO27+'Mardi S1'!AO27+'Mercredi S1'!AO26+'Jeudi S1'!AO26+'Vendredi S1'!AO26+'Samedi S1'!AO26</f>
        <v>3.5</v>
      </c>
      <c r="AP26" s="11">
        <f>+'Lundi S1'!AP27+'Mardi S1'!AP27+'Mercredi S1'!AP26+'Jeudi S1'!AP26+'Vendredi S1'!AP26+'Samedi S1'!AP26</f>
        <v>3.4</v>
      </c>
      <c r="AQ26" s="9">
        <f>+'Lundi S1'!AQ27+'Mardi S1'!AQ27+'Mercredi S1'!AQ26+'Jeudi S1'!AQ26+'Vendredi S1'!AQ26+'Samedi S1'!AQ26</f>
        <v>31</v>
      </c>
      <c r="AR26" s="10">
        <f>+'Lundi S1'!AR27+'Mardi S1'!AR27+'Mercredi S1'!AR26+'Jeudi S1'!AR26+'Vendredi S1'!AR26+'Samedi S1'!AR26</f>
        <v>0</v>
      </c>
      <c r="AS26" s="11">
        <f>+'Lundi S1'!AS27+'Mardi S1'!AS27+'Mercredi S1'!AS26+'Jeudi S1'!AS26+'Vendredi S1'!AS26+'Samedi S1'!AS26</f>
        <v>67</v>
      </c>
      <c r="AT26" s="22"/>
      <c r="AU26" s="14"/>
    </row>
    <row r="27" spans="1:47" ht="31.9" customHeight="1" x14ac:dyDescent="0.2">
      <c r="A27" s="26">
        <v>21</v>
      </c>
      <c r="B27" s="19"/>
      <c r="C27" s="9">
        <f>+'Lundi S1'!C28+'Mardi S1'!C28+'Mercredi S1'!C27+'Jeudi S1'!C27+'Vendredi S1'!C27+'Samedi S1'!C27</f>
        <v>90</v>
      </c>
      <c r="D27" s="10">
        <f>+'Lundi S1'!D28+'Mardi S1'!D28+'Mercredi S1'!D27+'Jeudi S1'!D27+'Vendredi S1'!D27+'Samedi S1'!D27</f>
        <v>18</v>
      </c>
      <c r="E27" s="10">
        <f>+'Lundi S1'!E28+'Mardi S1'!E28+'Mercredi S1'!E27+'Jeudi S1'!E27+'Vendredi S1'!E27+'Samedi S1'!E27</f>
        <v>30</v>
      </c>
      <c r="F27" s="10">
        <f>+'Lundi S1'!F28+'Mardi S1'!F28+'Mercredi S1'!F27+'Jeudi S1'!F27+'Vendredi S1'!F27+'Samedi S1'!F27</f>
        <v>12</v>
      </c>
      <c r="G27" s="11">
        <f>+'Lundi S1'!G28+'Mardi S1'!G28+'Mercredi S1'!G27+'Jeudi S1'!G27+'Vendredi S1'!G27+'Samedi S1'!G27</f>
        <v>30</v>
      </c>
      <c r="H27" s="9">
        <f>+'Lundi S1'!H28+'Mardi S1'!H28+'Mercredi S1'!H27+'Jeudi S1'!H27+'Vendredi S1'!H27+'Samedi S1'!H27</f>
        <v>18</v>
      </c>
      <c r="I27" s="10">
        <f>+'Lundi S1'!I28+'Mardi S1'!I28+'Mercredi S1'!I27+'Jeudi S1'!I27+'Vendredi S1'!I27+'Samedi S1'!I27</f>
        <v>6</v>
      </c>
      <c r="J27" s="10">
        <f>+'Lundi S1'!J28+'Mardi S1'!J28+'Mercredi S1'!J27+'Jeudi S1'!J27+'Vendredi S1'!J27+'Samedi S1'!J27</f>
        <v>6</v>
      </c>
      <c r="K27" s="10">
        <f>+'Lundi S1'!K28+'Mardi S1'!K28+'Mercredi S1'!K27+'Jeudi S1'!K27+'Vendredi S1'!K27+'Samedi S1'!K27</f>
        <v>6</v>
      </c>
      <c r="L27" s="11">
        <f>+'Lundi S1'!L28+'Mardi S1'!L28+'Mercredi S1'!L27+'Jeudi S1'!L27+'Vendredi S1'!L27+'Samedi S1'!L27</f>
        <v>6</v>
      </c>
      <c r="M27" s="9">
        <f>+'Lundi S1'!M28+'Mardi S1'!M28+'Mercredi S1'!M27+'Jeudi S1'!M27+'Vendredi S1'!M27+'Samedi S1'!M27</f>
        <v>18</v>
      </c>
      <c r="N27" s="10">
        <f>+'Lundi S1'!N28+'Mardi S1'!N28+'Mercredi S1'!N27+'Jeudi S1'!N27+'Vendredi S1'!N27+'Samedi S1'!N27</f>
        <v>6</v>
      </c>
      <c r="O27" s="10">
        <f>+'Lundi S1'!O28+'Mardi S1'!O28+'Mercredi S1'!O27+'Jeudi S1'!O27+'Vendredi S1'!O27+'Samedi S1'!O27</f>
        <v>18</v>
      </c>
      <c r="P27" s="10">
        <f>+'Lundi S1'!P28+'Mardi S1'!P28+'Mercredi S1'!P27+'Jeudi S1'!P27+'Vendredi S1'!P27+'Samedi S1'!P27</f>
        <v>0</v>
      </c>
      <c r="Q27" s="11">
        <f>+'Lundi S1'!Q28+'Mardi S1'!Q28+'Mercredi S1'!Q27+'Jeudi S1'!Q27+'Vendredi S1'!Q27+'Samedi S1'!Q27</f>
        <v>0</v>
      </c>
      <c r="R27" s="61">
        <f>+'Lundi S1'!R28+'Mardi S1'!R28+'Mercredi S1'!R27+'Jeudi S1'!R27+'Vendredi S1'!R27+'Samedi S1'!R27</f>
        <v>3</v>
      </c>
      <c r="S27" s="62">
        <f>+'Lundi S1'!S28+'Mardi S1'!S28+'Mercredi S1'!S27+'Jeudi S1'!S27+'Vendredi S1'!S27+'Samedi S1'!S27</f>
        <v>0.99999999999999989</v>
      </c>
      <c r="T27" s="62">
        <f>+'Lundi S1'!T28+'Mardi S1'!T28+'Mercredi S1'!T27+'Jeudi S1'!T27+'Vendredi S1'!T27+'Samedi S1'!T27</f>
        <v>0.6</v>
      </c>
      <c r="U27" s="62">
        <f>+'Lundi S1'!U28+'Mardi S1'!U28+'Mercredi S1'!U27+'Jeudi S1'!U27+'Vendredi S1'!U27+'Samedi S1'!U27</f>
        <v>3.6</v>
      </c>
      <c r="V27" s="63">
        <f>+'Lundi S1'!V28+'Mardi S1'!V28+'Mercredi S1'!V27+'Jeudi S1'!V27+'Vendredi S1'!V27+'Samedi S1'!V27</f>
        <v>0.9</v>
      </c>
      <c r="W27" s="9">
        <f>+'Lundi S1'!W28+'Mardi S1'!W28+'Mercredi S1'!W27+'Jeudi S1'!W27+'Vendredi S1'!W27+'Samedi S1'!W27</f>
        <v>1715</v>
      </c>
      <c r="X27" s="10">
        <f>+'Lundi S1'!X28+'Mardi S1'!X28+'Mercredi S1'!X27+'Jeudi S1'!X27+'Vendredi S1'!X27+'Samedi S1'!X27</f>
        <v>20</v>
      </c>
      <c r="Y27" s="10">
        <f>+'Lundi S1'!Y28+'Mardi S1'!Y28+'Mercredi S1'!Y27+'Jeudi S1'!Y27+'Vendredi S1'!Y27+'Samedi S1'!Y27</f>
        <v>42</v>
      </c>
      <c r="Z27" s="10">
        <f>+'Lundi S1'!Z28+'Mardi S1'!Z28+'Mercredi S1'!Z27+'Jeudi S1'!Z27+'Vendredi S1'!Z27+'Samedi S1'!Z27</f>
        <v>85</v>
      </c>
      <c r="AA27" s="11">
        <f>+'Lundi S1'!AA28+'Mardi S1'!AA28+'Mercredi S1'!AA27+'Jeudi S1'!AA27+'Vendredi S1'!AA27+'Samedi S1'!AA27</f>
        <v>33</v>
      </c>
      <c r="AB27" s="9">
        <f>+'Lundi S1'!AB28+'Mardi S1'!AB28+'Mercredi S1'!AB27+'Jeudi S1'!AB27+'Vendredi S1'!AB27+'Samedi S1'!AB27</f>
        <v>0</v>
      </c>
      <c r="AC27" s="10">
        <f>+'Lundi S1'!AC28+'Mardi S1'!AC28+'Mercredi S1'!AC27+'Jeudi S1'!AC27+'Vendredi S1'!AC27+'Samedi S1'!AC27</f>
        <v>0</v>
      </c>
      <c r="AD27" s="10">
        <f>+'Lundi S1'!AD28+'Mardi S1'!AD28+'Mercredi S1'!AD27+'Jeudi S1'!AD27+'Vendredi S1'!AD27+'Samedi S1'!AD27</f>
        <v>0</v>
      </c>
      <c r="AE27" s="10">
        <f>+'Lundi S1'!AE28+'Mardi S1'!AE28+'Mercredi S1'!AE27+'Jeudi S1'!AE27+'Vendredi S1'!AE27+'Samedi S1'!AE27</f>
        <v>0</v>
      </c>
      <c r="AF27" s="11">
        <f>+'Lundi S1'!AF28+'Mardi S1'!AF28+'Mercredi S1'!AF27+'Jeudi S1'!AF27+'Vendredi S1'!AF27+'Samedi S1'!AF27</f>
        <v>0</v>
      </c>
      <c r="AG27" s="9">
        <f>+'Lundi S1'!AG28+'Mardi S1'!AG28+'Mercredi S1'!AG27+'Jeudi S1'!AG27+'Vendredi S1'!AG27+'Samedi S1'!AG27</f>
        <v>0</v>
      </c>
      <c r="AH27" s="10">
        <f>+'Lundi S1'!AH28+'Mardi S1'!AH28+'Mercredi S1'!AH27+'Jeudi S1'!AH27+'Vendredi S1'!AH27+'Samedi S1'!AH27</f>
        <v>0</v>
      </c>
      <c r="AI27" s="10">
        <f>+'Lundi S1'!AI28+'Mardi S1'!AI28+'Mercredi S1'!AI27+'Jeudi S1'!AI27+'Vendredi S1'!AI27+'Samedi S1'!AI27</f>
        <v>0</v>
      </c>
      <c r="AJ27" s="10">
        <f>+'Lundi S1'!AJ28+'Mardi S1'!AJ28+'Mercredi S1'!AJ27+'Jeudi S1'!AJ27+'Vendredi S1'!AJ27+'Samedi S1'!AJ27</f>
        <v>0</v>
      </c>
      <c r="AK27" s="11">
        <f>+'Lundi S1'!AK28+'Mardi S1'!AK28+'Mercredi S1'!AK27+'Jeudi S1'!AK27+'Vendredi S1'!AK27+'Samedi S1'!AK27</f>
        <v>0</v>
      </c>
      <c r="AL27" s="9">
        <f>+'Lundi S1'!AL28+'Mardi S1'!AL28+'Mercredi S1'!AL27+'Jeudi S1'!AL27+'Vendredi S1'!AL27+'Samedi S1'!AL27</f>
        <v>0</v>
      </c>
      <c r="AM27" s="10">
        <f>+'Lundi S1'!AM28+'Mardi S1'!AM28+'Mercredi S1'!AM27+'Jeudi S1'!AM27+'Vendredi S1'!AM27+'Samedi S1'!AM27</f>
        <v>0</v>
      </c>
      <c r="AN27" s="10">
        <f>+'Lundi S1'!AN28+'Mardi S1'!AN28+'Mercredi S1'!AN27+'Jeudi S1'!AN27+'Vendredi S1'!AN27+'Samedi S1'!AN27</f>
        <v>0</v>
      </c>
      <c r="AO27" s="10">
        <f>+'Lundi S1'!AO28+'Mardi S1'!AO28+'Mercredi S1'!AO27+'Jeudi S1'!AO27+'Vendredi S1'!AO27+'Samedi S1'!AO27</f>
        <v>0</v>
      </c>
      <c r="AP27" s="11">
        <f>+'Lundi S1'!AP28+'Mardi S1'!AP28+'Mercredi S1'!AP27+'Jeudi S1'!AP27+'Vendredi S1'!AP27+'Samedi S1'!AP27</f>
        <v>0</v>
      </c>
      <c r="AQ27" s="9">
        <f>+'Lundi S1'!AQ28+'Mardi S1'!AQ28+'Mercredi S1'!AQ27+'Jeudi S1'!AQ27+'Vendredi S1'!AQ27+'Samedi S1'!AQ27</f>
        <v>0</v>
      </c>
      <c r="AR27" s="10">
        <f>+'Lundi S1'!AR28+'Mardi S1'!AR28+'Mercredi S1'!AR27+'Jeudi S1'!AR27+'Vendredi S1'!AR27+'Samedi S1'!AR27</f>
        <v>0</v>
      </c>
      <c r="AS27" s="11">
        <f>+'Lundi S1'!AS28+'Mardi S1'!AS28+'Mercredi S1'!AS27+'Jeudi S1'!AS27+'Vendredi S1'!AS27+'Samedi S1'!AS27</f>
        <v>0</v>
      </c>
      <c r="AT27" s="22"/>
      <c r="AU27" s="14"/>
    </row>
    <row r="28" spans="1:47" ht="31.9" customHeight="1" x14ac:dyDescent="0.2">
      <c r="A28" s="26">
        <v>22</v>
      </c>
      <c r="B28" s="19"/>
      <c r="C28" s="9">
        <f>+'Lundi S1'!C29+'Mardi S1'!C29+'Mercredi S1'!C28+'Jeudi S1'!C28+'Vendredi S1'!C28+'Samedi S1'!C28</f>
        <v>90</v>
      </c>
      <c r="D28" s="10">
        <f>+'Lundi S1'!D29+'Mardi S1'!D29+'Mercredi S1'!D28+'Jeudi S1'!D28+'Vendredi S1'!D28+'Samedi S1'!D28</f>
        <v>18</v>
      </c>
      <c r="E28" s="10">
        <f>+'Lundi S1'!E29+'Mardi S1'!E29+'Mercredi S1'!E28+'Jeudi S1'!E28+'Vendredi S1'!E28+'Samedi S1'!E28</f>
        <v>30</v>
      </c>
      <c r="F28" s="10">
        <f>+'Lundi S1'!F29+'Mardi S1'!F29+'Mercredi S1'!F28+'Jeudi S1'!F28+'Vendredi S1'!F28+'Samedi S1'!F28</f>
        <v>12</v>
      </c>
      <c r="G28" s="11">
        <f>+'Lundi S1'!G29+'Mardi S1'!G29+'Mercredi S1'!G28+'Jeudi S1'!G28+'Vendredi S1'!G28+'Samedi S1'!G28</f>
        <v>30</v>
      </c>
      <c r="H28" s="9">
        <f>+'Lundi S1'!H29+'Mardi S1'!H29+'Mercredi S1'!H28+'Jeudi S1'!H28+'Vendredi S1'!H28+'Samedi S1'!H28</f>
        <v>18</v>
      </c>
      <c r="I28" s="10">
        <f>+'Lundi S1'!I29+'Mardi S1'!I29+'Mercredi S1'!I28+'Jeudi S1'!I28+'Vendredi S1'!I28+'Samedi S1'!I28</f>
        <v>6</v>
      </c>
      <c r="J28" s="10">
        <f>+'Lundi S1'!J29+'Mardi S1'!J29+'Mercredi S1'!J28+'Jeudi S1'!J28+'Vendredi S1'!J28+'Samedi S1'!J28</f>
        <v>6</v>
      </c>
      <c r="K28" s="10">
        <f>+'Lundi S1'!K29+'Mardi S1'!K29+'Mercredi S1'!K28+'Jeudi S1'!K28+'Vendredi S1'!K28+'Samedi S1'!K28</f>
        <v>6</v>
      </c>
      <c r="L28" s="11">
        <f>+'Lundi S1'!L29+'Mardi S1'!L29+'Mercredi S1'!L28+'Jeudi S1'!L28+'Vendredi S1'!L28+'Samedi S1'!L28</f>
        <v>6</v>
      </c>
      <c r="M28" s="9">
        <f>+'Lundi S1'!M29+'Mardi S1'!M29+'Mercredi S1'!M28+'Jeudi S1'!M28+'Vendredi S1'!M28+'Samedi S1'!M28</f>
        <v>18</v>
      </c>
      <c r="N28" s="10">
        <f>+'Lundi S1'!N29+'Mardi S1'!N29+'Mercredi S1'!N28+'Jeudi S1'!N28+'Vendredi S1'!N28+'Samedi S1'!N28</f>
        <v>6</v>
      </c>
      <c r="O28" s="10">
        <f>+'Lundi S1'!O29+'Mardi S1'!O29+'Mercredi S1'!O28+'Jeudi S1'!O28+'Vendredi S1'!O28+'Samedi S1'!O28</f>
        <v>18</v>
      </c>
      <c r="P28" s="10">
        <f>+'Lundi S1'!P29+'Mardi S1'!P29+'Mercredi S1'!P28+'Jeudi S1'!P28+'Vendredi S1'!P28+'Samedi S1'!P28</f>
        <v>0</v>
      </c>
      <c r="Q28" s="11">
        <f>+'Lundi S1'!Q29+'Mardi S1'!Q29+'Mercredi S1'!Q28+'Jeudi S1'!Q28+'Vendredi S1'!Q28+'Samedi S1'!Q28</f>
        <v>0</v>
      </c>
      <c r="R28" s="61">
        <f>+'Lundi S1'!R29+'Mardi S1'!R29+'Mercredi S1'!R28+'Jeudi S1'!R28+'Vendredi S1'!R28+'Samedi S1'!R28</f>
        <v>3</v>
      </c>
      <c r="S28" s="62">
        <f>+'Lundi S1'!S29+'Mardi S1'!S29+'Mercredi S1'!S28+'Jeudi S1'!S28+'Vendredi S1'!S28+'Samedi S1'!S28</f>
        <v>0.99999999999999989</v>
      </c>
      <c r="T28" s="62">
        <f>+'Lundi S1'!T29+'Mardi S1'!T29+'Mercredi S1'!T28+'Jeudi S1'!T28+'Vendredi S1'!T28+'Samedi S1'!T28</f>
        <v>0.6</v>
      </c>
      <c r="U28" s="62">
        <f>+'Lundi S1'!U29+'Mardi S1'!U29+'Mercredi S1'!U28+'Jeudi S1'!U28+'Vendredi S1'!U28+'Samedi S1'!U28</f>
        <v>3.6</v>
      </c>
      <c r="V28" s="63">
        <f>+'Lundi S1'!V29+'Mardi S1'!V29+'Mercredi S1'!V28+'Jeudi S1'!V28+'Vendredi S1'!V28+'Samedi S1'!V28</f>
        <v>0.9</v>
      </c>
      <c r="W28" s="9">
        <f>+'Lundi S1'!W29+'Mardi S1'!W29+'Mercredi S1'!W28+'Jeudi S1'!W28+'Vendredi S1'!W28+'Samedi S1'!W28</f>
        <v>0</v>
      </c>
      <c r="X28" s="10">
        <f>+'Lundi S1'!X29+'Mardi S1'!X29+'Mercredi S1'!X28+'Jeudi S1'!X28+'Vendredi S1'!X28+'Samedi S1'!X28</f>
        <v>0</v>
      </c>
      <c r="Y28" s="10">
        <f>+'Lundi S1'!Y29+'Mardi S1'!Y29+'Mercredi S1'!Y28+'Jeudi S1'!Y28+'Vendredi S1'!Y28+'Samedi S1'!Y28</f>
        <v>0</v>
      </c>
      <c r="Z28" s="10">
        <f>+'Lundi S1'!Z29+'Mardi S1'!Z29+'Mercredi S1'!Z28+'Jeudi S1'!Z28+'Vendredi S1'!Z28+'Samedi S1'!Z28</f>
        <v>0</v>
      </c>
      <c r="AA28" s="11">
        <f>+'Lundi S1'!AA29+'Mardi S1'!AA29+'Mercredi S1'!AA28+'Jeudi S1'!AA28+'Vendredi S1'!AA28+'Samedi S1'!AA28</f>
        <v>0</v>
      </c>
      <c r="AB28" s="9">
        <f>+'Lundi S1'!AB29+'Mardi S1'!AB29+'Mercredi S1'!AB28+'Jeudi S1'!AB28+'Vendredi S1'!AB28+'Samedi S1'!AB28</f>
        <v>0</v>
      </c>
      <c r="AC28" s="10">
        <f>+'Lundi S1'!AC29+'Mardi S1'!AC29+'Mercredi S1'!AC28+'Jeudi S1'!AC28+'Vendredi S1'!AC28+'Samedi S1'!AC28</f>
        <v>0</v>
      </c>
      <c r="AD28" s="10">
        <f>+'Lundi S1'!AD29+'Mardi S1'!AD29+'Mercredi S1'!AD28+'Jeudi S1'!AD28+'Vendredi S1'!AD28+'Samedi S1'!AD28</f>
        <v>0</v>
      </c>
      <c r="AE28" s="10">
        <f>+'Lundi S1'!AE29+'Mardi S1'!AE29+'Mercredi S1'!AE28+'Jeudi S1'!AE28+'Vendredi S1'!AE28+'Samedi S1'!AE28</f>
        <v>0</v>
      </c>
      <c r="AF28" s="11">
        <f>+'Lundi S1'!AF29+'Mardi S1'!AF29+'Mercredi S1'!AF28+'Jeudi S1'!AF28+'Vendredi S1'!AF28+'Samedi S1'!AF28</f>
        <v>0</v>
      </c>
      <c r="AG28" s="9">
        <f>+'Lundi S1'!AG29+'Mardi S1'!AG29+'Mercredi S1'!AG28+'Jeudi S1'!AG28+'Vendredi S1'!AG28+'Samedi S1'!AG28</f>
        <v>0</v>
      </c>
      <c r="AH28" s="10">
        <f>+'Lundi S1'!AH29+'Mardi S1'!AH29+'Mercredi S1'!AH28+'Jeudi S1'!AH28+'Vendredi S1'!AH28+'Samedi S1'!AH28</f>
        <v>0</v>
      </c>
      <c r="AI28" s="10">
        <f>+'Lundi S1'!AI29+'Mardi S1'!AI29+'Mercredi S1'!AI28+'Jeudi S1'!AI28+'Vendredi S1'!AI28+'Samedi S1'!AI28</f>
        <v>0</v>
      </c>
      <c r="AJ28" s="10">
        <f>+'Lundi S1'!AJ29+'Mardi S1'!AJ29+'Mercredi S1'!AJ28+'Jeudi S1'!AJ28+'Vendredi S1'!AJ28+'Samedi S1'!AJ28</f>
        <v>0</v>
      </c>
      <c r="AK28" s="11">
        <f>+'Lundi S1'!AK29+'Mardi S1'!AK29+'Mercredi S1'!AK28+'Jeudi S1'!AK28+'Vendredi S1'!AK28+'Samedi S1'!AK28</f>
        <v>0</v>
      </c>
      <c r="AL28" s="9">
        <f>+'Lundi S1'!AL29+'Mardi S1'!AL29+'Mercredi S1'!AL28+'Jeudi S1'!AL28+'Vendredi S1'!AL28+'Samedi S1'!AL28</f>
        <v>0</v>
      </c>
      <c r="AM28" s="10">
        <f>+'Lundi S1'!AM29+'Mardi S1'!AM29+'Mercredi S1'!AM28+'Jeudi S1'!AM28+'Vendredi S1'!AM28+'Samedi S1'!AM28</f>
        <v>0</v>
      </c>
      <c r="AN28" s="10">
        <f>+'Lundi S1'!AN29+'Mardi S1'!AN29+'Mercredi S1'!AN28+'Jeudi S1'!AN28+'Vendredi S1'!AN28+'Samedi S1'!AN28</f>
        <v>0</v>
      </c>
      <c r="AO28" s="10">
        <f>+'Lundi S1'!AO29+'Mardi S1'!AO29+'Mercredi S1'!AO28+'Jeudi S1'!AO28+'Vendredi S1'!AO28+'Samedi S1'!AO28</f>
        <v>0</v>
      </c>
      <c r="AP28" s="11">
        <f>+'Lundi S1'!AP29+'Mardi S1'!AP29+'Mercredi S1'!AP28+'Jeudi S1'!AP28+'Vendredi S1'!AP28+'Samedi S1'!AP28</f>
        <v>0</v>
      </c>
      <c r="AQ28" s="9">
        <f>+'Lundi S1'!AQ29+'Mardi S1'!AQ29+'Mercredi S1'!AQ28+'Jeudi S1'!AQ28+'Vendredi S1'!AQ28+'Samedi S1'!AQ28</f>
        <v>0</v>
      </c>
      <c r="AR28" s="10">
        <f>+'Lundi S1'!AR29+'Mardi S1'!AR29+'Mercredi S1'!AR28+'Jeudi S1'!AR28+'Vendredi S1'!AR28+'Samedi S1'!AR28</f>
        <v>0</v>
      </c>
      <c r="AS28" s="11">
        <f>+'Lundi S1'!AS29+'Mardi S1'!AS29+'Mercredi S1'!AS28+'Jeudi S1'!AS28+'Vendredi S1'!AS28+'Samedi S1'!AS28</f>
        <v>0</v>
      </c>
      <c r="AT28" s="22"/>
      <c r="AU28" s="14"/>
    </row>
    <row r="29" spans="1:47" ht="31.9" customHeight="1" x14ac:dyDescent="0.2">
      <c r="A29" s="26">
        <v>23</v>
      </c>
      <c r="B29" s="19"/>
      <c r="C29" s="9">
        <f>+'Lundi S1'!C30+'Mardi S1'!C30+'Mercredi S1'!C29+'Jeudi S1'!C29+'Vendredi S1'!C29+'Samedi S1'!C29</f>
        <v>90</v>
      </c>
      <c r="D29" s="10">
        <f>+'Lundi S1'!D30+'Mardi S1'!D30+'Mercredi S1'!D29+'Jeudi S1'!D29+'Vendredi S1'!D29+'Samedi S1'!D29</f>
        <v>18</v>
      </c>
      <c r="E29" s="10">
        <f>+'Lundi S1'!E30+'Mardi S1'!E30+'Mercredi S1'!E29+'Jeudi S1'!E29+'Vendredi S1'!E29+'Samedi S1'!E29</f>
        <v>30</v>
      </c>
      <c r="F29" s="10">
        <f>+'Lundi S1'!F30+'Mardi S1'!F30+'Mercredi S1'!F29+'Jeudi S1'!F29+'Vendredi S1'!F29+'Samedi S1'!F29</f>
        <v>12</v>
      </c>
      <c r="G29" s="11">
        <f>+'Lundi S1'!G30+'Mardi S1'!G30+'Mercredi S1'!G29+'Jeudi S1'!G29+'Vendredi S1'!G29+'Samedi S1'!G29</f>
        <v>30</v>
      </c>
      <c r="H29" s="9">
        <f>+'Lundi S1'!H30+'Mardi S1'!H30+'Mercredi S1'!H29+'Jeudi S1'!H29+'Vendredi S1'!H29+'Samedi S1'!H29</f>
        <v>18</v>
      </c>
      <c r="I29" s="10">
        <f>+'Lundi S1'!I30+'Mardi S1'!I30+'Mercredi S1'!I29+'Jeudi S1'!I29+'Vendredi S1'!I29+'Samedi S1'!I29</f>
        <v>6</v>
      </c>
      <c r="J29" s="10">
        <f>+'Lundi S1'!J30+'Mardi S1'!J30+'Mercredi S1'!J29+'Jeudi S1'!J29+'Vendredi S1'!J29+'Samedi S1'!J29</f>
        <v>6</v>
      </c>
      <c r="K29" s="10">
        <f>+'Lundi S1'!K30+'Mardi S1'!K30+'Mercredi S1'!K29+'Jeudi S1'!K29+'Vendredi S1'!K29+'Samedi S1'!K29</f>
        <v>6</v>
      </c>
      <c r="L29" s="11">
        <f>+'Lundi S1'!L30+'Mardi S1'!L30+'Mercredi S1'!L29+'Jeudi S1'!L29+'Vendredi S1'!L29+'Samedi S1'!L29</f>
        <v>6</v>
      </c>
      <c r="M29" s="9">
        <f>+'Lundi S1'!M30+'Mardi S1'!M30+'Mercredi S1'!M29+'Jeudi S1'!M29+'Vendredi S1'!M29+'Samedi S1'!M29</f>
        <v>18</v>
      </c>
      <c r="N29" s="10">
        <f>+'Lundi S1'!N30+'Mardi S1'!N30+'Mercredi S1'!N29+'Jeudi S1'!N29+'Vendredi S1'!N29+'Samedi S1'!N29</f>
        <v>6</v>
      </c>
      <c r="O29" s="10">
        <f>+'Lundi S1'!O30+'Mardi S1'!O30+'Mercredi S1'!O29+'Jeudi S1'!O29+'Vendredi S1'!O29+'Samedi S1'!O29</f>
        <v>18</v>
      </c>
      <c r="P29" s="10">
        <f>+'Lundi S1'!P30+'Mardi S1'!P30+'Mercredi S1'!P29+'Jeudi S1'!P29+'Vendredi S1'!P29+'Samedi S1'!P29</f>
        <v>0</v>
      </c>
      <c r="Q29" s="11">
        <f>+'Lundi S1'!Q30+'Mardi S1'!Q30+'Mercredi S1'!Q29+'Jeudi S1'!Q29+'Vendredi S1'!Q29+'Samedi S1'!Q29</f>
        <v>0</v>
      </c>
      <c r="R29" s="61">
        <f>+'Lundi S1'!R30+'Mardi S1'!R30+'Mercredi S1'!R29+'Jeudi S1'!R29+'Vendredi S1'!R29+'Samedi S1'!R29</f>
        <v>3</v>
      </c>
      <c r="S29" s="62">
        <f>+'Lundi S1'!S30+'Mardi S1'!S30+'Mercredi S1'!S29+'Jeudi S1'!S29+'Vendredi S1'!S29+'Samedi S1'!S29</f>
        <v>0.99999999999999989</v>
      </c>
      <c r="T29" s="62">
        <f>+'Lundi S1'!T30+'Mardi S1'!T30+'Mercredi S1'!T29+'Jeudi S1'!T29+'Vendredi S1'!T29+'Samedi S1'!T29</f>
        <v>0.6</v>
      </c>
      <c r="U29" s="62">
        <f>+'Lundi S1'!U30+'Mardi S1'!U30+'Mercredi S1'!U29+'Jeudi S1'!U29+'Vendredi S1'!U29+'Samedi S1'!U29</f>
        <v>3.6</v>
      </c>
      <c r="V29" s="63">
        <f>+'Lundi S1'!V30+'Mardi S1'!V30+'Mercredi S1'!V29+'Jeudi S1'!V29+'Vendredi S1'!V29+'Samedi S1'!V29</f>
        <v>0.9</v>
      </c>
      <c r="W29" s="9">
        <f>+'Lundi S1'!W30+'Mardi S1'!W30+'Mercredi S1'!W29+'Jeudi S1'!W29+'Vendredi S1'!W29+'Samedi S1'!W29</f>
        <v>0</v>
      </c>
      <c r="X29" s="10">
        <f>+'Lundi S1'!X30+'Mardi S1'!X30+'Mercredi S1'!X29+'Jeudi S1'!X29+'Vendredi S1'!X29+'Samedi S1'!X29</f>
        <v>0</v>
      </c>
      <c r="Y29" s="10">
        <f>+'Lundi S1'!Y30+'Mardi S1'!Y30+'Mercredi S1'!Y29+'Jeudi S1'!Y29+'Vendredi S1'!Y29+'Samedi S1'!Y29</f>
        <v>0</v>
      </c>
      <c r="Z29" s="10">
        <f>+'Lundi S1'!Z30+'Mardi S1'!Z30+'Mercredi S1'!Z29+'Jeudi S1'!Z29+'Vendredi S1'!Z29+'Samedi S1'!Z29</f>
        <v>0</v>
      </c>
      <c r="AA29" s="11">
        <f>+'Lundi S1'!AA30+'Mardi S1'!AA30+'Mercredi S1'!AA29+'Jeudi S1'!AA29+'Vendredi S1'!AA29+'Samedi S1'!AA29</f>
        <v>0</v>
      </c>
      <c r="AB29" s="9">
        <f>+'Lundi S1'!AB30+'Mardi S1'!AB30+'Mercredi S1'!AB29+'Jeudi S1'!AB29+'Vendredi S1'!AB29+'Samedi S1'!AB29</f>
        <v>0</v>
      </c>
      <c r="AC29" s="10">
        <f>+'Lundi S1'!AC30+'Mardi S1'!AC30+'Mercredi S1'!AC29+'Jeudi S1'!AC29+'Vendredi S1'!AC29+'Samedi S1'!AC29</f>
        <v>0</v>
      </c>
      <c r="AD29" s="10">
        <f>+'Lundi S1'!AD30+'Mardi S1'!AD30+'Mercredi S1'!AD29+'Jeudi S1'!AD29+'Vendredi S1'!AD29+'Samedi S1'!AD29</f>
        <v>0</v>
      </c>
      <c r="AE29" s="10">
        <f>+'Lundi S1'!AE30+'Mardi S1'!AE30+'Mercredi S1'!AE29+'Jeudi S1'!AE29+'Vendredi S1'!AE29+'Samedi S1'!AE29</f>
        <v>0</v>
      </c>
      <c r="AF29" s="11">
        <f>+'Lundi S1'!AF30+'Mardi S1'!AF30+'Mercredi S1'!AF29+'Jeudi S1'!AF29+'Vendredi S1'!AF29+'Samedi S1'!AF29</f>
        <v>0</v>
      </c>
      <c r="AG29" s="9">
        <f>+'Lundi S1'!AG30+'Mardi S1'!AG30+'Mercredi S1'!AG29+'Jeudi S1'!AG29+'Vendredi S1'!AG29+'Samedi S1'!AG29</f>
        <v>0</v>
      </c>
      <c r="AH29" s="10">
        <f>+'Lundi S1'!AH30+'Mardi S1'!AH30+'Mercredi S1'!AH29+'Jeudi S1'!AH29+'Vendredi S1'!AH29+'Samedi S1'!AH29</f>
        <v>0</v>
      </c>
      <c r="AI29" s="10">
        <f>+'Lundi S1'!AI30+'Mardi S1'!AI30+'Mercredi S1'!AI29+'Jeudi S1'!AI29+'Vendredi S1'!AI29+'Samedi S1'!AI29</f>
        <v>0</v>
      </c>
      <c r="AJ29" s="10">
        <f>+'Lundi S1'!AJ30+'Mardi S1'!AJ30+'Mercredi S1'!AJ29+'Jeudi S1'!AJ29+'Vendredi S1'!AJ29+'Samedi S1'!AJ29</f>
        <v>0</v>
      </c>
      <c r="AK29" s="11">
        <f>+'Lundi S1'!AK30+'Mardi S1'!AK30+'Mercredi S1'!AK29+'Jeudi S1'!AK29+'Vendredi S1'!AK29+'Samedi S1'!AK29</f>
        <v>0</v>
      </c>
      <c r="AL29" s="9">
        <f>+'Lundi S1'!AL30+'Mardi S1'!AL30+'Mercredi S1'!AL29+'Jeudi S1'!AL29+'Vendredi S1'!AL29+'Samedi S1'!AL29</f>
        <v>0</v>
      </c>
      <c r="AM29" s="10">
        <f>+'Lundi S1'!AM30+'Mardi S1'!AM30+'Mercredi S1'!AM29+'Jeudi S1'!AM29+'Vendredi S1'!AM29+'Samedi S1'!AM29</f>
        <v>0</v>
      </c>
      <c r="AN29" s="10">
        <f>+'Lundi S1'!AN30+'Mardi S1'!AN30+'Mercredi S1'!AN29+'Jeudi S1'!AN29+'Vendredi S1'!AN29+'Samedi S1'!AN29</f>
        <v>0</v>
      </c>
      <c r="AO29" s="10">
        <f>+'Lundi S1'!AO30+'Mardi S1'!AO30+'Mercredi S1'!AO29+'Jeudi S1'!AO29+'Vendredi S1'!AO29+'Samedi S1'!AO29</f>
        <v>0</v>
      </c>
      <c r="AP29" s="11">
        <f>+'Lundi S1'!AP30+'Mardi S1'!AP30+'Mercredi S1'!AP29+'Jeudi S1'!AP29+'Vendredi S1'!AP29+'Samedi S1'!AP29</f>
        <v>0</v>
      </c>
      <c r="AQ29" s="9">
        <f>+'Lundi S1'!AQ30+'Mardi S1'!AQ30+'Mercredi S1'!AQ29+'Jeudi S1'!AQ29+'Vendredi S1'!AQ29+'Samedi S1'!AQ29</f>
        <v>0</v>
      </c>
      <c r="AR29" s="10">
        <f>+'Lundi S1'!AR30+'Mardi S1'!AR30+'Mercredi S1'!AR29+'Jeudi S1'!AR29+'Vendredi S1'!AR29+'Samedi S1'!AR29</f>
        <v>0</v>
      </c>
      <c r="AS29" s="11">
        <f>+'Lundi S1'!AS30+'Mardi S1'!AS30+'Mercredi S1'!AS29+'Jeudi S1'!AS29+'Vendredi S1'!AS29+'Samedi S1'!AS29</f>
        <v>0</v>
      </c>
      <c r="AT29" s="22"/>
      <c r="AU29" s="14"/>
    </row>
    <row r="30" spans="1:47" ht="31.9" customHeight="1" x14ac:dyDescent="0.2">
      <c r="A30" s="26">
        <v>24</v>
      </c>
      <c r="B30" s="19"/>
      <c r="C30" s="9">
        <f>+'Lundi S1'!C31+'Mardi S1'!C31+'Mercredi S1'!C30+'Jeudi S1'!C30+'Vendredi S1'!C30+'Samedi S1'!C30</f>
        <v>90</v>
      </c>
      <c r="D30" s="10">
        <f>+'Lundi S1'!D31+'Mardi S1'!D31+'Mercredi S1'!D30+'Jeudi S1'!D30+'Vendredi S1'!D30+'Samedi S1'!D30</f>
        <v>18</v>
      </c>
      <c r="E30" s="10">
        <f>+'Lundi S1'!E31+'Mardi S1'!E31+'Mercredi S1'!E30+'Jeudi S1'!E30+'Vendredi S1'!E30+'Samedi S1'!E30</f>
        <v>30</v>
      </c>
      <c r="F30" s="10">
        <f>+'Lundi S1'!F31+'Mardi S1'!F31+'Mercredi S1'!F30+'Jeudi S1'!F30+'Vendredi S1'!F30+'Samedi S1'!F30</f>
        <v>12</v>
      </c>
      <c r="G30" s="11">
        <f>+'Lundi S1'!G31+'Mardi S1'!G31+'Mercredi S1'!G30+'Jeudi S1'!G30+'Vendredi S1'!G30+'Samedi S1'!G30</f>
        <v>30</v>
      </c>
      <c r="H30" s="9">
        <f>+'Lundi S1'!H31+'Mardi S1'!H31+'Mercredi S1'!H30+'Jeudi S1'!H30+'Vendredi S1'!H30+'Samedi S1'!H30</f>
        <v>18</v>
      </c>
      <c r="I30" s="10">
        <f>+'Lundi S1'!I31+'Mardi S1'!I31+'Mercredi S1'!I30+'Jeudi S1'!I30+'Vendredi S1'!I30+'Samedi S1'!I30</f>
        <v>6</v>
      </c>
      <c r="J30" s="10">
        <f>+'Lundi S1'!J31+'Mardi S1'!J31+'Mercredi S1'!J30+'Jeudi S1'!J30+'Vendredi S1'!J30+'Samedi S1'!J30</f>
        <v>6</v>
      </c>
      <c r="K30" s="10">
        <f>+'Lundi S1'!K31+'Mardi S1'!K31+'Mercredi S1'!K30+'Jeudi S1'!K30+'Vendredi S1'!K30+'Samedi S1'!K30</f>
        <v>6</v>
      </c>
      <c r="L30" s="11">
        <f>+'Lundi S1'!L31+'Mardi S1'!L31+'Mercredi S1'!L30+'Jeudi S1'!L30+'Vendredi S1'!L30+'Samedi S1'!L30</f>
        <v>6</v>
      </c>
      <c r="M30" s="9">
        <f>+'Lundi S1'!M31+'Mardi S1'!M31+'Mercredi S1'!M30+'Jeudi S1'!M30+'Vendredi S1'!M30+'Samedi S1'!M30</f>
        <v>18</v>
      </c>
      <c r="N30" s="10">
        <f>+'Lundi S1'!N31+'Mardi S1'!N31+'Mercredi S1'!N30+'Jeudi S1'!N30+'Vendredi S1'!N30+'Samedi S1'!N30</f>
        <v>6</v>
      </c>
      <c r="O30" s="10">
        <f>+'Lundi S1'!O31+'Mardi S1'!O31+'Mercredi S1'!O30+'Jeudi S1'!O30+'Vendredi S1'!O30+'Samedi S1'!O30</f>
        <v>18</v>
      </c>
      <c r="P30" s="10">
        <f>+'Lundi S1'!P31+'Mardi S1'!P31+'Mercredi S1'!P30+'Jeudi S1'!P30+'Vendredi S1'!P30+'Samedi S1'!P30</f>
        <v>0</v>
      </c>
      <c r="Q30" s="11">
        <f>+'Lundi S1'!Q31+'Mardi S1'!Q31+'Mercredi S1'!Q30+'Jeudi S1'!Q30+'Vendredi S1'!Q30+'Samedi S1'!Q30</f>
        <v>0</v>
      </c>
      <c r="R30" s="61">
        <f>+'Lundi S1'!R31+'Mardi S1'!R31+'Mercredi S1'!R30+'Jeudi S1'!R30+'Vendredi S1'!R30+'Samedi S1'!R30</f>
        <v>3</v>
      </c>
      <c r="S30" s="62">
        <f>+'Lundi S1'!S31+'Mardi S1'!S31+'Mercredi S1'!S30+'Jeudi S1'!S30+'Vendredi S1'!S30+'Samedi S1'!S30</f>
        <v>0.99999999999999989</v>
      </c>
      <c r="T30" s="62">
        <f>+'Lundi S1'!T31+'Mardi S1'!T31+'Mercredi S1'!T30+'Jeudi S1'!T30+'Vendredi S1'!T30+'Samedi S1'!T30</f>
        <v>0.6</v>
      </c>
      <c r="U30" s="62">
        <f>+'Lundi S1'!U31+'Mardi S1'!U31+'Mercredi S1'!U30+'Jeudi S1'!U30+'Vendredi S1'!U30+'Samedi S1'!U30</f>
        <v>3.6</v>
      </c>
      <c r="V30" s="63">
        <f>+'Lundi S1'!V31+'Mardi S1'!V31+'Mercredi S1'!V30+'Jeudi S1'!V30+'Vendredi S1'!V30+'Samedi S1'!V30</f>
        <v>0.9</v>
      </c>
      <c r="W30" s="9">
        <f>+'Lundi S1'!W31+'Mardi S1'!W31+'Mercredi S1'!W30+'Jeudi S1'!W30+'Vendredi S1'!W30+'Samedi S1'!W30</f>
        <v>0</v>
      </c>
      <c r="X30" s="10">
        <f>+'Lundi S1'!X31+'Mardi S1'!X31+'Mercredi S1'!X30+'Jeudi S1'!X30+'Vendredi S1'!X30+'Samedi S1'!X30</f>
        <v>0</v>
      </c>
      <c r="Y30" s="10">
        <f>+'Lundi S1'!Y31+'Mardi S1'!Y31+'Mercredi S1'!Y30+'Jeudi S1'!Y30+'Vendredi S1'!Y30+'Samedi S1'!Y30</f>
        <v>0</v>
      </c>
      <c r="Z30" s="10">
        <f>+'Lundi S1'!Z31+'Mardi S1'!Z31+'Mercredi S1'!Z30+'Jeudi S1'!Z30+'Vendredi S1'!Z30+'Samedi S1'!Z30</f>
        <v>0</v>
      </c>
      <c r="AA30" s="11">
        <f>+'Lundi S1'!AA31+'Mardi S1'!AA31+'Mercredi S1'!AA30+'Jeudi S1'!AA30+'Vendredi S1'!AA30+'Samedi S1'!AA30</f>
        <v>0</v>
      </c>
      <c r="AB30" s="9">
        <f>+'Lundi S1'!AB31+'Mardi S1'!AB31+'Mercredi S1'!AB30+'Jeudi S1'!AB30+'Vendredi S1'!AB30+'Samedi S1'!AB30</f>
        <v>0</v>
      </c>
      <c r="AC30" s="10">
        <f>+'Lundi S1'!AC31+'Mardi S1'!AC31+'Mercredi S1'!AC30+'Jeudi S1'!AC30+'Vendredi S1'!AC30+'Samedi S1'!AC30</f>
        <v>0</v>
      </c>
      <c r="AD30" s="10">
        <f>+'Lundi S1'!AD31+'Mardi S1'!AD31+'Mercredi S1'!AD30+'Jeudi S1'!AD30+'Vendredi S1'!AD30+'Samedi S1'!AD30</f>
        <v>0</v>
      </c>
      <c r="AE30" s="10">
        <f>+'Lundi S1'!AE31+'Mardi S1'!AE31+'Mercredi S1'!AE30+'Jeudi S1'!AE30+'Vendredi S1'!AE30+'Samedi S1'!AE30</f>
        <v>0</v>
      </c>
      <c r="AF30" s="11">
        <f>+'Lundi S1'!AF31+'Mardi S1'!AF31+'Mercredi S1'!AF30+'Jeudi S1'!AF30+'Vendredi S1'!AF30+'Samedi S1'!AF30</f>
        <v>0</v>
      </c>
      <c r="AG30" s="9">
        <f>+'Lundi S1'!AG31+'Mardi S1'!AG31+'Mercredi S1'!AG30+'Jeudi S1'!AG30+'Vendredi S1'!AG30+'Samedi S1'!AG30</f>
        <v>0</v>
      </c>
      <c r="AH30" s="10">
        <f>+'Lundi S1'!AH31+'Mardi S1'!AH31+'Mercredi S1'!AH30+'Jeudi S1'!AH30+'Vendredi S1'!AH30+'Samedi S1'!AH30</f>
        <v>0</v>
      </c>
      <c r="AI30" s="10">
        <f>+'Lundi S1'!AI31+'Mardi S1'!AI31+'Mercredi S1'!AI30+'Jeudi S1'!AI30+'Vendredi S1'!AI30+'Samedi S1'!AI30</f>
        <v>0</v>
      </c>
      <c r="AJ30" s="10">
        <f>+'Lundi S1'!AJ31+'Mardi S1'!AJ31+'Mercredi S1'!AJ30+'Jeudi S1'!AJ30+'Vendredi S1'!AJ30+'Samedi S1'!AJ30</f>
        <v>0</v>
      </c>
      <c r="AK30" s="11">
        <f>+'Lundi S1'!AK31+'Mardi S1'!AK31+'Mercredi S1'!AK30+'Jeudi S1'!AK30+'Vendredi S1'!AK30+'Samedi S1'!AK30</f>
        <v>0</v>
      </c>
      <c r="AL30" s="9">
        <f>+'Lundi S1'!AL31+'Mardi S1'!AL31+'Mercredi S1'!AL30+'Jeudi S1'!AL30+'Vendredi S1'!AL30+'Samedi S1'!AL30</f>
        <v>0</v>
      </c>
      <c r="AM30" s="10">
        <f>+'Lundi S1'!AM31+'Mardi S1'!AM31+'Mercredi S1'!AM30+'Jeudi S1'!AM30+'Vendredi S1'!AM30+'Samedi S1'!AM30</f>
        <v>0</v>
      </c>
      <c r="AN30" s="10">
        <f>+'Lundi S1'!AN31+'Mardi S1'!AN31+'Mercredi S1'!AN30+'Jeudi S1'!AN30+'Vendredi S1'!AN30+'Samedi S1'!AN30</f>
        <v>0</v>
      </c>
      <c r="AO30" s="10">
        <f>+'Lundi S1'!AO31+'Mardi S1'!AO31+'Mercredi S1'!AO30+'Jeudi S1'!AO30+'Vendredi S1'!AO30+'Samedi S1'!AO30</f>
        <v>0</v>
      </c>
      <c r="AP30" s="11">
        <f>+'Lundi S1'!AP31+'Mardi S1'!AP31+'Mercredi S1'!AP30+'Jeudi S1'!AP30+'Vendredi S1'!AP30+'Samedi S1'!AP30</f>
        <v>0</v>
      </c>
      <c r="AQ30" s="9">
        <f>+'Lundi S1'!AQ31+'Mardi S1'!AQ31+'Mercredi S1'!AQ30+'Jeudi S1'!AQ30+'Vendredi S1'!AQ30+'Samedi S1'!AQ30</f>
        <v>0</v>
      </c>
      <c r="AR30" s="10">
        <f>+'Lundi S1'!AR31+'Mardi S1'!AR31+'Mercredi S1'!AR30+'Jeudi S1'!AR30+'Vendredi S1'!AR30+'Samedi S1'!AR30</f>
        <v>0</v>
      </c>
      <c r="AS30" s="11">
        <f>+'Lundi S1'!AS31+'Mardi S1'!AS31+'Mercredi S1'!AS30+'Jeudi S1'!AS30+'Vendredi S1'!AS30+'Samedi S1'!AS30</f>
        <v>0</v>
      </c>
      <c r="AT30" s="22"/>
      <c r="AU30" s="14"/>
    </row>
    <row r="31" spans="1:47" ht="31.9" customHeight="1" x14ac:dyDescent="0.2">
      <c r="A31" s="26">
        <v>25</v>
      </c>
      <c r="B31" s="19"/>
      <c r="C31" s="9">
        <f>+'Lundi S1'!C32+'Mardi S1'!C32+'Mercredi S1'!C31+'Jeudi S1'!C31+'Vendredi S1'!C31+'Samedi S1'!C31</f>
        <v>90</v>
      </c>
      <c r="D31" s="10">
        <f>+'Lundi S1'!D32+'Mardi S1'!D32+'Mercredi S1'!D31+'Jeudi S1'!D31+'Vendredi S1'!D31+'Samedi S1'!D31</f>
        <v>18</v>
      </c>
      <c r="E31" s="10">
        <f>+'Lundi S1'!E32+'Mardi S1'!E32+'Mercredi S1'!E31+'Jeudi S1'!E31+'Vendredi S1'!E31+'Samedi S1'!E31</f>
        <v>30</v>
      </c>
      <c r="F31" s="10">
        <f>+'Lundi S1'!F32+'Mardi S1'!F32+'Mercredi S1'!F31+'Jeudi S1'!F31+'Vendredi S1'!F31+'Samedi S1'!F31</f>
        <v>12</v>
      </c>
      <c r="G31" s="11">
        <f>+'Lundi S1'!G32+'Mardi S1'!G32+'Mercredi S1'!G31+'Jeudi S1'!G31+'Vendredi S1'!G31+'Samedi S1'!G31</f>
        <v>30</v>
      </c>
      <c r="H31" s="9">
        <f>+'Lundi S1'!H32+'Mardi S1'!H32+'Mercredi S1'!H31+'Jeudi S1'!H31+'Vendredi S1'!H31+'Samedi S1'!H31</f>
        <v>18</v>
      </c>
      <c r="I31" s="10">
        <f>+'Lundi S1'!I32+'Mardi S1'!I32+'Mercredi S1'!I31+'Jeudi S1'!I31+'Vendredi S1'!I31+'Samedi S1'!I31</f>
        <v>6</v>
      </c>
      <c r="J31" s="10">
        <f>+'Lundi S1'!J32+'Mardi S1'!J32+'Mercredi S1'!J31+'Jeudi S1'!J31+'Vendredi S1'!J31+'Samedi S1'!J31</f>
        <v>6</v>
      </c>
      <c r="K31" s="10">
        <f>+'Lundi S1'!K32+'Mardi S1'!K32+'Mercredi S1'!K31+'Jeudi S1'!K31+'Vendredi S1'!K31+'Samedi S1'!K31</f>
        <v>6</v>
      </c>
      <c r="L31" s="11">
        <f>+'Lundi S1'!L32+'Mardi S1'!L32+'Mercredi S1'!L31+'Jeudi S1'!L31+'Vendredi S1'!L31+'Samedi S1'!L31</f>
        <v>6</v>
      </c>
      <c r="M31" s="9">
        <f>+'Lundi S1'!M32+'Mardi S1'!M32+'Mercredi S1'!M31+'Jeudi S1'!M31+'Vendredi S1'!M31+'Samedi S1'!M31</f>
        <v>18</v>
      </c>
      <c r="N31" s="10">
        <f>+'Lundi S1'!N32+'Mardi S1'!N32+'Mercredi S1'!N31+'Jeudi S1'!N31+'Vendredi S1'!N31+'Samedi S1'!N31</f>
        <v>6</v>
      </c>
      <c r="O31" s="10">
        <f>+'Lundi S1'!O32+'Mardi S1'!O32+'Mercredi S1'!O31+'Jeudi S1'!O31+'Vendredi S1'!O31+'Samedi S1'!O31</f>
        <v>18</v>
      </c>
      <c r="P31" s="10">
        <f>+'Lundi S1'!P32+'Mardi S1'!P32+'Mercredi S1'!P31+'Jeudi S1'!P31+'Vendredi S1'!P31+'Samedi S1'!P31</f>
        <v>0</v>
      </c>
      <c r="Q31" s="11">
        <f>+'Lundi S1'!Q32+'Mardi S1'!Q32+'Mercredi S1'!Q31+'Jeudi S1'!Q31+'Vendredi S1'!Q31+'Samedi S1'!Q31</f>
        <v>0</v>
      </c>
      <c r="R31" s="61">
        <f>+'Lundi S1'!R32+'Mardi S1'!R32+'Mercredi S1'!R31+'Jeudi S1'!R31+'Vendredi S1'!R31+'Samedi S1'!R31</f>
        <v>3</v>
      </c>
      <c r="S31" s="62">
        <f>+'Lundi S1'!S32+'Mardi S1'!S32+'Mercredi S1'!S31+'Jeudi S1'!S31+'Vendredi S1'!S31+'Samedi S1'!S31</f>
        <v>0.99999999999999989</v>
      </c>
      <c r="T31" s="62">
        <f>+'Lundi S1'!T32+'Mardi S1'!T32+'Mercredi S1'!T31+'Jeudi S1'!T31+'Vendredi S1'!T31+'Samedi S1'!T31</f>
        <v>0.6</v>
      </c>
      <c r="U31" s="62">
        <f>+'Lundi S1'!U32+'Mardi S1'!U32+'Mercredi S1'!U31+'Jeudi S1'!U31+'Vendredi S1'!U31+'Samedi S1'!U31</f>
        <v>3.6</v>
      </c>
      <c r="V31" s="63">
        <f>+'Lundi S1'!V32+'Mardi S1'!V32+'Mercredi S1'!V31+'Jeudi S1'!V31+'Vendredi S1'!V31+'Samedi S1'!V31</f>
        <v>0.9</v>
      </c>
      <c r="W31" s="9">
        <f>+'Lundi S1'!W32+'Mardi S1'!W32+'Mercredi S1'!W31+'Jeudi S1'!W31+'Vendredi S1'!W31+'Samedi S1'!W31</f>
        <v>0</v>
      </c>
      <c r="X31" s="10">
        <f>+'Lundi S1'!X32+'Mardi S1'!X32+'Mercredi S1'!X31+'Jeudi S1'!X31+'Vendredi S1'!X31+'Samedi S1'!X31</f>
        <v>0</v>
      </c>
      <c r="Y31" s="10">
        <f>+'Lundi S1'!Y32+'Mardi S1'!Y32+'Mercredi S1'!Y31+'Jeudi S1'!Y31+'Vendredi S1'!Y31+'Samedi S1'!Y31</f>
        <v>0</v>
      </c>
      <c r="Z31" s="10">
        <f>+'Lundi S1'!Z32+'Mardi S1'!Z32+'Mercredi S1'!Z31+'Jeudi S1'!Z31+'Vendredi S1'!Z31+'Samedi S1'!Z31</f>
        <v>0</v>
      </c>
      <c r="AA31" s="11">
        <f>+'Lundi S1'!AA32+'Mardi S1'!AA32+'Mercredi S1'!AA31+'Jeudi S1'!AA31+'Vendredi S1'!AA31+'Samedi S1'!AA31</f>
        <v>0</v>
      </c>
      <c r="AB31" s="9">
        <f>+'Lundi S1'!AB32+'Mardi S1'!AB32+'Mercredi S1'!AB31+'Jeudi S1'!AB31+'Vendredi S1'!AB31+'Samedi S1'!AB31</f>
        <v>0</v>
      </c>
      <c r="AC31" s="10">
        <f>+'Lundi S1'!AC32+'Mardi S1'!AC32+'Mercredi S1'!AC31+'Jeudi S1'!AC31+'Vendredi S1'!AC31+'Samedi S1'!AC31</f>
        <v>0</v>
      </c>
      <c r="AD31" s="10">
        <f>+'Lundi S1'!AD32+'Mardi S1'!AD32+'Mercredi S1'!AD31+'Jeudi S1'!AD31+'Vendredi S1'!AD31+'Samedi S1'!AD31</f>
        <v>0</v>
      </c>
      <c r="AE31" s="10">
        <f>+'Lundi S1'!AE32+'Mardi S1'!AE32+'Mercredi S1'!AE31+'Jeudi S1'!AE31+'Vendredi S1'!AE31+'Samedi S1'!AE31</f>
        <v>0</v>
      </c>
      <c r="AF31" s="11">
        <f>+'Lundi S1'!AF32+'Mardi S1'!AF32+'Mercredi S1'!AF31+'Jeudi S1'!AF31+'Vendredi S1'!AF31+'Samedi S1'!AF31</f>
        <v>0</v>
      </c>
      <c r="AG31" s="9">
        <f>+'Lundi S1'!AG32+'Mardi S1'!AG32+'Mercredi S1'!AG31+'Jeudi S1'!AG31+'Vendredi S1'!AG31+'Samedi S1'!AG31</f>
        <v>0</v>
      </c>
      <c r="AH31" s="10">
        <f>+'Lundi S1'!AH32+'Mardi S1'!AH32+'Mercredi S1'!AH31+'Jeudi S1'!AH31+'Vendredi S1'!AH31+'Samedi S1'!AH31</f>
        <v>0</v>
      </c>
      <c r="AI31" s="10">
        <f>+'Lundi S1'!AI32+'Mardi S1'!AI32+'Mercredi S1'!AI31+'Jeudi S1'!AI31+'Vendredi S1'!AI31+'Samedi S1'!AI31</f>
        <v>0</v>
      </c>
      <c r="AJ31" s="10">
        <f>+'Lundi S1'!AJ32+'Mardi S1'!AJ32+'Mercredi S1'!AJ31+'Jeudi S1'!AJ31+'Vendredi S1'!AJ31+'Samedi S1'!AJ31</f>
        <v>0</v>
      </c>
      <c r="AK31" s="11">
        <f>+'Lundi S1'!AK32+'Mardi S1'!AK32+'Mercredi S1'!AK31+'Jeudi S1'!AK31+'Vendredi S1'!AK31+'Samedi S1'!AK31</f>
        <v>0</v>
      </c>
      <c r="AL31" s="9">
        <f>+'Lundi S1'!AL32+'Mardi S1'!AL32+'Mercredi S1'!AL31+'Jeudi S1'!AL31+'Vendredi S1'!AL31+'Samedi S1'!AL31</f>
        <v>0</v>
      </c>
      <c r="AM31" s="10">
        <f>+'Lundi S1'!AM32+'Mardi S1'!AM32+'Mercredi S1'!AM31+'Jeudi S1'!AM31+'Vendredi S1'!AM31+'Samedi S1'!AM31</f>
        <v>0</v>
      </c>
      <c r="AN31" s="10">
        <f>+'Lundi S1'!AN32+'Mardi S1'!AN32+'Mercredi S1'!AN31+'Jeudi S1'!AN31+'Vendredi S1'!AN31+'Samedi S1'!AN31</f>
        <v>0</v>
      </c>
      <c r="AO31" s="10">
        <f>+'Lundi S1'!AO32+'Mardi S1'!AO32+'Mercredi S1'!AO31+'Jeudi S1'!AO31+'Vendredi S1'!AO31+'Samedi S1'!AO31</f>
        <v>0</v>
      </c>
      <c r="AP31" s="11">
        <f>+'Lundi S1'!AP32+'Mardi S1'!AP32+'Mercredi S1'!AP31+'Jeudi S1'!AP31+'Vendredi S1'!AP31+'Samedi S1'!AP31</f>
        <v>0</v>
      </c>
      <c r="AQ31" s="9">
        <f>+'Lundi S1'!AQ32+'Mardi S1'!AQ32+'Mercredi S1'!AQ31+'Jeudi S1'!AQ31+'Vendredi S1'!AQ31+'Samedi S1'!AQ31</f>
        <v>0</v>
      </c>
      <c r="AR31" s="10">
        <f>+'Lundi S1'!AR32+'Mardi S1'!AR32+'Mercredi S1'!AR31+'Jeudi S1'!AR31+'Vendredi S1'!AR31+'Samedi S1'!AR31</f>
        <v>0</v>
      </c>
      <c r="AS31" s="11">
        <f>+'Lundi S1'!AS32+'Mardi S1'!AS32+'Mercredi S1'!AS31+'Jeudi S1'!AS31+'Vendredi S1'!AS31+'Samedi S1'!AS31</f>
        <v>0</v>
      </c>
      <c r="AT31" s="22"/>
      <c r="AU31" s="14"/>
    </row>
    <row r="32" spans="1:47" ht="31.9" customHeight="1" x14ac:dyDescent="0.2">
      <c r="A32" s="26">
        <v>26</v>
      </c>
      <c r="B32" s="19"/>
      <c r="C32" s="9">
        <f>+'Lundi S1'!C33+'Mardi S1'!C33+'Mercredi S1'!C32+'Jeudi S1'!C32+'Vendredi S1'!C32+'Samedi S1'!C32</f>
        <v>90</v>
      </c>
      <c r="D32" s="10">
        <f>+'Lundi S1'!D33+'Mardi S1'!D33+'Mercredi S1'!D32+'Jeudi S1'!D32+'Vendredi S1'!D32+'Samedi S1'!D32</f>
        <v>18</v>
      </c>
      <c r="E32" s="10">
        <f>+'Lundi S1'!E33+'Mardi S1'!E33+'Mercredi S1'!E32+'Jeudi S1'!E32+'Vendredi S1'!E32+'Samedi S1'!E32</f>
        <v>30</v>
      </c>
      <c r="F32" s="10">
        <f>+'Lundi S1'!F33+'Mardi S1'!F33+'Mercredi S1'!F32+'Jeudi S1'!F32+'Vendredi S1'!F32+'Samedi S1'!F32</f>
        <v>12</v>
      </c>
      <c r="G32" s="11">
        <f>+'Lundi S1'!G33+'Mardi S1'!G33+'Mercredi S1'!G32+'Jeudi S1'!G32+'Vendredi S1'!G32+'Samedi S1'!G32</f>
        <v>30</v>
      </c>
      <c r="H32" s="9">
        <f>+'Lundi S1'!H33+'Mardi S1'!H33+'Mercredi S1'!H32+'Jeudi S1'!H32+'Vendredi S1'!H32+'Samedi S1'!H32</f>
        <v>18</v>
      </c>
      <c r="I32" s="10">
        <f>+'Lundi S1'!I33+'Mardi S1'!I33+'Mercredi S1'!I32+'Jeudi S1'!I32+'Vendredi S1'!I32+'Samedi S1'!I32</f>
        <v>6</v>
      </c>
      <c r="J32" s="10">
        <f>+'Lundi S1'!J33+'Mardi S1'!J33+'Mercredi S1'!J32+'Jeudi S1'!J32+'Vendredi S1'!J32+'Samedi S1'!J32</f>
        <v>6</v>
      </c>
      <c r="K32" s="10">
        <f>+'Lundi S1'!K33+'Mardi S1'!K33+'Mercredi S1'!K32+'Jeudi S1'!K32+'Vendredi S1'!K32+'Samedi S1'!K32</f>
        <v>6</v>
      </c>
      <c r="L32" s="11">
        <f>+'Lundi S1'!L33+'Mardi S1'!L33+'Mercredi S1'!L32+'Jeudi S1'!L32+'Vendredi S1'!L32+'Samedi S1'!L32</f>
        <v>6</v>
      </c>
      <c r="M32" s="9">
        <f>+'Lundi S1'!M33+'Mardi S1'!M33+'Mercredi S1'!M32+'Jeudi S1'!M32+'Vendredi S1'!M32+'Samedi S1'!M32</f>
        <v>18</v>
      </c>
      <c r="N32" s="10">
        <f>+'Lundi S1'!N33+'Mardi S1'!N33+'Mercredi S1'!N32+'Jeudi S1'!N32+'Vendredi S1'!N32+'Samedi S1'!N32</f>
        <v>6</v>
      </c>
      <c r="O32" s="10">
        <f>+'Lundi S1'!O33+'Mardi S1'!O33+'Mercredi S1'!O32+'Jeudi S1'!O32+'Vendredi S1'!O32+'Samedi S1'!O32</f>
        <v>18</v>
      </c>
      <c r="P32" s="10">
        <f>+'Lundi S1'!P33+'Mardi S1'!P33+'Mercredi S1'!P32+'Jeudi S1'!P32+'Vendredi S1'!P32+'Samedi S1'!P32</f>
        <v>0</v>
      </c>
      <c r="Q32" s="11">
        <f>+'Lundi S1'!Q33+'Mardi S1'!Q33+'Mercredi S1'!Q32+'Jeudi S1'!Q32+'Vendredi S1'!Q32+'Samedi S1'!Q32</f>
        <v>0</v>
      </c>
      <c r="R32" s="61">
        <f>+'Lundi S1'!R33+'Mardi S1'!R33+'Mercredi S1'!R32+'Jeudi S1'!R32+'Vendredi S1'!R32+'Samedi S1'!R32</f>
        <v>3</v>
      </c>
      <c r="S32" s="62">
        <f>+'Lundi S1'!S33+'Mardi S1'!S33+'Mercredi S1'!S32+'Jeudi S1'!S32+'Vendredi S1'!S32+'Samedi S1'!S32</f>
        <v>0.99999999999999989</v>
      </c>
      <c r="T32" s="62">
        <f>+'Lundi S1'!T33+'Mardi S1'!T33+'Mercredi S1'!T32+'Jeudi S1'!T32+'Vendredi S1'!T32+'Samedi S1'!T32</f>
        <v>0.6</v>
      </c>
      <c r="U32" s="62">
        <f>+'Lundi S1'!U33+'Mardi S1'!U33+'Mercredi S1'!U32+'Jeudi S1'!U32+'Vendredi S1'!U32+'Samedi S1'!U32</f>
        <v>3.6</v>
      </c>
      <c r="V32" s="63">
        <f>+'Lundi S1'!V33+'Mardi S1'!V33+'Mercredi S1'!V32+'Jeudi S1'!V32+'Vendredi S1'!V32+'Samedi S1'!V32</f>
        <v>0.9</v>
      </c>
      <c r="W32" s="9">
        <f>+'Lundi S1'!W33+'Mardi S1'!W33+'Mercredi S1'!W32+'Jeudi S1'!W32+'Vendredi S1'!W32+'Samedi S1'!W32</f>
        <v>0</v>
      </c>
      <c r="X32" s="10">
        <f>+'Lundi S1'!X33+'Mardi S1'!X33+'Mercredi S1'!X32+'Jeudi S1'!X32+'Vendredi S1'!X32+'Samedi S1'!X32</f>
        <v>0</v>
      </c>
      <c r="Y32" s="10">
        <f>+'Lundi S1'!Y33+'Mardi S1'!Y33+'Mercredi S1'!Y32+'Jeudi S1'!Y32+'Vendredi S1'!Y32+'Samedi S1'!Y32</f>
        <v>0</v>
      </c>
      <c r="Z32" s="10">
        <f>+'Lundi S1'!Z33+'Mardi S1'!Z33+'Mercredi S1'!Z32+'Jeudi S1'!Z32+'Vendredi S1'!Z32+'Samedi S1'!Z32</f>
        <v>0</v>
      </c>
      <c r="AA32" s="11">
        <f>+'Lundi S1'!AA33+'Mardi S1'!AA33+'Mercredi S1'!AA32+'Jeudi S1'!AA32+'Vendredi S1'!AA32+'Samedi S1'!AA32</f>
        <v>0</v>
      </c>
      <c r="AB32" s="9">
        <f>+'Lundi S1'!AB33+'Mardi S1'!AB33+'Mercredi S1'!AB32+'Jeudi S1'!AB32+'Vendredi S1'!AB32+'Samedi S1'!AB32</f>
        <v>0</v>
      </c>
      <c r="AC32" s="10">
        <f>+'Lundi S1'!AC33+'Mardi S1'!AC33+'Mercredi S1'!AC32+'Jeudi S1'!AC32+'Vendredi S1'!AC32+'Samedi S1'!AC32</f>
        <v>0</v>
      </c>
      <c r="AD32" s="10">
        <f>+'Lundi S1'!AD33+'Mardi S1'!AD33+'Mercredi S1'!AD32+'Jeudi S1'!AD32+'Vendredi S1'!AD32+'Samedi S1'!AD32</f>
        <v>0</v>
      </c>
      <c r="AE32" s="10">
        <f>+'Lundi S1'!AE33+'Mardi S1'!AE33+'Mercredi S1'!AE32+'Jeudi S1'!AE32+'Vendredi S1'!AE32+'Samedi S1'!AE32</f>
        <v>0</v>
      </c>
      <c r="AF32" s="11">
        <f>+'Lundi S1'!AF33+'Mardi S1'!AF33+'Mercredi S1'!AF32+'Jeudi S1'!AF32+'Vendredi S1'!AF32+'Samedi S1'!AF32</f>
        <v>0</v>
      </c>
      <c r="AG32" s="9">
        <f>+'Lundi S1'!AG33+'Mardi S1'!AG33+'Mercredi S1'!AG32+'Jeudi S1'!AG32+'Vendredi S1'!AG32+'Samedi S1'!AG32</f>
        <v>0</v>
      </c>
      <c r="AH32" s="10">
        <f>+'Lundi S1'!AH33+'Mardi S1'!AH33+'Mercredi S1'!AH32+'Jeudi S1'!AH32+'Vendredi S1'!AH32+'Samedi S1'!AH32</f>
        <v>0</v>
      </c>
      <c r="AI32" s="10">
        <f>+'Lundi S1'!AI33+'Mardi S1'!AI33+'Mercredi S1'!AI32+'Jeudi S1'!AI32+'Vendredi S1'!AI32+'Samedi S1'!AI32</f>
        <v>0</v>
      </c>
      <c r="AJ32" s="10">
        <f>+'Lundi S1'!AJ33+'Mardi S1'!AJ33+'Mercredi S1'!AJ32+'Jeudi S1'!AJ32+'Vendredi S1'!AJ32+'Samedi S1'!AJ32</f>
        <v>0</v>
      </c>
      <c r="AK32" s="11">
        <f>+'Lundi S1'!AK33+'Mardi S1'!AK33+'Mercredi S1'!AK32+'Jeudi S1'!AK32+'Vendredi S1'!AK32+'Samedi S1'!AK32</f>
        <v>0</v>
      </c>
      <c r="AL32" s="9">
        <f>+'Lundi S1'!AL33+'Mardi S1'!AL33+'Mercredi S1'!AL32+'Jeudi S1'!AL32+'Vendredi S1'!AL32+'Samedi S1'!AL32</f>
        <v>0</v>
      </c>
      <c r="AM32" s="10">
        <f>+'Lundi S1'!AM33+'Mardi S1'!AM33+'Mercredi S1'!AM32+'Jeudi S1'!AM32+'Vendredi S1'!AM32+'Samedi S1'!AM32</f>
        <v>0</v>
      </c>
      <c r="AN32" s="10">
        <f>+'Lundi S1'!AN33+'Mardi S1'!AN33+'Mercredi S1'!AN32+'Jeudi S1'!AN32+'Vendredi S1'!AN32+'Samedi S1'!AN32</f>
        <v>0</v>
      </c>
      <c r="AO32" s="10">
        <f>+'Lundi S1'!AO33+'Mardi S1'!AO33+'Mercredi S1'!AO32+'Jeudi S1'!AO32+'Vendredi S1'!AO32+'Samedi S1'!AO32</f>
        <v>0</v>
      </c>
      <c r="AP32" s="11">
        <f>+'Lundi S1'!AP33+'Mardi S1'!AP33+'Mercredi S1'!AP32+'Jeudi S1'!AP32+'Vendredi S1'!AP32+'Samedi S1'!AP32</f>
        <v>0</v>
      </c>
      <c r="AQ32" s="9">
        <f>+'Lundi S1'!AQ33+'Mardi S1'!AQ33+'Mercredi S1'!AQ32+'Jeudi S1'!AQ32+'Vendredi S1'!AQ32+'Samedi S1'!AQ32</f>
        <v>0</v>
      </c>
      <c r="AR32" s="10">
        <f>+'Lundi S1'!AR33+'Mardi S1'!AR33+'Mercredi S1'!AR32+'Jeudi S1'!AR32+'Vendredi S1'!AR32+'Samedi S1'!AR32</f>
        <v>0</v>
      </c>
      <c r="AS32" s="11">
        <f>+'Lundi S1'!AS33+'Mardi S1'!AS33+'Mercredi S1'!AS32+'Jeudi S1'!AS32+'Vendredi S1'!AS32+'Samedi S1'!AS32</f>
        <v>0</v>
      </c>
      <c r="AT32" s="22"/>
      <c r="AU32" s="14"/>
    </row>
    <row r="33" spans="1:47" ht="31.9" customHeight="1" x14ac:dyDescent="0.2">
      <c r="A33" s="26">
        <v>27</v>
      </c>
      <c r="B33" s="19"/>
      <c r="C33" s="9">
        <f>+'Lundi S1'!C34+'Mardi S1'!C34+'Mercredi S1'!C33+'Jeudi S1'!C33+'Vendredi S1'!C33+'Samedi S1'!C33</f>
        <v>90</v>
      </c>
      <c r="D33" s="10">
        <f>+'Lundi S1'!D34+'Mardi S1'!D34+'Mercredi S1'!D33+'Jeudi S1'!D33+'Vendredi S1'!D33+'Samedi S1'!D33</f>
        <v>18</v>
      </c>
      <c r="E33" s="10">
        <f>+'Lundi S1'!E34+'Mardi S1'!E34+'Mercredi S1'!E33+'Jeudi S1'!E33+'Vendredi S1'!E33+'Samedi S1'!E33</f>
        <v>30</v>
      </c>
      <c r="F33" s="10">
        <f>+'Lundi S1'!F34+'Mardi S1'!F34+'Mercredi S1'!F33+'Jeudi S1'!F33+'Vendredi S1'!F33+'Samedi S1'!F33</f>
        <v>12</v>
      </c>
      <c r="G33" s="11">
        <f>+'Lundi S1'!G34+'Mardi S1'!G34+'Mercredi S1'!G33+'Jeudi S1'!G33+'Vendredi S1'!G33+'Samedi S1'!G33</f>
        <v>30</v>
      </c>
      <c r="H33" s="9">
        <f>+'Lundi S1'!H34+'Mardi S1'!H34+'Mercredi S1'!H33+'Jeudi S1'!H33+'Vendredi S1'!H33+'Samedi S1'!H33</f>
        <v>18</v>
      </c>
      <c r="I33" s="10">
        <f>+'Lundi S1'!I34+'Mardi S1'!I34+'Mercredi S1'!I33+'Jeudi S1'!I33+'Vendredi S1'!I33+'Samedi S1'!I33</f>
        <v>6</v>
      </c>
      <c r="J33" s="10">
        <f>+'Lundi S1'!J34+'Mardi S1'!J34+'Mercredi S1'!J33+'Jeudi S1'!J33+'Vendredi S1'!J33+'Samedi S1'!J33</f>
        <v>6</v>
      </c>
      <c r="K33" s="10">
        <f>+'Lundi S1'!K34+'Mardi S1'!K34+'Mercredi S1'!K33+'Jeudi S1'!K33+'Vendredi S1'!K33+'Samedi S1'!K33</f>
        <v>6</v>
      </c>
      <c r="L33" s="11">
        <f>+'Lundi S1'!L34+'Mardi S1'!L34+'Mercredi S1'!L33+'Jeudi S1'!L33+'Vendredi S1'!L33+'Samedi S1'!L33</f>
        <v>6</v>
      </c>
      <c r="M33" s="9">
        <f>+'Lundi S1'!M34+'Mardi S1'!M34+'Mercredi S1'!M33+'Jeudi S1'!M33+'Vendredi S1'!M33+'Samedi S1'!M33</f>
        <v>18</v>
      </c>
      <c r="N33" s="10">
        <f>+'Lundi S1'!N34+'Mardi S1'!N34+'Mercredi S1'!N33+'Jeudi S1'!N33+'Vendredi S1'!N33+'Samedi S1'!N33</f>
        <v>6</v>
      </c>
      <c r="O33" s="10">
        <f>+'Lundi S1'!O34+'Mardi S1'!O34+'Mercredi S1'!O33+'Jeudi S1'!O33+'Vendredi S1'!O33+'Samedi S1'!O33</f>
        <v>18</v>
      </c>
      <c r="P33" s="10">
        <f>+'Lundi S1'!P34+'Mardi S1'!P34+'Mercredi S1'!P33+'Jeudi S1'!P33+'Vendredi S1'!P33+'Samedi S1'!P33</f>
        <v>0</v>
      </c>
      <c r="Q33" s="11">
        <f>+'Lundi S1'!Q34+'Mardi S1'!Q34+'Mercredi S1'!Q33+'Jeudi S1'!Q33+'Vendredi S1'!Q33+'Samedi S1'!Q33</f>
        <v>0</v>
      </c>
      <c r="R33" s="61">
        <f>+'Lundi S1'!R34+'Mardi S1'!R34+'Mercredi S1'!R33+'Jeudi S1'!R33+'Vendredi S1'!R33+'Samedi S1'!R33</f>
        <v>3</v>
      </c>
      <c r="S33" s="62">
        <f>+'Lundi S1'!S34+'Mardi S1'!S34+'Mercredi S1'!S33+'Jeudi S1'!S33+'Vendredi S1'!S33+'Samedi S1'!S33</f>
        <v>0.99999999999999989</v>
      </c>
      <c r="T33" s="62">
        <f>+'Lundi S1'!T34+'Mardi S1'!T34+'Mercredi S1'!T33+'Jeudi S1'!T33+'Vendredi S1'!T33+'Samedi S1'!T33</f>
        <v>0.6</v>
      </c>
      <c r="U33" s="62">
        <f>+'Lundi S1'!U34+'Mardi S1'!U34+'Mercredi S1'!U33+'Jeudi S1'!U33+'Vendredi S1'!U33+'Samedi S1'!U33</f>
        <v>3.6</v>
      </c>
      <c r="V33" s="63">
        <f>+'Lundi S1'!V34+'Mardi S1'!V34+'Mercredi S1'!V33+'Jeudi S1'!V33+'Vendredi S1'!V33+'Samedi S1'!V33</f>
        <v>0.9</v>
      </c>
      <c r="W33" s="9">
        <f>+'Lundi S1'!W34+'Mardi S1'!W34+'Mercredi S1'!W33+'Jeudi S1'!W33+'Vendredi S1'!W33+'Samedi S1'!W33</f>
        <v>0</v>
      </c>
      <c r="X33" s="10">
        <f>+'Lundi S1'!X34+'Mardi S1'!X34+'Mercredi S1'!X33+'Jeudi S1'!X33+'Vendredi S1'!X33+'Samedi S1'!X33</f>
        <v>0</v>
      </c>
      <c r="Y33" s="10">
        <f>+'Lundi S1'!Y34+'Mardi S1'!Y34+'Mercredi S1'!Y33+'Jeudi S1'!Y33+'Vendredi S1'!Y33+'Samedi S1'!Y33</f>
        <v>0</v>
      </c>
      <c r="Z33" s="10">
        <f>+'Lundi S1'!Z34+'Mardi S1'!Z34+'Mercredi S1'!Z33+'Jeudi S1'!Z33+'Vendredi S1'!Z33+'Samedi S1'!Z33</f>
        <v>0</v>
      </c>
      <c r="AA33" s="11">
        <f>+'Lundi S1'!AA34+'Mardi S1'!AA34+'Mercredi S1'!AA33+'Jeudi S1'!AA33+'Vendredi S1'!AA33+'Samedi S1'!AA33</f>
        <v>0</v>
      </c>
      <c r="AB33" s="9">
        <f>+'Lundi S1'!AB34+'Mardi S1'!AB34+'Mercredi S1'!AB33+'Jeudi S1'!AB33+'Vendredi S1'!AB33+'Samedi S1'!AB33</f>
        <v>0</v>
      </c>
      <c r="AC33" s="10">
        <f>+'Lundi S1'!AC34+'Mardi S1'!AC34+'Mercredi S1'!AC33+'Jeudi S1'!AC33+'Vendredi S1'!AC33+'Samedi S1'!AC33</f>
        <v>0</v>
      </c>
      <c r="AD33" s="10">
        <f>+'Lundi S1'!AD34+'Mardi S1'!AD34+'Mercredi S1'!AD33+'Jeudi S1'!AD33+'Vendredi S1'!AD33+'Samedi S1'!AD33</f>
        <v>0</v>
      </c>
      <c r="AE33" s="10">
        <f>+'Lundi S1'!AE34+'Mardi S1'!AE34+'Mercredi S1'!AE33+'Jeudi S1'!AE33+'Vendredi S1'!AE33+'Samedi S1'!AE33</f>
        <v>0</v>
      </c>
      <c r="AF33" s="11">
        <f>+'Lundi S1'!AF34+'Mardi S1'!AF34+'Mercredi S1'!AF33+'Jeudi S1'!AF33+'Vendredi S1'!AF33+'Samedi S1'!AF33</f>
        <v>0</v>
      </c>
      <c r="AG33" s="9">
        <f>+'Lundi S1'!AG34+'Mardi S1'!AG34+'Mercredi S1'!AG33+'Jeudi S1'!AG33+'Vendredi S1'!AG33+'Samedi S1'!AG33</f>
        <v>0</v>
      </c>
      <c r="AH33" s="10">
        <f>+'Lundi S1'!AH34+'Mardi S1'!AH34+'Mercredi S1'!AH33+'Jeudi S1'!AH33+'Vendredi S1'!AH33+'Samedi S1'!AH33</f>
        <v>0</v>
      </c>
      <c r="AI33" s="10">
        <f>+'Lundi S1'!AI34+'Mardi S1'!AI34+'Mercredi S1'!AI33+'Jeudi S1'!AI33+'Vendredi S1'!AI33+'Samedi S1'!AI33</f>
        <v>0</v>
      </c>
      <c r="AJ33" s="10">
        <f>+'Lundi S1'!AJ34+'Mardi S1'!AJ34+'Mercredi S1'!AJ33+'Jeudi S1'!AJ33+'Vendredi S1'!AJ33+'Samedi S1'!AJ33</f>
        <v>0</v>
      </c>
      <c r="AK33" s="11">
        <f>+'Lundi S1'!AK34+'Mardi S1'!AK34+'Mercredi S1'!AK33+'Jeudi S1'!AK33+'Vendredi S1'!AK33+'Samedi S1'!AK33</f>
        <v>0</v>
      </c>
      <c r="AL33" s="9">
        <f>+'Lundi S1'!AL34+'Mardi S1'!AL34+'Mercredi S1'!AL33+'Jeudi S1'!AL33+'Vendredi S1'!AL33+'Samedi S1'!AL33</f>
        <v>0</v>
      </c>
      <c r="AM33" s="10">
        <f>+'Lundi S1'!AM34+'Mardi S1'!AM34+'Mercredi S1'!AM33+'Jeudi S1'!AM33+'Vendredi S1'!AM33+'Samedi S1'!AM33</f>
        <v>0</v>
      </c>
      <c r="AN33" s="10">
        <f>+'Lundi S1'!AN34+'Mardi S1'!AN34+'Mercredi S1'!AN33+'Jeudi S1'!AN33+'Vendredi S1'!AN33+'Samedi S1'!AN33</f>
        <v>0</v>
      </c>
      <c r="AO33" s="10">
        <f>+'Lundi S1'!AO34+'Mardi S1'!AO34+'Mercredi S1'!AO33+'Jeudi S1'!AO33+'Vendredi S1'!AO33+'Samedi S1'!AO33</f>
        <v>0</v>
      </c>
      <c r="AP33" s="11">
        <f>+'Lundi S1'!AP34+'Mardi S1'!AP34+'Mercredi S1'!AP33+'Jeudi S1'!AP33+'Vendredi S1'!AP33+'Samedi S1'!AP33</f>
        <v>0</v>
      </c>
      <c r="AQ33" s="9">
        <f>+'Lundi S1'!AQ34+'Mardi S1'!AQ34+'Mercredi S1'!AQ33+'Jeudi S1'!AQ33+'Vendredi S1'!AQ33+'Samedi S1'!AQ33</f>
        <v>0</v>
      </c>
      <c r="AR33" s="10">
        <f>+'Lundi S1'!AR34+'Mardi S1'!AR34+'Mercredi S1'!AR33+'Jeudi S1'!AR33+'Vendredi S1'!AR33+'Samedi S1'!AR33</f>
        <v>0</v>
      </c>
      <c r="AS33" s="11">
        <f>+'Lundi S1'!AS34+'Mardi S1'!AS34+'Mercredi S1'!AS33+'Jeudi S1'!AS33+'Vendredi S1'!AS33+'Samedi S1'!AS33</f>
        <v>0</v>
      </c>
      <c r="AT33" s="23"/>
      <c r="AU33" s="14"/>
    </row>
    <row r="34" spans="1:47" ht="31.9" customHeight="1" x14ac:dyDescent="0.2">
      <c r="A34" s="26">
        <v>28</v>
      </c>
      <c r="B34" s="19"/>
      <c r="C34" s="9">
        <f>+'Lundi S1'!C35+'Mardi S1'!C35+'Mercredi S1'!C34+'Jeudi S1'!C34+'Vendredi S1'!C34+'Samedi S1'!C34</f>
        <v>90</v>
      </c>
      <c r="D34" s="10">
        <f>+'Lundi S1'!D35+'Mardi S1'!D35+'Mercredi S1'!D34+'Jeudi S1'!D34+'Vendredi S1'!D34+'Samedi S1'!D34</f>
        <v>18</v>
      </c>
      <c r="E34" s="10">
        <f>+'Lundi S1'!E35+'Mardi S1'!E35+'Mercredi S1'!E34+'Jeudi S1'!E34+'Vendredi S1'!E34+'Samedi S1'!E34</f>
        <v>30</v>
      </c>
      <c r="F34" s="10">
        <f>+'Lundi S1'!F35+'Mardi S1'!F35+'Mercredi S1'!F34+'Jeudi S1'!F34+'Vendredi S1'!F34+'Samedi S1'!F34</f>
        <v>12</v>
      </c>
      <c r="G34" s="11">
        <f>+'Lundi S1'!G35+'Mardi S1'!G35+'Mercredi S1'!G34+'Jeudi S1'!G34+'Vendredi S1'!G34+'Samedi S1'!G34</f>
        <v>30</v>
      </c>
      <c r="H34" s="9">
        <f>+'Lundi S1'!H35+'Mardi S1'!H35+'Mercredi S1'!H34+'Jeudi S1'!H34+'Vendredi S1'!H34+'Samedi S1'!H34</f>
        <v>18</v>
      </c>
      <c r="I34" s="10">
        <f>+'Lundi S1'!I35+'Mardi S1'!I35+'Mercredi S1'!I34+'Jeudi S1'!I34+'Vendredi S1'!I34+'Samedi S1'!I34</f>
        <v>6</v>
      </c>
      <c r="J34" s="10">
        <f>+'Lundi S1'!J35+'Mardi S1'!J35+'Mercredi S1'!J34+'Jeudi S1'!J34+'Vendredi S1'!J34+'Samedi S1'!J34</f>
        <v>6</v>
      </c>
      <c r="K34" s="10">
        <f>+'Lundi S1'!K35+'Mardi S1'!K35+'Mercredi S1'!K34+'Jeudi S1'!K34+'Vendredi S1'!K34+'Samedi S1'!K34</f>
        <v>6</v>
      </c>
      <c r="L34" s="11">
        <f>+'Lundi S1'!L35+'Mardi S1'!L35+'Mercredi S1'!L34+'Jeudi S1'!L34+'Vendredi S1'!L34+'Samedi S1'!L34</f>
        <v>6</v>
      </c>
      <c r="M34" s="9">
        <f>+'Lundi S1'!M35+'Mardi S1'!M35+'Mercredi S1'!M34+'Jeudi S1'!M34+'Vendredi S1'!M34+'Samedi S1'!M34</f>
        <v>18</v>
      </c>
      <c r="N34" s="10">
        <f>+'Lundi S1'!N35+'Mardi S1'!N35+'Mercredi S1'!N34+'Jeudi S1'!N34+'Vendredi S1'!N34+'Samedi S1'!N34</f>
        <v>6</v>
      </c>
      <c r="O34" s="10">
        <f>+'Lundi S1'!O35+'Mardi S1'!O35+'Mercredi S1'!O34+'Jeudi S1'!O34+'Vendredi S1'!O34+'Samedi S1'!O34</f>
        <v>18</v>
      </c>
      <c r="P34" s="10">
        <f>+'Lundi S1'!P35+'Mardi S1'!P35+'Mercredi S1'!P34+'Jeudi S1'!P34+'Vendredi S1'!P34+'Samedi S1'!P34</f>
        <v>0</v>
      </c>
      <c r="Q34" s="11">
        <f>+'Lundi S1'!Q35+'Mardi S1'!Q35+'Mercredi S1'!Q34+'Jeudi S1'!Q34+'Vendredi S1'!Q34+'Samedi S1'!Q34</f>
        <v>0</v>
      </c>
      <c r="R34" s="61">
        <f>+'Lundi S1'!R35+'Mardi S1'!R35+'Mercredi S1'!R34+'Jeudi S1'!R34+'Vendredi S1'!R34+'Samedi S1'!R34</f>
        <v>3</v>
      </c>
      <c r="S34" s="62">
        <f>+'Lundi S1'!S35+'Mardi S1'!S35+'Mercredi S1'!S34+'Jeudi S1'!S34+'Vendredi S1'!S34+'Samedi S1'!S34</f>
        <v>0.99999999999999989</v>
      </c>
      <c r="T34" s="62">
        <f>+'Lundi S1'!T35+'Mardi S1'!T35+'Mercredi S1'!T34+'Jeudi S1'!T34+'Vendredi S1'!T34+'Samedi S1'!T34</f>
        <v>0.6</v>
      </c>
      <c r="U34" s="62">
        <f>+'Lundi S1'!U35+'Mardi S1'!U35+'Mercredi S1'!U34+'Jeudi S1'!U34+'Vendredi S1'!U34+'Samedi S1'!U34</f>
        <v>3.6</v>
      </c>
      <c r="V34" s="63">
        <f>+'Lundi S1'!V35+'Mardi S1'!V35+'Mercredi S1'!V34+'Jeudi S1'!V34+'Vendredi S1'!V34+'Samedi S1'!V34</f>
        <v>0.9</v>
      </c>
      <c r="W34" s="9">
        <f>+'Lundi S1'!W35+'Mardi S1'!W35+'Mercredi S1'!W34+'Jeudi S1'!W34+'Vendredi S1'!W34+'Samedi S1'!W34</f>
        <v>0</v>
      </c>
      <c r="X34" s="10">
        <f>+'Lundi S1'!X35+'Mardi S1'!X35+'Mercredi S1'!X34+'Jeudi S1'!X34+'Vendredi S1'!X34+'Samedi S1'!X34</f>
        <v>0</v>
      </c>
      <c r="Y34" s="10">
        <f>+'Lundi S1'!Y35+'Mardi S1'!Y35+'Mercredi S1'!Y34+'Jeudi S1'!Y34+'Vendredi S1'!Y34+'Samedi S1'!Y34</f>
        <v>0</v>
      </c>
      <c r="Z34" s="10">
        <f>+'Lundi S1'!Z35+'Mardi S1'!Z35+'Mercredi S1'!Z34+'Jeudi S1'!Z34+'Vendredi S1'!Z34+'Samedi S1'!Z34</f>
        <v>0</v>
      </c>
      <c r="AA34" s="11">
        <f>+'Lundi S1'!AA35+'Mardi S1'!AA35+'Mercredi S1'!AA34+'Jeudi S1'!AA34+'Vendredi S1'!AA34+'Samedi S1'!AA34</f>
        <v>0</v>
      </c>
      <c r="AB34" s="9">
        <f>+'Lundi S1'!AB35+'Mardi S1'!AB35+'Mercredi S1'!AB34+'Jeudi S1'!AB34+'Vendredi S1'!AB34+'Samedi S1'!AB34</f>
        <v>0</v>
      </c>
      <c r="AC34" s="10">
        <f>+'Lundi S1'!AC35+'Mardi S1'!AC35+'Mercredi S1'!AC34+'Jeudi S1'!AC34+'Vendredi S1'!AC34+'Samedi S1'!AC34</f>
        <v>0</v>
      </c>
      <c r="AD34" s="10">
        <f>+'Lundi S1'!AD35+'Mardi S1'!AD35+'Mercredi S1'!AD34+'Jeudi S1'!AD34+'Vendredi S1'!AD34+'Samedi S1'!AD34</f>
        <v>0</v>
      </c>
      <c r="AE34" s="10">
        <f>+'Lundi S1'!AE35+'Mardi S1'!AE35+'Mercredi S1'!AE34+'Jeudi S1'!AE34+'Vendredi S1'!AE34+'Samedi S1'!AE34</f>
        <v>0</v>
      </c>
      <c r="AF34" s="11">
        <f>+'Lundi S1'!AF35+'Mardi S1'!AF35+'Mercredi S1'!AF34+'Jeudi S1'!AF34+'Vendredi S1'!AF34+'Samedi S1'!AF34</f>
        <v>0</v>
      </c>
      <c r="AG34" s="9">
        <f>+'Lundi S1'!AG35+'Mardi S1'!AG35+'Mercredi S1'!AG34+'Jeudi S1'!AG34+'Vendredi S1'!AG34+'Samedi S1'!AG34</f>
        <v>0</v>
      </c>
      <c r="AH34" s="10">
        <f>+'Lundi S1'!AH35+'Mardi S1'!AH35+'Mercredi S1'!AH34+'Jeudi S1'!AH34+'Vendredi S1'!AH34+'Samedi S1'!AH34</f>
        <v>0</v>
      </c>
      <c r="AI34" s="10">
        <f>+'Lundi S1'!AI35+'Mardi S1'!AI35+'Mercredi S1'!AI34+'Jeudi S1'!AI34+'Vendredi S1'!AI34+'Samedi S1'!AI34</f>
        <v>0</v>
      </c>
      <c r="AJ34" s="10">
        <f>+'Lundi S1'!AJ35+'Mardi S1'!AJ35+'Mercredi S1'!AJ34+'Jeudi S1'!AJ34+'Vendredi S1'!AJ34+'Samedi S1'!AJ34</f>
        <v>0</v>
      </c>
      <c r="AK34" s="11">
        <f>+'Lundi S1'!AK35+'Mardi S1'!AK35+'Mercredi S1'!AK34+'Jeudi S1'!AK34+'Vendredi S1'!AK34+'Samedi S1'!AK34</f>
        <v>0</v>
      </c>
      <c r="AL34" s="9">
        <f>+'Lundi S1'!AL35+'Mardi S1'!AL35+'Mercredi S1'!AL34+'Jeudi S1'!AL34+'Vendredi S1'!AL34+'Samedi S1'!AL34</f>
        <v>0</v>
      </c>
      <c r="AM34" s="10">
        <f>+'Lundi S1'!AM35+'Mardi S1'!AM35+'Mercredi S1'!AM34+'Jeudi S1'!AM34+'Vendredi S1'!AM34+'Samedi S1'!AM34</f>
        <v>0</v>
      </c>
      <c r="AN34" s="10">
        <f>+'Lundi S1'!AN35+'Mardi S1'!AN35+'Mercredi S1'!AN34+'Jeudi S1'!AN34+'Vendredi S1'!AN34+'Samedi S1'!AN34</f>
        <v>0</v>
      </c>
      <c r="AO34" s="10">
        <f>+'Lundi S1'!AO35+'Mardi S1'!AO35+'Mercredi S1'!AO34+'Jeudi S1'!AO34+'Vendredi S1'!AO34+'Samedi S1'!AO34</f>
        <v>0</v>
      </c>
      <c r="AP34" s="11">
        <f>+'Lundi S1'!AP35+'Mardi S1'!AP35+'Mercredi S1'!AP34+'Jeudi S1'!AP34+'Vendredi S1'!AP34+'Samedi S1'!AP34</f>
        <v>0</v>
      </c>
      <c r="AQ34" s="9">
        <f>+'Lundi S1'!AQ35+'Mardi S1'!AQ35+'Mercredi S1'!AQ34+'Jeudi S1'!AQ34+'Vendredi S1'!AQ34+'Samedi S1'!AQ34</f>
        <v>0</v>
      </c>
      <c r="AR34" s="10">
        <f>+'Lundi S1'!AR35+'Mardi S1'!AR35+'Mercredi S1'!AR34+'Jeudi S1'!AR34+'Vendredi S1'!AR34+'Samedi S1'!AR34</f>
        <v>0</v>
      </c>
      <c r="AS34" s="11">
        <f>+'Lundi S1'!AS35+'Mardi S1'!AS35+'Mercredi S1'!AS34+'Jeudi S1'!AS34+'Vendredi S1'!AS34+'Samedi S1'!AS34</f>
        <v>0</v>
      </c>
      <c r="AT34" s="24"/>
      <c r="AU34" s="13"/>
    </row>
    <row r="35" spans="1:47" ht="31.9" customHeight="1" x14ac:dyDescent="0.2">
      <c r="A35" s="26">
        <v>29</v>
      </c>
      <c r="B35" s="19"/>
      <c r="C35" s="9">
        <f>+'Lundi S1'!C36+'Mardi S1'!C36+'Mercredi S1'!C35+'Jeudi S1'!C35+'Vendredi S1'!C35+'Samedi S1'!C35</f>
        <v>90</v>
      </c>
      <c r="D35" s="10">
        <f>+'Lundi S1'!D36+'Mardi S1'!D36+'Mercredi S1'!D35+'Jeudi S1'!D35+'Vendredi S1'!D35+'Samedi S1'!D35</f>
        <v>18</v>
      </c>
      <c r="E35" s="10">
        <f>+'Lundi S1'!E36+'Mardi S1'!E36+'Mercredi S1'!E35+'Jeudi S1'!E35+'Vendredi S1'!E35+'Samedi S1'!E35</f>
        <v>30</v>
      </c>
      <c r="F35" s="10">
        <f>+'Lundi S1'!F36+'Mardi S1'!F36+'Mercredi S1'!F35+'Jeudi S1'!F35+'Vendredi S1'!F35+'Samedi S1'!F35</f>
        <v>12</v>
      </c>
      <c r="G35" s="11">
        <f>+'Lundi S1'!G36+'Mardi S1'!G36+'Mercredi S1'!G35+'Jeudi S1'!G35+'Vendredi S1'!G35+'Samedi S1'!G35</f>
        <v>30</v>
      </c>
      <c r="H35" s="9">
        <f>+'Lundi S1'!H36+'Mardi S1'!H36+'Mercredi S1'!H35+'Jeudi S1'!H35+'Vendredi S1'!H35+'Samedi S1'!H35</f>
        <v>18</v>
      </c>
      <c r="I35" s="10">
        <f>+'Lundi S1'!I36+'Mardi S1'!I36+'Mercredi S1'!I35+'Jeudi S1'!I35+'Vendredi S1'!I35+'Samedi S1'!I35</f>
        <v>6</v>
      </c>
      <c r="J35" s="10">
        <f>+'Lundi S1'!J36+'Mardi S1'!J36+'Mercredi S1'!J35+'Jeudi S1'!J35+'Vendredi S1'!J35+'Samedi S1'!J35</f>
        <v>6</v>
      </c>
      <c r="K35" s="10">
        <f>+'Lundi S1'!K36+'Mardi S1'!K36+'Mercredi S1'!K35+'Jeudi S1'!K35+'Vendredi S1'!K35+'Samedi S1'!K35</f>
        <v>6</v>
      </c>
      <c r="L35" s="11">
        <f>+'Lundi S1'!L36+'Mardi S1'!L36+'Mercredi S1'!L35+'Jeudi S1'!L35+'Vendredi S1'!L35+'Samedi S1'!L35</f>
        <v>6</v>
      </c>
      <c r="M35" s="9">
        <f>+'Lundi S1'!M36+'Mardi S1'!M36+'Mercredi S1'!M35+'Jeudi S1'!M35+'Vendredi S1'!M35+'Samedi S1'!M35</f>
        <v>18</v>
      </c>
      <c r="N35" s="10">
        <f>+'Lundi S1'!N36+'Mardi S1'!N36+'Mercredi S1'!N35+'Jeudi S1'!N35+'Vendredi S1'!N35+'Samedi S1'!N35</f>
        <v>6</v>
      </c>
      <c r="O35" s="10">
        <f>+'Lundi S1'!O36+'Mardi S1'!O36+'Mercredi S1'!O35+'Jeudi S1'!O35+'Vendredi S1'!O35+'Samedi S1'!O35</f>
        <v>18</v>
      </c>
      <c r="P35" s="10">
        <f>+'Lundi S1'!P36+'Mardi S1'!P36+'Mercredi S1'!P35+'Jeudi S1'!P35+'Vendredi S1'!P35+'Samedi S1'!P35</f>
        <v>0</v>
      </c>
      <c r="Q35" s="11">
        <f>+'Lundi S1'!Q36+'Mardi S1'!Q36+'Mercredi S1'!Q35+'Jeudi S1'!Q35+'Vendredi S1'!Q35+'Samedi S1'!Q35</f>
        <v>0</v>
      </c>
      <c r="R35" s="61">
        <f>+'Lundi S1'!R36+'Mardi S1'!R36+'Mercredi S1'!R35+'Jeudi S1'!R35+'Vendredi S1'!R35+'Samedi S1'!R35</f>
        <v>3</v>
      </c>
      <c r="S35" s="62">
        <f>+'Lundi S1'!S36+'Mardi S1'!S36+'Mercredi S1'!S35+'Jeudi S1'!S35+'Vendredi S1'!S35+'Samedi S1'!S35</f>
        <v>0.99999999999999989</v>
      </c>
      <c r="T35" s="62">
        <f>+'Lundi S1'!T36+'Mardi S1'!T36+'Mercredi S1'!T35+'Jeudi S1'!T35+'Vendredi S1'!T35+'Samedi S1'!T35</f>
        <v>0.6</v>
      </c>
      <c r="U35" s="62">
        <f>+'Lundi S1'!U36+'Mardi S1'!U36+'Mercredi S1'!U35+'Jeudi S1'!U35+'Vendredi S1'!U35+'Samedi S1'!U35</f>
        <v>3.6</v>
      </c>
      <c r="V35" s="63">
        <f>+'Lundi S1'!V36+'Mardi S1'!V36+'Mercredi S1'!V35+'Jeudi S1'!V35+'Vendredi S1'!V35+'Samedi S1'!V35</f>
        <v>0.9</v>
      </c>
      <c r="W35" s="9">
        <f>+'Lundi S1'!W36+'Mardi S1'!W36+'Mercredi S1'!W35+'Jeudi S1'!W35+'Vendredi S1'!W35+'Samedi S1'!W35</f>
        <v>0</v>
      </c>
      <c r="X35" s="10">
        <f>+'Lundi S1'!X36+'Mardi S1'!X36+'Mercredi S1'!X35+'Jeudi S1'!X35+'Vendredi S1'!X35+'Samedi S1'!X35</f>
        <v>0</v>
      </c>
      <c r="Y35" s="10">
        <f>+'Lundi S1'!Y36+'Mardi S1'!Y36+'Mercredi S1'!Y35+'Jeudi S1'!Y35+'Vendredi S1'!Y35+'Samedi S1'!Y35</f>
        <v>0</v>
      </c>
      <c r="Z35" s="10">
        <f>+'Lundi S1'!Z36+'Mardi S1'!Z36+'Mercredi S1'!Z35+'Jeudi S1'!Z35+'Vendredi S1'!Z35+'Samedi S1'!Z35</f>
        <v>0</v>
      </c>
      <c r="AA35" s="11">
        <f>+'Lundi S1'!AA36+'Mardi S1'!AA36+'Mercredi S1'!AA35+'Jeudi S1'!AA35+'Vendredi S1'!AA35+'Samedi S1'!AA35</f>
        <v>0</v>
      </c>
      <c r="AB35" s="9">
        <f>+'Lundi S1'!AB36+'Mardi S1'!AB36+'Mercredi S1'!AB35+'Jeudi S1'!AB35+'Vendredi S1'!AB35+'Samedi S1'!AB35</f>
        <v>0</v>
      </c>
      <c r="AC35" s="10">
        <f>+'Lundi S1'!AC36+'Mardi S1'!AC36+'Mercredi S1'!AC35+'Jeudi S1'!AC35+'Vendredi S1'!AC35+'Samedi S1'!AC35</f>
        <v>0</v>
      </c>
      <c r="AD35" s="10">
        <f>+'Lundi S1'!AD36+'Mardi S1'!AD36+'Mercredi S1'!AD35+'Jeudi S1'!AD35+'Vendredi S1'!AD35+'Samedi S1'!AD35</f>
        <v>0</v>
      </c>
      <c r="AE35" s="10">
        <f>+'Lundi S1'!AE36+'Mardi S1'!AE36+'Mercredi S1'!AE35+'Jeudi S1'!AE35+'Vendredi S1'!AE35+'Samedi S1'!AE35</f>
        <v>0</v>
      </c>
      <c r="AF35" s="11">
        <f>+'Lundi S1'!AF36+'Mardi S1'!AF36+'Mercredi S1'!AF35+'Jeudi S1'!AF35+'Vendredi S1'!AF35+'Samedi S1'!AF35</f>
        <v>0</v>
      </c>
      <c r="AG35" s="9">
        <f>+'Lundi S1'!AG36+'Mardi S1'!AG36+'Mercredi S1'!AG35+'Jeudi S1'!AG35+'Vendredi S1'!AG35+'Samedi S1'!AG35</f>
        <v>0</v>
      </c>
      <c r="AH35" s="10">
        <f>+'Lundi S1'!AH36+'Mardi S1'!AH36+'Mercredi S1'!AH35+'Jeudi S1'!AH35+'Vendredi S1'!AH35+'Samedi S1'!AH35</f>
        <v>0</v>
      </c>
      <c r="AI35" s="10">
        <f>+'Lundi S1'!AI36+'Mardi S1'!AI36+'Mercredi S1'!AI35+'Jeudi S1'!AI35+'Vendredi S1'!AI35+'Samedi S1'!AI35</f>
        <v>0</v>
      </c>
      <c r="AJ35" s="10">
        <f>+'Lundi S1'!AJ36+'Mardi S1'!AJ36+'Mercredi S1'!AJ35+'Jeudi S1'!AJ35+'Vendredi S1'!AJ35+'Samedi S1'!AJ35</f>
        <v>0</v>
      </c>
      <c r="AK35" s="11">
        <f>+'Lundi S1'!AK36+'Mardi S1'!AK36+'Mercredi S1'!AK35+'Jeudi S1'!AK35+'Vendredi S1'!AK35+'Samedi S1'!AK35</f>
        <v>0</v>
      </c>
      <c r="AL35" s="9">
        <f>+'Lundi S1'!AL36+'Mardi S1'!AL36+'Mercredi S1'!AL35+'Jeudi S1'!AL35+'Vendredi S1'!AL35+'Samedi S1'!AL35</f>
        <v>0</v>
      </c>
      <c r="AM35" s="10">
        <f>+'Lundi S1'!AM36+'Mardi S1'!AM36+'Mercredi S1'!AM35+'Jeudi S1'!AM35+'Vendredi S1'!AM35+'Samedi S1'!AM35</f>
        <v>0</v>
      </c>
      <c r="AN35" s="10">
        <f>+'Lundi S1'!AN36+'Mardi S1'!AN36+'Mercredi S1'!AN35+'Jeudi S1'!AN35+'Vendredi S1'!AN35+'Samedi S1'!AN35</f>
        <v>0</v>
      </c>
      <c r="AO35" s="10">
        <f>+'Lundi S1'!AO36+'Mardi S1'!AO36+'Mercredi S1'!AO35+'Jeudi S1'!AO35+'Vendredi S1'!AO35+'Samedi S1'!AO35</f>
        <v>0</v>
      </c>
      <c r="AP35" s="11">
        <f>+'Lundi S1'!AP36+'Mardi S1'!AP36+'Mercredi S1'!AP35+'Jeudi S1'!AP35+'Vendredi S1'!AP35+'Samedi S1'!AP35</f>
        <v>0</v>
      </c>
      <c r="AQ35" s="9">
        <f>+'Lundi S1'!AQ36+'Mardi S1'!AQ36+'Mercredi S1'!AQ35+'Jeudi S1'!AQ35+'Vendredi S1'!AQ35+'Samedi S1'!AQ35</f>
        <v>0</v>
      </c>
      <c r="AR35" s="10">
        <f>+'Lundi S1'!AR36+'Mardi S1'!AR36+'Mercredi S1'!AR35+'Jeudi S1'!AR35+'Vendredi S1'!AR35+'Samedi S1'!AR35</f>
        <v>0</v>
      </c>
      <c r="AS35" s="11">
        <f>+'Lundi S1'!AS36+'Mardi S1'!AS36+'Mercredi S1'!AS35+'Jeudi S1'!AS35+'Vendredi S1'!AS35+'Samedi S1'!AS35</f>
        <v>0</v>
      </c>
      <c r="AT35" s="24"/>
      <c r="AU35" s="12"/>
    </row>
    <row r="36" spans="1:47" ht="31.9" customHeight="1" thickBot="1" x14ac:dyDescent="0.25">
      <c r="A36" s="27">
        <v>30</v>
      </c>
      <c r="B36" s="28"/>
      <c r="C36" s="29">
        <f>+'Lundi S1'!C37+'Mardi S1'!C37+'Mercredi S1'!C36+'Jeudi S1'!C36+'Vendredi S1'!C36+'Samedi S1'!C36</f>
        <v>90</v>
      </c>
      <c r="D36" s="30">
        <f>+'Lundi S1'!D37+'Mardi S1'!D37+'Mercredi S1'!D36+'Jeudi S1'!D36+'Vendredi S1'!D36+'Samedi S1'!D36</f>
        <v>18</v>
      </c>
      <c r="E36" s="30">
        <f>+'Lundi S1'!E37+'Mardi S1'!E37+'Mercredi S1'!E36+'Jeudi S1'!E36+'Vendredi S1'!E36+'Samedi S1'!E36</f>
        <v>30</v>
      </c>
      <c r="F36" s="30">
        <f>+'Lundi S1'!F37+'Mardi S1'!F37+'Mercredi S1'!F36+'Jeudi S1'!F36+'Vendredi S1'!F36+'Samedi S1'!F36</f>
        <v>12</v>
      </c>
      <c r="G36" s="31">
        <f>+'Lundi S1'!G37+'Mardi S1'!G37+'Mercredi S1'!G36+'Jeudi S1'!G36+'Vendredi S1'!G36+'Samedi S1'!G36</f>
        <v>30</v>
      </c>
      <c r="H36" s="29">
        <f>+'Lundi S1'!H37+'Mardi S1'!H37+'Mercredi S1'!H36+'Jeudi S1'!H36+'Vendredi S1'!H36+'Samedi S1'!H36</f>
        <v>18</v>
      </c>
      <c r="I36" s="30">
        <f>+'Lundi S1'!I37+'Mardi S1'!I37+'Mercredi S1'!I36+'Jeudi S1'!I36+'Vendredi S1'!I36+'Samedi S1'!I36</f>
        <v>6</v>
      </c>
      <c r="J36" s="30">
        <f>+'Lundi S1'!J37+'Mardi S1'!J37+'Mercredi S1'!J36+'Jeudi S1'!J36+'Vendredi S1'!J36+'Samedi S1'!J36</f>
        <v>6</v>
      </c>
      <c r="K36" s="30">
        <f>+'Lundi S1'!K37+'Mardi S1'!K37+'Mercredi S1'!K36+'Jeudi S1'!K36+'Vendredi S1'!K36+'Samedi S1'!K36</f>
        <v>6</v>
      </c>
      <c r="L36" s="31">
        <f>+'Lundi S1'!L37+'Mardi S1'!L37+'Mercredi S1'!L36+'Jeudi S1'!L36+'Vendredi S1'!L36+'Samedi S1'!L36</f>
        <v>6</v>
      </c>
      <c r="M36" s="29">
        <f>+'Lundi S1'!M37+'Mardi S1'!M37+'Mercredi S1'!M36+'Jeudi S1'!M36+'Vendredi S1'!M36+'Samedi S1'!M36</f>
        <v>18</v>
      </c>
      <c r="N36" s="30">
        <f>+'Lundi S1'!N37+'Mardi S1'!N37+'Mercredi S1'!N36+'Jeudi S1'!N36+'Vendredi S1'!N36+'Samedi S1'!N36</f>
        <v>6</v>
      </c>
      <c r="O36" s="30">
        <f>+'Lundi S1'!O37+'Mardi S1'!O37+'Mercredi S1'!O36+'Jeudi S1'!O36+'Vendredi S1'!O36+'Samedi S1'!O36</f>
        <v>18</v>
      </c>
      <c r="P36" s="30">
        <f>+'Lundi S1'!P37+'Mardi S1'!P37+'Mercredi S1'!P36+'Jeudi S1'!P36+'Vendredi S1'!P36+'Samedi S1'!P36</f>
        <v>0</v>
      </c>
      <c r="Q36" s="31">
        <f>+'Lundi S1'!Q37+'Mardi S1'!Q37+'Mercredi S1'!Q36+'Jeudi S1'!Q36+'Vendredi S1'!Q36+'Samedi S1'!Q36</f>
        <v>0</v>
      </c>
      <c r="R36" s="64">
        <f>+'Lundi S1'!R37+'Mardi S1'!R37+'Mercredi S1'!R36+'Jeudi S1'!R36+'Vendredi S1'!R36+'Samedi S1'!R36</f>
        <v>3</v>
      </c>
      <c r="S36" s="65">
        <f>+'Lundi S1'!S37+'Mardi S1'!S37+'Mercredi S1'!S36+'Jeudi S1'!S36+'Vendredi S1'!S36+'Samedi S1'!S36</f>
        <v>0.99999999999999989</v>
      </c>
      <c r="T36" s="65">
        <f>+'Lundi S1'!T37+'Mardi S1'!T37+'Mercredi S1'!T36+'Jeudi S1'!T36+'Vendredi S1'!T36+'Samedi S1'!T36</f>
        <v>0.6</v>
      </c>
      <c r="U36" s="65">
        <f>+'Lundi S1'!U37+'Mardi S1'!U37+'Mercredi S1'!U36+'Jeudi S1'!U36+'Vendredi S1'!U36+'Samedi S1'!U36</f>
        <v>3.6</v>
      </c>
      <c r="V36" s="66">
        <f>+'Lundi S1'!V37+'Mardi S1'!V37+'Mercredi S1'!V36+'Jeudi S1'!V36+'Vendredi S1'!V36+'Samedi S1'!V36</f>
        <v>0.9</v>
      </c>
      <c r="W36" s="29">
        <f>+'Lundi S1'!W37+'Mardi S1'!W37+'Mercredi S1'!W36+'Jeudi S1'!W36+'Vendredi S1'!W36+'Samedi S1'!W36</f>
        <v>0</v>
      </c>
      <c r="X36" s="30">
        <f>+'Lundi S1'!X37+'Mardi S1'!X37+'Mercredi S1'!X36+'Jeudi S1'!X36+'Vendredi S1'!X36+'Samedi S1'!X36</f>
        <v>0</v>
      </c>
      <c r="Y36" s="30">
        <f>+'Lundi S1'!Y37+'Mardi S1'!Y37+'Mercredi S1'!Y36+'Jeudi S1'!Y36+'Vendredi S1'!Y36+'Samedi S1'!Y36</f>
        <v>0</v>
      </c>
      <c r="Z36" s="30">
        <f>+'Lundi S1'!Z37+'Mardi S1'!Z37+'Mercredi S1'!Z36+'Jeudi S1'!Z36+'Vendredi S1'!Z36+'Samedi S1'!Z36</f>
        <v>0</v>
      </c>
      <c r="AA36" s="31">
        <f>+'Lundi S1'!AA37+'Mardi S1'!AA37+'Mercredi S1'!AA36+'Jeudi S1'!AA36+'Vendredi S1'!AA36+'Samedi S1'!AA36</f>
        <v>0</v>
      </c>
      <c r="AB36" s="29">
        <f>+'Lundi S1'!AB37+'Mardi S1'!AB37+'Mercredi S1'!AB36+'Jeudi S1'!AB36+'Vendredi S1'!AB36+'Samedi S1'!AB36</f>
        <v>0</v>
      </c>
      <c r="AC36" s="30">
        <f>+'Lundi S1'!AC37+'Mardi S1'!AC37+'Mercredi S1'!AC36+'Jeudi S1'!AC36+'Vendredi S1'!AC36+'Samedi S1'!AC36</f>
        <v>0</v>
      </c>
      <c r="AD36" s="30">
        <f>+'Lundi S1'!AD37+'Mardi S1'!AD37+'Mercredi S1'!AD36+'Jeudi S1'!AD36+'Vendredi S1'!AD36+'Samedi S1'!AD36</f>
        <v>0</v>
      </c>
      <c r="AE36" s="30">
        <f>+'Lundi S1'!AE37+'Mardi S1'!AE37+'Mercredi S1'!AE36+'Jeudi S1'!AE36+'Vendredi S1'!AE36+'Samedi S1'!AE36</f>
        <v>0</v>
      </c>
      <c r="AF36" s="31">
        <f>+'Lundi S1'!AF37+'Mardi S1'!AF37+'Mercredi S1'!AF36+'Jeudi S1'!AF36+'Vendredi S1'!AF36+'Samedi S1'!AF36</f>
        <v>0</v>
      </c>
      <c r="AG36" s="29">
        <f>+'Lundi S1'!AG37+'Mardi S1'!AG37+'Mercredi S1'!AG36+'Jeudi S1'!AG36+'Vendredi S1'!AG36+'Samedi S1'!AG36</f>
        <v>0</v>
      </c>
      <c r="AH36" s="30">
        <f>+'Lundi S1'!AH37+'Mardi S1'!AH37+'Mercredi S1'!AH36+'Jeudi S1'!AH36+'Vendredi S1'!AH36+'Samedi S1'!AH36</f>
        <v>0</v>
      </c>
      <c r="AI36" s="30">
        <f>+'Lundi S1'!AI37+'Mardi S1'!AI37+'Mercredi S1'!AI36+'Jeudi S1'!AI36+'Vendredi S1'!AI36+'Samedi S1'!AI36</f>
        <v>0</v>
      </c>
      <c r="AJ36" s="30">
        <f>+'Lundi S1'!AJ37+'Mardi S1'!AJ37+'Mercredi S1'!AJ36+'Jeudi S1'!AJ36+'Vendredi S1'!AJ36+'Samedi S1'!AJ36</f>
        <v>0</v>
      </c>
      <c r="AK36" s="31">
        <f>+'Lundi S1'!AK37+'Mardi S1'!AK37+'Mercredi S1'!AK36+'Jeudi S1'!AK36+'Vendredi S1'!AK36+'Samedi S1'!AK36</f>
        <v>0</v>
      </c>
      <c r="AL36" s="29">
        <f>+'Lundi S1'!AL37+'Mardi S1'!AL37+'Mercredi S1'!AL36+'Jeudi S1'!AL36+'Vendredi S1'!AL36+'Samedi S1'!AL36</f>
        <v>0</v>
      </c>
      <c r="AM36" s="30">
        <f>+'Lundi S1'!AM37+'Mardi S1'!AM37+'Mercredi S1'!AM36+'Jeudi S1'!AM36+'Vendredi S1'!AM36+'Samedi S1'!AM36</f>
        <v>0</v>
      </c>
      <c r="AN36" s="30">
        <f>+'Lundi S1'!AN37+'Mardi S1'!AN37+'Mercredi S1'!AN36+'Jeudi S1'!AN36+'Vendredi S1'!AN36+'Samedi S1'!AN36</f>
        <v>0</v>
      </c>
      <c r="AO36" s="30">
        <f>+'Lundi S1'!AO37+'Mardi S1'!AO37+'Mercredi S1'!AO36+'Jeudi S1'!AO36+'Vendredi S1'!AO36+'Samedi S1'!AO36</f>
        <v>0</v>
      </c>
      <c r="AP36" s="31">
        <f>+'Lundi S1'!AP37+'Mardi S1'!AP37+'Mercredi S1'!AP36+'Jeudi S1'!AP36+'Vendredi S1'!AP36+'Samedi S1'!AP36</f>
        <v>0</v>
      </c>
      <c r="AQ36" s="29">
        <f>+'Lundi S1'!AQ37+'Mardi S1'!AQ37+'Mercredi S1'!AQ36+'Jeudi S1'!AQ36+'Vendredi S1'!AQ36+'Samedi S1'!AQ36</f>
        <v>0</v>
      </c>
      <c r="AR36" s="30">
        <f>+'Lundi S1'!AR37+'Mardi S1'!AR37+'Mercredi S1'!AR36+'Jeudi S1'!AR36+'Vendredi S1'!AR36+'Samedi S1'!AR36</f>
        <v>0</v>
      </c>
      <c r="AS36" s="31">
        <f>+'Lundi S1'!AS37+'Mardi S1'!AS37+'Mercredi S1'!AS36+'Jeudi S1'!AS36+'Vendredi S1'!AS36+'Samedi S1'!AS36</f>
        <v>0</v>
      </c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2700</v>
      </c>
      <c r="D37" s="40">
        <f t="shared" ref="D37:AS37" si="0">SUM(D7:D36)</f>
        <v>540</v>
      </c>
      <c r="E37" s="40">
        <f t="shared" si="0"/>
        <v>900</v>
      </c>
      <c r="F37" s="40">
        <f t="shared" si="0"/>
        <v>360</v>
      </c>
      <c r="G37" s="41">
        <f t="shared" si="0"/>
        <v>900</v>
      </c>
      <c r="H37" s="39">
        <f t="shared" si="0"/>
        <v>540</v>
      </c>
      <c r="I37" s="40">
        <f t="shared" si="0"/>
        <v>180</v>
      </c>
      <c r="J37" s="40">
        <f t="shared" si="0"/>
        <v>180</v>
      </c>
      <c r="K37" s="40">
        <f t="shared" si="0"/>
        <v>180</v>
      </c>
      <c r="L37" s="41">
        <f t="shared" si="0"/>
        <v>180</v>
      </c>
      <c r="M37" s="39">
        <f t="shared" si="0"/>
        <v>540</v>
      </c>
      <c r="N37" s="40">
        <f t="shared" si="0"/>
        <v>180</v>
      </c>
      <c r="O37" s="40">
        <f t="shared" si="0"/>
        <v>540</v>
      </c>
      <c r="P37" s="40">
        <f t="shared" si="0"/>
        <v>0</v>
      </c>
      <c r="Q37" s="41">
        <f t="shared" si="0"/>
        <v>0</v>
      </c>
      <c r="R37" s="39">
        <f>SUM(R7:R36)</f>
        <v>90</v>
      </c>
      <c r="S37" s="40">
        <f t="shared" si="0"/>
        <v>29.999999999999996</v>
      </c>
      <c r="T37" s="40">
        <f t="shared" si="0"/>
        <v>18</v>
      </c>
      <c r="U37" s="40">
        <f t="shared" si="0"/>
        <v>107.99999999999994</v>
      </c>
      <c r="V37" s="41">
        <f t="shared" si="0"/>
        <v>26.999999999999986</v>
      </c>
      <c r="W37" s="39">
        <f>SUM(W7:W36)</f>
        <v>4400</v>
      </c>
      <c r="X37" s="40">
        <f t="shared" si="0"/>
        <v>47</v>
      </c>
      <c r="Y37" s="40">
        <f t="shared" si="0"/>
        <v>95</v>
      </c>
      <c r="Z37" s="40">
        <f t="shared" si="0"/>
        <v>199</v>
      </c>
      <c r="AA37" s="41">
        <f t="shared" si="0"/>
        <v>80</v>
      </c>
      <c r="AB37" s="39">
        <f t="shared" si="0"/>
        <v>1234</v>
      </c>
      <c r="AC37" s="40">
        <f t="shared" si="0"/>
        <v>5</v>
      </c>
      <c r="AD37" s="40">
        <f t="shared" si="0"/>
        <v>26</v>
      </c>
      <c r="AE37" s="40">
        <f t="shared" si="0"/>
        <v>45</v>
      </c>
      <c r="AF37" s="41">
        <f t="shared" si="0"/>
        <v>17</v>
      </c>
      <c r="AG37" s="39">
        <f t="shared" si="0"/>
        <v>493</v>
      </c>
      <c r="AH37" s="40">
        <f t="shared" si="0"/>
        <v>1</v>
      </c>
      <c r="AI37" s="40">
        <f t="shared" si="0"/>
        <v>495</v>
      </c>
      <c r="AJ37" s="40">
        <f t="shared" si="0"/>
        <v>1</v>
      </c>
      <c r="AK37" s="41">
        <f t="shared" si="0"/>
        <v>1</v>
      </c>
      <c r="AL37" s="39">
        <f t="shared" si="0"/>
        <v>44.879999999999995</v>
      </c>
      <c r="AM37" s="40">
        <f t="shared" si="0"/>
        <v>1</v>
      </c>
      <c r="AN37" s="40">
        <f t="shared" si="0"/>
        <v>10.450000000000001</v>
      </c>
      <c r="AO37" s="40">
        <f t="shared" si="0"/>
        <v>56.04999999999999</v>
      </c>
      <c r="AP37" s="41">
        <f t="shared" si="0"/>
        <v>70</v>
      </c>
      <c r="AQ37" s="39">
        <f t="shared" si="0"/>
        <v>729</v>
      </c>
      <c r="AR37" s="40">
        <f t="shared" si="0"/>
        <v>1</v>
      </c>
      <c r="AS37" s="41">
        <f t="shared" si="0"/>
        <v>1199</v>
      </c>
      <c r="AT37" s="25">
        <f t="shared" ref="AT37:AU37" si="1">SUM(AT7:AT36)</f>
        <v>0</v>
      </c>
      <c r="AU37" s="2">
        <f t="shared" si="1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8C35-7135-4DF3-A2C9-001C07A2AA49}">
  <dimension ref="A2:AU37"/>
  <sheetViews>
    <sheetView zoomScale="56" zoomScaleNormal="56" workbookViewId="0">
      <pane xSplit="2" ySplit="6" topLeftCell="C7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455F-EC59-4857-9AD8-6BE25CEDE0D1}">
  <dimension ref="A2:AU37"/>
  <sheetViews>
    <sheetView zoomScale="56" zoomScaleNormal="56" workbookViewId="0">
      <pane xSplit="2" ySplit="6" topLeftCell="C7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3D79-BC77-4FC7-AAF0-C01844B213FA}">
  <dimension ref="A2:AU37"/>
  <sheetViews>
    <sheetView zoomScale="56" zoomScaleNormal="56" workbookViewId="0">
      <pane xSplit="2" ySplit="6" topLeftCell="C7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04C67-F213-4040-9158-520C0FEF679F}">
  <dimension ref="A2:AU37"/>
  <sheetViews>
    <sheetView zoomScale="56" zoomScaleNormal="56" workbookViewId="0">
      <pane xSplit="2" ySplit="6" topLeftCell="C7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C2DF-9809-4C54-800A-3172A7A05A74}">
  <dimension ref="A2:AU37"/>
  <sheetViews>
    <sheetView zoomScale="56" zoomScaleNormal="56" workbookViewId="0">
      <pane xSplit="2" ySplit="6" topLeftCell="C7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FDCE-40F3-48F8-A53B-B9CB94AC0E3E}">
  <dimension ref="A2:AU37"/>
  <sheetViews>
    <sheetView zoomScale="56" zoomScaleNormal="56" workbookViewId="0">
      <pane xSplit="2" ySplit="6" topLeftCell="C7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14C4-0CA7-4E3C-8C42-EA86B5F13D69}">
  <dimension ref="A2:AU37"/>
  <sheetViews>
    <sheetView zoomScale="56" zoomScaleNormal="56" workbookViewId="0">
      <pane xSplit="2" ySplit="6" topLeftCell="C34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3" width="11.28515625" style="38" customWidth="1"/>
    <col min="4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+'Lundi S2'!C7+'Mardi S2 '!C7+'Mercredi S2 '!C7+'Jeudi S2 '!C7+'Vendredi S2 '!C7+'Samedi S2'!C7</f>
        <v>90</v>
      </c>
      <c r="D7" s="7">
        <f>+'Lundi S2'!D7+'Mardi S2 '!D7+'Mercredi S2 '!D7+'Jeudi S2 '!D7+'Vendredi S2 '!D7+'Samedi S2'!D7</f>
        <v>18</v>
      </c>
      <c r="E7" s="7">
        <f>+'Lundi S2'!E7+'Mardi S2 '!E7+'Mercredi S2 '!E7+'Jeudi S2 '!E7+'Vendredi S2 '!E7+'Samedi S2'!E7</f>
        <v>30</v>
      </c>
      <c r="F7" s="7">
        <f>+'Lundi S2'!F7+'Mardi S2 '!F7+'Mercredi S2 '!F7+'Jeudi S2 '!F7+'Vendredi S2 '!F7+'Samedi S2'!F7</f>
        <v>12</v>
      </c>
      <c r="G7" s="8">
        <f>+'Lundi S2'!G7+'Mardi S2 '!G7+'Mercredi S2 '!G7+'Jeudi S2 '!G7+'Vendredi S2 '!G7+'Samedi S2'!G7</f>
        <v>30</v>
      </c>
      <c r="H7" s="6">
        <f>+'Lundi S2'!H7+'Mardi S2 '!H7+'Mercredi S2 '!H7+'Jeudi S2 '!H7+'Vendredi S2 '!H7+'Samedi S2'!H7</f>
        <v>18</v>
      </c>
      <c r="I7" s="7">
        <f>+'Lundi S2'!I7+'Mardi S2 '!I7+'Mercredi S2 '!I7+'Jeudi S2 '!I7+'Vendredi S2 '!I7+'Samedi S2'!I7</f>
        <v>6</v>
      </c>
      <c r="J7" s="7">
        <f>+'Lundi S2'!J7+'Mardi S2 '!J7+'Mercredi S2 '!J7+'Jeudi S2 '!J7+'Vendredi S2 '!J7+'Samedi S2'!J7</f>
        <v>6</v>
      </c>
      <c r="K7" s="7">
        <f>+'Lundi S2'!K7+'Mardi S2 '!K7+'Mercredi S2 '!K7+'Jeudi S2 '!K7+'Vendredi S2 '!K7+'Samedi S2'!K7</f>
        <v>6</v>
      </c>
      <c r="L7" s="8">
        <f>+'Lundi S2'!L7+'Mardi S2 '!L7+'Mercredi S2 '!L7+'Jeudi S2 '!L7+'Vendredi S2 '!L7+'Samedi S2'!L7</f>
        <v>6</v>
      </c>
      <c r="M7" s="6">
        <f>+'Lundi S2'!M7+'Mardi S2 '!M7+'Mercredi S2 '!M7+'Jeudi S2 '!M7+'Vendredi S2 '!M7+'Samedi S2'!M7</f>
        <v>18</v>
      </c>
      <c r="N7" s="7">
        <f>+'Lundi S2'!N7+'Mardi S2 '!N7+'Mercredi S2 '!N7+'Jeudi S2 '!N7+'Vendredi S2 '!N7+'Samedi S2'!N7</f>
        <v>6</v>
      </c>
      <c r="O7" s="7">
        <f>+'Lundi S2'!O7+'Mardi S2 '!O7+'Mercredi S2 '!O7+'Jeudi S2 '!O7+'Vendredi S2 '!O7+'Samedi S2'!O7</f>
        <v>18</v>
      </c>
      <c r="P7" s="7">
        <f>+'Lundi S2'!P7+'Mardi S2 '!P7+'Mercredi S2 '!P7+'Jeudi S2 '!P7+'Vendredi S2 '!P7+'Samedi S2'!P7</f>
        <v>0</v>
      </c>
      <c r="Q7" s="8">
        <f>+'Lundi S2'!Q7+'Mardi S2 '!Q7+'Mercredi S2 '!Q7+'Jeudi S2 '!Q7+'Vendredi S2 '!Q7+'Samedi S2'!Q7</f>
        <v>0</v>
      </c>
      <c r="R7" s="58">
        <f>+'Lundi S2'!R7+'Mardi S2 '!R7+'Mercredi S2 '!R7+'Jeudi S2 '!R7+'Vendredi S2 '!R7+'Samedi S2'!R7</f>
        <v>3</v>
      </c>
      <c r="S7" s="59">
        <f>+'Lundi S2'!S7+'Mardi S2 '!S7+'Mercredi S2 '!S7+'Jeudi S2 '!S7+'Vendredi S2 '!S7+'Samedi S2'!S7</f>
        <v>0.99999999999999989</v>
      </c>
      <c r="T7" s="59">
        <f>+'Lundi S2'!T7+'Mardi S2 '!T7+'Mercredi S2 '!T7+'Jeudi S2 '!T7+'Vendredi S2 '!T7+'Samedi S2'!T7</f>
        <v>0.6</v>
      </c>
      <c r="U7" s="59">
        <f>+'Lundi S2'!U7+'Mardi S2 '!U7+'Mercredi S2 '!U7+'Jeudi S2 '!U7+'Vendredi S2 '!U7+'Samedi S2'!U7</f>
        <v>3.6</v>
      </c>
      <c r="V7" s="60">
        <f>+'Lundi S2'!V7+'Mardi S2 '!V7+'Mercredi S2 '!V7+'Jeudi S2 '!V7+'Vendredi S2 '!V7+'Samedi S2'!V7</f>
        <v>0.9</v>
      </c>
      <c r="W7" s="6">
        <f>+'Lundi S2'!W7+'Mardi S2 '!W7+'Mercredi S2 '!W7+'Jeudi S2 '!W7+'Vendredi S2 '!W7+'Samedi S2'!W7</f>
        <v>6</v>
      </c>
      <c r="X7" s="7">
        <f>+'Lundi S2'!X7+'Mardi S2 '!X7+'Mercredi S2 '!X7+'Jeudi S2 '!X7+'Vendredi S2 '!X7+'Samedi S2'!X7</f>
        <v>6</v>
      </c>
      <c r="Y7" s="7">
        <f>+'Lundi S2'!Y7+'Mardi S2 '!Y7+'Mercredi S2 '!Y7+'Jeudi S2 '!Y7+'Vendredi S2 '!Y7+'Samedi S2'!Y7</f>
        <v>6</v>
      </c>
      <c r="Z7" s="7">
        <f>+'Lundi S2'!Z7+'Mardi S2 '!Z7+'Mercredi S2 '!Z7+'Jeudi S2 '!Z7+'Vendredi S2 '!Z7+'Samedi S2'!Z7</f>
        <v>6</v>
      </c>
      <c r="AA7" s="8">
        <f>+'Lundi S2'!AA7+'Mardi S2 '!AA7+'Mercredi S2 '!AA7+'Jeudi S2 '!AA7+'Vendredi S2 '!AA7+'Samedi S2'!AA7</f>
        <v>6</v>
      </c>
      <c r="AB7" s="6">
        <f>+'Lundi S2'!AB7+'Mardi S2 '!AB7+'Mercredi S2 '!AB7+'Jeudi S2 '!AB7+'Vendredi S2 '!AB7+'Samedi S2'!AB7</f>
        <v>6</v>
      </c>
      <c r="AC7" s="7">
        <f>+'Lundi S2'!AC7+'Mardi S2 '!AC7+'Mercredi S2 '!AC7+'Jeudi S2 '!AC7+'Vendredi S2 '!AC7+'Samedi S2'!AC7</f>
        <v>6</v>
      </c>
      <c r="AD7" s="7">
        <f>+'Lundi S2'!AD7+'Mardi S2 '!AD7+'Mercredi S2 '!AD7+'Jeudi S2 '!AD7+'Vendredi S2 '!AD7+'Samedi S2'!AD7</f>
        <v>6</v>
      </c>
      <c r="AE7" s="7">
        <f>+'Lundi S2'!AE7+'Mardi S2 '!AE7+'Mercredi S2 '!AE7+'Jeudi S2 '!AE7+'Vendredi S2 '!AE7+'Samedi S2'!AE7</f>
        <v>6</v>
      </c>
      <c r="AF7" s="8">
        <f>+'Lundi S2'!AF7+'Mardi S2 '!AF7+'Mercredi S2 '!AF7+'Jeudi S2 '!AF7+'Vendredi S2 '!AF7+'Samedi S2'!AF7</f>
        <v>6</v>
      </c>
      <c r="AG7" s="6">
        <f>+'Lundi S2'!AG7+'Mardi S2 '!AG7+'Mercredi S2 '!AG7+'Jeudi S2 '!AG7+'Vendredi S2 '!AG7+'Samedi S2'!AG7</f>
        <v>6</v>
      </c>
      <c r="AH7" s="7">
        <f>+'Lundi S2'!AH7+'Mardi S2 '!AH7+'Mercredi S2 '!AH7+'Jeudi S2 '!AH7+'Vendredi S2 '!AH7+'Samedi S2'!AH7</f>
        <v>6</v>
      </c>
      <c r="AI7" s="7">
        <f>+'Lundi S2'!AI7+'Mardi S2 '!AI7+'Mercredi S2 '!AI7+'Jeudi S2 '!AI7+'Vendredi S2 '!AI7+'Samedi S2'!AI7</f>
        <v>6</v>
      </c>
      <c r="AJ7" s="7">
        <f>+'Lundi S2'!AJ7+'Mardi S2 '!AJ7+'Mercredi S2 '!AJ7+'Jeudi S2 '!AJ7+'Vendredi S2 '!AJ7+'Samedi S2'!AJ7</f>
        <v>6</v>
      </c>
      <c r="AK7" s="8">
        <f>+'Lundi S2'!AK7+'Mardi S2 '!AK7+'Mercredi S2 '!AK7+'Jeudi S2 '!AK7+'Vendredi S2 '!AK7+'Samedi S2'!AK7</f>
        <v>6</v>
      </c>
      <c r="AL7" s="6">
        <f>+'Lundi S2'!AL7+'Mardi S2 '!AL7+'Mercredi S2 '!AL7+'Jeudi S2 '!AL7+'Vendredi S2 '!AL7+'Samedi S2'!AL7</f>
        <v>6</v>
      </c>
      <c r="AM7" s="7">
        <f>+'Lundi S2'!AM7+'Mardi S2 '!AM7+'Mercredi S2 '!AM7+'Jeudi S2 '!AM7+'Vendredi S2 '!AM7+'Samedi S2'!AM7</f>
        <v>6</v>
      </c>
      <c r="AN7" s="7">
        <f>+'Lundi S2'!AN7+'Mardi S2 '!AN7+'Mercredi S2 '!AN7+'Jeudi S2 '!AN7+'Vendredi S2 '!AN7+'Samedi S2'!AN7</f>
        <v>6</v>
      </c>
      <c r="AO7" s="7">
        <f>+'Lundi S2'!AO7+'Mardi S2 '!AO7+'Mercredi S2 '!AO7+'Jeudi S2 '!AO7+'Vendredi S2 '!AO7+'Samedi S2'!AO7</f>
        <v>6</v>
      </c>
      <c r="AP7" s="8">
        <f>+'Lundi S2'!AP7+'Mardi S2 '!AP7+'Mercredi S2 '!AP7+'Jeudi S2 '!AP7+'Vendredi S2 '!AP7+'Samedi S2'!AP7</f>
        <v>6</v>
      </c>
      <c r="AQ7" s="6">
        <f>+'Lundi S2'!AQ7+'Mardi S2 '!AQ7+'Mercredi S2 '!AQ7+'Jeudi S2 '!AQ7+'Vendredi S2 '!AQ7+'Samedi S2'!AQ7</f>
        <v>6</v>
      </c>
      <c r="AR7" s="7">
        <f>+'Lundi S2'!AR7+'Mardi S2 '!AR7+'Mercredi S2 '!AR7+'Jeudi S2 '!AR7+'Vendredi S2 '!AR7+'Samedi S2'!AR7</f>
        <v>6</v>
      </c>
      <c r="AS7" s="8">
        <f>+'Lundi S2'!AS7+'Mardi S2 '!AS7+'Mercredi S2 '!AS7+'Jeudi S2 '!AS7+'Vendredi S2 '!AS7+'Samedi S2'!AS7</f>
        <v>6</v>
      </c>
      <c r="AT7" s="20"/>
      <c r="AU7" s="15"/>
    </row>
    <row r="8" spans="1:47" ht="31.9" customHeight="1" x14ac:dyDescent="0.2">
      <c r="A8" s="26">
        <v>2</v>
      </c>
      <c r="B8" s="19"/>
      <c r="C8" s="9">
        <f>+'Lundi S2'!C8+'Mardi S2 '!C8+'Mercredi S2 '!C8+'Jeudi S2 '!C8+'Vendredi S2 '!C8+'Samedi S2'!C8</f>
        <v>90</v>
      </c>
      <c r="D8" s="10">
        <f>+'Lundi S2'!D8+'Mardi S2 '!D8+'Mercredi S2 '!D8+'Jeudi S2 '!D8+'Vendredi S2 '!D8+'Samedi S2'!D8</f>
        <v>18</v>
      </c>
      <c r="E8" s="10">
        <f>+'Lundi S2'!E8+'Mardi S2 '!E8+'Mercredi S2 '!E8+'Jeudi S2 '!E8+'Vendredi S2 '!E8+'Samedi S2'!E8</f>
        <v>30</v>
      </c>
      <c r="F8" s="10">
        <f>+'Lundi S2'!F8+'Mardi S2 '!F8+'Mercredi S2 '!F8+'Jeudi S2 '!F8+'Vendredi S2 '!F8+'Samedi S2'!F8</f>
        <v>12</v>
      </c>
      <c r="G8" s="11">
        <f>+'Lundi S2'!G8+'Mardi S2 '!G8+'Mercredi S2 '!G8+'Jeudi S2 '!G8+'Vendredi S2 '!G8+'Samedi S2'!G8</f>
        <v>30</v>
      </c>
      <c r="H8" s="9">
        <f>+'Lundi S2'!H8+'Mardi S2 '!H8+'Mercredi S2 '!H8+'Jeudi S2 '!H8+'Vendredi S2 '!H8+'Samedi S2'!H8</f>
        <v>18</v>
      </c>
      <c r="I8" s="10">
        <f>+'Lundi S2'!I8+'Mardi S2 '!I8+'Mercredi S2 '!I8+'Jeudi S2 '!I8+'Vendredi S2 '!I8+'Samedi S2'!I8</f>
        <v>6</v>
      </c>
      <c r="J8" s="10">
        <f>+'Lundi S2'!J8+'Mardi S2 '!J8+'Mercredi S2 '!J8+'Jeudi S2 '!J8+'Vendredi S2 '!J8+'Samedi S2'!J8</f>
        <v>6</v>
      </c>
      <c r="K8" s="10">
        <f>+'Lundi S2'!K8+'Mardi S2 '!K8+'Mercredi S2 '!K8+'Jeudi S2 '!K8+'Vendredi S2 '!K8+'Samedi S2'!K8</f>
        <v>6</v>
      </c>
      <c r="L8" s="11">
        <f>+'Lundi S2'!L8+'Mardi S2 '!L8+'Mercredi S2 '!L8+'Jeudi S2 '!L8+'Vendredi S2 '!L8+'Samedi S2'!L8</f>
        <v>6</v>
      </c>
      <c r="M8" s="9">
        <f>+'Lundi S2'!M8+'Mardi S2 '!M8+'Mercredi S2 '!M8+'Jeudi S2 '!M8+'Vendredi S2 '!M8+'Samedi S2'!M8</f>
        <v>18</v>
      </c>
      <c r="N8" s="10">
        <f>+'Lundi S2'!N8+'Mardi S2 '!N8+'Mercredi S2 '!N8+'Jeudi S2 '!N8+'Vendredi S2 '!N8+'Samedi S2'!N8</f>
        <v>6</v>
      </c>
      <c r="O8" s="10">
        <f>+'Lundi S2'!O8+'Mardi S2 '!O8+'Mercredi S2 '!O8+'Jeudi S2 '!O8+'Vendredi S2 '!O8+'Samedi S2'!O8</f>
        <v>18</v>
      </c>
      <c r="P8" s="10">
        <f>+'Lundi S2'!P8+'Mardi S2 '!P8+'Mercredi S2 '!P8+'Jeudi S2 '!P8+'Vendredi S2 '!P8+'Samedi S2'!P8</f>
        <v>0</v>
      </c>
      <c r="Q8" s="11">
        <f>+'Lundi S2'!Q8+'Mardi S2 '!Q8+'Mercredi S2 '!Q8+'Jeudi S2 '!Q8+'Vendredi S2 '!Q8+'Samedi S2'!Q8</f>
        <v>0</v>
      </c>
      <c r="R8" s="61">
        <f>+'Lundi S2'!R8+'Mardi S2 '!R8+'Mercredi S2 '!R8+'Jeudi S2 '!R8+'Vendredi S2 '!R8+'Samedi S2'!R8</f>
        <v>3</v>
      </c>
      <c r="S8" s="62">
        <f>+'Lundi S2'!S8+'Mardi S2 '!S8+'Mercredi S2 '!S8+'Jeudi S2 '!S8+'Vendredi S2 '!S8+'Samedi S2'!S8</f>
        <v>0.99999999999999989</v>
      </c>
      <c r="T8" s="62">
        <f>+'Lundi S2'!T8+'Mardi S2 '!T8+'Mercredi S2 '!T8+'Jeudi S2 '!T8+'Vendredi S2 '!T8+'Samedi S2'!T8</f>
        <v>0.6</v>
      </c>
      <c r="U8" s="62">
        <f>+'Lundi S2'!U8+'Mardi S2 '!U8+'Mercredi S2 '!U8+'Jeudi S2 '!U8+'Vendredi S2 '!U8+'Samedi S2'!U8</f>
        <v>3.6</v>
      </c>
      <c r="V8" s="63">
        <f>+'Lundi S2'!V8+'Mardi S2 '!V8+'Mercredi S2 '!V8+'Jeudi S2 '!V8+'Vendredi S2 '!V8+'Samedi S2'!V8</f>
        <v>0.9</v>
      </c>
      <c r="W8" s="9">
        <f>+'Lundi S2'!W8+'Mardi S2 '!W8+'Mercredi S2 '!W8+'Jeudi S2 '!W8+'Vendredi S2 '!W8+'Samedi S2'!W8</f>
        <v>0</v>
      </c>
      <c r="X8" s="10">
        <f>+'Lundi S2'!X8+'Mardi S2 '!X8+'Mercredi S2 '!X8+'Jeudi S2 '!X8+'Vendredi S2 '!X8+'Samedi S2'!X8</f>
        <v>0</v>
      </c>
      <c r="Y8" s="10">
        <f>+'Lundi S2'!Y8+'Mardi S2 '!Y8+'Mercredi S2 '!Y8+'Jeudi S2 '!Y8+'Vendredi S2 '!Y8+'Samedi S2'!Y8</f>
        <v>0</v>
      </c>
      <c r="Z8" s="10">
        <f>+'Lundi S2'!Z8+'Mardi S2 '!Z8+'Mercredi S2 '!Z8+'Jeudi S2 '!Z8+'Vendredi S2 '!Z8+'Samedi S2'!Z8</f>
        <v>0</v>
      </c>
      <c r="AA8" s="11">
        <f>+'Lundi S2'!AA8+'Mardi S2 '!AA8+'Mercredi S2 '!AA8+'Jeudi S2 '!AA8+'Vendredi S2 '!AA8+'Samedi S2'!AA8</f>
        <v>0</v>
      </c>
      <c r="AB8" s="9">
        <f>+'Lundi S2'!AB8+'Mardi S2 '!AB8+'Mercredi S2 '!AB8+'Jeudi S2 '!AB8+'Vendredi S2 '!AB8+'Samedi S2'!AB8</f>
        <v>0</v>
      </c>
      <c r="AC8" s="10">
        <f>+'Lundi S2'!AC8+'Mardi S2 '!AC8+'Mercredi S2 '!AC8+'Jeudi S2 '!AC8+'Vendredi S2 '!AC8+'Samedi S2'!AC8</f>
        <v>0</v>
      </c>
      <c r="AD8" s="10">
        <f>+'Lundi S2'!AD8+'Mardi S2 '!AD8+'Mercredi S2 '!AD8+'Jeudi S2 '!AD8+'Vendredi S2 '!AD8+'Samedi S2'!AD8</f>
        <v>0</v>
      </c>
      <c r="AE8" s="10">
        <f>+'Lundi S2'!AE8+'Mardi S2 '!AE8+'Mercredi S2 '!AE8+'Jeudi S2 '!AE8+'Vendredi S2 '!AE8+'Samedi S2'!AE8</f>
        <v>0</v>
      </c>
      <c r="AF8" s="11">
        <f>+'Lundi S2'!AF8+'Mardi S2 '!AF8+'Mercredi S2 '!AF8+'Jeudi S2 '!AF8+'Vendredi S2 '!AF8+'Samedi S2'!AF8</f>
        <v>0</v>
      </c>
      <c r="AG8" s="9">
        <f>+'Lundi S2'!AG8+'Mardi S2 '!AG8+'Mercredi S2 '!AG8+'Jeudi S2 '!AG8+'Vendredi S2 '!AG8+'Samedi S2'!AG8</f>
        <v>0</v>
      </c>
      <c r="AH8" s="10">
        <f>+'Lundi S2'!AH8+'Mardi S2 '!AH8+'Mercredi S2 '!AH8+'Jeudi S2 '!AH8+'Vendredi S2 '!AH8+'Samedi S2'!AH8</f>
        <v>0</v>
      </c>
      <c r="AI8" s="10">
        <f>+'Lundi S2'!AI8+'Mardi S2 '!AI8+'Mercredi S2 '!AI8+'Jeudi S2 '!AI8+'Vendredi S2 '!AI8+'Samedi S2'!AI8</f>
        <v>0</v>
      </c>
      <c r="AJ8" s="10">
        <f>+'Lundi S2'!AJ8+'Mardi S2 '!AJ8+'Mercredi S2 '!AJ8+'Jeudi S2 '!AJ8+'Vendredi S2 '!AJ8+'Samedi S2'!AJ8</f>
        <v>0</v>
      </c>
      <c r="AK8" s="11">
        <f>+'Lundi S2'!AK8+'Mardi S2 '!AK8+'Mercredi S2 '!AK8+'Jeudi S2 '!AK8+'Vendredi S2 '!AK8+'Samedi S2'!AK8</f>
        <v>0</v>
      </c>
      <c r="AL8" s="9">
        <f>+'Lundi S2'!AL8+'Mardi S2 '!AL8+'Mercredi S2 '!AL8+'Jeudi S2 '!AL8+'Vendredi S2 '!AL8+'Samedi S2'!AL8</f>
        <v>0</v>
      </c>
      <c r="AM8" s="10">
        <f>+'Lundi S2'!AM8+'Mardi S2 '!AM8+'Mercredi S2 '!AM8+'Jeudi S2 '!AM8+'Vendredi S2 '!AM8+'Samedi S2'!AM8</f>
        <v>0</v>
      </c>
      <c r="AN8" s="10">
        <f>+'Lundi S2'!AN8+'Mardi S2 '!AN8+'Mercredi S2 '!AN8+'Jeudi S2 '!AN8+'Vendredi S2 '!AN8+'Samedi S2'!AN8</f>
        <v>0</v>
      </c>
      <c r="AO8" s="10">
        <f>+'Lundi S2'!AO8+'Mardi S2 '!AO8+'Mercredi S2 '!AO8+'Jeudi S2 '!AO8+'Vendredi S2 '!AO8+'Samedi S2'!AO8</f>
        <v>0</v>
      </c>
      <c r="AP8" s="11">
        <f>+'Lundi S2'!AP8+'Mardi S2 '!AP8+'Mercredi S2 '!AP8+'Jeudi S2 '!AP8+'Vendredi S2 '!AP8+'Samedi S2'!AP8</f>
        <v>0</v>
      </c>
      <c r="AQ8" s="9">
        <f>+'Lundi S2'!AQ8+'Mardi S2 '!AQ8+'Mercredi S2 '!AQ8+'Jeudi S2 '!AQ8+'Vendredi S2 '!AQ8+'Samedi S2'!AQ8</f>
        <v>0</v>
      </c>
      <c r="AR8" s="10">
        <f>+'Lundi S2'!AR8+'Mardi S2 '!AR8+'Mercredi S2 '!AR8+'Jeudi S2 '!AR8+'Vendredi S2 '!AR8+'Samedi S2'!AR8</f>
        <v>0</v>
      </c>
      <c r="AS8" s="11">
        <f>+'Lundi S2'!AS8+'Mardi S2 '!AS8+'Mercredi S2 '!AS8+'Jeudi S2 '!AS8+'Vendredi S2 '!AS8+'Samedi S2'!AS8</f>
        <v>0</v>
      </c>
      <c r="AT8" s="21"/>
      <c r="AU8" s="14"/>
    </row>
    <row r="9" spans="1:47" ht="31.9" customHeight="1" x14ac:dyDescent="0.2">
      <c r="A9" s="26">
        <v>3</v>
      </c>
      <c r="B9" s="19"/>
      <c r="C9" s="9">
        <f>+'Lundi S2'!C9+'Mardi S2 '!C9+'Mercredi S2 '!C9+'Jeudi S2 '!C9+'Vendredi S2 '!C9+'Samedi S2'!C9</f>
        <v>90</v>
      </c>
      <c r="D9" s="10">
        <f>+'Lundi S2'!D9+'Mardi S2 '!D9+'Mercredi S2 '!D9+'Jeudi S2 '!D9+'Vendredi S2 '!D9+'Samedi S2'!D9</f>
        <v>18</v>
      </c>
      <c r="E9" s="10">
        <f>+'Lundi S2'!E9+'Mardi S2 '!E9+'Mercredi S2 '!E9+'Jeudi S2 '!E9+'Vendredi S2 '!E9+'Samedi S2'!E9</f>
        <v>30</v>
      </c>
      <c r="F9" s="10">
        <f>+'Lundi S2'!F9+'Mardi S2 '!F9+'Mercredi S2 '!F9+'Jeudi S2 '!F9+'Vendredi S2 '!F9+'Samedi S2'!F9</f>
        <v>12</v>
      </c>
      <c r="G9" s="11">
        <f>+'Lundi S2'!G9+'Mardi S2 '!G9+'Mercredi S2 '!G9+'Jeudi S2 '!G9+'Vendredi S2 '!G9+'Samedi S2'!G9</f>
        <v>30</v>
      </c>
      <c r="H9" s="9">
        <f>+'Lundi S2'!H9+'Mardi S2 '!H9+'Mercredi S2 '!H9+'Jeudi S2 '!H9+'Vendredi S2 '!H9+'Samedi S2'!H9</f>
        <v>18</v>
      </c>
      <c r="I9" s="10">
        <f>+'Lundi S2'!I9+'Mardi S2 '!I9+'Mercredi S2 '!I9+'Jeudi S2 '!I9+'Vendredi S2 '!I9+'Samedi S2'!I9</f>
        <v>6</v>
      </c>
      <c r="J9" s="10">
        <f>+'Lundi S2'!J9+'Mardi S2 '!J9+'Mercredi S2 '!J9+'Jeudi S2 '!J9+'Vendredi S2 '!J9+'Samedi S2'!J9</f>
        <v>6</v>
      </c>
      <c r="K9" s="10">
        <f>+'Lundi S2'!K9+'Mardi S2 '!K9+'Mercredi S2 '!K9+'Jeudi S2 '!K9+'Vendredi S2 '!K9+'Samedi S2'!K9</f>
        <v>6</v>
      </c>
      <c r="L9" s="11">
        <f>+'Lundi S2'!L9+'Mardi S2 '!L9+'Mercredi S2 '!L9+'Jeudi S2 '!L9+'Vendredi S2 '!L9+'Samedi S2'!L9</f>
        <v>6</v>
      </c>
      <c r="M9" s="9">
        <f>+'Lundi S2'!M9+'Mardi S2 '!M9+'Mercredi S2 '!M9+'Jeudi S2 '!M9+'Vendredi S2 '!M9+'Samedi S2'!M9</f>
        <v>18</v>
      </c>
      <c r="N9" s="10">
        <f>+'Lundi S2'!N9+'Mardi S2 '!N9+'Mercredi S2 '!N9+'Jeudi S2 '!N9+'Vendredi S2 '!N9+'Samedi S2'!N9</f>
        <v>6</v>
      </c>
      <c r="O9" s="10">
        <f>+'Lundi S2'!O9+'Mardi S2 '!O9+'Mercredi S2 '!O9+'Jeudi S2 '!O9+'Vendredi S2 '!O9+'Samedi S2'!O9</f>
        <v>18</v>
      </c>
      <c r="P9" s="10">
        <f>+'Lundi S2'!P9+'Mardi S2 '!P9+'Mercredi S2 '!P9+'Jeudi S2 '!P9+'Vendredi S2 '!P9+'Samedi S2'!P9</f>
        <v>0</v>
      </c>
      <c r="Q9" s="11">
        <f>+'Lundi S2'!Q9+'Mardi S2 '!Q9+'Mercredi S2 '!Q9+'Jeudi S2 '!Q9+'Vendredi S2 '!Q9+'Samedi S2'!Q9</f>
        <v>0</v>
      </c>
      <c r="R9" s="61">
        <f>+'Lundi S2'!R9+'Mardi S2 '!R9+'Mercredi S2 '!R9+'Jeudi S2 '!R9+'Vendredi S2 '!R9+'Samedi S2'!R9</f>
        <v>3</v>
      </c>
      <c r="S9" s="62">
        <f>+'Lundi S2'!S9+'Mardi S2 '!S9+'Mercredi S2 '!S9+'Jeudi S2 '!S9+'Vendredi S2 '!S9+'Samedi S2'!S9</f>
        <v>0.99999999999999989</v>
      </c>
      <c r="T9" s="62">
        <f>+'Lundi S2'!T9+'Mardi S2 '!T9+'Mercredi S2 '!T9+'Jeudi S2 '!T9+'Vendredi S2 '!T9+'Samedi S2'!T9</f>
        <v>0.6</v>
      </c>
      <c r="U9" s="62">
        <f>+'Lundi S2'!U9+'Mardi S2 '!U9+'Mercredi S2 '!U9+'Jeudi S2 '!U9+'Vendredi S2 '!U9+'Samedi S2'!U9</f>
        <v>3.6</v>
      </c>
      <c r="V9" s="63">
        <f>+'Lundi S2'!V9+'Mardi S2 '!V9+'Mercredi S2 '!V9+'Jeudi S2 '!V9+'Vendredi S2 '!V9+'Samedi S2'!V9</f>
        <v>0.9</v>
      </c>
      <c r="W9" s="9">
        <f>+'Lundi S2'!W9+'Mardi S2 '!W9+'Mercredi S2 '!W9+'Jeudi S2 '!W9+'Vendredi S2 '!W9+'Samedi S2'!W9</f>
        <v>0</v>
      </c>
      <c r="X9" s="10">
        <f>+'Lundi S2'!X9+'Mardi S2 '!X9+'Mercredi S2 '!X9+'Jeudi S2 '!X9+'Vendredi S2 '!X9+'Samedi S2'!X9</f>
        <v>0</v>
      </c>
      <c r="Y9" s="10">
        <f>+'Lundi S2'!Y9+'Mardi S2 '!Y9+'Mercredi S2 '!Y9+'Jeudi S2 '!Y9+'Vendredi S2 '!Y9+'Samedi S2'!Y9</f>
        <v>0</v>
      </c>
      <c r="Z9" s="10">
        <f>+'Lundi S2'!Z9+'Mardi S2 '!Z9+'Mercredi S2 '!Z9+'Jeudi S2 '!Z9+'Vendredi S2 '!Z9+'Samedi S2'!Z9</f>
        <v>0</v>
      </c>
      <c r="AA9" s="11">
        <f>+'Lundi S2'!AA9+'Mardi S2 '!AA9+'Mercredi S2 '!AA9+'Jeudi S2 '!AA9+'Vendredi S2 '!AA9+'Samedi S2'!AA9</f>
        <v>0</v>
      </c>
      <c r="AB9" s="9">
        <f>+'Lundi S2'!AB9+'Mardi S2 '!AB9+'Mercredi S2 '!AB9+'Jeudi S2 '!AB9+'Vendredi S2 '!AB9+'Samedi S2'!AB9</f>
        <v>0</v>
      </c>
      <c r="AC9" s="10">
        <f>+'Lundi S2'!AC9+'Mardi S2 '!AC9+'Mercredi S2 '!AC9+'Jeudi S2 '!AC9+'Vendredi S2 '!AC9+'Samedi S2'!AC9</f>
        <v>0</v>
      </c>
      <c r="AD9" s="10">
        <f>+'Lundi S2'!AD9+'Mardi S2 '!AD9+'Mercredi S2 '!AD9+'Jeudi S2 '!AD9+'Vendredi S2 '!AD9+'Samedi S2'!AD9</f>
        <v>0</v>
      </c>
      <c r="AE9" s="10">
        <f>+'Lundi S2'!AE9+'Mardi S2 '!AE9+'Mercredi S2 '!AE9+'Jeudi S2 '!AE9+'Vendredi S2 '!AE9+'Samedi S2'!AE9</f>
        <v>0</v>
      </c>
      <c r="AF9" s="11">
        <f>+'Lundi S2'!AF9+'Mardi S2 '!AF9+'Mercredi S2 '!AF9+'Jeudi S2 '!AF9+'Vendredi S2 '!AF9+'Samedi S2'!AF9</f>
        <v>0</v>
      </c>
      <c r="AG9" s="9">
        <f>+'Lundi S2'!AG9+'Mardi S2 '!AG9+'Mercredi S2 '!AG9+'Jeudi S2 '!AG9+'Vendredi S2 '!AG9+'Samedi S2'!AG9</f>
        <v>0</v>
      </c>
      <c r="AH9" s="10">
        <f>+'Lundi S2'!AH9+'Mardi S2 '!AH9+'Mercredi S2 '!AH9+'Jeudi S2 '!AH9+'Vendredi S2 '!AH9+'Samedi S2'!AH9</f>
        <v>0</v>
      </c>
      <c r="AI9" s="10">
        <f>+'Lundi S2'!AI9+'Mardi S2 '!AI9+'Mercredi S2 '!AI9+'Jeudi S2 '!AI9+'Vendredi S2 '!AI9+'Samedi S2'!AI9</f>
        <v>0</v>
      </c>
      <c r="AJ9" s="10">
        <f>+'Lundi S2'!AJ9+'Mardi S2 '!AJ9+'Mercredi S2 '!AJ9+'Jeudi S2 '!AJ9+'Vendredi S2 '!AJ9+'Samedi S2'!AJ9</f>
        <v>0</v>
      </c>
      <c r="AK9" s="11">
        <f>+'Lundi S2'!AK9+'Mardi S2 '!AK9+'Mercredi S2 '!AK9+'Jeudi S2 '!AK9+'Vendredi S2 '!AK9+'Samedi S2'!AK9</f>
        <v>0</v>
      </c>
      <c r="AL9" s="9">
        <f>+'Lundi S2'!AL9+'Mardi S2 '!AL9+'Mercredi S2 '!AL9+'Jeudi S2 '!AL9+'Vendredi S2 '!AL9+'Samedi S2'!AL9</f>
        <v>0</v>
      </c>
      <c r="AM9" s="10">
        <f>+'Lundi S2'!AM9+'Mardi S2 '!AM9+'Mercredi S2 '!AM9+'Jeudi S2 '!AM9+'Vendredi S2 '!AM9+'Samedi S2'!AM9</f>
        <v>0</v>
      </c>
      <c r="AN9" s="10">
        <f>+'Lundi S2'!AN9+'Mardi S2 '!AN9+'Mercredi S2 '!AN9+'Jeudi S2 '!AN9+'Vendredi S2 '!AN9+'Samedi S2'!AN9</f>
        <v>0</v>
      </c>
      <c r="AO9" s="10">
        <f>+'Lundi S2'!AO9+'Mardi S2 '!AO9+'Mercredi S2 '!AO9+'Jeudi S2 '!AO9+'Vendredi S2 '!AO9+'Samedi S2'!AO9</f>
        <v>0</v>
      </c>
      <c r="AP9" s="11">
        <f>+'Lundi S2'!AP9+'Mardi S2 '!AP9+'Mercredi S2 '!AP9+'Jeudi S2 '!AP9+'Vendredi S2 '!AP9+'Samedi S2'!AP9</f>
        <v>0</v>
      </c>
      <c r="AQ9" s="9">
        <f>+'Lundi S2'!AQ9+'Mardi S2 '!AQ9+'Mercredi S2 '!AQ9+'Jeudi S2 '!AQ9+'Vendredi S2 '!AQ9+'Samedi S2'!AQ9</f>
        <v>0</v>
      </c>
      <c r="AR9" s="10">
        <f>+'Lundi S2'!AR9+'Mardi S2 '!AR9+'Mercredi S2 '!AR9+'Jeudi S2 '!AR9+'Vendredi S2 '!AR9+'Samedi S2'!AR9</f>
        <v>0</v>
      </c>
      <c r="AS9" s="11">
        <f>+'Lundi S2'!AS9+'Mardi S2 '!AS9+'Mercredi S2 '!AS9+'Jeudi S2 '!AS9+'Vendredi S2 '!AS9+'Samedi S2'!AS9</f>
        <v>0</v>
      </c>
      <c r="AT9" s="22"/>
      <c r="AU9" s="14"/>
    </row>
    <row r="10" spans="1:47" ht="31.9" customHeight="1" x14ac:dyDescent="0.2">
      <c r="A10" s="26">
        <v>4</v>
      </c>
      <c r="B10" s="19"/>
      <c r="C10" s="9">
        <f>+'Lundi S2'!C10+'Mardi S2 '!C10+'Mercredi S2 '!C10+'Jeudi S2 '!C10+'Vendredi S2 '!C10+'Samedi S2'!C10</f>
        <v>90</v>
      </c>
      <c r="D10" s="10">
        <f>+'Lundi S2'!D10+'Mardi S2 '!D10+'Mercredi S2 '!D10+'Jeudi S2 '!D10+'Vendredi S2 '!D10+'Samedi S2'!D10</f>
        <v>18</v>
      </c>
      <c r="E10" s="10">
        <f>+'Lundi S2'!E10+'Mardi S2 '!E10+'Mercredi S2 '!E10+'Jeudi S2 '!E10+'Vendredi S2 '!E10+'Samedi S2'!E10</f>
        <v>30</v>
      </c>
      <c r="F10" s="10">
        <f>+'Lundi S2'!F10+'Mardi S2 '!F10+'Mercredi S2 '!F10+'Jeudi S2 '!F10+'Vendredi S2 '!F10+'Samedi S2'!F10</f>
        <v>12</v>
      </c>
      <c r="G10" s="11">
        <f>+'Lundi S2'!G10+'Mardi S2 '!G10+'Mercredi S2 '!G10+'Jeudi S2 '!G10+'Vendredi S2 '!G10+'Samedi S2'!G10</f>
        <v>30</v>
      </c>
      <c r="H10" s="9">
        <f>+'Lundi S2'!H10+'Mardi S2 '!H10+'Mercredi S2 '!H10+'Jeudi S2 '!H10+'Vendredi S2 '!H10+'Samedi S2'!H10</f>
        <v>18</v>
      </c>
      <c r="I10" s="10">
        <f>+'Lundi S2'!I10+'Mardi S2 '!I10+'Mercredi S2 '!I10+'Jeudi S2 '!I10+'Vendredi S2 '!I10+'Samedi S2'!I10</f>
        <v>6</v>
      </c>
      <c r="J10" s="10">
        <f>+'Lundi S2'!J10+'Mardi S2 '!J10+'Mercredi S2 '!J10+'Jeudi S2 '!J10+'Vendredi S2 '!J10+'Samedi S2'!J10</f>
        <v>6</v>
      </c>
      <c r="K10" s="10">
        <f>+'Lundi S2'!K10+'Mardi S2 '!K10+'Mercredi S2 '!K10+'Jeudi S2 '!K10+'Vendredi S2 '!K10+'Samedi S2'!K10</f>
        <v>6</v>
      </c>
      <c r="L10" s="11">
        <f>+'Lundi S2'!L10+'Mardi S2 '!L10+'Mercredi S2 '!L10+'Jeudi S2 '!L10+'Vendredi S2 '!L10+'Samedi S2'!L10</f>
        <v>6</v>
      </c>
      <c r="M10" s="9">
        <f>+'Lundi S2'!M10+'Mardi S2 '!M10+'Mercredi S2 '!M10+'Jeudi S2 '!M10+'Vendredi S2 '!M10+'Samedi S2'!M10</f>
        <v>18</v>
      </c>
      <c r="N10" s="10">
        <f>+'Lundi S2'!N10+'Mardi S2 '!N10+'Mercredi S2 '!N10+'Jeudi S2 '!N10+'Vendredi S2 '!N10+'Samedi S2'!N10</f>
        <v>6</v>
      </c>
      <c r="O10" s="10">
        <f>+'Lundi S2'!O10+'Mardi S2 '!O10+'Mercredi S2 '!O10+'Jeudi S2 '!O10+'Vendredi S2 '!O10+'Samedi S2'!O10</f>
        <v>18</v>
      </c>
      <c r="P10" s="10">
        <f>+'Lundi S2'!P10+'Mardi S2 '!P10+'Mercredi S2 '!P10+'Jeudi S2 '!P10+'Vendredi S2 '!P10+'Samedi S2'!P10</f>
        <v>0</v>
      </c>
      <c r="Q10" s="11">
        <f>+'Lundi S2'!Q10+'Mardi S2 '!Q10+'Mercredi S2 '!Q10+'Jeudi S2 '!Q10+'Vendredi S2 '!Q10+'Samedi S2'!Q10</f>
        <v>0</v>
      </c>
      <c r="R10" s="61">
        <f>+'Lundi S2'!R10+'Mardi S2 '!R10+'Mercredi S2 '!R10+'Jeudi S2 '!R10+'Vendredi S2 '!R10+'Samedi S2'!R10</f>
        <v>3</v>
      </c>
      <c r="S10" s="62">
        <f>+'Lundi S2'!S10+'Mardi S2 '!S10+'Mercredi S2 '!S10+'Jeudi S2 '!S10+'Vendredi S2 '!S10+'Samedi S2'!S10</f>
        <v>0.99999999999999989</v>
      </c>
      <c r="T10" s="62">
        <f>+'Lundi S2'!T10+'Mardi S2 '!T10+'Mercredi S2 '!T10+'Jeudi S2 '!T10+'Vendredi S2 '!T10+'Samedi S2'!T10</f>
        <v>0.6</v>
      </c>
      <c r="U10" s="62">
        <f>+'Lundi S2'!U10+'Mardi S2 '!U10+'Mercredi S2 '!U10+'Jeudi S2 '!U10+'Vendredi S2 '!U10+'Samedi S2'!U10</f>
        <v>3.6</v>
      </c>
      <c r="V10" s="63">
        <f>+'Lundi S2'!V10+'Mardi S2 '!V10+'Mercredi S2 '!V10+'Jeudi S2 '!V10+'Vendredi S2 '!V10+'Samedi S2'!V10</f>
        <v>0.9</v>
      </c>
      <c r="W10" s="9">
        <f>+'Lundi S2'!W10+'Mardi S2 '!W10+'Mercredi S2 '!W10+'Jeudi S2 '!W10+'Vendredi S2 '!W10+'Samedi S2'!W10</f>
        <v>0</v>
      </c>
      <c r="X10" s="10">
        <f>+'Lundi S2'!X10+'Mardi S2 '!X10+'Mercredi S2 '!X10+'Jeudi S2 '!X10+'Vendredi S2 '!X10+'Samedi S2'!X10</f>
        <v>0</v>
      </c>
      <c r="Y10" s="10">
        <f>+'Lundi S2'!Y10+'Mardi S2 '!Y10+'Mercredi S2 '!Y10+'Jeudi S2 '!Y10+'Vendredi S2 '!Y10+'Samedi S2'!Y10</f>
        <v>0</v>
      </c>
      <c r="Z10" s="10">
        <f>+'Lundi S2'!Z10+'Mardi S2 '!Z10+'Mercredi S2 '!Z10+'Jeudi S2 '!Z10+'Vendredi S2 '!Z10+'Samedi S2'!Z10</f>
        <v>0</v>
      </c>
      <c r="AA10" s="11">
        <f>+'Lundi S2'!AA10+'Mardi S2 '!AA10+'Mercredi S2 '!AA10+'Jeudi S2 '!AA10+'Vendredi S2 '!AA10+'Samedi S2'!AA10</f>
        <v>0</v>
      </c>
      <c r="AB10" s="9">
        <f>+'Lundi S2'!AB10+'Mardi S2 '!AB10+'Mercredi S2 '!AB10+'Jeudi S2 '!AB10+'Vendredi S2 '!AB10+'Samedi S2'!AB10</f>
        <v>0</v>
      </c>
      <c r="AC10" s="10">
        <f>+'Lundi S2'!AC10+'Mardi S2 '!AC10+'Mercredi S2 '!AC10+'Jeudi S2 '!AC10+'Vendredi S2 '!AC10+'Samedi S2'!AC10</f>
        <v>0</v>
      </c>
      <c r="AD10" s="10">
        <f>+'Lundi S2'!AD10+'Mardi S2 '!AD10+'Mercredi S2 '!AD10+'Jeudi S2 '!AD10+'Vendredi S2 '!AD10+'Samedi S2'!AD10</f>
        <v>0</v>
      </c>
      <c r="AE10" s="10">
        <f>+'Lundi S2'!AE10+'Mardi S2 '!AE10+'Mercredi S2 '!AE10+'Jeudi S2 '!AE10+'Vendredi S2 '!AE10+'Samedi S2'!AE10</f>
        <v>0</v>
      </c>
      <c r="AF10" s="11">
        <f>+'Lundi S2'!AF10+'Mardi S2 '!AF10+'Mercredi S2 '!AF10+'Jeudi S2 '!AF10+'Vendredi S2 '!AF10+'Samedi S2'!AF10</f>
        <v>0</v>
      </c>
      <c r="AG10" s="9">
        <f>+'Lundi S2'!AG10+'Mardi S2 '!AG10+'Mercredi S2 '!AG10+'Jeudi S2 '!AG10+'Vendredi S2 '!AG10+'Samedi S2'!AG10</f>
        <v>0</v>
      </c>
      <c r="AH10" s="10">
        <f>+'Lundi S2'!AH10+'Mardi S2 '!AH10+'Mercredi S2 '!AH10+'Jeudi S2 '!AH10+'Vendredi S2 '!AH10+'Samedi S2'!AH10</f>
        <v>0</v>
      </c>
      <c r="AI10" s="10">
        <f>+'Lundi S2'!AI10+'Mardi S2 '!AI10+'Mercredi S2 '!AI10+'Jeudi S2 '!AI10+'Vendredi S2 '!AI10+'Samedi S2'!AI10</f>
        <v>0</v>
      </c>
      <c r="AJ10" s="10">
        <f>+'Lundi S2'!AJ10+'Mardi S2 '!AJ10+'Mercredi S2 '!AJ10+'Jeudi S2 '!AJ10+'Vendredi S2 '!AJ10+'Samedi S2'!AJ10</f>
        <v>0</v>
      </c>
      <c r="AK10" s="11">
        <f>+'Lundi S2'!AK10+'Mardi S2 '!AK10+'Mercredi S2 '!AK10+'Jeudi S2 '!AK10+'Vendredi S2 '!AK10+'Samedi S2'!AK10</f>
        <v>0</v>
      </c>
      <c r="AL10" s="9">
        <f>+'Lundi S2'!AL10+'Mardi S2 '!AL10+'Mercredi S2 '!AL10+'Jeudi S2 '!AL10+'Vendredi S2 '!AL10+'Samedi S2'!AL10</f>
        <v>0</v>
      </c>
      <c r="AM10" s="10">
        <f>+'Lundi S2'!AM10+'Mardi S2 '!AM10+'Mercredi S2 '!AM10+'Jeudi S2 '!AM10+'Vendredi S2 '!AM10+'Samedi S2'!AM10</f>
        <v>0</v>
      </c>
      <c r="AN10" s="10">
        <f>+'Lundi S2'!AN10+'Mardi S2 '!AN10+'Mercredi S2 '!AN10+'Jeudi S2 '!AN10+'Vendredi S2 '!AN10+'Samedi S2'!AN10</f>
        <v>0</v>
      </c>
      <c r="AO10" s="10">
        <f>+'Lundi S2'!AO10+'Mardi S2 '!AO10+'Mercredi S2 '!AO10+'Jeudi S2 '!AO10+'Vendredi S2 '!AO10+'Samedi S2'!AO10</f>
        <v>0</v>
      </c>
      <c r="AP10" s="11">
        <f>+'Lundi S2'!AP10+'Mardi S2 '!AP10+'Mercredi S2 '!AP10+'Jeudi S2 '!AP10+'Vendredi S2 '!AP10+'Samedi S2'!AP10</f>
        <v>0</v>
      </c>
      <c r="AQ10" s="9">
        <f>+'Lundi S2'!AQ10+'Mardi S2 '!AQ10+'Mercredi S2 '!AQ10+'Jeudi S2 '!AQ10+'Vendredi S2 '!AQ10+'Samedi S2'!AQ10</f>
        <v>0</v>
      </c>
      <c r="AR10" s="10">
        <f>+'Lundi S2'!AR10+'Mardi S2 '!AR10+'Mercredi S2 '!AR10+'Jeudi S2 '!AR10+'Vendredi S2 '!AR10+'Samedi S2'!AR10</f>
        <v>0</v>
      </c>
      <c r="AS10" s="11">
        <f>+'Lundi S2'!AS10+'Mardi S2 '!AS10+'Mercredi S2 '!AS10+'Jeudi S2 '!AS10+'Vendredi S2 '!AS10+'Samedi S2'!AS10</f>
        <v>0</v>
      </c>
      <c r="AT10" s="22"/>
      <c r="AU10" s="14"/>
    </row>
    <row r="11" spans="1:47" ht="31.9" customHeight="1" x14ac:dyDescent="0.2">
      <c r="A11" s="26">
        <v>5</v>
      </c>
      <c r="B11" s="19"/>
      <c r="C11" s="9">
        <f>+'Lundi S2'!C11+'Mardi S2 '!C11+'Mercredi S2 '!C11+'Jeudi S2 '!C11+'Vendredi S2 '!C11+'Samedi S2'!C11</f>
        <v>90</v>
      </c>
      <c r="D11" s="10">
        <f>+'Lundi S2'!D11+'Mardi S2 '!D11+'Mercredi S2 '!D11+'Jeudi S2 '!D11+'Vendredi S2 '!D11+'Samedi S2'!D11</f>
        <v>18</v>
      </c>
      <c r="E11" s="10">
        <f>+'Lundi S2'!E11+'Mardi S2 '!E11+'Mercredi S2 '!E11+'Jeudi S2 '!E11+'Vendredi S2 '!E11+'Samedi S2'!E11</f>
        <v>30</v>
      </c>
      <c r="F11" s="10">
        <f>+'Lundi S2'!F11+'Mardi S2 '!F11+'Mercredi S2 '!F11+'Jeudi S2 '!F11+'Vendredi S2 '!F11+'Samedi S2'!F11</f>
        <v>12</v>
      </c>
      <c r="G11" s="11">
        <f>+'Lundi S2'!G11+'Mardi S2 '!G11+'Mercredi S2 '!G11+'Jeudi S2 '!G11+'Vendredi S2 '!G11+'Samedi S2'!G11</f>
        <v>30</v>
      </c>
      <c r="H11" s="9">
        <f>+'Lundi S2'!H11+'Mardi S2 '!H11+'Mercredi S2 '!H11+'Jeudi S2 '!H11+'Vendredi S2 '!H11+'Samedi S2'!H11</f>
        <v>18</v>
      </c>
      <c r="I11" s="10">
        <f>+'Lundi S2'!I11+'Mardi S2 '!I11+'Mercredi S2 '!I11+'Jeudi S2 '!I11+'Vendredi S2 '!I11+'Samedi S2'!I11</f>
        <v>6</v>
      </c>
      <c r="J11" s="10">
        <f>+'Lundi S2'!J11+'Mardi S2 '!J11+'Mercredi S2 '!J11+'Jeudi S2 '!J11+'Vendredi S2 '!J11+'Samedi S2'!J11</f>
        <v>6</v>
      </c>
      <c r="K11" s="10">
        <f>+'Lundi S2'!K11+'Mardi S2 '!K11+'Mercredi S2 '!K11+'Jeudi S2 '!K11+'Vendredi S2 '!K11+'Samedi S2'!K11</f>
        <v>6</v>
      </c>
      <c r="L11" s="11">
        <f>+'Lundi S2'!L11+'Mardi S2 '!L11+'Mercredi S2 '!L11+'Jeudi S2 '!L11+'Vendredi S2 '!L11+'Samedi S2'!L11</f>
        <v>6</v>
      </c>
      <c r="M11" s="9">
        <f>+'Lundi S2'!M11+'Mardi S2 '!M11+'Mercredi S2 '!M11+'Jeudi S2 '!M11+'Vendredi S2 '!M11+'Samedi S2'!M11</f>
        <v>18</v>
      </c>
      <c r="N11" s="10">
        <f>+'Lundi S2'!N11+'Mardi S2 '!N11+'Mercredi S2 '!N11+'Jeudi S2 '!N11+'Vendredi S2 '!N11+'Samedi S2'!N11</f>
        <v>6</v>
      </c>
      <c r="O11" s="10">
        <f>+'Lundi S2'!O11+'Mardi S2 '!O11+'Mercredi S2 '!O11+'Jeudi S2 '!O11+'Vendredi S2 '!O11+'Samedi S2'!O11</f>
        <v>18</v>
      </c>
      <c r="P11" s="10">
        <f>+'Lundi S2'!P11+'Mardi S2 '!P11+'Mercredi S2 '!P11+'Jeudi S2 '!P11+'Vendredi S2 '!P11+'Samedi S2'!P11</f>
        <v>0</v>
      </c>
      <c r="Q11" s="11">
        <f>+'Lundi S2'!Q11+'Mardi S2 '!Q11+'Mercredi S2 '!Q11+'Jeudi S2 '!Q11+'Vendredi S2 '!Q11+'Samedi S2'!Q11</f>
        <v>0</v>
      </c>
      <c r="R11" s="61">
        <f>+'Lundi S2'!R11+'Mardi S2 '!R11+'Mercredi S2 '!R11+'Jeudi S2 '!R11+'Vendredi S2 '!R11+'Samedi S2'!R11</f>
        <v>3</v>
      </c>
      <c r="S11" s="62">
        <f>+'Lundi S2'!S11+'Mardi S2 '!S11+'Mercredi S2 '!S11+'Jeudi S2 '!S11+'Vendredi S2 '!S11+'Samedi S2'!S11</f>
        <v>0.99999999999999989</v>
      </c>
      <c r="T11" s="62">
        <f>+'Lundi S2'!T11+'Mardi S2 '!T11+'Mercredi S2 '!T11+'Jeudi S2 '!T11+'Vendredi S2 '!T11+'Samedi S2'!T11</f>
        <v>0.6</v>
      </c>
      <c r="U11" s="62">
        <f>+'Lundi S2'!U11+'Mardi S2 '!U11+'Mercredi S2 '!U11+'Jeudi S2 '!U11+'Vendredi S2 '!U11+'Samedi S2'!U11</f>
        <v>3.6</v>
      </c>
      <c r="V11" s="63">
        <f>+'Lundi S2'!V11+'Mardi S2 '!V11+'Mercredi S2 '!V11+'Jeudi S2 '!V11+'Vendredi S2 '!V11+'Samedi S2'!V11</f>
        <v>0.9</v>
      </c>
      <c r="W11" s="9">
        <f>+'Lundi S2'!W11+'Mardi S2 '!W11+'Mercredi S2 '!W11+'Jeudi S2 '!W11+'Vendredi S2 '!W11+'Samedi S2'!W11</f>
        <v>0</v>
      </c>
      <c r="X11" s="10">
        <f>+'Lundi S2'!X11+'Mardi S2 '!X11+'Mercredi S2 '!X11+'Jeudi S2 '!X11+'Vendredi S2 '!X11+'Samedi S2'!X11</f>
        <v>0</v>
      </c>
      <c r="Y11" s="10">
        <f>+'Lundi S2'!Y11+'Mardi S2 '!Y11+'Mercredi S2 '!Y11+'Jeudi S2 '!Y11+'Vendredi S2 '!Y11+'Samedi S2'!Y11</f>
        <v>0</v>
      </c>
      <c r="Z11" s="10">
        <f>+'Lundi S2'!Z11+'Mardi S2 '!Z11+'Mercredi S2 '!Z11+'Jeudi S2 '!Z11+'Vendredi S2 '!Z11+'Samedi S2'!Z11</f>
        <v>0</v>
      </c>
      <c r="AA11" s="11">
        <f>+'Lundi S2'!AA11+'Mardi S2 '!AA11+'Mercredi S2 '!AA11+'Jeudi S2 '!AA11+'Vendredi S2 '!AA11+'Samedi S2'!AA11</f>
        <v>0</v>
      </c>
      <c r="AB11" s="9">
        <f>+'Lundi S2'!AB11+'Mardi S2 '!AB11+'Mercredi S2 '!AB11+'Jeudi S2 '!AB11+'Vendredi S2 '!AB11+'Samedi S2'!AB11</f>
        <v>0</v>
      </c>
      <c r="AC11" s="10">
        <f>+'Lundi S2'!AC11+'Mardi S2 '!AC11+'Mercredi S2 '!AC11+'Jeudi S2 '!AC11+'Vendredi S2 '!AC11+'Samedi S2'!AC11</f>
        <v>0</v>
      </c>
      <c r="AD11" s="10">
        <f>+'Lundi S2'!AD11+'Mardi S2 '!AD11+'Mercredi S2 '!AD11+'Jeudi S2 '!AD11+'Vendredi S2 '!AD11+'Samedi S2'!AD11</f>
        <v>0</v>
      </c>
      <c r="AE11" s="10">
        <f>+'Lundi S2'!AE11+'Mardi S2 '!AE11+'Mercredi S2 '!AE11+'Jeudi S2 '!AE11+'Vendredi S2 '!AE11+'Samedi S2'!AE11</f>
        <v>0</v>
      </c>
      <c r="AF11" s="11">
        <f>+'Lundi S2'!AF11+'Mardi S2 '!AF11+'Mercredi S2 '!AF11+'Jeudi S2 '!AF11+'Vendredi S2 '!AF11+'Samedi S2'!AF11</f>
        <v>0</v>
      </c>
      <c r="AG11" s="9">
        <f>+'Lundi S2'!AG11+'Mardi S2 '!AG11+'Mercredi S2 '!AG11+'Jeudi S2 '!AG11+'Vendredi S2 '!AG11+'Samedi S2'!AG11</f>
        <v>0</v>
      </c>
      <c r="AH11" s="10">
        <f>+'Lundi S2'!AH11+'Mardi S2 '!AH11+'Mercredi S2 '!AH11+'Jeudi S2 '!AH11+'Vendredi S2 '!AH11+'Samedi S2'!AH11</f>
        <v>0</v>
      </c>
      <c r="AI11" s="10">
        <f>+'Lundi S2'!AI11+'Mardi S2 '!AI11+'Mercredi S2 '!AI11+'Jeudi S2 '!AI11+'Vendredi S2 '!AI11+'Samedi S2'!AI11</f>
        <v>0</v>
      </c>
      <c r="AJ11" s="10">
        <f>+'Lundi S2'!AJ11+'Mardi S2 '!AJ11+'Mercredi S2 '!AJ11+'Jeudi S2 '!AJ11+'Vendredi S2 '!AJ11+'Samedi S2'!AJ11</f>
        <v>0</v>
      </c>
      <c r="AK11" s="11">
        <f>+'Lundi S2'!AK11+'Mardi S2 '!AK11+'Mercredi S2 '!AK11+'Jeudi S2 '!AK11+'Vendredi S2 '!AK11+'Samedi S2'!AK11</f>
        <v>0</v>
      </c>
      <c r="AL11" s="9">
        <f>+'Lundi S2'!AL11+'Mardi S2 '!AL11+'Mercredi S2 '!AL11+'Jeudi S2 '!AL11+'Vendredi S2 '!AL11+'Samedi S2'!AL11</f>
        <v>0</v>
      </c>
      <c r="AM11" s="10">
        <f>+'Lundi S2'!AM11+'Mardi S2 '!AM11+'Mercredi S2 '!AM11+'Jeudi S2 '!AM11+'Vendredi S2 '!AM11+'Samedi S2'!AM11</f>
        <v>0</v>
      </c>
      <c r="AN11" s="10">
        <f>+'Lundi S2'!AN11+'Mardi S2 '!AN11+'Mercredi S2 '!AN11+'Jeudi S2 '!AN11+'Vendredi S2 '!AN11+'Samedi S2'!AN11</f>
        <v>0</v>
      </c>
      <c r="AO11" s="10">
        <f>+'Lundi S2'!AO11+'Mardi S2 '!AO11+'Mercredi S2 '!AO11+'Jeudi S2 '!AO11+'Vendredi S2 '!AO11+'Samedi S2'!AO11</f>
        <v>0</v>
      </c>
      <c r="AP11" s="11">
        <f>+'Lundi S2'!AP11+'Mardi S2 '!AP11+'Mercredi S2 '!AP11+'Jeudi S2 '!AP11+'Vendredi S2 '!AP11+'Samedi S2'!AP11</f>
        <v>0</v>
      </c>
      <c r="AQ11" s="9">
        <f>+'Lundi S2'!AQ11+'Mardi S2 '!AQ11+'Mercredi S2 '!AQ11+'Jeudi S2 '!AQ11+'Vendredi S2 '!AQ11+'Samedi S2'!AQ11</f>
        <v>0</v>
      </c>
      <c r="AR11" s="10">
        <f>+'Lundi S2'!AR11+'Mardi S2 '!AR11+'Mercredi S2 '!AR11+'Jeudi S2 '!AR11+'Vendredi S2 '!AR11+'Samedi S2'!AR11</f>
        <v>0</v>
      </c>
      <c r="AS11" s="11">
        <f>+'Lundi S2'!AS11+'Mardi S2 '!AS11+'Mercredi S2 '!AS11+'Jeudi S2 '!AS11+'Vendredi S2 '!AS11+'Samedi S2'!AS11</f>
        <v>0</v>
      </c>
      <c r="AT11" s="22"/>
      <c r="AU11" s="14"/>
    </row>
    <row r="12" spans="1:47" ht="31.9" customHeight="1" x14ac:dyDescent="0.2">
      <c r="A12" s="26">
        <v>6</v>
      </c>
      <c r="B12" s="19"/>
      <c r="C12" s="9">
        <f>+'Lundi S2'!C12+'Mardi S2 '!C12+'Mercredi S2 '!C12+'Jeudi S2 '!C12+'Vendredi S2 '!C12+'Samedi S2'!C12</f>
        <v>90</v>
      </c>
      <c r="D12" s="10">
        <f>+'Lundi S2'!D12+'Mardi S2 '!D12+'Mercredi S2 '!D12+'Jeudi S2 '!D12+'Vendredi S2 '!D12+'Samedi S2'!D12</f>
        <v>18</v>
      </c>
      <c r="E12" s="10">
        <f>+'Lundi S2'!E12+'Mardi S2 '!E12+'Mercredi S2 '!E12+'Jeudi S2 '!E12+'Vendredi S2 '!E12+'Samedi S2'!E12</f>
        <v>30</v>
      </c>
      <c r="F12" s="10">
        <f>+'Lundi S2'!F12+'Mardi S2 '!F12+'Mercredi S2 '!F12+'Jeudi S2 '!F12+'Vendredi S2 '!F12+'Samedi S2'!F12</f>
        <v>12</v>
      </c>
      <c r="G12" s="11">
        <f>+'Lundi S2'!G12+'Mardi S2 '!G12+'Mercredi S2 '!G12+'Jeudi S2 '!G12+'Vendredi S2 '!G12+'Samedi S2'!G12</f>
        <v>30</v>
      </c>
      <c r="H12" s="9">
        <f>+'Lundi S2'!H12+'Mardi S2 '!H12+'Mercredi S2 '!H12+'Jeudi S2 '!H12+'Vendredi S2 '!H12+'Samedi S2'!H12</f>
        <v>18</v>
      </c>
      <c r="I12" s="10">
        <f>+'Lundi S2'!I12+'Mardi S2 '!I12+'Mercredi S2 '!I12+'Jeudi S2 '!I12+'Vendredi S2 '!I12+'Samedi S2'!I12</f>
        <v>6</v>
      </c>
      <c r="J12" s="10">
        <f>+'Lundi S2'!J12+'Mardi S2 '!J12+'Mercredi S2 '!J12+'Jeudi S2 '!J12+'Vendredi S2 '!J12+'Samedi S2'!J12</f>
        <v>6</v>
      </c>
      <c r="K12" s="10">
        <f>+'Lundi S2'!K12+'Mardi S2 '!K12+'Mercredi S2 '!K12+'Jeudi S2 '!K12+'Vendredi S2 '!K12+'Samedi S2'!K12</f>
        <v>6</v>
      </c>
      <c r="L12" s="11">
        <f>+'Lundi S2'!L12+'Mardi S2 '!L12+'Mercredi S2 '!L12+'Jeudi S2 '!L12+'Vendredi S2 '!L12+'Samedi S2'!L12</f>
        <v>6</v>
      </c>
      <c r="M12" s="9">
        <f>+'Lundi S2'!M12+'Mardi S2 '!M12+'Mercredi S2 '!M12+'Jeudi S2 '!M12+'Vendredi S2 '!M12+'Samedi S2'!M12</f>
        <v>18</v>
      </c>
      <c r="N12" s="10">
        <f>+'Lundi S2'!N12+'Mardi S2 '!N12+'Mercredi S2 '!N12+'Jeudi S2 '!N12+'Vendredi S2 '!N12+'Samedi S2'!N12</f>
        <v>6</v>
      </c>
      <c r="O12" s="10">
        <f>+'Lundi S2'!O12+'Mardi S2 '!O12+'Mercredi S2 '!O12+'Jeudi S2 '!O12+'Vendredi S2 '!O12+'Samedi S2'!O12</f>
        <v>18</v>
      </c>
      <c r="P12" s="10">
        <f>+'Lundi S2'!P12+'Mardi S2 '!P12+'Mercredi S2 '!P12+'Jeudi S2 '!P12+'Vendredi S2 '!P12+'Samedi S2'!P12</f>
        <v>0</v>
      </c>
      <c r="Q12" s="11">
        <f>+'Lundi S2'!Q12+'Mardi S2 '!Q12+'Mercredi S2 '!Q12+'Jeudi S2 '!Q12+'Vendredi S2 '!Q12+'Samedi S2'!Q12</f>
        <v>0</v>
      </c>
      <c r="R12" s="61">
        <f>+'Lundi S2'!R12+'Mardi S2 '!R12+'Mercredi S2 '!R12+'Jeudi S2 '!R12+'Vendredi S2 '!R12+'Samedi S2'!R12</f>
        <v>3</v>
      </c>
      <c r="S12" s="62">
        <f>+'Lundi S2'!S12+'Mardi S2 '!S12+'Mercredi S2 '!S12+'Jeudi S2 '!S12+'Vendredi S2 '!S12+'Samedi S2'!S12</f>
        <v>0.99999999999999989</v>
      </c>
      <c r="T12" s="62">
        <f>+'Lundi S2'!T12+'Mardi S2 '!T12+'Mercredi S2 '!T12+'Jeudi S2 '!T12+'Vendredi S2 '!T12+'Samedi S2'!T12</f>
        <v>0.6</v>
      </c>
      <c r="U12" s="62">
        <f>+'Lundi S2'!U12+'Mardi S2 '!U12+'Mercredi S2 '!U12+'Jeudi S2 '!U12+'Vendredi S2 '!U12+'Samedi S2'!U12</f>
        <v>3.6</v>
      </c>
      <c r="V12" s="63">
        <f>+'Lundi S2'!V12+'Mardi S2 '!V12+'Mercredi S2 '!V12+'Jeudi S2 '!V12+'Vendredi S2 '!V12+'Samedi S2'!V12</f>
        <v>0.9</v>
      </c>
      <c r="W12" s="9">
        <f>+'Lundi S2'!W12+'Mardi S2 '!W12+'Mercredi S2 '!W12+'Jeudi S2 '!W12+'Vendredi S2 '!W12+'Samedi S2'!W12</f>
        <v>0</v>
      </c>
      <c r="X12" s="10">
        <f>+'Lundi S2'!X12+'Mardi S2 '!X12+'Mercredi S2 '!X12+'Jeudi S2 '!X12+'Vendredi S2 '!X12+'Samedi S2'!X12</f>
        <v>0</v>
      </c>
      <c r="Y12" s="10">
        <f>+'Lundi S2'!Y12+'Mardi S2 '!Y12+'Mercredi S2 '!Y12+'Jeudi S2 '!Y12+'Vendredi S2 '!Y12+'Samedi S2'!Y12</f>
        <v>0</v>
      </c>
      <c r="Z12" s="10">
        <f>+'Lundi S2'!Z12+'Mardi S2 '!Z12+'Mercredi S2 '!Z12+'Jeudi S2 '!Z12+'Vendredi S2 '!Z12+'Samedi S2'!Z12</f>
        <v>0</v>
      </c>
      <c r="AA12" s="11">
        <f>+'Lundi S2'!AA12+'Mardi S2 '!AA12+'Mercredi S2 '!AA12+'Jeudi S2 '!AA12+'Vendredi S2 '!AA12+'Samedi S2'!AA12</f>
        <v>0</v>
      </c>
      <c r="AB12" s="9">
        <f>+'Lundi S2'!AB12+'Mardi S2 '!AB12+'Mercredi S2 '!AB12+'Jeudi S2 '!AB12+'Vendredi S2 '!AB12+'Samedi S2'!AB12</f>
        <v>0</v>
      </c>
      <c r="AC12" s="10">
        <f>+'Lundi S2'!AC12+'Mardi S2 '!AC12+'Mercredi S2 '!AC12+'Jeudi S2 '!AC12+'Vendredi S2 '!AC12+'Samedi S2'!AC12</f>
        <v>0</v>
      </c>
      <c r="AD12" s="10">
        <f>+'Lundi S2'!AD12+'Mardi S2 '!AD12+'Mercredi S2 '!AD12+'Jeudi S2 '!AD12+'Vendredi S2 '!AD12+'Samedi S2'!AD12</f>
        <v>0</v>
      </c>
      <c r="AE12" s="10">
        <f>+'Lundi S2'!AE12+'Mardi S2 '!AE12+'Mercredi S2 '!AE12+'Jeudi S2 '!AE12+'Vendredi S2 '!AE12+'Samedi S2'!AE12</f>
        <v>0</v>
      </c>
      <c r="AF12" s="11">
        <f>+'Lundi S2'!AF12+'Mardi S2 '!AF12+'Mercredi S2 '!AF12+'Jeudi S2 '!AF12+'Vendredi S2 '!AF12+'Samedi S2'!AF12</f>
        <v>0</v>
      </c>
      <c r="AG12" s="9">
        <f>+'Lundi S2'!AG12+'Mardi S2 '!AG12+'Mercredi S2 '!AG12+'Jeudi S2 '!AG12+'Vendredi S2 '!AG12+'Samedi S2'!AG12</f>
        <v>0</v>
      </c>
      <c r="AH12" s="10">
        <f>+'Lundi S2'!AH12+'Mardi S2 '!AH12+'Mercredi S2 '!AH12+'Jeudi S2 '!AH12+'Vendredi S2 '!AH12+'Samedi S2'!AH12</f>
        <v>0</v>
      </c>
      <c r="AI12" s="10">
        <f>+'Lundi S2'!AI12+'Mardi S2 '!AI12+'Mercredi S2 '!AI12+'Jeudi S2 '!AI12+'Vendredi S2 '!AI12+'Samedi S2'!AI12</f>
        <v>0</v>
      </c>
      <c r="AJ12" s="10">
        <f>+'Lundi S2'!AJ12+'Mardi S2 '!AJ12+'Mercredi S2 '!AJ12+'Jeudi S2 '!AJ12+'Vendredi S2 '!AJ12+'Samedi S2'!AJ12</f>
        <v>0</v>
      </c>
      <c r="AK12" s="11">
        <f>+'Lundi S2'!AK12+'Mardi S2 '!AK12+'Mercredi S2 '!AK12+'Jeudi S2 '!AK12+'Vendredi S2 '!AK12+'Samedi S2'!AK12</f>
        <v>0</v>
      </c>
      <c r="AL12" s="9">
        <f>+'Lundi S2'!AL12+'Mardi S2 '!AL12+'Mercredi S2 '!AL12+'Jeudi S2 '!AL12+'Vendredi S2 '!AL12+'Samedi S2'!AL12</f>
        <v>0</v>
      </c>
      <c r="AM12" s="10">
        <f>+'Lundi S2'!AM12+'Mardi S2 '!AM12+'Mercredi S2 '!AM12+'Jeudi S2 '!AM12+'Vendredi S2 '!AM12+'Samedi S2'!AM12</f>
        <v>0</v>
      </c>
      <c r="AN12" s="10">
        <f>+'Lundi S2'!AN12+'Mardi S2 '!AN12+'Mercredi S2 '!AN12+'Jeudi S2 '!AN12+'Vendredi S2 '!AN12+'Samedi S2'!AN12</f>
        <v>0</v>
      </c>
      <c r="AO12" s="10">
        <f>+'Lundi S2'!AO12+'Mardi S2 '!AO12+'Mercredi S2 '!AO12+'Jeudi S2 '!AO12+'Vendredi S2 '!AO12+'Samedi S2'!AO12</f>
        <v>0</v>
      </c>
      <c r="AP12" s="11">
        <f>+'Lundi S2'!AP12+'Mardi S2 '!AP12+'Mercredi S2 '!AP12+'Jeudi S2 '!AP12+'Vendredi S2 '!AP12+'Samedi S2'!AP12</f>
        <v>0</v>
      </c>
      <c r="AQ12" s="9">
        <f>+'Lundi S2'!AQ12+'Mardi S2 '!AQ12+'Mercredi S2 '!AQ12+'Jeudi S2 '!AQ12+'Vendredi S2 '!AQ12+'Samedi S2'!AQ12</f>
        <v>0</v>
      </c>
      <c r="AR12" s="10">
        <f>+'Lundi S2'!AR12+'Mardi S2 '!AR12+'Mercredi S2 '!AR12+'Jeudi S2 '!AR12+'Vendredi S2 '!AR12+'Samedi S2'!AR12</f>
        <v>0</v>
      </c>
      <c r="AS12" s="11">
        <f>+'Lundi S2'!AS12+'Mardi S2 '!AS12+'Mercredi S2 '!AS12+'Jeudi S2 '!AS12+'Vendredi S2 '!AS12+'Samedi S2'!AS12</f>
        <v>0</v>
      </c>
      <c r="AT12" s="22"/>
      <c r="AU12" s="14"/>
    </row>
    <row r="13" spans="1:47" ht="31.9" customHeight="1" x14ac:dyDescent="0.2">
      <c r="A13" s="26">
        <v>7</v>
      </c>
      <c r="B13" s="19"/>
      <c r="C13" s="9">
        <f>+'Lundi S2'!C13+'Mardi S2 '!C13+'Mercredi S2 '!C13+'Jeudi S2 '!C13+'Vendredi S2 '!C13+'Samedi S2'!C13</f>
        <v>90</v>
      </c>
      <c r="D13" s="10">
        <f>+'Lundi S2'!D13+'Mardi S2 '!D13+'Mercredi S2 '!D13+'Jeudi S2 '!D13+'Vendredi S2 '!D13+'Samedi S2'!D13</f>
        <v>18</v>
      </c>
      <c r="E13" s="10">
        <f>+'Lundi S2'!E13+'Mardi S2 '!E13+'Mercredi S2 '!E13+'Jeudi S2 '!E13+'Vendredi S2 '!E13+'Samedi S2'!E13</f>
        <v>30</v>
      </c>
      <c r="F13" s="10">
        <f>+'Lundi S2'!F13+'Mardi S2 '!F13+'Mercredi S2 '!F13+'Jeudi S2 '!F13+'Vendredi S2 '!F13+'Samedi S2'!F13</f>
        <v>12</v>
      </c>
      <c r="G13" s="11">
        <f>+'Lundi S2'!G13+'Mardi S2 '!G13+'Mercredi S2 '!G13+'Jeudi S2 '!G13+'Vendredi S2 '!G13+'Samedi S2'!G13</f>
        <v>30</v>
      </c>
      <c r="H13" s="9">
        <f>+'Lundi S2'!H13+'Mardi S2 '!H13+'Mercredi S2 '!H13+'Jeudi S2 '!H13+'Vendredi S2 '!H13+'Samedi S2'!H13</f>
        <v>18</v>
      </c>
      <c r="I13" s="10">
        <f>+'Lundi S2'!I13+'Mardi S2 '!I13+'Mercredi S2 '!I13+'Jeudi S2 '!I13+'Vendredi S2 '!I13+'Samedi S2'!I13</f>
        <v>6</v>
      </c>
      <c r="J13" s="10">
        <f>+'Lundi S2'!J13+'Mardi S2 '!J13+'Mercredi S2 '!J13+'Jeudi S2 '!J13+'Vendredi S2 '!J13+'Samedi S2'!J13</f>
        <v>6</v>
      </c>
      <c r="K13" s="10">
        <f>+'Lundi S2'!K13+'Mardi S2 '!K13+'Mercredi S2 '!K13+'Jeudi S2 '!K13+'Vendredi S2 '!K13+'Samedi S2'!K13</f>
        <v>6</v>
      </c>
      <c r="L13" s="11">
        <f>+'Lundi S2'!L13+'Mardi S2 '!L13+'Mercredi S2 '!L13+'Jeudi S2 '!L13+'Vendredi S2 '!L13+'Samedi S2'!L13</f>
        <v>6</v>
      </c>
      <c r="M13" s="9">
        <f>+'Lundi S2'!M13+'Mardi S2 '!M13+'Mercredi S2 '!M13+'Jeudi S2 '!M13+'Vendredi S2 '!M13+'Samedi S2'!M13</f>
        <v>18</v>
      </c>
      <c r="N13" s="10">
        <f>+'Lundi S2'!N13+'Mardi S2 '!N13+'Mercredi S2 '!N13+'Jeudi S2 '!N13+'Vendredi S2 '!N13+'Samedi S2'!N13</f>
        <v>6</v>
      </c>
      <c r="O13" s="10">
        <f>+'Lundi S2'!O13+'Mardi S2 '!O13+'Mercredi S2 '!O13+'Jeudi S2 '!O13+'Vendredi S2 '!O13+'Samedi S2'!O13</f>
        <v>18</v>
      </c>
      <c r="P13" s="10">
        <f>+'Lundi S2'!P13+'Mardi S2 '!P13+'Mercredi S2 '!P13+'Jeudi S2 '!P13+'Vendredi S2 '!P13+'Samedi S2'!P13</f>
        <v>0</v>
      </c>
      <c r="Q13" s="11">
        <f>+'Lundi S2'!Q13+'Mardi S2 '!Q13+'Mercredi S2 '!Q13+'Jeudi S2 '!Q13+'Vendredi S2 '!Q13+'Samedi S2'!Q13</f>
        <v>0</v>
      </c>
      <c r="R13" s="61">
        <f>+'Lundi S2'!R13+'Mardi S2 '!R13+'Mercredi S2 '!R13+'Jeudi S2 '!R13+'Vendredi S2 '!R13+'Samedi S2'!R13</f>
        <v>3</v>
      </c>
      <c r="S13" s="62">
        <f>+'Lundi S2'!S13+'Mardi S2 '!S13+'Mercredi S2 '!S13+'Jeudi S2 '!S13+'Vendredi S2 '!S13+'Samedi S2'!S13</f>
        <v>0.99999999999999989</v>
      </c>
      <c r="T13" s="62">
        <f>+'Lundi S2'!T13+'Mardi S2 '!T13+'Mercredi S2 '!T13+'Jeudi S2 '!T13+'Vendredi S2 '!T13+'Samedi S2'!T13</f>
        <v>0.6</v>
      </c>
      <c r="U13" s="62">
        <f>+'Lundi S2'!U13+'Mardi S2 '!U13+'Mercredi S2 '!U13+'Jeudi S2 '!U13+'Vendredi S2 '!U13+'Samedi S2'!U13</f>
        <v>3.6</v>
      </c>
      <c r="V13" s="63">
        <f>+'Lundi S2'!V13+'Mardi S2 '!V13+'Mercredi S2 '!V13+'Jeudi S2 '!V13+'Vendredi S2 '!V13+'Samedi S2'!V13</f>
        <v>0.9</v>
      </c>
      <c r="W13" s="9">
        <f>+'Lundi S2'!W13+'Mardi S2 '!W13+'Mercredi S2 '!W13+'Jeudi S2 '!W13+'Vendredi S2 '!W13+'Samedi S2'!W13</f>
        <v>0</v>
      </c>
      <c r="X13" s="10">
        <f>+'Lundi S2'!X13+'Mardi S2 '!X13+'Mercredi S2 '!X13+'Jeudi S2 '!X13+'Vendredi S2 '!X13+'Samedi S2'!X13</f>
        <v>0</v>
      </c>
      <c r="Y13" s="10">
        <f>+'Lundi S2'!Y13+'Mardi S2 '!Y13+'Mercredi S2 '!Y13+'Jeudi S2 '!Y13+'Vendredi S2 '!Y13+'Samedi S2'!Y13</f>
        <v>0</v>
      </c>
      <c r="Z13" s="10">
        <f>+'Lundi S2'!Z13+'Mardi S2 '!Z13+'Mercredi S2 '!Z13+'Jeudi S2 '!Z13+'Vendredi S2 '!Z13+'Samedi S2'!Z13</f>
        <v>0</v>
      </c>
      <c r="AA13" s="11">
        <f>+'Lundi S2'!AA13+'Mardi S2 '!AA13+'Mercredi S2 '!AA13+'Jeudi S2 '!AA13+'Vendredi S2 '!AA13+'Samedi S2'!AA13</f>
        <v>0</v>
      </c>
      <c r="AB13" s="9">
        <f>+'Lundi S2'!AB13+'Mardi S2 '!AB13+'Mercredi S2 '!AB13+'Jeudi S2 '!AB13+'Vendredi S2 '!AB13+'Samedi S2'!AB13</f>
        <v>0</v>
      </c>
      <c r="AC13" s="10">
        <f>+'Lundi S2'!AC13+'Mardi S2 '!AC13+'Mercredi S2 '!AC13+'Jeudi S2 '!AC13+'Vendredi S2 '!AC13+'Samedi S2'!AC13</f>
        <v>0</v>
      </c>
      <c r="AD13" s="10">
        <f>+'Lundi S2'!AD13+'Mardi S2 '!AD13+'Mercredi S2 '!AD13+'Jeudi S2 '!AD13+'Vendredi S2 '!AD13+'Samedi S2'!AD13</f>
        <v>0</v>
      </c>
      <c r="AE13" s="10">
        <f>+'Lundi S2'!AE13+'Mardi S2 '!AE13+'Mercredi S2 '!AE13+'Jeudi S2 '!AE13+'Vendredi S2 '!AE13+'Samedi S2'!AE13</f>
        <v>0</v>
      </c>
      <c r="AF13" s="11">
        <f>+'Lundi S2'!AF13+'Mardi S2 '!AF13+'Mercredi S2 '!AF13+'Jeudi S2 '!AF13+'Vendredi S2 '!AF13+'Samedi S2'!AF13</f>
        <v>0</v>
      </c>
      <c r="AG13" s="9">
        <f>+'Lundi S2'!AG13+'Mardi S2 '!AG13+'Mercredi S2 '!AG13+'Jeudi S2 '!AG13+'Vendredi S2 '!AG13+'Samedi S2'!AG13</f>
        <v>0</v>
      </c>
      <c r="AH13" s="10">
        <f>+'Lundi S2'!AH13+'Mardi S2 '!AH13+'Mercredi S2 '!AH13+'Jeudi S2 '!AH13+'Vendredi S2 '!AH13+'Samedi S2'!AH13</f>
        <v>0</v>
      </c>
      <c r="AI13" s="10">
        <f>+'Lundi S2'!AI13+'Mardi S2 '!AI13+'Mercredi S2 '!AI13+'Jeudi S2 '!AI13+'Vendredi S2 '!AI13+'Samedi S2'!AI13</f>
        <v>0</v>
      </c>
      <c r="AJ13" s="10">
        <f>+'Lundi S2'!AJ13+'Mardi S2 '!AJ13+'Mercredi S2 '!AJ13+'Jeudi S2 '!AJ13+'Vendredi S2 '!AJ13+'Samedi S2'!AJ13</f>
        <v>0</v>
      </c>
      <c r="AK13" s="11">
        <f>+'Lundi S2'!AK13+'Mardi S2 '!AK13+'Mercredi S2 '!AK13+'Jeudi S2 '!AK13+'Vendredi S2 '!AK13+'Samedi S2'!AK13</f>
        <v>0</v>
      </c>
      <c r="AL13" s="9">
        <f>+'Lundi S2'!AL13+'Mardi S2 '!AL13+'Mercredi S2 '!AL13+'Jeudi S2 '!AL13+'Vendredi S2 '!AL13+'Samedi S2'!AL13</f>
        <v>0</v>
      </c>
      <c r="AM13" s="10">
        <f>+'Lundi S2'!AM13+'Mardi S2 '!AM13+'Mercredi S2 '!AM13+'Jeudi S2 '!AM13+'Vendredi S2 '!AM13+'Samedi S2'!AM13</f>
        <v>0</v>
      </c>
      <c r="AN13" s="10">
        <f>+'Lundi S2'!AN13+'Mardi S2 '!AN13+'Mercredi S2 '!AN13+'Jeudi S2 '!AN13+'Vendredi S2 '!AN13+'Samedi S2'!AN13</f>
        <v>0</v>
      </c>
      <c r="AO13" s="10">
        <f>+'Lundi S2'!AO13+'Mardi S2 '!AO13+'Mercredi S2 '!AO13+'Jeudi S2 '!AO13+'Vendredi S2 '!AO13+'Samedi S2'!AO13</f>
        <v>0</v>
      </c>
      <c r="AP13" s="11">
        <f>+'Lundi S2'!AP13+'Mardi S2 '!AP13+'Mercredi S2 '!AP13+'Jeudi S2 '!AP13+'Vendredi S2 '!AP13+'Samedi S2'!AP13</f>
        <v>0</v>
      </c>
      <c r="AQ13" s="9">
        <f>+'Lundi S2'!AQ13+'Mardi S2 '!AQ13+'Mercredi S2 '!AQ13+'Jeudi S2 '!AQ13+'Vendredi S2 '!AQ13+'Samedi S2'!AQ13</f>
        <v>0</v>
      </c>
      <c r="AR13" s="10">
        <f>+'Lundi S2'!AR13+'Mardi S2 '!AR13+'Mercredi S2 '!AR13+'Jeudi S2 '!AR13+'Vendredi S2 '!AR13+'Samedi S2'!AR13</f>
        <v>0</v>
      </c>
      <c r="AS13" s="11">
        <f>+'Lundi S2'!AS13+'Mardi S2 '!AS13+'Mercredi S2 '!AS13+'Jeudi S2 '!AS13+'Vendredi S2 '!AS13+'Samedi S2'!AS13</f>
        <v>0</v>
      </c>
      <c r="AT13" s="22"/>
      <c r="AU13" s="14"/>
    </row>
    <row r="14" spans="1:47" ht="31.9" customHeight="1" x14ac:dyDescent="0.2">
      <c r="A14" s="26">
        <v>8</v>
      </c>
      <c r="B14" s="19"/>
      <c r="C14" s="9">
        <f>+'Lundi S2'!C14+'Mardi S2 '!C14+'Mercredi S2 '!C14+'Jeudi S2 '!C14+'Vendredi S2 '!C14+'Samedi S2'!C14</f>
        <v>90</v>
      </c>
      <c r="D14" s="10">
        <f>+'Lundi S2'!D14+'Mardi S2 '!D14+'Mercredi S2 '!D14+'Jeudi S2 '!D14+'Vendredi S2 '!D14+'Samedi S2'!D14</f>
        <v>18</v>
      </c>
      <c r="E14" s="10">
        <f>+'Lundi S2'!E14+'Mardi S2 '!E14+'Mercredi S2 '!E14+'Jeudi S2 '!E14+'Vendredi S2 '!E14+'Samedi S2'!E14</f>
        <v>30</v>
      </c>
      <c r="F14" s="10">
        <f>+'Lundi S2'!F14+'Mardi S2 '!F14+'Mercredi S2 '!F14+'Jeudi S2 '!F14+'Vendredi S2 '!F14+'Samedi S2'!F14</f>
        <v>12</v>
      </c>
      <c r="G14" s="11">
        <f>+'Lundi S2'!G14+'Mardi S2 '!G14+'Mercredi S2 '!G14+'Jeudi S2 '!G14+'Vendredi S2 '!G14+'Samedi S2'!G14</f>
        <v>30</v>
      </c>
      <c r="H14" s="9">
        <f>+'Lundi S2'!H14+'Mardi S2 '!H14+'Mercredi S2 '!H14+'Jeudi S2 '!H14+'Vendredi S2 '!H14+'Samedi S2'!H14</f>
        <v>18</v>
      </c>
      <c r="I14" s="10">
        <f>+'Lundi S2'!I14+'Mardi S2 '!I14+'Mercredi S2 '!I14+'Jeudi S2 '!I14+'Vendredi S2 '!I14+'Samedi S2'!I14</f>
        <v>6</v>
      </c>
      <c r="J14" s="10">
        <f>+'Lundi S2'!J14+'Mardi S2 '!J14+'Mercredi S2 '!J14+'Jeudi S2 '!J14+'Vendredi S2 '!J14+'Samedi S2'!J14</f>
        <v>6</v>
      </c>
      <c r="K14" s="10">
        <f>+'Lundi S2'!K14+'Mardi S2 '!K14+'Mercredi S2 '!K14+'Jeudi S2 '!K14+'Vendredi S2 '!K14+'Samedi S2'!K14</f>
        <v>6</v>
      </c>
      <c r="L14" s="11">
        <f>+'Lundi S2'!L14+'Mardi S2 '!L14+'Mercredi S2 '!L14+'Jeudi S2 '!L14+'Vendredi S2 '!L14+'Samedi S2'!L14</f>
        <v>6</v>
      </c>
      <c r="M14" s="9">
        <f>+'Lundi S2'!M14+'Mardi S2 '!M14+'Mercredi S2 '!M14+'Jeudi S2 '!M14+'Vendredi S2 '!M14+'Samedi S2'!M14</f>
        <v>18</v>
      </c>
      <c r="N14" s="10">
        <f>+'Lundi S2'!N14+'Mardi S2 '!N14+'Mercredi S2 '!N14+'Jeudi S2 '!N14+'Vendredi S2 '!N14+'Samedi S2'!N14</f>
        <v>6</v>
      </c>
      <c r="O14" s="10">
        <f>+'Lundi S2'!O14+'Mardi S2 '!O14+'Mercredi S2 '!O14+'Jeudi S2 '!O14+'Vendredi S2 '!O14+'Samedi S2'!O14</f>
        <v>18</v>
      </c>
      <c r="P14" s="10">
        <f>+'Lundi S2'!P14+'Mardi S2 '!P14+'Mercredi S2 '!P14+'Jeudi S2 '!P14+'Vendredi S2 '!P14+'Samedi S2'!P14</f>
        <v>0</v>
      </c>
      <c r="Q14" s="11">
        <f>+'Lundi S2'!Q14+'Mardi S2 '!Q14+'Mercredi S2 '!Q14+'Jeudi S2 '!Q14+'Vendredi S2 '!Q14+'Samedi S2'!Q14</f>
        <v>0</v>
      </c>
      <c r="R14" s="61">
        <f>+'Lundi S2'!R14+'Mardi S2 '!R14+'Mercredi S2 '!R14+'Jeudi S2 '!R14+'Vendredi S2 '!R14+'Samedi S2'!R14</f>
        <v>3</v>
      </c>
      <c r="S14" s="62">
        <f>+'Lundi S2'!S14+'Mardi S2 '!S14+'Mercredi S2 '!S14+'Jeudi S2 '!S14+'Vendredi S2 '!S14+'Samedi S2'!S14</f>
        <v>0.99999999999999989</v>
      </c>
      <c r="T14" s="62">
        <f>+'Lundi S2'!T14+'Mardi S2 '!T14+'Mercredi S2 '!T14+'Jeudi S2 '!T14+'Vendredi S2 '!T14+'Samedi S2'!T14</f>
        <v>0.6</v>
      </c>
      <c r="U14" s="62">
        <f>+'Lundi S2'!U14+'Mardi S2 '!U14+'Mercredi S2 '!U14+'Jeudi S2 '!U14+'Vendredi S2 '!U14+'Samedi S2'!U14</f>
        <v>3.6</v>
      </c>
      <c r="V14" s="63">
        <f>+'Lundi S2'!V14+'Mardi S2 '!V14+'Mercredi S2 '!V14+'Jeudi S2 '!V14+'Vendredi S2 '!V14+'Samedi S2'!V14</f>
        <v>0.9</v>
      </c>
      <c r="W14" s="9">
        <f>+'Lundi S2'!W14+'Mardi S2 '!W14+'Mercredi S2 '!W14+'Jeudi S2 '!W14+'Vendredi S2 '!W14+'Samedi S2'!W14</f>
        <v>0</v>
      </c>
      <c r="X14" s="10">
        <f>+'Lundi S2'!X14+'Mardi S2 '!X14+'Mercredi S2 '!X14+'Jeudi S2 '!X14+'Vendredi S2 '!X14+'Samedi S2'!X14</f>
        <v>0</v>
      </c>
      <c r="Y14" s="10">
        <f>+'Lundi S2'!Y14+'Mardi S2 '!Y14+'Mercredi S2 '!Y14+'Jeudi S2 '!Y14+'Vendredi S2 '!Y14+'Samedi S2'!Y14</f>
        <v>0</v>
      </c>
      <c r="Z14" s="10">
        <f>+'Lundi S2'!Z14+'Mardi S2 '!Z14+'Mercredi S2 '!Z14+'Jeudi S2 '!Z14+'Vendredi S2 '!Z14+'Samedi S2'!Z14</f>
        <v>0</v>
      </c>
      <c r="AA14" s="11">
        <f>+'Lundi S2'!AA14+'Mardi S2 '!AA14+'Mercredi S2 '!AA14+'Jeudi S2 '!AA14+'Vendredi S2 '!AA14+'Samedi S2'!AA14</f>
        <v>0</v>
      </c>
      <c r="AB14" s="9">
        <f>+'Lundi S2'!AB14+'Mardi S2 '!AB14+'Mercredi S2 '!AB14+'Jeudi S2 '!AB14+'Vendredi S2 '!AB14+'Samedi S2'!AB14</f>
        <v>0</v>
      </c>
      <c r="AC14" s="10">
        <f>+'Lundi S2'!AC14+'Mardi S2 '!AC14+'Mercredi S2 '!AC14+'Jeudi S2 '!AC14+'Vendredi S2 '!AC14+'Samedi S2'!AC14</f>
        <v>0</v>
      </c>
      <c r="AD14" s="10">
        <f>+'Lundi S2'!AD14+'Mardi S2 '!AD14+'Mercredi S2 '!AD14+'Jeudi S2 '!AD14+'Vendredi S2 '!AD14+'Samedi S2'!AD14</f>
        <v>0</v>
      </c>
      <c r="AE14" s="10">
        <f>+'Lundi S2'!AE14+'Mardi S2 '!AE14+'Mercredi S2 '!AE14+'Jeudi S2 '!AE14+'Vendredi S2 '!AE14+'Samedi S2'!AE14</f>
        <v>0</v>
      </c>
      <c r="AF14" s="11">
        <f>+'Lundi S2'!AF14+'Mardi S2 '!AF14+'Mercredi S2 '!AF14+'Jeudi S2 '!AF14+'Vendredi S2 '!AF14+'Samedi S2'!AF14</f>
        <v>0</v>
      </c>
      <c r="AG14" s="9">
        <f>+'Lundi S2'!AG14+'Mardi S2 '!AG14+'Mercredi S2 '!AG14+'Jeudi S2 '!AG14+'Vendredi S2 '!AG14+'Samedi S2'!AG14</f>
        <v>0</v>
      </c>
      <c r="AH14" s="10">
        <f>+'Lundi S2'!AH14+'Mardi S2 '!AH14+'Mercredi S2 '!AH14+'Jeudi S2 '!AH14+'Vendredi S2 '!AH14+'Samedi S2'!AH14</f>
        <v>0</v>
      </c>
      <c r="AI14" s="10">
        <f>+'Lundi S2'!AI14+'Mardi S2 '!AI14+'Mercredi S2 '!AI14+'Jeudi S2 '!AI14+'Vendredi S2 '!AI14+'Samedi S2'!AI14</f>
        <v>0</v>
      </c>
      <c r="AJ14" s="10">
        <f>+'Lundi S2'!AJ14+'Mardi S2 '!AJ14+'Mercredi S2 '!AJ14+'Jeudi S2 '!AJ14+'Vendredi S2 '!AJ14+'Samedi S2'!AJ14</f>
        <v>0</v>
      </c>
      <c r="AK14" s="11">
        <f>+'Lundi S2'!AK14+'Mardi S2 '!AK14+'Mercredi S2 '!AK14+'Jeudi S2 '!AK14+'Vendredi S2 '!AK14+'Samedi S2'!AK14</f>
        <v>0</v>
      </c>
      <c r="AL14" s="9">
        <f>+'Lundi S2'!AL14+'Mardi S2 '!AL14+'Mercredi S2 '!AL14+'Jeudi S2 '!AL14+'Vendredi S2 '!AL14+'Samedi S2'!AL14</f>
        <v>0</v>
      </c>
      <c r="AM14" s="10">
        <f>+'Lundi S2'!AM14+'Mardi S2 '!AM14+'Mercredi S2 '!AM14+'Jeudi S2 '!AM14+'Vendredi S2 '!AM14+'Samedi S2'!AM14</f>
        <v>0</v>
      </c>
      <c r="AN14" s="10">
        <f>+'Lundi S2'!AN14+'Mardi S2 '!AN14+'Mercredi S2 '!AN14+'Jeudi S2 '!AN14+'Vendredi S2 '!AN14+'Samedi S2'!AN14</f>
        <v>0</v>
      </c>
      <c r="AO14" s="10">
        <f>+'Lundi S2'!AO14+'Mardi S2 '!AO14+'Mercredi S2 '!AO14+'Jeudi S2 '!AO14+'Vendredi S2 '!AO14+'Samedi S2'!AO14</f>
        <v>0</v>
      </c>
      <c r="AP14" s="11">
        <f>+'Lundi S2'!AP14+'Mardi S2 '!AP14+'Mercredi S2 '!AP14+'Jeudi S2 '!AP14+'Vendredi S2 '!AP14+'Samedi S2'!AP14</f>
        <v>0</v>
      </c>
      <c r="AQ14" s="9">
        <f>+'Lundi S2'!AQ14+'Mardi S2 '!AQ14+'Mercredi S2 '!AQ14+'Jeudi S2 '!AQ14+'Vendredi S2 '!AQ14+'Samedi S2'!AQ14</f>
        <v>0</v>
      </c>
      <c r="AR14" s="10">
        <f>+'Lundi S2'!AR14+'Mardi S2 '!AR14+'Mercredi S2 '!AR14+'Jeudi S2 '!AR14+'Vendredi S2 '!AR14+'Samedi S2'!AR14</f>
        <v>0</v>
      </c>
      <c r="AS14" s="11">
        <f>+'Lundi S2'!AS14+'Mardi S2 '!AS14+'Mercredi S2 '!AS14+'Jeudi S2 '!AS14+'Vendredi S2 '!AS14+'Samedi S2'!AS14</f>
        <v>0</v>
      </c>
      <c r="AT14" s="22"/>
      <c r="AU14" s="14"/>
    </row>
    <row r="15" spans="1:47" ht="31.9" customHeight="1" x14ac:dyDescent="0.2">
      <c r="A15" s="26">
        <v>9</v>
      </c>
      <c r="B15" s="19"/>
      <c r="C15" s="9">
        <f>+'Lundi S2'!C15+'Mardi S2 '!C15+'Mercredi S2 '!C15+'Jeudi S2 '!C15+'Vendredi S2 '!C15+'Samedi S2'!C15</f>
        <v>90</v>
      </c>
      <c r="D15" s="10">
        <f>+'Lundi S2'!D15+'Mardi S2 '!D15+'Mercredi S2 '!D15+'Jeudi S2 '!D15+'Vendredi S2 '!D15+'Samedi S2'!D15</f>
        <v>18</v>
      </c>
      <c r="E15" s="10">
        <f>+'Lundi S2'!E15+'Mardi S2 '!E15+'Mercredi S2 '!E15+'Jeudi S2 '!E15+'Vendredi S2 '!E15+'Samedi S2'!E15</f>
        <v>30</v>
      </c>
      <c r="F15" s="10">
        <f>+'Lundi S2'!F15+'Mardi S2 '!F15+'Mercredi S2 '!F15+'Jeudi S2 '!F15+'Vendredi S2 '!F15+'Samedi S2'!F15</f>
        <v>12</v>
      </c>
      <c r="G15" s="11">
        <f>+'Lundi S2'!G15+'Mardi S2 '!G15+'Mercredi S2 '!G15+'Jeudi S2 '!G15+'Vendredi S2 '!G15+'Samedi S2'!G15</f>
        <v>30</v>
      </c>
      <c r="H15" s="9">
        <f>+'Lundi S2'!H15+'Mardi S2 '!H15+'Mercredi S2 '!H15+'Jeudi S2 '!H15+'Vendredi S2 '!H15+'Samedi S2'!H15</f>
        <v>18</v>
      </c>
      <c r="I15" s="10">
        <f>+'Lundi S2'!I15+'Mardi S2 '!I15+'Mercredi S2 '!I15+'Jeudi S2 '!I15+'Vendredi S2 '!I15+'Samedi S2'!I15</f>
        <v>6</v>
      </c>
      <c r="J15" s="10">
        <f>+'Lundi S2'!J15+'Mardi S2 '!J15+'Mercredi S2 '!J15+'Jeudi S2 '!J15+'Vendredi S2 '!J15+'Samedi S2'!J15</f>
        <v>6</v>
      </c>
      <c r="K15" s="10">
        <f>+'Lundi S2'!K15+'Mardi S2 '!K15+'Mercredi S2 '!K15+'Jeudi S2 '!K15+'Vendredi S2 '!K15+'Samedi S2'!K15</f>
        <v>6</v>
      </c>
      <c r="L15" s="11">
        <f>+'Lundi S2'!L15+'Mardi S2 '!L15+'Mercredi S2 '!L15+'Jeudi S2 '!L15+'Vendredi S2 '!L15+'Samedi S2'!L15</f>
        <v>6</v>
      </c>
      <c r="M15" s="9">
        <f>+'Lundi S2'!M15+'Mardi S2 '!M15+'Mercredi S2 '!M15+'Jeudi S2 '!M15+'Vendredi S2 '!M15+'Samedi S2'!M15</f>
        <v>18</v>
      </c>
      <c r="N15" s="10">
        <f>+'Lundi S2'!N15+'Mardi S2 '!N15+'Mercredi S2 '!N15+'Jeudi S2 '!N15+'Vendredi S2 '!N15+'Samedi S2'!N15</f>
        <v>6</v>
      </c>
      <c r="O15" s="10">
        <f>+'Lundi S2'!O15+'Mardi S2 '!O15+'Mercredi S2 '!O15+'Jeudi S2 '!O15+'Vendredi S2 '!O15+'Samedi S2'!O15</f>
        <v>18</v>
      </c>
      <c r="P15" s="10">
        <f>+'Lundi S2'!P15+'Mardi S2 '!P15+'Mercredi S2 '!P15+'Jeudi S2 '!P15+'Vendredi S2 '!P15+'Samedi S2'!P15</f>
        <v>0</v>
      </c>
      <c r="Q15" s="11">
        <f>+'Lundi S2'!Q15+'Mardi S2 '!Q15+'Mercredi S2 '!Q15+'Jeudi S2 '!Q15+'Vendredi S2 '!Q15+'Samedi S2'!Q15</f>
        <v>0</v>
      </c>
      <c r="R15" s="61">
        <f>+'Lundi S2'!R15+'Mardi S2 '!R15+'Mercredi S2 '!R15+'Jeudi S2 '!R15+'Vendredi S2 '!R15+'Samedi S2'!R15</f>
        <v>3</v>
      </c>
      <c r="S15" s="62">
        <f>+'Lundi S2'!S15+'Mardi S2 '!S15+'Mercredi S2 '!S15+'Jeudi S2 '!S15+'Vendredi S2 '!S15+'Samedi S2'!S15</f>
        <v>0.99999999999999989</v>
      </c>
      <c r="T15" s="62">
        <f>+'Lundi S2'!T15+'Mardi S2 '!T15+'Mercredi S2 '!T15+'Jeudi S2 '!T15+'Vendredi S2 '!T15+'Samedi S2'!T15</f>
        <v>0.6</v>
      </c>
      <c r="U15" s="62">
        <f>+'Lundi S2'!U15+'Mardi S2 '!U15+'Mercredi S2 '!U15+'Jeudi S2 '!U15+'Vendredi S2 '!U15+'Samedi S2'!U15</f>
        <v>3.6</v>
      </c>
      <c r="V15" s="63">
        <f>+'Lundi S2'!V15+'Mardi S2 '!V15+'Mercredi S2 '!V15+'Jeudi S2 '!V15+'Vendredi S2 '!V15+'Samedi S2'!V15</f>
        <v>0.9</v>
      </c>
      <c r="W15" s="9">
        <f>+'Lundi S2'!W15+'Mardi S2 '!W15+'Mercredi S2 '!W15+'Jeudi S2 '!W15+'Vendredi S2 '!W15+'Samedi S2'!W15</f>
        <v>0</v>
      </c>
      <c r="X15" s="10">
        <f>+'Lundi S2'!X15+'Mardi S2 '!X15+'Mercredi S2 '!X15+'Jeudi S2 '!X15+'Vendredi S2 '!X15+'Samedi S2'!X15</f>
        <v>0</v>
      </c>
      <c r="Y15" s="10">
        <f>+'Lundi S2'!Y15+'Mardi S2 '!Y15+'Mercredi S2 '!Y15+'Jeudi S2 '!Y15+'Vendredi S2 '!Y15+'Samedi S2'!Y15</f>
        <v>0</v>
      </c>
      <c r="Z15" s="10">
        <f>+'Lundi S2'!Z15+'Mardi S2 '!Z15+'Mercredi S2 '!Z15+'Jeudi S2 '!Z15+'Vendredi S2 '!Z15+'Samedi S2'!Z15</f>
        <v>0</v>
      </c>
      <c r="AA15" s="11">
        <f>+'Lundi S2'!AA15+'Mardi S2 '!AA15+'Mercredi S2 '!AA15+'Jeudi S2 '!AA15+'Vendredi S2 '!AA15+'Samedi S2'!AA15</f>
        <v>0</v>
      </c>
      <c r="AB15" s="9">
        <f>+'Lundi S2'!AB15+'Mardi S2 '!AB15+'Mercredi S2 '!AB15+'Jeudi S2 '!AB15+'Vendredi S2 '!AB15+'Samedi S2'!AB15</f>
        <v>0</v>
      </c>
      <c r="AC15" s="10">
        <f>+'Lundi S2'!AC15+'Mardi S2 '!AC15+'Mercredi S2 '!AC15+'Jeudi S2 '!AC15+'Vendredi S2 '!AC15+'Samedi S2'!AC15</f>
        <v>0</v>
      </c>
      <c r="AD15" s="10">
        <f>+'Lundi S2'!AD15+'Mardi S2 '!AD15+'Mercredi S2 '!AD15+'Jeudi S2 '!AD15+'Vendredi S2 '!AD15+'Samedi S2'!AD15</f>
        <v>0</v>
      </c>
      <c r="AE15" s="10">
        <f>+'Lundi S2'!AE15+'Mardi S2 '!AE15+'Mercredi S2 '!AE15+'Jeudi S2 '!AE15+'Vendredi S2 '!AE15+'Samedi S2'!AE15</f>
        <v>0</v>
      </c>
      <c r="AF15" s="11">
        <f>+'Lundi S2'!AF15+'Mardi S2 '!AF15+'Mercredi S2 '!AF15+'Jeudi S2 '!AF15+'Vendredi S2 '!AF15+'Samedi S2'!AF15</f>
        <v>0</v>
      </c>
      <c r="AG15" s="9">
        <f>+'Lundi S2'!AG15+'Mardi S2 '!AG15+'Mercredi S2 '!AG15+'Jeudi S2 '!AG15+'Vendredi S2 '!AG15+'Samedi S2'!AG15</f>
        <v>0</v>
      </c>
      <c r="AH15" s="10">
        <f>+'Lundi S2'!AH15+'Mardi S2 '!AH15+'Mercredi S2 '!AH15+'Jeudi S2 '!AH15+'Vendredi S2 '!AH15+'Samedi S2'!AH15</f>
        <v>0</v>
      </c>
      <c r="AI15" s="10">
        <f>+'Lundi S2'!AI15+'Mardi S2 '!AI15+'Mercredi S2 '!AI15+'Jeudi S2 '!AI15+'Vendredi S2 '!AI15+'Samedi S2'!AI15</f>
        <v>0</v>
      </c>
      <c r="AJ15" s="10">
        <f>+'Lundi S2'!AJ15+'Mardi S2 '!AJ15+'Mercredi S2 '!AJ15+'Jeudi S2 '!AJ15+'Vendredi S2 '!AJ15+'Samedi S2'!AJ15</f>
        <v>0</v>
      </c>
      <c r="AK15" s="11">
        <f>+'Lundi S2'!AK15+'Mardi S2 '!AK15+'Mercredi S2 '!AK15+'Jeudi S2 '!AK15+'Vendredi S2 '!AK15+'Samedi S2'!AK15</f>
        <v>0</v>
      </c>
      <c r="AL15" s="9">
        <f>+'Lundi S2'!AL15+'Mardi S2 '!AL15+'Mercredi S2 '!AL15+'Jeudi S2 '!AL15+'Vendredi S2 '!AL15+'Samedi S2'!AL15</f>
        <v>0</v>
      </c>
      <c r="AM15" s="10">
        <f>+'Lundi S2'!AM15+'Mardi S2 '!AM15+'Mercredi S2 '!AM15+'Jeudi S2 '!AM15+'Vendredi S2 '!AM15+'Samedi S2'!AM15</f>
        <v>0</v>
      </c>
      <c r="AN15" s="10">
        <f>+'Lundi S2'!AN15+'Mardi S2 '!AN15+'Mercredi S2 '!AN15+'Jeudi S2 '!AN15+'Vendredi S2 '!AN15+'Samedi S2'!AN15</f>
        <v>0</v>
      </c>
      <c r="AO15" s="10">
        <f>+'Lundi S2'!AO15+'Mardi S2 '!AO15+'Mercredi S2 '!AO15+'Jeudi S2 '!AO15+'Vendredi S2 '!AO15+'Samedi S2'!AO15</f>
        <v>0</v>
      </c>
      <c r="AP15" s="11">
        <f>+'Lundi S2'!AP15+'Mardi S2 '!AP15+'Mercredi S2 '!AP15+'Jeudi S2 '!AP15+'Vendredi S2 '!AP15+'Samedi S2'!AP15</f>
        <v>0</v>
      </c>
      <c r="AQ15" s="9">
        <f>+'Lundi S2'!AQ15+'Mardi S2 '!AQ15+'Mercredi S2 '!AQ15+'Jeudi S2 '!AQ15+'Vendredi S2 '!AQ15+'Samedi S2'!AQ15</f>
        <v>0</v>
      </c>
      <c r="AR15" s="10">
        <f>+'Lundi S2'!AR15+'Mardi S2 '!AR15+'Mercredi S2 '!AR15+'Jeudi S2 '!AR15+'Vendredi S2 '!AR15+'Samedi S2'!AR15</f>
        <v>0</v>
      </c>
      <c r="AS15" s="11">
        <f>+'Lundi S2'!AS15+'Mardi S2 '!AS15+'Mercredi S2 '!AS15+'Jeudi S2 '!AS15+'Vendredi S2 '!AS15+'Samedi S2'!AS15</f>
        <v>0</v>
      </c>
      <c r="AT15" s="22"/>
      <c r="AU15" s="14"/>
    </row>
    <row r="16" spans="1:47" ht="31.9" customHeight="1" x14ac:dyDescent="0.2">
      <c r="A16" s="26">
        <v>10</v>
      </c>
      <c r="B16" s="19"/>
      <c r="C16" s="9">
        <f>+'Lundi S2'!C16+'Mardi S2 '!C16+'Mercredi S2 '!C16+'Jeudi S2 '!C16+'Vendredi S2 '!C16+'Samedi S2'!C16</f>
        <v>90</v>
      </c>
      <c r="D16" s="10">
        <f>+'Lundi S2'!D16+'Mardi S2 '!D16+'Mercredi S2 '!D16+'Jeudi S2 '!D16+'Vendredi S2 '!D16+'Samedi S2'!D16</f>
        <v>18</v>
      </c>
      <c r="E16" s="10">
        <f>+'Lundi S2'!E16+'Mardi S2 '!E16+'Mercredi S2 '!E16+'Jeudi S2 '!E16+'Vendredi S2 '!E16+'Samedi S2'!E16</f>
        <v>30</v>
      </c>
      <c r="F16" s="10">
        <f>+'Lundi S2'!F16+'Mardi S2 '!F16+'Mercredi S2 '!F16+'Jeudi S2 '!F16+'Vendredi S2 '!F16+'Samedi S2'!F16</f>
        <v>12</v>
      </c>
      <c r="G16" s="11">
        <f>+'Lundi S2'!G16+'Mardi S2 '!G16+'Mercredi S2 '!G16+'Jeudi S2 '!G16+'Vendredi S2 '!G16+'Samedi S2'!G16</f>
        <v>30</v>
      </c>
      <c r="H16" s="9">
        <f>+'Lundi S2'!H16+'Mardi S2 '!H16+'Mercredi S2 '!H16+'Jeudi S2 '!H16+'Vendredi S2 '!H16+'Samedi S2'!H16</f>
        <v>18</v>
      </c>
      <c r="I16" s="10">
        <f>+'Lundi S2'!I16+'Mardi S2 '!I16+'Mercredi S2 '!I16+'Jeudi S2 '!I16+'Vendredi S2 '!I16+'Samedi S2'!I16</f>
        <v>6</v>
      </c>
      <c r="J16" s="10">
        <f>+'Lundi S2'!J16+'Mardi S2 '!J16+'Mercredi S2 '!J16+'Jeudi S2 '!J16+'Vendredi S2 '!J16+'Samedi S2'!J16</f>
        <v>6</v>
      </c>
      <c r="K16" s="10">
        <f>+'Lundi S2'!K16+'Mardi S2 '!K16+'Mercredi S2 '!K16+'Jeudi S2 '!K16+'Vendredi S2 '!K16+'Samedi S2'!K16</f>
        <v>6</v>
      </c>
      <c r="L16" s="11">
        <f>+'Lundi S2'!L16+'Mardi S2 '!L16+'Mercredi S2 '!L16+'Jeudi S2 '!L16+'Vendredi S2 '!L16+'Samedi S2'!L16</f>
        <v>6</v>
      </c>
      <c r="M16" s="9">
        <f>+'Lundi S2'!M16+'Mardi S2 '!M16+'Mercredi S2 '!M16+'Jeudi S2 '!M16+'Vendredi S2 '!M16+'Samedi S2'!M16</f>
        <v>18</v>
      </c>
      <c r="N16" s="10">
        <f>+'Lundi S2'!N16+'Mardi S2 '!N16+'Mercredi S2 '!N16+'Jeudi S2 '!N16+'Vendredi S2 '!N16+'Samedi S2'!N16</f>
        <v>6</v>
      </c>
      <c r="O16" s="10">
        <f>+'Lundi S2'!O16+'Mardi S2 '!O16+'Mercredi S2 '!O16+'Jeudi S2 '!O16+'Vendredi S2 '!O16+'Samedi S2'!O16</f>
        <v>18</v>
      </c>
      <c r="P16" s="10">
        <f>+'Lundi S2'!P16+'Mardi S2 '!P16+'Mercredi S2 '!P16+'Jeudi S2 '!P16+'Vendredi S2 '!P16+'Samedi S2'!P16</f>
        <v>0</v>
      </c>
      <c r="Q16" s="11">
        <f>+'Lundi S2'!Q16+'Mardi S2 '!Q16+'Mercredi S2 '!Q16+'Jeudi S2 '!Q16+'Vendredi S2 '!Q16+'Samedi S2'!Q16</f>
        <v>0</v>
      </c>
      <c r="R16" s="61">
        <f>+'Lundi S2'!R16+'Mardi S2 '!R16+'Mercredi S2 '!R16+'Jeudi S2 '!R16+'Vendredi S2 '!R16+'Samedi S2'!R16</f>
        <v>3</v>
      </c>
      <c r="S16" s="62">
        <f>+'Lundi S2'!S16+'Mardi S2 '!S16+'Mercredi S2 '!S16+'Jeudi S2 '!S16+'Vendredi S2 '!S16+'Samedi S2'!S16</f>
        <v>0.99999999999999989</v>
      </c>
      <c r="T16" s="62">
        <f>+'Lundi S2'!T16+'Mardi S2 '!T16+'Mercredi S2 '!T16+'Jeudi S2 '!T16+'Vendredi S2 '!T16+'Samedi S2'!T16</f>
        <v>0.6</v>
      </c>
      <c r="U16" s="62">
        <f>+'Lundi S2'!U16+'Mardi S2 '!U16+'Mercredi S2 '!U16+'Jeudi S2 '!U16+'Vendredi S2 '!U16+'Samedi S2'!U16</f>
        <v>3.6</v>
      </c>
      <c r="V16" s="63">
        <f>+'Lundi S2'!V16+'Mardi S2 '!V16+'Mercredi S2 '!V16+'Jeudi S2 '!V16+'Vendredi S2 '!V16+'Samedi S2'!V16</f>
        <v>0.9</v>
      </c>
      <c r="W16" s="9">
        <f>+'Lundi S2'!W16+'Mardi S2 '!W16+'Mercredi S2 '!W16+'Jeudi S2 '!W16+'Vendredi S2 '!W16+'Samedi S2'!W16</f>
        <v>0</v>
      </c>
      <c r="X16" s="10">
        <f>+'Lundi S2'!X16+'Mardi S2 '!X16+'Mercredi S2 '!X16+'Jeudi S2 '!X16+'Vendredi S2 '!X16+'Samedi S2'!X16</f>
        <v>0</v>
      </c>
      <c r="Y16" s="10">
        <f>+'Lundi S2'!Y16+'Mardi S2 '!Y16+'Mercredi S2 '!Y16+'Jeudi S2 '!Y16+'Vendredi S2 '!Y16+'Samedi S2'!Y16</f>
        <v>0</v>
      </c>
      <c r="Z16" s="10">
        <f>+'Lundi S2'!Z16+'Mardi S2 '!Z16+'Mercredi S2 '!Z16+'Jeudi S2 '!Z16+'Vendredi S2 '!Z16+'Samedi S2'!Z16</f>
        <v>0</v>
      </c>
      <c r="AA16" s="11">
        <f>+'Lundi S2'!AA16+'Mardi S2 '!AA16+'Mercredi S2 '!AA16+'Jeudi S2 '!AA16+'Vendredi S2 '!AA16+'Samedi S2'!AA16</f>
        <v>0</v>
      </c>
      <c r="AB16" s="9">
        <f>+'Lundi S2'!AB16+'Mardi S2 '!AB16+'Mercredi S2 '!AB16+'Jeudi S2 '!AB16+'Vendredi S2 '!AB16+'Samedi S2'!AB16</f>
        <v>0</v>
      </c>
      <c r="AC16" s="10">
        <f>+'Lundi S2'!AC16+'Mardi S2 '!AC16+'Mercredi S2 '!AC16+'Jeudi S2 '!AC16+'Vendredi S2 '!AC16+'Samedi S2'!AC16</f>
        <v>0</v>
      </c>
      <c r="AD16" s="10">
        <f>+'Lundi S2'!AD16+'Mardi S2 '!AD16+'Mercredi S2 '!AD16+'Jeudi S2 '!AD16+'Vendredi S2 '!AD16+'Samedi S2'!AD16</f>
        <v>0</v>
      </c>
      <c r="AE16" s="10">
        <f>+'Lundi S2'!AE16+'Mardi S2 '!AE16+'Mercredi S2 '!AE16+'Jeudi S2 '!AE16+'Vendredi S2 '!AE16+'Samedi S2'!AE16</f>
        <v>0</v>
      </c>
      <c r="AF16" s="11">
        <f>+'Lundi S2'!AF16+'Mardi S2 '!AF16+'Mercredi S2 '!AF16+'Jeudi S2 '!AF16+'Vendredi S2 '!AF16+'Samedi S2'!AF16</f>
        <v>0</v>
      </c>
      <c r="AG16" s="9">
        <f>+'Lundi S2'!AG16+'Mardi S2 '!AG16+'Mercredi S2 '!AG16+'Jeudi S2 '!AG16+'Vendredi S2 '!AG16+'Samedi S2'!AG16</f>
        <v>0</v>
      </c>
      <c r="AH16" s="10">
        <f>+'Lundi S2'!AH16+'Mardi S2 '!AH16+'Mercredi S2 '!AH16+'Jeudi S2 '!AH16+'Vendredi S2 '!AH16+'Samedi S2'!AH16</f>
        <v>0</v>
      </c>
      <c r="AI16" s="10">
        <f>+'Lundi S2'!AI16+'Mardi S2 '!AI16+'Mercredi S2 '!AI16+'Jeudi S2 '!AI16+'Vendredi S2 '!AI16+'Samedi S2'!AI16</f>
        <v>0</v>
      </c>
      <c r="AJ16" s="10">
        <f>+'Lundi S2'!AJ16+'Mardi S2 '!AJ16+'Mercredi S2 '!AJ16+'Jeudi S2 '!AJ16+'Vendredi S2 '!AJ16+'Samedi S2'!AJ16</f>
        <v>0</v>
      </c>
      <c r="AK16" s="11">
        <f>+'Lundi S2'!AK16+'Mardi S2 '!AK16+'Mercredi S2 '!AK16+'Jeudi S2 '!AK16+'Vendredi S2 '!AK16+'Samedi S2'!AK16</f>
        <v>0</v>
      </c>
      <c r="AL16" s="9">
        <f>+'Lundi S2'!AL16+'Mardi S2 '!AL16+'Mercredi S2 '!AL16+'Jeudi S2 '!AL16+'Vendredi S2 '!AL16+'Samedi S2'!AL16</f>
        <v>0</v>
      </c>
      <c r="AM16" s="10">
        <f>+'Lundi S2'!AM16+'Mardi S2 '!AM16+'Mercredi S2 '!AM16+'Jeudi S2 '!AM16+'Vendredi S2 '!AM16+'Samedi S2'!AM16</f>
        <v>0</v>
      </c>
      <c r="AN16" s="10">
        <f>+'Lundi S2'!AN16+'Mardi S2 '!AN16+'Mercredi S2 '!AN16+'Jeudi S2 '!AN16+'Vendredi S2 '!AN16+'Samedi S2'!AN16</f>
        <v>0</v>
      </c>
      <c r="AO16" s="10">
        <f>+'Lundi S2'!AO16+'Mardi S2 '!AO16+'Mercredi S2 '!AO16+'Jeudi S2 '!AO16+'Vendredi S2 '!AO16+'Samedi S2'!AO16</f>
        <v>0</v>
      </c>
      <c r="AP16" s="11">
        <f>+'Lundi S2'!AP16+'Mardi S2 '!AP16+'Mercredi S2 '!AP16+'Jeudi S2 '!AP16+'Vendredi S2 '!AP16+'Samedi S2'!AP16</f>
        <v>0</v>
      </c>
      <c r="AQ16" s="9">
        <f>+'Lundi S2'!AQ16+'Mardi S2 '!AQ16+'Mercredi S2 '!AQ16+'Jeudi S2 '!AQ16+'Vendredi S2 '!AQ16+'Samedi S2'!AQ16</f>
        <v>0</v>
      </c>
      <c r="AR16" s="10">
        <f>+'Lundi S2'!AR16+'Mardi S2 '!AR16+'Mercredi S2 '!AR16+'Jeudi S2 '!AR16+'Vendredi S2 '!AR16+'Samedi S2'!AR16</f>
        <v>0</v>
      </c>
      <c r="AS16" s="11">
        <f>+'Lundi S2'!AS16+'Mardi S2 '!AS16+'Mercredi S2 '!AS16+'Jeudi S2 '!AS16+'Vendredi S2 '!AS16+'Samedi S2'!AS16</f>
        <v>0</v>
      </c>
      <c r="AT16" s="22"/>
      <c r="AU16" s="14"/>
    </row>
    <row r="17" spans="1:47" ht="31.9" customHeight="1" x14ac:dyDescent="0.2">
      <c r="A17" s="26">
        <v>11</v>
      </c>
      <c r="B17" s="19"/>
      <c r="C17" s="9">
        <f>+'Lundi S2'!C17+'Mardi S2 '!C17+'Mercredi S2 '!C17+'Jeudi S2 '!C17+'Vendredi S2 '!C17+'Samedi S2'!C17</f>
        <v>90</v>
      </c>
      <c r="D17" s="10">
        <f>+'Lundi S2'!D17+'Mardi S2 '!D17+'Mercredi S2 '!D17+'Jeudi S2 '!D17+'Vendredi S2 '!D17+'Samedi S2'!D17</f>
        <v>18</v>
      </c>
      <c r="E17" s="10">
        <f>+'Lundi S2'!E17+'Mardi S2 '!E17+'Mercredi S2 '!E17+'Jeudi S2 '!E17+'Vendredi S2 '!E17+'Samedi S2'!E17</f>
        <v>30</v>
      </c>
      <c r="F17" s="10">
        <f>+'Lundi S2'!F17+'Mardi S2 '!F17+'Mercredi S2 '!F17+'Jeudi S2 '!F17+'Vendredi S2 '!F17+'Samedi S2'!F17</f>
        <v>12</v>
      </c>
      <c r="G17" s="11">
        <f>+'Lundi S2'!G17+'Mardi S2 '!G17+'Mercredi S2 '!G17+'Jeudi S2 '!G17+'Vendredi S2 '!G17+'Samedi S2'!G17</f>
        <v>30</v>
      </c>
      <c r="H17" s="9">
        <f>+'Lundi S2'!H17+'Mardi S2 '!H17+'Mercredi S2 '!H17+'Jeudi S2 '!H17+'Vendredi S2 '!H17+'Samedi S2'!H17</f>
        <v>18</v>
      </c>
      <c r="I17" s="10">
        <f>+'Lundi S2'!I17+'Mardi S2 '!I17+'Mercredi S2 '!I17+'Jeudi S2 '!I17+'Vendredi S2 '!I17+'Samedi S2'!I17</f>
        <v>6</v>
      </c>
      <c r="J17" s="10">
        <f>+'Lundi S2'!J17+'Mardi S2 '!J17+'Mercredi S2 '!J17+'Jeudi S2 '!J17+'Vendredi S2 '!J17+'Samedi S2'!J17</f>
        <v>6</v>
      </c>
      <c r="K17" s="10">
        <f>+'Lundi S2'!K17+'Mardi S2 '!K17+'Mercredi S2 '!K17+'Jeudi S2 '!K17+'Vendredi S2 '!K17+'Samedi S2'!K17</f>
        <v>6</v>
      </c>
      <c r="L17" s="11">
        <f>+'Lundi S2'!L17+'Mardi S2 '!L17+'Mercredi S2 '!L17+'Jeudi S2 '!L17+'Vendredi S2 '!L17+'Samedi S2'!L17</f>
        <v>6</v>
      </c>
      <c r="M17" s="9">
        <f>+'Lundi S2'!M17+'Mardi S2 '!M17+'Mercredi S2 '!M17+'Jeudi S2 '!M17+'Vendredi S2 '!M17+'Samedi S2'!M17</f>
        <v>18</v>
      </c>
      <c r="N17" s="10">
        <f>+'Lundi S2'!N17+'Mardi S2 '!N17+'Mercredi S2 '!N17+'Jeudi S2 '!N17+'Vendredi S2 '!N17+'Samedi S2'!N17</f>
        <v>6</v>
      </c>
      <c r="O17" s="10">
        <f>+'Lundi S2'!O17+'Mardi S2 '!O17+'Mercredi S2 '!O17+'Jeudi S2 '!O17+'Vendredi S2 '!O17+'Samedi S2'!O17</f>
        <v>18</v>
      </c>
      <c r="P17" s="10">
        <f>+'Lundi S2'!P17+'Mardi S2 '!P17+'Mercredi S2 '!P17+'Jeudi S2 '!P17+'Vendredi S2 '!P17+'Samedi S2'!P17</f>
        <v>0</v>
      </c>
      <c r="Q17" s="11">
        <f>+'Lundi S2'!Q17+'Mardi S2 '!Q17+'Mercredi S2 '!Q17+'Jeudi S2 '!Q17+'Vendredi S2 '!Q17+'Samedi S2'!Q17</f>
        <v>0</v>
      </c>
      <c r="R17" s="61">
        <f>+'Lundi S2'!R17+'Mardi S2 '!R17+'Mercredi S2 '!R17+'Jeudi S2 '!R17+'Vendredi S2 '!R17+'Samedi S2'!R17</f>
        <v>3</v>
      </c>
      <c r="S17" s="62">
        <f>+'Lundi S2'!S17+'Mardi S2 '!S17+'Mercredi S2 '!S17+'Jeudi S2 '!S17+'Vendredi S2 '!S17+'Samedi S2'!S17</f>
        <v>0.99999999999999989</v>
      </c>
      <c r="T17" s="62">
        <f>+'Lundi S2'!T17+'Mardi S2 '!T17+'Mercredi S2 '!T17+'Jeudi S2 '!T17+'Vendredi S2 '!T17+'Samedi S2'!T17</f>
        <v>0.6</v>
      </c>
      <c r="U17" s="62">
        <f>+'Lundi S2'!U17+'Mardi S2 '!U17+'Mercredi S2 '!U17+'Jeudi S2 '!U17+'Vendredi S2 '!U17+'Samedi S2'!U17</f>
        <v>3.6</v>
      </c>
      <c r="V17" s="63">
        <f>+'Lundi S2'!V17+'Mardi S2 '!V17+'Mercredi S2 '!V17+'Jeudi S2 '!V17+'Vendredi S2 '!V17+'Samedi S2'!V17</f>
        <v>0.9</v>
      </c>
      <c r="W17" s="9">
        <f>+'Lundi S2'!W17+'Mardi S2 '!W17+'Mercredi S2 '!W17+'Jeudi S2 '!W17+'Vendredi S2 '!W17+'Samedi S2'!W17</f>
        <v>0</v>
      </c>
      <c r="X17" s="10">
        <f>+'Lundi S2'!X17+'Mardi S2 '!X17+'Mercredi S2 '!X17+'Jeudi S2 '!X17+'Vendredi S2 '!X17+'Samedi S2'!X17</f>
        <v>0</v>
      </c>
      <c r="Y17" s="10">
        <f>+'Lundi S2'!Y17+'Mardi S2 '!Y17+'Mercredi S2 '!Y17+'Jeudi S2 '!Y17+'Vendredi S2 '!Y17+'Samedi S2'!Y17</f>
        <v>0</v>
      </c>
      <c r="Z17" s="10">
        <f>+'Lundi S2'!Z17+'Mardi S2 '!Z17+'Mercredi S2 '!Z17+'Jeudi S2 '!Z17+'Vendredi S2 '!Z17+'Samedi S2'!Z17</f>
        <v>0</v>
      </c>
      <c r="AA17" s="11">
        <f>+'Lundi S2'!AA17+'Mardi S2 '!AA17+'Mercredi S2 '!AA17+'Jeudi S2 '!AA17+'Vendredi S2 '!AA17+'Samedi S2'!AA17</f>
        <v>0</v>
      </c>
      <c r="AB17" s="9">
        <f>+'Lundi S2'!AB17+'Mardi S2 '!AB17+'Mercredi S2 '!AB17+'Jeudi S2 '!AB17+'Vendredi S2 '!AB17+'Samedi S2'!AB17</f>
        <v>0</v>
      </c>
      <c r="AC17" s="10">
        <f>+'Lundi S2'!AC17+'Mardi S2 '!AC17+'Mercredi S2 '!AC17+'Jeudi S2 '!AC17+'Vendredi S2 '!AC17+'Samedi S2'!AC17</f>
        <v>0</v>
      </c>
      <c r="AD17" s="10">
        <f>+'Lundi S2'!AD17+'Mardi S2 '!AD17+'Mercredi S2 '!AD17+'Jeudi S2 '!AD17+'Vendredi S2 '!AD17+'Samedi S2'!AD17</f>
        <v>0</v>
      </c>
      <c r="AE17" s="10">
        <f>+'Lundi S2'!AE17+'Mardi S2 '!AE17+'Mercredi S2 '!AE17+'Jeudi S2 '!AE17+'Vendredi S2 '!AE17+'Samedi S2'!AE17</f>
        <v>0</v>
      </c>
      <c r="AF17" s="11">
        <f>+'Lundi S2'!AF17+'Mardi S2 '!AF17+'Mercredi S2 '!AF17+'Jeudi S2 '!AF17+'Vendredi S2 '!AF17+'Samedi S2'!AF17</f>
        <v>0</v>
      </c>
      <c r="AG17" s="9">
        <f>+'Lundi S2'!AG17+'Mardi S2 '!AG17+'Mercredi S2 '!AG17+'Jeudi S2 '!AG17+'Vendredi S2 '!AG17+'Samedi S2'!AG17</f>
        <v>0</v>
      </c>
      <c r="AH17" s="10">
        <f>+'Lundi S2'!AH17+'Mardi S2 '!AH17+'Mercredi S2 '!AH17+'Jeudi S2 '!AH17+'Vendredi S2 '!AH17+'Samedi S2'!AH17</f>
        <v>0</v>
      </c>
      <c r="AI17" s="10">
        <f>+'Lundi S2'!AI17+'Mardi S2 '!AI17+'Mercredi S2 '!AI17+'Jeudi S2 '!AI17+'Vendredi S2 '!AI17+'Samedi S2'!AI17</f>
        <v>0</v>
      </c>
      <c r="AJ17" s="10">
        <f>+'Lundi S2'!AJ17+'Mardi S2 '!AJ17+'Mercredi S2 '!AJ17+'Jeudi S2 '!AJ17+'Vendredi S2 '!AJ17+'Samedi S2'!AJ17</f>
        <v>0</v>
      </c>
      <c r="AK17" s="11">
        <f>+'Lundi S2'!AK17+'Mardi S2 '!AK17+'Mercredi S2 '!AK17+'Jeudi S2 '!AK17+'Vendredi S2 '!AK17+'Samedi S2'!AK17</f>
        <v>0</v>
      </c>
      <c r="AL17" s="9">
        <f>+'Lundi S2'!AL17+'Mardi S2 '!AL17+'Mercredi S2 '!AL17+'Jeudi S2 '!AL17+'Vendredi S2 '!AL17+'Samedi S2'!AL17</f>
        <v>0</v>
      </c>
      <c r="AM17" s="10">
        <f>+'Lundi S2'!AM17+'Mardi S2 '!AM17+'Mercredi S2 '!AM17+'Jeudi S2 '!AM17+'Vendredi S2 '!AM17+'Samedi S2'!AM17</f>
        <v>0</v>
      </c>
      <c r="AN17" s="10">
        <f>+'Lundi S2'!AN17+'Mardi S2 '!AN17+'Mercredi S2 '!AN17+'Jeudi S2 '!AN17+'Vendredi S2 '!AN17+'Samedi S2'!AN17</f>
        <v>0</v>
      </c>
      <c r="AO17" s="10">
        <f>+'Lundi S2'!AO17+'Mardi S2 '!AO17+'Mercredi S2 '!AO17+'Jeudi S2 '!AO17+'Vendredi S2 '!AO17+'Samedi S2'!AO17</f>
        <v>0</v>
      </c>
      <c r="AP17" s="11">
        <f>+'Lundi S2'!AP17+'Mardi S2 '!AP17+'Mercredi S2 '!AP17+'Jeudi S2 '!AP17+'Vendredi S2 '!AP17+'Samedi S2'!AP17</f>
        <v>0</v>
      </c>
      <c r="AQ17" s="9">
        <f>+'Lundi S2'!AQ17+'Mardi S2 '!AQ17+'Mercredi S2 '!AQ17+'Jeudi S2 '!AQ17+'Vendredi S2 '!AQ17+'Samedi S2'!AQ17</f>
        <v>0</v>
      </c>
      <c r="AR17" s="10">
        <f>+'Lundi S2'!AR17+'Mardi S2 '!AR17+'Mercredi S2 '!AR17+'Jeudi S2 '!AR17+'Vendredi S2 '!AR17+'Samedi S2'!AR17</f>
        <v>0</v>
      </c>
      <c r="AS17" s="11">
        <f>+'Lundi S2'!AS17+'Mardi S2 '!AS17+'Mercredi S2 '!AS17+'Jeudi S2 '!AS17+'Vendredi S2 '!AS17+'Samedi S2'!AS17</f>
        <v>0</v>
      </c>
      <c r="AT17" s="22"/>
      <c r="AU17" s="14"/>
    </row>
    <row r="18" spans="1:47" ht="31.9" customHeight="1" x14ac:dyDescent="0.2">
      <c r="A18" s="26">
        <v>12</v>
      </c>
      <c r="B18" s="19"/>
      <c r="C18" s="9">
        <f>+'Lundi S2'!C18+'Mardi S2 '!C18+'Mercredi S2 '!C18+'Jeudi S2 '!C18+'Vendredi S2 '!C18+'Samedi S2'!C18</f>
        <v>90</v>
      </c>
      <c r="D18" s="10">
        <f>+'Lundi S2'!D18+'Mardi S2 '!D18+'Mercredi S2 '!D18+'Jeudi S2 '!D18+'Vendredi S2 '!D18+'Samedi S2'!D18</f>
        <v>18</v>
      </c>
      <c r="E18" s="10">
        <f>+'Lundi S2'!E18+'Mardi S2 '!E18+'Mercredi S2 '!E18+'Jeudi S2 '!E18+'Vendredi S2 '!E18+'Samedi S2'!E18</f>
        <v>30</v>
      </c>
      <c r="F18" s="10">
        <f>+'Lundi S2'!F18+'Mardi S2 '!F18+'Mercredi S2 '!F18+'Jeudi S2 '!F18+'Vendredi S2 '!F18+'Samedi S2'!F18</f>
        <v>12</v>
      </c>
      <c r="G18" s="11">
        <f>+'Lundi S2'!G18+'Mardi S2 '!G18+'Mercredi S2 '!G18+'Jeudi S2 '!G18+'Vendredi S2 '!G18+'Samedi S2'!G18</f>
        <v>30</v>
      </c>
      <c r="H18" s="9">
        <f>+'Lundi S2'!H18+'Mardi S2 '!H18+'Mercredi S2 '!H18+'Jeudi S2 '!H18+'Vendredi S2 '!H18+'Samedi S2'!H18</f>
        <v>18</v>
      </c>
      <c r="I18" s="10">
        <f>+'Lundi S2'!I18+'Mardi S2 '!I18+'Mercredi S2 '!I18+'Jeudi S2 '!I18+'Vendredi S2 '!I18+'Samedi S2'!I18</f>
        <v>6</v>
      </c>
      <c r="J18" s="10">
        <f>+'Lundi S2'!J18+'Mardi S2 '!J18+'Mercredi S2 '!J18+'Jeudi S2 '!J18+'Vendredi S2 '!J18+'Samedi S2'!J18</f>
        <v>6</v>
      </c>
      <c r="K18" s="10">
        <f>+'Lundi S2'!K18+'Mardi S2 '!K18+'Mercredi S2 '!K18+'Jeudi S2 '!K18+'Vendredi S2 '!K18+'Samedi S2'!K18</f>
        <v>6</v>
      </c>
      <c r="L18" s="11">
        <f>+'Lundi S2'!L18+'Mardi S2 '!L18+'Mercredi S2 '!L18+'Jeudi S2 '!L18+'Vendredi S2 '!L18+'Samedi S2'!L18</f>
        <v>6</v>
      </c>
      <c r="M18" s="9">
        <f>+'Lundi S2'!M18+'Mardi S2 '!M18+'Mercredi S2 '!M18+'Jeudi S2 '!M18+'Vendredi S2 '!M18+'Samedi S2'!M18</f>
        <v>18</v>
      </c>
      <c r="N18" s="10">
        <f>+'Lundi S2'!N18+'Mardi S2 '!N18+'Mercredi S2 '!N18+'Jeudi S2 '!N18+'Vendredi S2 '!N18+'Samedi S2'!N18</f>
        <v>6</v>
      </c>
      <c r="O18" s="10">
        <f>+'Lundi S2'!O18+'Mardi S2 '!O18+'Mercredi S2 '!O18+'Jeudi S2 '!O18+'Vendredi S2 '!O18+'Samedi S2'!O18</f>
        <v>18</v>
      </c>
      <c r="P18" s="10">
        <f>+'Lundi S2'!P18+'Mardi S2 '!P18+'Mercredi S2 '!P18+'Jeudi S2 '!P18+'Vendredi S2 '!P18+'Samedi S2'!P18</f>
        <v>0</v>
      </c>
      <c r="Q18" s="11">
        <f>+'Lundi S2'!Q18+'Mardi S2 '!Q18+'Mercredi S2 '!Q18+'Jeudi S2 '!Q18+'Vendredi S2 '!Q18+'Samedi S2'!Q18</f>
        <v>0</v>
      </c>
      <c r="R18" s="61">
        <f>+'Lundi S2'!R18+'Mardi S2 '!R18+'Mercredi S2 '!R18+'Jeudi S2 '!R18+'Vendredi S2 '!R18+'Samedi S2'!R18</f>
        <v>3</v>
      </c>
      <c r="S18" s="62">
        <f>+'Lundi S2'!S18+'Mardi S2 '!S18+'Mercredi S2 '!S18+'Jeudi S2 '!S18+'Vendredi S2 '!S18+'Samedi S2'!S18</f>
        <v>0.99999999999999989</v>
      </c>
      <c r="T18" s="62">
        <f>+'Lundi S2'!T18+'Mardi S2 '!T18+'Mercredi S2 '!T18+'Jeudi S2 '!T18+'Vendredi S2 '!T18+'Samedi S2'!T18</f>
        <v>0.6</v>
      </c>
      <c r="U18" s="62">
        <f>+'Lundi S2'!U18+'Mardi S2 '!U18+'Mercredi S2 '!U18+'Jeudi S2 '!U18+'Vendredi S2 '!U18+'Samedi S2'!U18</f>
        <v>3.6</v>
      </c>
      <c r="V18" s="63">
        <f>+'Lundi S2'!V18+'Mardi S2 '!V18+'Mercredi S2 '!V18+'Jeudi S2 '!V18+'Vendredi S2 '!V18+'Samedi S2'!V18</f>
        <v>0.9</v>
      </c>
      <c r="W18" s="9">
        <f>+'Lundi S2'!W18+'Mardi S2 '!W18+'Mercredi S2 '!W18+'Jeudi S2 '!W18+'Vendredi S2 '!W18+'Samedi S2'!W18</f>
        <v>0</v>
      </c>
      <c r="X18" s="10">
        <f>+'Lundi S2'!X18+'Mardi S2 '!X18+'Mercredi S2 '!X18+'Jeudi S2 '!X18+'Vendredi S2 '!X18+'Samedi S2'!X18</f>
        <v>0</v>
      </c>
      <c r="Y18" s="10">
        <f>+'Lundi S2'!Y18+'Mardi S2 '!Y18+'Mercredi S2 '!Y18+'Jeudi S2 '!Y18+'Vendredi S2 '!Y18+'Samedi S2'!Y18</f>
        <v>0</v>
      </c>
      <c r="Z18" s="10">
        <f>+'Lundi S2'!Z18+'Mardi S2 '!Z18+'Mercredi S2 '!Z18+'Jeudi S2 '!Z18+'Vendredi S2 '!Z18+'Samedi S2'!Z18</f>
        <v>0</v>
      </c>
      <c r="AA18" s="11">
        <f>+'Lundi S2'!AA18+'Mardi S2 '!AA18+'Mercredi S2 '!AA18+'Jeudi S2 '!AA18+'Vendredi S2 '!AA18+'Samedi S2'!AA18</f>
        <v>0</v>
      </c>
      <c r="AB18" s="9">
        <f>+'Lundi S2'!AB18+'Mardi S2 '!AB18+'Mercredi S2 '!AB18+'Jeudi S2 '!AB18+'Vendredi S2 '!AB18+'Samedi S2'!AB18</f>
        <v>0</v>
      </c>
      <c r="AC18" s="10">
        <f>+'Lundi S2'!AC18+'Mardi S2 '!AC18+'Mercredi S2 '!AC18+'Jeudi S2 '!AC18+'Vendredi S2 '!AC18+'Samedi S2'!AC18</f>
        <v>0</v>
      </c>
      <c r="AD18" s="10">
        <f>+'Lundi S2'!AD18+'Mardi S2 '!AD18+'Mercredi S2 '!AD18+'Jeudi S2 '!AD18+'Vendredi S2 '!AD18+'Samedi S2'!AD18</f>
        <v>0</v>
      </c>
      <c r="AE18" s="10">
        <f>+'Lundi S2'!AE18+'Mardi S2 '!AE18+'Mercredi S2 '!AE18+'Jeudi S2 '!AE18+'Vendredi S2 '!AE18+'Samedi S2'!AE18</f>
        <v>0</v>
      </c>
      <c r="AF18" s="11">
        <f>+'Lundi S2'!AF18+'Mardi S2 '!AF18+'Mercredi S2 '!AF18+'Jeudi S2 '!AF18+'Vendredi S2 '!AF18+'Samedi S2'!AF18</f>
        <v>0</v>
      </c>
      <c r="AG18" s="9">
        <f>+'Lundi S2'!AG18+'Mardi S2 '!AG18+'Mercredi S2 '!AG18+'Jeudi S2 '!AG18+'Vendredi S2 '!AG18+'Samedi S2'!AG18</f>
        <v>0</v>
      </c>
      <c r="AH18" s="10">
        <f>+'Lundi S2'!AH18+'Mardi S2 '!AH18+'Mercredi S2 '!AH18+'Jeudi S2 '!AH18+'Vendredi S2 '!AH18+'Samedi S2'!AH18</f>
        <v>0</v>
      </c>
      <c r="AI18" s="10">
        <f>+'Lundi S2'!AI18+'Mardi S2 '!AI18+'Mercredi S2 '!AI18+'Jeudi S2 '!AI18+'Vendredi S2 '!AI18+'Samedi S2'!AI18</f>
        <v>0</v>
      </c>
      <c r="AJ18" s="10">
        <f>+'Lundi S2'!AJ18+'Mardi S2 '!AJ18+'Mercredi S2 '!AJ18+'Jeudi S2 '!AJ18+'Vendredi S2 '!AJ18+'Samedi S2'!AJ18</f>
        <v>0</v>
      </c>
      <c r="AK18" s="11">
        <f>+'Lundi S2'!AK18+'Mardi S2 '!AK18+'Mercredi S2 '!AK18+'Jeudi S2 '!AK18+'Vendredi S2 '!AK18+'Samedi S2'!AK18</f>
        <v>0</v>
      </c>
      <c r="AL18" s="9">
        <f>+'Lundi S2'!AL18+'Mardi S2 '!AL18+'Mercredi S2 '!AL18+'Jeudi S2 '!AL18+'Vendredi S2 '!AL18+'Samedi S2'!AL18</f>
        <v>0</v>
      </c>
      <c r="AM18" s="10">
        <f>+'Lundi S2'!AM18+'Mardi S2 '!AM18+'Mercredi S2 '!AM18+'Jeudi S2 '!AM18+'Vendredi S2 '!AM18+'Samedi S2'!AM18</f>
        <v>0</v>
      </c>
      <c r="AN18" s="10">
        <f>+'Lundi S2'!AN18+'Mardi S2 '!AN18+'Mercredi S2 '!AN18+'Jeudi S2 '!AN18+'Vendredi S2 '!AN18+'Samedi S2'!AN18</f>
        <v>0</v>
      </c>
      <c r="AO18" s="10">
        <f>+'Lundi S2'!AO18+'Mardi S2 '!AO18+'Mercredi S2 '!AO18+'Jeudi S2 '!AO18+'Vendredi S2 '!AO18+'Samedi S2'!AO18</f>
        <v>0</v>
      </c>
      <c r="AP18" s="11">
        <f>+'Lundi S2'!AP18+'Mardi S2 '!AP18+'Mercredi S2 '!AP18+'Jeudi S2 '!AP18+'Vendredi S2 '!AP18+'Samedi S2'!AP18</f>
        <v>0</v>
      </c>
      <c r="AQ18" s="9">
        <f>+'Lundi S2'!AQ18+'Mardi S2 '!AQ18+'Mercredi S2 '!AQ18+'Jeudi S2 '!AQ18+'Vendredi S2 '!AQ18+'Samedi S2'!AQ18</f>
        <v>0</v>
      </c>
      <c r="AR18" s="10">
        <f>+'Lundi S2'!AR18+'Mardi S2 '!AR18+'Mercredi S2 '!AR18+'Jeudi S2 '!AR18+'Vendredi S2 '!AR18+'Samedi S2'!AR18</f>
        <v>0</v>
      </c>
      <c r="AS18" s="11">
        <f>+'Lundi S2'!AS18+'Mardi S2 '!AS18+'Mercredi S2 '!AS18+'Jeudi S2 '!AS18+'Vendredi S2 '!AS18+'Samedi S2'!AS18</f>
        <v>0</v>
      </c>
      <c r="AT18" s="22"/>
      <c r="AU18" s="14"/>
    </row>
    <row r="19" spans="1:47" ht="31.9" customHeight="1" x14ac:dyDescent="0.2">
      <c r="A19" s="26">
        <v>13</v>
      </c>
      <c r="B19" s="19"/>
      <c r="C19" s="9">
        <f>+'Lundi S2'!C19+'Mardi S2 '!C19+'Mercredi S2 '!C19+'Jeudi S2 '!C19+'Vendredi S2 '!C19+'Samedi S2'!C19</f>
        <v>90</v>
      </c>
      <c r="D19" s="10">
        <f>+'Lundi S2'!D19+'Mardi S2 '!D19+'Mercredi S2 '!D19+'Jeudi S2 '!D19+'Vendredi S2 '!D19+'Samedi S2'!D19</f>
        <v>18</v>
      </c>
      <c r="E19" s="10">
        <f>+'Lundi S2'!E19+'Mardi S2 '!E19+'Mercredi S2 '!E19+'Jeudi S2 '!E19+'Vendredi S2 '!E19+'Samedi S2'!E19</f>
        <v>30</v>
      </c>
      <c r="F19" s="10">
        <f>+'Lundi S2'!F19+'Mardi S2 '!F19+'Mercredi S2 '!F19+'Jeudi S2 '!F19+'Vendredi S2 '!F19+'Samedi S2'!F19</f>
        <v>12</v>
      </c>
      <c r="G19" s="11">
        <f>+'Lundi S2'!G19+'Mardi S2 '!G19+'Mercredi S2 '!G19+'Jeudi S2 '!G19+'Vendredi S2 '!G19+'Samedi S2'!G19</f>
        <v>30</v>
      </c>
      <c r="H19" s="9">
        <f>+'Lundi S2'!H19+'Mardi S2 '!H19+'Mercredi S2 '!H19+'Jeudi S2 '!H19+'Vendredi S2 '!H19+'Samedi S2'!H19</f>
        <v>18</v>
      </c>
      <c r="I19" s="10">
        <f>+'Lundi S2'!I19+'Mardi S2 '!I19+'Mercredi S2 '!I19+'Jeudi S2 '!I19+'Vendredi S2 '!I19+'Samedi S2'!I19</f>
        <v>6</v>
      </c>
      <c r="J19" s="10">
        <f>+'Lundi S2'!J19+'Mardi S2 '!J19+'Mercredi S2 '!J19+'Jeudi S2 '!J19+'Vendredi S2 '!J19+'Samedi S2'!J19</f>
        <v>6</v>
      </c>
      <c r="K19" s="10">
        <f>+'Lundi S2'!K19+'Mardi S2 '!K19+'Mercredi S2 '!K19+'Jeudi S2 '!K19+'Vendredi S2 '!K19+'Samedi S2'!K19</f>
        <v>6</v>
      </c>
      <c r="L19" s="11">
        <f>+'Lundi S2'!L19+'Mardi S2 '!L19+'Mercredi S2 '!L19+'Jeudi S2 '!L19+'Vendredi S2 '!L19+'Samedi S2'!L19</f>
        <v>6</v>
      </c>
      <c r="M19" s="9">
        <f>+'Lundi S2'!M19+'Mardi S2 '!M19+'Mercredi S2 '!M19+'Jeudi S2 '!M19+'Vendredi S2 '!M19+'Samedi S2'!M19</f>
        <v>18</v>
      </c>
      <c r="N19" s="10">
        <f>+'Lundi S2'!N19+'Mardi S2 '!N19+'Mercredi S2 '!N19+'Jeudi S2 '!N19+'Vendredi S2 '!N19+'Samedi S2'!N19</f>
        <v>6</v>
      </c>
      <c r="O19" s="10">
        <f>+'Lundi S2'!O19+'Mardi S2 '!O19+'Mercredi S2 '!O19+'Jeudi S2 '!O19+'Vendredi S2 '!O19+'Samedi S2'!O19</f>
        <v>18</v>
      </c>
      <c r="P19" s="10">
        <f>+'Lundi S2'!P19+'Mardi S2 '!P19+'Mercredi S2 '!P19+'Jeudi S2 '!P19+'Vendredi S2 '!P19+'Samedi S2'!P19</f>
        <v>0</v>
      </c>
      <c r="Q19" s="11">
        <f>+'Lundi S2'!Q19+'Mardi S2 '!Q19+'Mercredi S2 '!Q19+'Jeudi S2 '!Q19+'Vendredi S2 '!Q19+'Samedi S2'!Q19</f>
        <v>0</v>
      </c>
      <c r="R19" s="61">
        <f>+'Lundi S2'!R19+'Mardi S2 '!R19+'Mercredi S2 '!R19+'Jeudi S2 '!R19+'Vendredi S2 '!R19+'Samedi S2'!R19</f>
        <v>3</v>
      </c>
      <c r="S19" s="62">
        <f>+'Lundi S2'!S19+'Mardi S2 '!S19+'Mercredi S2 '!S19+'Jeudi S2 '!S19+'Vendredi S2 '!S19+'Samedi S2'!S19</f>
        <v>0.99999999999999989</v>
      </c>
      <c r="T19" s="62">
        <f>+'Lundi S2'!T19+'Mardi S2 '!T19+'Mercredi S2 '!T19+'Jeudi S2 '!T19+'Vendredi S2 '!T19+'Samedi S2'!T19</f>
        <v>0.6</v>
      </c>
      <c r="U19" s="62">
        <f>+'Lundi S2'!U19+'Mardi S2 '!U19+'Mercredi S2 '!U19+'Jeudi S2 '!U19+'Vendredi S2 '!U19+'Samedi S2'!U19</f>
        <v>3.6</v>
      </c>
      <c r="V19" s="63">
        <f>+'Lundi S2'!V19+'Mardi S2 '!V19+'Mercredi S2 '!V19+'Jeudi S2 '!V19+'Vendredi S2 '!V19+'Samedi S2'!V19</f>
        <v>0.9</v>
      </c>
      <c r="W19" s="9">
        <f>+'Lundi S2'!W19+'Mardi S2 '!W19+'Mercredi S2 '!W19+'Jeudi S2 '!W19+'Vendredi S2 '!W19+'Samedi S2'!W19</f>
        <v>0</v>
      </c>
      <c r="X19" s="10">
        <f>+'Lundi S2'!X19+'Mardi S2 '!X19+'Mercredi S2 '!X19+'Jeudi S2 '!X19+'Vendredi S2 '!X19+'Samedi S2'!X19</f>
        <v>0</v>
      </c>
      <c r="Y19" s="10">
        <f>+'Lundi S2'!Y19+'Mardi S2 '!Y19+'Mercredi S2 '!Y19+'Jeudi S2 '!Y19+'Vendredi S2 '!Y19+'Samedi S2'!Y19</f>
        <v>0</v>
      </c>
      <c r="Z19" s="10">
        <f>+'Lundi S2'!Z19+'Mardi S2 '!Z19+'Mercredi S2 '!Z19+'Jeudi S2 '!Z19+'Vendredi S2 '!Z19+'Samedi S2'!Z19</f>
        <v>0</v>
      </c>
      <c r="AA19" s="11">
        <f>+'Lundi S2'!AA19+'Mardi S2 '!AA19+'Mercredi S2 '!AA19+'Jeudi S2 '!AA19+'Vendredi S2 '!AA19+'Samedi S2'!AA19</f>
        <v>0</v>
      </c>
      <c r="AB19" s="9">
        <f>+'Lundi S2'!AB19+'Mardi S2 '!AB19+'Mercredi S2 '!AB19+'Jeudi S2 '!AB19+'Vendredi S2 '!AB19+'Samedi S2'!AB19</f>
        <v>0</v>
      </c>
      <c r="AC19" s="10">
        <f>+'Lundi S2'!AC19+'Mardi S2 '!AC19+'Mercredi S2 '!AC19+'Jeudi S2 '!AC19+'Vendredi S2 '!AC19+'Samedi S2'!AC19</f>
        <v>0</v>
      </c>
      <c r="AD19" s="10">
        <f>+'Lundi S2'!AD19+'Mardi S2 '!AD19+'Mercredi S2 '!AD19+'Jeudi S2 '!AD19+'Vendredi S2 '!AD19+'Samedi S2'!AD19</f>
        <v>0</v>
      </c>
      <c r="AE19" s="10">
        <f>+'Lundi S2'!AE19+'Mardi S2 '!AE19+'Mercredi S2 '!AE19+'Jeudi S2 '!AE19+'Vendredi S2 '!AE19+'Samedi S2'!AE19</f>
        <v>0</v>
      </c>
      <c r="AF19" s="11">
        <f>+'Lundi S2'!AF19+'Mardi S2 '!AF19+'Mercredi S2 '!AF19+'Jeudi S2 '!AF19+'Vendredi S2 '!AF19+'Samedi S2'!AF19</f>
        <v>0</v>
      </c>
      <c r="AG19" s="9">
        <f>+'Lundi S2'!AG19+'Mardi S2 '!AG19+'Mercredi S2 '!AG19+'Jeudi S2 '!AG19+'Vendredi S2 '!AG19+'Samedi S2'!AG19</f>
        <v>0</v>
      </c>
      <c r="AH19" s="10">
        <f>+'Lundi S2'!AH19+'Mardi S2 '!AH19+'Mercredi S2 '!AH19+'Jeudi S2 '!AH19+'Vendredi S2 '!AH19+'Samedi S2'!AH19</f>
        <v>0</v>
      </c>
      <c r="AI19" s="10">
        <f>+'Lundi S2'!AI19+'Mardi S2 '!AI19+'Mercredi S2 '!AI19+'Jeudi S2 '!AI19+'Vendredi S2 '!AI19+'Samedi S2'!AI19</f>
        <v>0</v>
      </c>
      <c r="AJ19" s="10">
        <f>+'Lundi S2'!AJ19+'Mardi S2 '!AJ19+'Mercredi S2 '!AJ19+'Jeudi S2 '!AJ19+'Vendredi S2 '!AJ19+'Samedi S2'!AJ19</f>
        <v>0</v>
      </c>
      <c r="AK19" s="11">
        <f>+'Lundi S2'!AK19+'Mardi S2 '!AK19+'Mercredi S2 '!AK19+'Jeudi S2 '!AK19+'Vendredi S2 '!AK19+'Samedi S2'!AK19</f>
        <v>0</v>
      </c>
      <c r="AL19" s="9">
        <f>+'Lundi S2'!AL19+'Mardi S2 '!AL19+'Mercredi S2 '!AL19+'Jeudi S2 '!AL19+'Vendredi S2 '!AL19+'Samedi S2'!AL19</f>
        <v>0</v>
      </c>
      <c r="AM19" s="10">
        <f>+'Lundi S2'!AM19+'Mardi S2 '!AM19+'Mercredi S2 '!AM19+'Jeudi S2 '!AM19+'Vendredi S2 '!AM19+'Samedi S2'!AM19</f>
        <v>0</v>
      </c>
      <c r="AN19" s="10">
        <f>+'Lundi S2'!AN19+'Mardi S2 '!AN19+'Mercredi S2 '!AN19+'Jeudi S2 '!AN19+'Vendredi S2 '!AN19+'Samedi S2'!AN19</f>
        <v>0</v>
      </c>
      <c r="AO19" s="10">
        <f>+'Lundi S2'!AO19+'Mardi S2 '!AO19+'Mercredi S2 '!AO19+'Jeudi S2 '!AO19+'Vendredi S2 '!AO19+'Samedi S2'!AO19</f>
        <v>0</v>
      </c>
      <c r="AP19" s="11">
        <f>+'Lundi S2'!AP19+'Mardi S2 '!AP19+'Mercredi S2 '!AP19+'Jeudi S2 '!AP19+'Vendredi S2 '!AP19+'Samedi S2'!AP19</f>
        <v>0</v>
      </c>
      <c r="AQ19" s="9">
        <f>+'Lundi S2'!AQ19+'Mardi S2 '!AQ19+'Mercredi S2 '!AQ19+'Jeudi S2 '!AQ19+'Vendredi S2 '!AQ19+'Samedi S2'!AQ19</f>
        <v>0</v>
      </c>
      <c r="AR19" s="10">
        <f>+'Lundi S2'!AR19+'Mardi S2 '!AR19+'Mercredi S2 '!AR19+'Jeudi S2 '!AR19+'Vendredi S2 '!AR19+'Samedi S2'!AR19</f>
        <v>0</v>
      </c>
      <c r="AS19" s="11">
        <f>+'Lundi S2'!AS19+'Mardi S2 '!AS19+'Mercredi S2 '!AS19+'Jeudi S2 '!AS19+'Vendredi S2 '!AS19+'Samedi S2'!AS19</f>
        <v>0</v>
      </c>
      <c r="AT19" s="22"/>
      <c r="AU19" s="14"/>
    </row>
    <row r="20" spans="1:47" ht="31.9" customHeight="1" x14ac:dyDescent="0.2">
      <c r="A20" s="26">
        <v>14</v>
      </c>
      <c r="B20" s="19"/>
      <c r="C20" s="9">
        <f>+'Lundi S2'!C20+'Mardi S2 '!C20+'Mercredi S2 '!C20+'Jeudi S2 '!C20+'Vendredi S2 '!C20+'Samedi S2'!C20</f>
        <v>90</v>
      </c>
      <c r="D20" s="10">
        <f>+'Lundi S2'!D20+'Mardi S2 '!D20+'Mercredi S2 '!D20+'Jeudi S2 '!D20+'Vendredi S2 '!D20+'Samedi S2'!D20</f>
        <v>18</v>
      </c>
      <c r="E20" s="10">
        <f>+'Lundi S2'!E20+'Mardi S2 '!E20+'Mercredi S2 '!E20+'Jeudi S2 '!E20+'Vendredi S2 '!E20+'Samedi S2'!E20</f>
        <v>30</v>
      </c>
      <c r="F20" s="10">
        <f>+'Lundi S2'!F20+'Mardi S2 '!F20+'Mercredi S2 '!F20+'Jeudi S2 '!F20+'Vendredi S2 '!F20+'Samedi S2'!F20</f>
        <v>12</v>
      </c>
      <c r="G20" s="11">
        <f>+'Lundi S2'!G20+'Mardi S2 '!G20+'Mercredi S2 '!G20+'Jeudi S2 '!G20+'Vendredi S2 '!G20+'Samedi S2'!G20</f>
        <v>30</v>
      </c>
      <c r="H20" s="9">
        <f>+'Lundi S2'!H20+'Mardi S2 '!H20+'Mercredi S2 '!H20+'Jeudi S2 '!H20+'Vendredi S2 '!H20+'Samedi S2'!H20</f>
        <v>18</v>
      </c>
      <c r="I20" s="10">
        <f>+'Lundi S2'!I20+'Mardi S2 '!I20+'Mercredi S2 '!I20+'Jeudi S2 '!I20+'Vendredi S2 '!I20+'Samedi S2'!I20</f>
        <v>6</v>
      </c>
      <c r="J20" s="10">
        <f>+'Lundi S2'!J20+'Mardi S2 '!J20+'Mercredi S2 '!J20+'Jeudi S2 '!J20+'Vendredi S2 '!J20+'Samedi S2'!J20</f>
        <v>6</v>
      </c>
      <c r="K20" s="10">
        <f>+'Lundi S2'!K20+'Mardi S2 '!K20+'Mercredi S2 '!K20+'Jeudi S2 '!K20+'Vendredi S2 '!K20+'Samedi S2'!K20</f>
        <v>6</v>
      </c>
      <c r="L20" s="11">
        <f>+'Lundi S2'!L20+'Mardi S2 '!L20+'Mercredi S2 '!L20+'Jeudi S2 '!L20+'Vendredi S2 '!L20+'Samedi S2'!L20</f>
        <v>6</v>
      </c>
      <c r="M20" s="9">
        <f>+'Lundi S2'!M20+'Mardi S2 '!M20+'Mercredi S2 '!M20+'Jeudi S2 '!M20+'Vendredi S2 '!M20+'Samedi S2'!M20</f>
        <v>18</v>
      </c>
      <c r="N20" s="10">
        <f>+'Lundi S2'!N20+'Mardi S2 '!N20+'Mercredi S2 '!N20+'Jeudi S2 '!N20+'Vendredi S2 '!N20+'Samedi S2'!N20</f>
        <v>6</v>
      </c>
      <c r="O20" s="10">
        <f>+'Lundi S2'!O20+'Mardi S2 '!O20+'Mercredi S2 '!O20+'Jeudi S2 '!O20+'Vendredi S2 '!O20+'Samedi S2'!O20</f>
        <v>18</v>
      </c>
      <c r="P20" s="10">
        <f>+'Lundi S2'!P20+'Mardi S2 '!P20+'Mercredi S2 '!P20+'Jeudi S2 '!P20+'Vendredi S2 '!P20+'Samedi S2'!P20</f>
        <v>0</v>
      </c>
      <c r="Q20" s="11">
        <f>+'Lundi S2'!Q20+'Mardi S2 '!Q20+'Mercredi S2 '!Q20+'Jeudi S2 '!Q20+'Vendredi S2 '!Q20+'Samedi S2'!Q20</f>
        <v>0</v>
      </c>
      <c r="R20" s="61">
        <f>+'Lundi S2'!R20+'Mardi S2 '!R20+'Mercredi S2 '!R20+'Jeudi S2 '!R20+'Vendredi S2 '!R20+'Samedi S2'!R20</f>
        <v>3</v>
      </c>
      <c r="S20" s="62">
        <f>+'Lundi S2'!S20+'Mardi S2 '!S20+'Mercredi S2 '!S20+'Jeudi S2 '!S20+'Vendredi S2 '!S20+'Samedi S2'!S20</f>
        <v>0.99999999999999989</v>
      </c>
      <c r="T20" s="62">
        <f>+'Lundi S2'!T20+'Mardi S2 '!T20+'Mercredi S2 '!T20+'Jeudi S2 '!T20+'Vendredi S2 '!T20+'Samedi S2'!T20</f>
        <v>0.6</v>
      </c>
      <c r="U20" s="62">
        <f>+'Lundi S2'!U20+'Mardi S2 '!U20+'Mercredi S2 '!U20+'Jeudi S2 '!U20+'Vendredi S2 '!U20+'Samedi S2'!U20</f>
        <v>3.6</v>
      </c>
      <c r="V20" s="63">
        <f>+'Lundi S2'!V20+'Mardi S2 '!V20+'Mercredi S2 '!V20+'Jeudi S2 '!V20+'Vendredi S2 '!V20+'Samedi S2'!V20</f>
        <v>0.9</v>
      </c>
      <c r="W20" s="9">
        <f>+'Lundi S2'!W20+'Mardi S2 '!W20+'Mercredi S2 '!W20+'Jeudi S2 '!W20+'Vendredi S2 '!W20+'Samedi S2'!W20</f>
        <v>0</v>
      </c>
      <c r="X20" s="10">
        <f>+'Lundi S2'!X20+'Mardi S2 '!X20+'Mercredi S2 '!X20+'Jeudi S2 '!X20+'Vendredi S2 '!X20+'Samedi S2'!X20</f>
        <v>0</v>
      </c>
      <c r="Y20" s="10">
        <f>+'Lundi S2'!Y20+'Mardi S2 '!Y20+'Mercredi S2 '!Y20+'Jeudi S2 '!Y20+'Vendredi S2 '!Y20+'Samedi S2'!Y20</f>
        <v>0</v>
      </c>
      <c r="Z20" s="10">
        <f>+'Lundi S2'!Z20+'Mardi S2 '!Z20+'Mercredi S2 '!Z20+'Jeudi S2 '!Z20+'Vendredi S2 '!Z20+'Samedi S2'!Z20</f>
        <v>0</v>
      </c>
      <c r="AA20" s="11">
        <f>+'Lundi S2'!AA20+'Mardi S2 '!AA20+'Mercredi S2 '!AA20+'Jeudi S2 '!AA20+'Vendredi S2 '!AA20+'Samedi S2'!AA20</f>
        <v>0</v>
      </c>
      <c r="AB20" s="9">
        <f>+'Lundi S2'!AB20+'Mardi S2 '!AB20+'Mercredi S2 '!AB20+'Jeudi S2 '!AB20+'Vendredi S2 '!AB20+'Samedi S2'!AB20</f>
        <v>0</v>
      </c>
      <c r="AC20" s="10">
        <f>+'Lundi S2'!AC20+'Mardi S2 '!AC20+'Mercredi S2 '!AC20+'Jeudi S2 '!AC20+'Vendredi S2 '!AC20+'Samedi S2'!AC20</f>
        <v>0</v>
      </c>
      <c r="AD20" s="10">
        <f>+'Lundi S2'!AD20+'Mardi S2 '!AD20+'Mercredi S2 '!AD20+'Jeudi S2 '!AD20+'Vendredi S2 '!AD20+'Samedi S2'!AD20</f>
        <v>0</v>
      </c>
      <c r="AE20" s="10">
        <f>+'Lundi S2'!AE20+'Mardi S2 '!AE20+'Mercredi S2 '!AE20+'Jeudi S2 '!AE20+'Vendredi S2 '!AE20+'Samedi S2'!AE20</f>
        <v>0</v>
      </c>
      <c r="AF20" s="11">
        <f>+'Lundi S2'!AF20+'Mardi S2 '!AF20+'Mercredi S2 '!AF20+'Jeudi S2 '!AF20+'Vendredi S2 '!AF20+'Samedi S2'!AF20</f>
        <v>0</v>
      </c>
      <c r="AG20" s="9">
        <f>+'Lundi S2'!AG20+'Mardi S2 '!AG20+'Mercredi S2 '!AG20+'Jeudi S2 '!AG20+'Vendredi S2 '!AG20+'Samedi S2'!AG20</f>
        <v>0</v>
      </c>
      <c r="AH20" s="10">
        <f>+'Lundi S2'!AH20+'Mardi S2 '!AH20+'Mercredi S2 '!AH20+'Jeudi S2 '!AH20+'Vendredi S2 '!AH20+'Samedi S2'!AH20</f>
        <v>0</v>
      </c>
      <c r="AI20" s="10">
        <f>+'Lundi S2'!AI20+'Mardi S2 '!AI20+'Mercredi S2 '!AI20+'Jeudi S2 '!AI20+'Vendredi S2 '!AI20+'Samedi S2'!AI20</f>
        <v>0</v>
      </c>
      <c r="AJ20" s="10">
        <f>+'Lundi S2'!AJ20+'Mardi S2 '!AJ20+'Mercredi S2 '!AJ20+'Jeudi S2 '!AJ20+'Vendredi S2 '!AJ20+'Samedi S2'!AJ20</f>
        <v>0</v>
      </c>
      <c r="AK20" s="11">
        <f>+'Lundi S2'!AK20+'Mardi S2 '!AK20+'Mercredi S2 '!AK20+'Jeudi S2 '!AK20+'Vendredi S2 '!AK20+'Samedi S2'!AK20</f>
        <v>0</v>
      </c>
      <c r="AL20" s="9">
        <f>+'Lundi S2'!AL20+'Mardi S2 '!AL20+'Mercredi S2 '!AL20+'Jeudi S2 '!AL20+'Vendredi S2 '!AL20+'Samedi S2'!AL20</f>
        <v>0</v>
      </c>
      <c r="AM20" s="10">
        <f>+'Lundi S2'!AM20+'Mardi S2 '!AM20+'Mercredi S2 '!AM20+'Jeudi S2 '!AM20+'Vendredi S2 '!AM20+'Samedi S2'!AM20</f>
        <v>0</v>
      </c>
      <c r="AN20" s="10">
        <f>+'Lundi S2'!AN20+'Mardi S2 '!AN20+'Mercredi S2 '!AN20+'Jeudi S2 '!AN20+'Vendredi S2 '!AN20+'Samedi S2'!AN20</f>
        <v>0</v>
      </c>
      <c r="AO20" s="10">
        <f>+'Lundi S2'!AO20+'Mardi S2 '!AO20+'Mercredi S2 '!AO20+'Jeudi S2 '!AO20+'Vendredi S2 '!AO20+'Samedi S2'!AO20</f>
        <v>0</v>
      </c>
      <c r="AP20" s="11">
        <f>+'Lundi S2'!AP20+'Mardi S2 '!AP20+'Mercredi S2 '!AP20+'Jeudi S2 '!AP20+'Vendredi S2 '!AP20+'Samedi S2'!AP20</f>
        <v>0</v>
      </c>
      <c r="AQ20" s="9">
        <f>+'Lundi S2'!AQ20+'Mardi S2 '!AQ20+'Mercredi S2 '!AQ20+'Jeudi S2 '!AQ20+'Vendredi S2 '!AQ20+'Samedi S2'!AQ20</f>
        <v>0</v>
      </c>
      <c r="AR20" s="10">
        <f>+'Lundi S2'!AR20+'Mardi S2 '!AR20+'Mercredi S2 '!AR20+'Jeudi S2 '!AR20+'Vendredi S2 '!AR20+'Samedi S2'!AR20</f>
        <v>0</v>
      </c>
      <c r="AS20" s="11">
        <f>+'Lundi S2'!AS20+'Mardi S2 '!AS20+'Mercredi S2 '!AS20+'Jeudi S2 '!AS20+'Vendredi S2 '!AS20+'Samedi S2'!AS20</f>
        <v>0</v>
      </c>
      <c r="AT20" s="22"/>
      <c r="AU20" s="14"/>
    </row>
    <row r="21" spans="1:47" ht="31.9" customHeight="1" x14ac:dyDescent="0.2">
      <c r="A21" s="26">
        <v>15</v>
      </c>
      <c r="B21" s="19"/>
      <c r="C21" s="9">
        <f>+'Lundi S2'!C21+'Mardi S2 '!C21+'Mercredi S2 '!C21+'Jeudi S2 '!C21+'Vendredi S2 '!C21+'Samedi S2'!C21</f>
        <v>90</v>
      </c>
      <c r="D21" s="10">
        <f>+'Lundi S2'!D21+'Mardi S2 '!D21+'Mercredi S2 '!D21+'Jeudi S2 '!D21+'Vendredi S2 '!D21+'Samedi S2'!D21</f>
        <v>18</v>
      </c>
      <c r="E21" s="10">
        <f>+'Lundi S2'!E21+'Mardi S2 '!E21+'Mercredi S2 '!E21+'Jeudi S2 '!E21+'Vendredi S2 '!E21+'Samedi S2'!E21</f>
        <v>30</v>
      </c>
      <c r="F21" s="10">
        <f>+'Lundi S2'!F21+'Mardi S2 '!F21+'Mercredi S2 '!F21+'Jeudi S2 '!F21+'Vendredi S2 '!F21+'Samedi S2'!F21</f>
        <v>12</v>
      </c>
      <c r="G21" s="11">
        <f>+'Lundi S2'!G21+'Mardi S2 '!G21+'Mercredi S2 '!G21+'Jeudi S2 '!G21+'Vendredi S2 '!G21+'Samedi S2'!G21</f>
        <v>30</v>
      </c>
      <c r="H21" s="9">
        <f>+'Lundi S2'!H21+'Mardi S2 '!H21+'Mercredi S2 '!H21+'Jeudi S2 '!H21+'Vendredi S2 '!H21+'Samedi S2'!H21</f>
        <v>18</v>
      </c>
      <c r="I21" s="10">
        <f>+'Lundi S2'!I21+'Mardi S2 '!I21+'Mercredi S2 '!I21+'Jeudi S2 '!I21+'Vendredi S2 '!I21+'Samedi S2'!I21</f>
        <v>6</v>
      </c>
      <c r="J21" s="10">
        <f>+'Lundi S2'!J21+'Mardi S2 '!J21+'Mercredi S2 '!J21+'Jeudi S2 '!J21+'Vendredi S2 '!J21+'Samedi S2'!J21</f>
        <v>6</v>
      </c>
      <c r="K21" s="10">
        <f>+'Lundi S2'!K21+'Mardi S2 '!K21+'Mercredi S2 '!K21+'Jeudi S2 '!K21+'Vendredi S2 '!K21+'Samedi S2'!K21</f>
        <v>6</v>
      </c>
      <c r="L21" s="11">
        <f>+'Lundi S2'!L21+'Mardi S2 '!L21+'Mercredi S2 '!L21+'Jeudi S2 '!L21+'Vendredi S2 '!L21+'Samedi S2'!L21</f>
        <v>6</v>
      </c>
      <c r="M21" s="9">
        <f>+'Lundi S2'!M21+'Mardi S2 '!M21+'Mercredi S2 '!M21+'Jeudi S2 '!M21+'Vendredi S2 '!M21+'Samedi S2'!M21</f>
        <v>18</v>
      </c>
      <c r="N21" s="10">
        <f>+'Lundi S2'!N21+'Mardi S2 '!N21+'Mercredi S2 '!N21+'Jeudi S2 '!N21+'Vendredi S2 '!N21+'Samedi S2'!N21</f>
        <v>6</v>
      </c>
      <c r="O21" s="10">
        <f>+'Lundi S2'!O21+'Mardi S2 '!O21+'Mercredi S2 '!O21+'Jeudi S2 '!O21+'Vendredi S2 '!O21+'Samedi S2'!O21</f>
        <v>18</v>
      </c>
      <c r="P21" s="10">
        <f>+'Lundi S2'!P21+'Mardi S2 '!P21+'Mercredi S2 '!P21+'Jeudi S2 '!P21+'Vendredi S2 '!P21+'Samedi S2'!P21</f>
        <v>0</v>
      </c>
      <c r="Q21" s="11">
        <f>+'Lundi S2'!Q21+'Mardi S2 '!Q21+'Mercredi S2 '!Q21+'Jeudi S2 '!Q21+'Vendredi S2 '!Q21+'Samedi S2'!Q21</f>
        <v>0</v>
      </c>
      <c r="R21" s="61">
        <f>+'Lundi S2'!R21+'Mardi S2 '!R21+'Mercredi S2 '!R21+'Jeudi S2 '!R21+'Vendredi S2 '!R21+'Samedi S2'!R21</f>
        <v>3</v>
      </c>
      <c r="S21" s="62">
        <f>+'Lundi S2'!S21+'Mardi S2 '!S21+'Mercredi S2 '!S21+'Jeudi S2 '!S21+'Vendredi S2 '!S21+'Samedi S2'!S21</f>
        <v>0.99999999999999989</v>
      </c>
      <c r="T21" s="62">
        <f>+'Lundi S2'!T21+'Mardi S2 '!T21+'Mercredi S2 '!T21+'Jeudi S2 '!T21+'Vendredi S2 '!T21+'Samedi S2'!T21</f>
        <v>0.6</v>
      </c>
      <c r="U21" s="62">
        <f>+'Lundi S2'!U21+'Mardi S2 '!U21+'Mercredi S2 '!U21+'Jeudi S2 '!U21+'Vendredi S2 '!U21+'Samedi S2'!U21</f>
        <v>3.6</v>
      </c>
      <c r="V21" s="63">
        <f>+'Lundi S2'!V21+'Mardi S2 '!V21+'Mercredi S2 '!V21+'Jeudi S2 '!V21+'Vendredi S2 '!V21+'Samedi S2'!V21</f>
        <v>0.9</v>
      </c>
      <c r="W21" s="9">
        <f>+'Lundi S2'!W21+'Mardi S2 '!W21+'Mercredi S2 '!W21+'Jeudi S2 '!W21+'Vendredi S2 '!W21+'Samedi S2'!W21</f>
        <v>0</v>
      </c>
      <c r="X21" s="10">
        <f>+'Lundi S2'!X21+'Mardi S2 '!X21+'Mercredi S2 '!X21+'Jeudi S2 '!X21+'Vendredi S2 '!X21+'Samedi S2'!X21</f>
        <v>0</v>
      </c>
      <c r="Y21" s="10">
        <f>+'Lundi S2'!Y21+'Mardi S2 '!Y21+'Mercredi S2 '!Y21+'Jeudi S2 '!Y21+'Vendredi S2 '!Y21+'Samedi S2'!Y21</f>
        <v>0</v>
      </c>
      <c r="Z21" s="10">
        <f>+'Lundi S2'!Z21+'Mardi S2 '!Z21+'Mercredi S2 '!Z21+'Jeudi S2 '!Z21+'Vendredi S2 '!Z21+'Samedi S2'!Z21</f>
        <v>0</v>
      </c>
      <c r="AA21" s="11">
        <f>+'Lundi S2'!AA21+'Mardi S2 '!AA21+'Mercredi S2 '!AA21+'Jeudi S2 '!AA21+'Vendredi S2 '!AA21+'Samedi S2'!AA21</f>
        <v>0</v>
      </c>
      <c r="AB21" s="9">
        <f>+'Lundi S2'!AB21+'Mardi S2 '!AB21+'Mercredi S2 '!AB21+'Jeudi S2 '!AB21+'Vendredi S2 '!AB21+'Samedi S2'!AB21</f>
        <v>0</v>
      </c>
      <c r="AC21" s="10">
        <f>+'Lundi S2'!AC21+'Mardi S2 '!AC21+'Mercredi S2 '!AC21+'Jeudi S2 '!AC21+'Vendredi S2 '!AC21+'Samedi S2'!AC21</f>
        <v>0</v>
      </c>
      <c r="AD21" s="10">
        <f>+'Lundi S2'!AD21+'Mardi S2 '!AD21+'Mercredi S2 '!AD21+'Jeudi S2 '!AD21+'Vendredi S2 '!AD21+'Samedi S2'!AD21</f>
        <v>0</v>
      </c>
      <c r="AE21" s="10">
        <f>+'Lundi S2'!AE21+'Mardi S2 '!AE21+'Mercredi S2 '!AE21+'Jeudi S2 '!AE21+'Vendredi S2 '!AE21+'Samedi S2'!AE21</f>
        <v>0</v>
      </c>
      <c r="AF21" s="11">
        <f>+'Lundi S2'!AF21+'Mardi S2 '!AF21+'Mercredi S2 '!AF21+'Jeudi S2 '!AF21+'Vendredi S2 '!AF21+'Samedi S2'!AF21</f>
        <v>0</v>
      </c>
      <c r="AG21" s="9">
        <f>+'Lundi S2'!AG21+'Mardi S2 '!AG21+'Mercredi S2 '!AG21+'Jeudi S2 '!AG21+'Vendredi S2 '!AG21+'Samedi S2'!AG21</f>
        <v>0</v>
      </c>
      <c r="AH21" s="10">
        <f>+'Lundi S2'!AH21+'Mardi S2 '!AH21+'Mercredi S2 '!AH21+'Jeudi S2 '!AH21+'Vendredi S2 '!AH21+'Samedi S2'!AH21</f>
        <v>0</v>
      </c>
      <c r="AI21" s="10">
        <f>+'Lundi S2'!AI21+'Mardi S2 '!AI21+'Mercredi S2 '!AI21+'Jeudi S2 '!AI21+'Vendredi S2 '!AI21+'Samedi S2'!AI21</f>
        <v>0</v>
      </c>
      <c r="AJ21" s="10">
        <f>+'Lundi S2'!AJ21+'Mardi S2 '!AJ21+'Mercredi S2 '!AJ21+'Jeudi S2 '!AJ21+'Vendredi S2 '!AJ21+'Samedi S2'!AJ21</f>
        <v>0</v>
      </c>
      <c r="AK21" s="11">
        <f>+'Lundi S2'!AK21+'Mardi S2 '!AK21+'Mercredi S2 '!AK21+'Jeudi S2 '!AK21+'Vendredi S2 '!AK21+'Samedi S2'!AK21</f>
        <v>0</v>
      </c>
      <c r="AL21" s="9">
        <f>+'Lundi S2'!AL21+'Mardi S2 '!AL21+'Mercredi S2 '!AL21+'Jeudi S2 '!AL21+'Vendredi S2 '!AL21+'Samedi S2'!AL21</f>
        <v>0</v>
      </c>
      <c r="AM21" s="10">
        <f>+'Lundi S2'!AM21+'Mardi S2 '!AM21+'Mercredi S2 '!AM21+'Jeudi S2 '!AM21+'Vendredi S2 '!AM21+'Samedi S2'!AM21</f>
        <v>0</v>
      </c>
      <c r="AN21" s="10">
        <f>+'Lundi S2'!AN21+'Mardi S2 '!AN21+'Mercredi S2 '!AN21+'Jeudi S2 '!AN21+'Vendredi S2 '!AN21+'Samedi S2'!AN21</f>
        <v>0</v>
      </c>
      <c r="AO21" s="10">
        <f>+'Lundi S2'!AO21+'Mardi S2 '!AO21+'Mercredi S2 '!AO21+'Jeudi S2 '!AO21+'Vendredi S2 '!AO21+'Samedi S2'!AO21</f>
        <v>0</v>
      </c>
      <c r="AP21" s="11">
        <f>+'Lundi S2'!AP21+'Mardi S2 '!AP21+'Mercredi S2 '!AP21+'Jeudi S2 '!AP21+'Vendredi S2 '!AP21+'Samedi S2'!AP21</f>
        <v>0</v>
      </c>
      <c r="AQ21" s="9">
        <f>+'Lundi S2'!AQ21+'Mardi S2 '!AQ21+'Mercredi S2 '!AQ21+'Jeudi S2 '!AQ21+'Vendredi S2 '!AQ21+'Samedi S2'!AQ21</f>
        <v>0</v>
      </c>
      <c r="AR21" s="10">
        <f>+'Lundi S2'!AR21+'Mardi S2 '!AR21+'Mercredi S2 '!AR21+'Jeudi S2 '!AR21+'Vendredi S2 '!AR21+'Samedi S2'!AR21</f>
        <v>0</v>
      </c>
      <c r="AS21" s="11">
        <f>+'Lundi S2'!AS21+'Mardi S2 '!AS21+'Mercredi S2 '!AS21+'Jeudi S2 '!AS21+'Vendredi S2 '!AS21+'Samedi S2'!AS21</f>
        <v>0</v>
      </c>
      <c r="AT21" s="22"/>
      <c r="AU21" s="14"/>
    </row>
    <row r="22" spans="1:47" ht="31.9" customHeight="1" x14ac:dyDescent="0.2">
      <c r="A22" s="26">
        <v>16</v>
      </c>
      <c r="B22" s="19"/>
      <c r="C22" s="9">
        <f>+'Lundi S2'!C22+'Mardi S2 '!C22+'Mercredi S2 '!C22+'Jeudi S2 '!C22+'Vendredi S2 '!C22+'Samedi S2'!C22</f>
        <v>90</v>
      </c>
      <c r="D22" s="10">
        <f>+'Lundi S2'!D22+'Mardi S2 '!D22+'Mercredi S2 '!D22+'Jeudi S2 '!D22+'Vendredi S2 '!D22+'Samedi S2'!D22</f>
        <v>18</v>
      </c>
      <c r="E22" s="10">
        <f>+'Lundi S2'!E22+'Mardi S2 '!E22+'Mercredi S2 '!E22+'Jeudi S2 '!E22+'Vendredi S2 '!E22+'Samedi S2'!E22</f>
        <v>30</v>
      </c>
      <c r="F22" s="10">
        <f>+'Lundi S2'!F22+'Mardi S2 '!F22+'Mercredi S2 '!F22+'Jeudi S2 '!F22+'Vendredi S2 '!F22+'Samedi S2'!F22</f>
        <v>12</v>
      </c>
      <c r="G22" s="11">
        <f>+'Lundi S2'!G22+'Mardi S2 '!G22+'Mercredi S2 '!G22+'Jeudi S2 '!G22+'Vendredi S2 '!G22+'Samedi S2'!G22</f>
        <v>30</v>
      </c>
      <c r="H22" s="9">
        <f>+'Lundi S2'!H22+'Mardi S2 '!H22+'Mercredi S2 '!H22+'Jeudi S2 '!H22+'Vendredi S2 '!H22+'Samedi S2'!H22</f>
        <v>18</v>
      </c>
      <c r="I22" s="10">
        <f>+'Lundi S2'!I22+'Mardi S2 '!I22+'Mercredi S2 '!I22+'Jeudi S2 '!I22+'Vendredi S2 '!I22+'Samedi S2'!I22</f>
        <v>6</v>
      </c>
      <c r="J22" s="10">
        <f>+'Lundi S2'!J22+'Mardi S2 '!J22+'Mercredi S2 '!J22+'Jeudi S2 '!J22+'Vendredi S2 '!J22+'Samedi S2'!J22</f>
        <v>6</v>
      </c>
      <c r="K22" s="10">
        <f>+'Lundi S2'!K22+'Mardi S2 '!K22+'Mercredi S2 '!K22+'Jeudi S2 '!K22+'Vendredi S2 '!K22+'Samedi S2'!K22</f>
        <v>6</v>
      </c>
      <c r="L22" s="11">
        <f>+'Lundi S2'!L22+'Mardi S2 '!L22+'Mercredi S2 '!L22+'Jeudi S2 '!L22+'Vendredi S2 '!L22+'Samedi S2'!L22</f>
        <v>6</v>
      </c>
      <c r="M22" s="9">
        <f>+'Lundi S2'!M22+'Mardi S2 '!M22+'Mercredi S2 '!M22+'Jeudi S2 '!M22+'Vendredi S2 '!M22+'Samedi S2'!M22</f>
        <v>18</v>
      </c>
      <c r="N22" s="10">
        <f>+'Lundi S2'!N22+'Mardi S2 '!N22+'Mercredi S2 '!N22+'Jeudi S2 '!N22+'Vendredi S2 '!N22+'Samedi S2'!N22</f>
        <v>6</v>
      </c>
      <c r="O22" s="10">
        <f>+'Lundi S2'!O22+'Mardi S2 '!O22+'Mercredi S2 '!O22+'Jeudi S2 '!O22+'Vendredi S2 '!O22+'Samedi S2'!O22</f>
        <v>18</v>
      </c>
      <c r="P22" s="10">
        <f>+'Lundi S2'!P22+'Mardi S2 '!P22+'Mercredi S2 '!P22+'Jeudi S2 '!P22+'Vendredi S2 '!P22+'Samedi S2'!P22</f>
        <v>0</v>
      </c>
      <c r="Q22" s="11">
        <f>+'Lundi S2'!Q22+'Mardi S2 '!Q22+'Mercredi S2 '!Q22+'Jeudi S2 '!Q22+'Vendredi S2 '!Q22+'Samedi S2'!Q22</f>
        <v>0</v>
      </c>
      <c r="R22" s="61">
        <f>+'Lundi S2'!R22+'Mardi S2 '!R22+'Mercredi S2 '!R22+'Jeudi S2 '!R22+'Vendredi S2 '!R22+'Samedi S2'!R22</f>
        <v>3</v>
      </c>
      <c r="S22" s="62">
        <f>+'Lundi S2'!S22+'Mardi S2 '!S22+'Mercredi S2 '!S22+'Jeudi S2 '!S22+'Vendredi S2 '!S22+'Samedi S2'!S22</f>
        <v>0.99999999999999989</v>
      </c>
      <c r="T22" s="62">
        <f>+'Lundi S2'!T22+'Mardi S2 '!T22+'Mercredi S2 '!T22+'Jeudi S2 '!T22+'Vendredi S2 '!T22+'Samedi S2'!T22</f>
        <v>0.6</v>
      </c>
      <c r="U22" s="62">
        <f>+'Lundi S2'!U22+'Mardi S2 '!U22+'Mercredi S2 '!U22+'Jeudi S2 '!U22+'Vendredi S2 '!U22+'Samedi S2'!U22</f>
        <v>3.6</v>
      </c>
      <c r="V22" s="63">
        <f>+'Lundi S2'!V22+'Mardi S2 '!V22+'Mercredi S2 '!V22+'Jeudi S2 '!V22+'Vendredi S2 '!V22+'Samedi S2'!V22</f>
        <v>0.9</v>
      </c>
      <c r="W22" s="9">
        <f>+'Lundi S2'!W22+'Mardi S2 '!W22+'Mercredi S2 '!W22+'Jeudi S2 '!W22+'Vendredi S2 '!W22+'Samedi S2'!W22</f>
        <v>0</v>
      </c>
      <c r="X22" s="10">
        <f>+'Lundi S2'!X22+'Mardi S2 '!X22+'Mercredi S2 '!X22+'Jeudi S2 '!X22+'Vendredi S2 '!X22+'Samedi S2'!X22</f>
        <v>0</v>
      </c>
      <c r="Y22" s="10">
        <f>+'Lundi S2'!Y22+'Mardi S2 '!Y22+'Mercredi S2 '!Y22+'Jeudi S2 '!Y22+'Vendredi S2 '!Y22+'Samedi S2'!Y22</f>
        <v>0</v>
      </c>
      <c r="Z22" s="10">
        <f>+'Lundi S2'!Z22+'Mardi S2 '!Z22+'Mercredi S2 '!Z22+'Jeudi S2 '!Z22+'Vendredi S2 '!Z22+'Samedi S2'!Z22</f>
        <v>0</v>
      </c>
      <c r="AA22" s="11">
        <f>+'Lundi S2'!AA22+'Mardi S2 '!AA22+'Mercredi S2 '!AA22+'Jeudi S2 '!AA22+'Vendredi S2 '!AA22+'Samedi S2'!AA22</f>
        <v>0</v>
      </c>
      <c r="AB22" s="9">
        <f>+'Lundi S2'!AB22+'Mardi S2 '!AB22+'Mercredi S2 '!AB22+'Jeudi S2 '!AB22+'Vendredi S2 '!AB22+'Samedi S2'!AB22</f>
        <v>0</v>
      </c>
      <c r="AC22" s="10">
        <f>+'Lundi S2'!AC22+'Mardi S2 '!AC22+'Mercredi S2 '!AC22+'Jeudi S2 '!AC22+'Vendredi S2 '!AC22+'Samedi S2'!AC22</f>
        <v>0</v>
      </c>
      <c r="AD22" s="10">
        <f>+'Lundi S2'!AD22+'Mardi S2 '!AD22+'Mercredi S2 '!AD22+'Jeudi S2 '!AD22+'Vendredi S2 '!AD22+'Samedi S2'!AD22</f>
        <v>0</v>
      </c>
      <c r="AE22" s="10">
        <f>+'Lundi S2'!AE22+'Mardi S2 '!AE22+'Mercredi S2 '!AE22+'Jeudi S2 '!AE22+'Vendredi S2 '!AE22+'Samedi S2'!AE22</f>
        <v>0</v>
      </c>
      <c r="AF22" s="11">
        <f>+'Lundi S2'!AF22+'Mardi S2 '!AF22+'Mercredi S2 '!AF22+'Jeudi S2 '!AF22+'Vendredi S2 '!AF22+'Samedi S2'!AF22</f>
        <v>0</v>
      </c>
      <c r="AG22" s="9">
        <f>+'Lundi S2'!AG22+'Mardi S2 '!AG22+'Mercredi S2 '!AG22+'Jeudi S2 '!AG22+'Vendredi S2 '!AG22+'Samedi S2'!AG22</f>
        <v>0</v>
      </c>
      <c r="AH22" s="10">
        <f>+'Lundi S2'!AH22+'Mardi S2 '!AH22+'Mercredi S2 '!AH22+'Jeudi S2 '!AH22+'Vendredi S2 '!AH22+'Samedi S2'!AH22</f>
        <v>0</v>
      </c>
      <c r="AI22" s="10">
        <f>+'Lundi S2'!AI22+'Mardi S2 '!AI22+'Mercredi S2 '!AI22+'Jeudi S2 '!AI22+'Vendredi S2 '!AI22+'Samedi S2'!AI22</f>
        <v>0</v>
      </c>
      <c r="AJ22" s="10">
        <f>+'Lundi S2'!AJ22+'Mardi S2 '!AJ22+'Mercredi S2 '!AJ22+'Jeudi S2 '!AJ22+'Vendredi S2 '!AJ22+'Samedi S2'!AJ22</f>
        <v>0</v>
      </c>
      <c r="AK22" s="11">
        <f>+'Lundi S2'!AK22+'Mardi S2 '!AK22+'Mercredi S2 '!AK22+'Jeudi S2 '!AK22+'Vendredi S2 '!AK22+'Samedi S2'!AK22</f>
        <v>0</v>
      </c>
      <c r="AL22" s="9">
        <f>+'Lundi S2'!AL22+'Mardi S2 '!AL22+'Mercredi S2 '!AL22+'Jeudi S2 '!AL22+'Vendredi S2 '!AL22+'Samedi S2'!AL22</f>
        <v>0</v>
      </c>
      <c r="AM22" s="10">
        <f>+'Lundi S2'!AM22+'Mardi S2 '!AM22+'Mercredi S2 '!AM22+'Jeudi S2 '!AM22+'Vendredi S2 '!AM22+'Samedi S2'!AM22</f>
        <v>0</v>
      </c>
      <c r="AN22" s="10">
        <f>+'Lundi S2'!AN22+'Mardi S2 '!AN22+'Mercredi S2 '!AN22+'Jeudi S2 '!AN22+'Vendredi S2 '!AN22+'Samedi S2'!AN22</f>
        <v>0</v>
      </c>
      <c r="AO22" s="10">
        <f>+'Lundi S2'!AO22+'Mardi S2 '!AO22+'Mercredi S2 '!AO22+'Jeudi S2 '!AO22+'Vendredi S2 '!AO22+'Samedi S2'!AO22</f>
        <v>0</v>
      </c>
      <c r="AP22" s="11">
        <f>+'Lundi S2'!AP22+'Mardi S2 '!AP22+'Mercredi S2 '!AP22+'Jeudi S2 '!AP22+'Vendredi S2 '!AP22+'Samedi S2'!AP22</f>
        <v>0</v>
      </c>
      <c r="AQ22" s="9">
        <f>+'Lundi S2'!AQ22+'Mardi S2 '!AQ22+'Mercredi S2 '!AQ22+'Jeudi S2 '!AQ22+'Vendredi S2 '!AQ22+'Samedi S2'!AQ22</f>
        <v>0</v>
      </c>
      <c r="AR22" s="10">
        <f>+'Lundi S2'!AR22+'Mardi S2 '!AR22+'Mercredi S2 '!AR22+'Jeudi S2 '!AR22+'Vendredi S2 '!AR22+'Samedi S2'!AR22</f>
        <v>0</v>
      </c>
      <c r="AS22" s="11">
        <f>+'Lundi S2'!AS22+'Mardi S2 '!AS22+'Mercredi S2 '!AS22+'Jeudi S2 '!AS22+'Vendredi S2 '!AS22+'Samedi S2'!AS22</f>
        <v>0</v>
      </c>
      <c r="AT22" s="22"/>
      <c r="AU22" s="14"/>
    </row>
    <row r="23" spans="1:47" ht="31.9" customHeight="1" x14ac:dyDescent="0.2">
      <c r="A23" s="26">
        <v>17</v>
      </c>
      <c r="B23" s="19"/>
      <c r="C23" s="9">
        <f>+'Lundi S2'!C23+'Mardi S2 '!C23+'Mercredi S2 '!C23+'Jeudi S2 '!C23+'Vendredi S2 '!C23+'Samedi S2'!C23</f>
        <v>90</v>
      </c>
      <c r="D23" s="10">
        <f>+'Lundi S2'!D23+'Mardi S2 '!D23+'Mercredi S2 '!D23+'Jeudi S2 '!D23+'Vendredi S2 '!D23+'Samedi S2'!D23</f>
        <v>18</v>
      </c>
      <c r="E23" s="10">
        <f>+'Lundi S2'!E23+'Mardi S2 '!E23+'Mercredi S2 '!E23+'Jeudi S2 '!E23+'Vendredi S2 '!E23+'Samedi S2'!E23</f>
        <v>30</v>
      </c>
      <c r="F23" s="10">
        <f>+'Lundi S2'!F23+'Mardi S2 '!F23+'Mercredi S2 '!F23+'Jeudi S2 '!F23+'Vendredi S2 '!F23+'Samedi S2'!F23</f>
        <v>12</v>
      </c>
      <c r="G23" s="11">
        <f>+'Lundi S2'!G23+'Mardi S2 '!G23+'Mercredi S2 '!G23+'Jeudi S2 '!G23+'Vendredi S2 '!G23+'Samedi S2'!G23</f>
        <v>30</v>
      </c>
      <c r="H23" s="9">
        <f>+'Lundi S2'!H23+'Mardi S2 '!H23+'Mercredi S2 '!H23+'Jeudi S2 '!H23+'Vendredi S2 '!H23+'Samedi S2'!H23</f>
        <v>18</v>
      </c>
      <c r="I23" s="10">
        <f>+'Lundi S2'!I23+'Mardi S2 '!I23+'Mercredi S2 '!I23+'Jeudi S2 '!I23+'Vendredi S2 '!I23+'Samedi S2'!I23</f>
        <v>6</v>
      </c>
      <c r="J23" s="10">
        <f>+'Lundi S2'!J23+'Mardi S2 '!J23+'Mercredi S2 '!J23+'Jeudi S2 '!J23+'Vendredi S2 '!J23+'Samedi S2'!J23</f>
        <v>6</v>
      </c>
      <c r="K23" s="10">
        <f>+'Lundi S2'!K23+'Mardi S2 '!K23+'Mercredi S2 '!K23+'Jeudi S2 '!K23+'Vendredi S2 '!K23+'Samedi S2'!K23</f>
        <v>6</v>
      </c>
      <c r="L23" s="11">
        <f>+'Lundi S2'!L23+'Mardi S2 '!L23+'Mercredi S2 '!L23+'Jeudi S2 '!L23+'Vendredi S2 '!L23+'Samedi S2'!L23</f>
        <v>6</v>
      </c>
      <c r="M23" s="9">
        <f>+'Lundi S2'!M23+'Mardi S2 '!M23+'Mercredi S2 '!M23+'Jeudi S2 '!M23+'Vendredi S2 '!M23+'Samedi S2'!M23</f>
        <v>18</v>
      </c>
      <c r="N23" s="10">
        <f>+'Lundi S2'!N23+'Mardi S2 '!N23+'Mercredi S2 '!N23+'Jeudi S2 '!N23+'Vendredi S2 '!N23+'Samedi S2'!N23</f>
        <v>6</v>
      </c>
      <c r="O23" s="10">
        <f>+'Lundi S2'!O23+'Mardi S2 '!O23+'Mercredi S2 '!O23+'Jeudi S2 '!O23+'Vendredi S2 '!O23+'Samedi S2'!O23</f>
        <v>18</v>
      </c>
      <c r="P23" s="10">
        <f>+'Lundi S2'!P23+'Mardi S2 '!P23+'Mercredi S2 '!P23+'Jeudi S2 '!P23+'Vendredi S2 '!P23+'Samedi S2'!P23</f>
        <v>0</v>
      </c>
      <c r="Q23" s="11">
        <f>+'Lundi S2'!Q23+'Mardi S2 '!Q23+'Mercredi S2 '!Q23+'Jeudi S2 '!Q23+'Vendredi S2 '!Q23+'Samedi S2'!Q23</f>
        <v>0</v>
      </c>
      <c r="R23" s="61">
        <f>+'Lundi S2'!R23+'Mardi S2 '!R23+'Mercredi S2 '!R23+'Jeudi S2 '!R23+'Vendredi S2 '!R23+'Samedi S2'!R23</f>
        <v>3</v>
      </c>
      <c r="S23" s="62">
        <f>+'Lundi S2'!S23+'Mardi S2 '!S23+'Mercredi S2 '!S23+'Jeudi S2 '!S23+'Vendredi S2 '!S23+'Samedi S2'!S23</f>
        <v>0.99999999999999989</v>
      </c>
      <c r="T23" s="62">
        <f>+'Lundi S2'!T23+'Mardi S2 '!T23+'Mercredi S2 '!T23+'Jeudi S2 '!T23+'Vendredi S2 '!T23+'Samedi S2'!T23</f>
        <v>0.6</v>
      </c>
      <c r="U23" s="62">
        <f>+'Lundi S2'!U23+'Mardi S2 '!U23+'Mercredi S2 '!U23+'Jeudi S2 '!U23+'Vendredi S2 '!U23+'Samedi S2'!U23</f>
        <v>3.6</v>
      </c>
      <c r="V23" s="63">
        <f>+'Lundi S2'!V23+'Mardi S2 '!V23+'Mercredi S2 '!V23+'Jeudi S2 '!V23+'Vendredi S2 '!V23+'Samedi S2'!V23</f>
        <v>0.9</v>
      </c>
      <c r="W23" s="9">
        <f>+'Lundi S2'!W23+'Mardi S2 '!W23+'Mercredi S2 '!W23+'Jeudi S2 '!W23+'Vendredi S2 '!W23+'Samedi S2'!W23</f>
        <v>0</v>
      </c>
      <c r="X23" s="10">
        <f>+'Lundi S2'!X23+'Mardi S2 '!X23+'Mercredi S2 '!X23+'Jeudi S2 '!X23+'Vendredi S2 '!X23+'Samedi S2'!X23</f>
        <v>0</v>
      </c>
      <c r="Y23" s="10">
        <f>+'Lundi S2'!Y23+'Mardi S2 '!Y23+'Mercredi S2 '!Y23+'Jeudi S2 '!Y23+'Vendredi S2 '!Y23+'Samedi S2'!Y23</f>
        <v>0</v>
      </c>
      <c r="Z23" s="10">
        <f>+'Lundi S2'!Z23+'Mardi S2 '!Z23+'Mercredi S2 '!Z23+'Jeudi S2 '!Z23+'Vendredi S2 '!Z23+'Samedi S2'!Z23</f>
        <v>0</v>
      </c>
      <c r="AA23" s="11">
        <f>+'Lundi S2'!AA23+'Mardi S2 '!AA23+'Mercredi S2 '!AA23+'Jeudi S2 '!AA23+'Vendredi S2 '!AA23+'Samedi S2'!AA23</f>
        <v>0</v>
      </c>
      <c r="AB23" s="9">
        <f>+'Lundi S2'!AB23+'Mardi S2 '!AB23+'Mercredi S2 '!AB23+'Jeudi S2 '!AB23+'Vendredi S2 '!AB23+'Samedi S2'!AB23</f>
        <v>0</v>
      </c>
      <c r="AC23" s="10">
        <f>+'Lundi S2'!AC23+'Mardi S2 '!AC23+'Mercredi S2 '!AC23+'Jeudi S2 '!AC23+'Vendredi S2 '!AC23+'Samedi S2'!AC23</f>
        <v>0</v>
      </c>
      <c r="AD23" s="10">
        <f>+'Lundi S2'!AD23+'Mardi S2 '!AD23+'Mercredi S2 '!AD23+'Jeudi S2 '!AD23+'Vendredi S2 '!AD23+'Samedi S2'!AD23</f>
        <v>0</v>
      </c>
      <c r="AE23" s="10">
        <f>+'Lundi S2'!AE23+'Mardi S2 '!AE23+'Mercredi S2 '!AE23+'Jeudi S2 '!AE23+'Vendredi S2 '!AE23+'Samedi S2'!AE23</f>
        <v>0</v>
      </c>
      <c r="AF23" s="11">
        <f>+'Lundi S2'!AF23+'Mardi S2 '!AF23+'Mercredi S2 '!AF23+'Jeudi S2 '!AF23+'Vendredi S2 '!AF23+'Samedi S2'!AF23</f>
        <v>0</v>
      </c>
      <c r="AG23" s="9">
        <f>+'Lundi S2'!AG23+'Mardi S2 '!AG23+'Mercredi S2 '!AG23+'Jeudi S2 '!AG23+'Vendredi S2 '!AG23+'Samedi S2'!AG23</f>
        <v>0</v>
      </c>
      <c r="AH23" s="10">
        <f>+'Lundi S2'!AH23+'Mardi S2 '!AH23+'Mercredi S2 '!AH23+'Jeudi S2 '!AH23+'Vendredi S2 '!AH23+'Samedi S2'!AH23</f>
        <v>0</v>
      </c>
      <c r="AI23" s="10">
        <f>+'Lundi S2'!AI23+'Mardi S2 '!AI23+'Mercredi S2 '!AI23+'Jeudi S2 '!AI23+'Vendredi S2 '!AI23+'Samedi S2'!AI23</f>
        <v>0</v>
      </c>
      <c r="AJ23" s="10">
        <f>+'Lundi S2'!AJ23+'Mardi S2 '!AJ23+'Mercredi S2 '!AJ23+'Jeudi S2 '!AJ23+'Vendredi S2 '!AJ23+'Samedi S2'!AJ23</f>
        <v>0</v>
      </c>
      <c r="AK23" s="11">
        <f>+'Lundi S2'!AK23+'Mardi S2 '!AK23+'Mercredi S2 '!AK23+'Jeudi S2 '!AK23+'Vendredi S2 '!AK23+'Samedi S2'!AK23</f>
        <v>0</v>
      </c>
      <c r="AL23" s="9">
        <f>+'Lundi S2'!AL23+'Mardi S2 '!AL23+'Mercredi S2 '!AL23+'Jeudi S2 '!AL23+'Vendredi S2 '!AL23+'Samedi S2'!AL23</f>
        <v>0</v>
      </c>
      <c r="AM23" s="10">
        <f>+'Lundi S2'!AM23+'Mardi S2 '!AM23+'Mercredi S2 '!AM23+'Jeudi S2 '!AM23+'Vendredi S2 '!AM23+'Samedi S2'!AM23</f>
        <v>0</v>
      </c>
      <c r="AN23" s="10">
        <f>+'Lundi S2'!AN23+'Mardi S2 '!AN23+'Mercredi S2 '!AN23+'Jeudi S2 '!AN23+'Vendredi S2 '!AN23+'Samedi S2'!AN23</f>
        <v>0</v>
      </c>
      <c r="AO23" s="10">
        <f>+'Lundi S2'!AO23+'Mardi S2 '!AO23+'Mercredi S2 '!AO23+'Jeudi S2 '!AO23+'Vendredi S2 '!AO23+'Samedi S2'!AO23</f>
        <v>0</v>
      </c>
      <c r="AP23" s="11">
        <f>+'Lundi S2'!AP23+'Mardi S2 '!AP23+'Mercredi S2 '!AP23+'Jeudi S2 '!AP23+'Vendredi S2 '!AP23+'Samedi S2'!AP23</f>
        <v>0</v>
      </c>
      <c r="AQ23" s="9">
        <f>+'Lundi S2'!AQ23+'Mardi S2 '!AQ23+'Mercredi S2 '!AQ23+'Jeudi S2 '!AQ23+'Vendredi S2 '!AQ23+'Samedi S2'!AQ23</f>
        <v>0</v>
      </c>
      <c r="AR23" s="10">
        <f>+'Lundi S2'!AR23+'Mardi S2 '!AR23+'Mercredi S2 '!AR23+'Jeudi S2 '!AR23+'Vendredi S2 '!AR23+'Samedi S2'!AR23</f>
        <v>0</v>
      </c>
      <c r="AS23" s="11">
        <f>+'Lundi S2'!AS23+'Mardi S2 '!AS23+'Mercredi S2 '!AS23+'Jeudi S2 '!AS23+'Vendredi S2 '!AS23+'Samedi S2'!AS23</f>
        <v>0</v>
      </c>
      <c r="AT23" s="22"/>
      <c r="AU23" s="14"/>
    </row>
    <row r="24" spans="1:47" ht="31.9" customHeight="1" x14ac:dyDescent="0.2">
      <c r="A24" s="26">
        <v>18</v>
      </c>
      <c r="B24" s="19"/>
      <c r="C24" s="9">
        <f>+'Lundi S2'!C24+'Mardi S2 '!C24+'Mercredi S2 '!C24+'Jeudi S2 '!C24+'Vendredi S2 '!C24+'Samedi S2'!C24</f>
        <v>90</v>
      </c>
      <c r="D24" s="10">
        <f>+'Lundi S2'!D24+'Mardi S2 '!D24+'Mercredi S2 '!D24+'Jeudi S2 '!D24+'Vendredi S2 '!D24+'Samedi S2'!D24</f>
        <v>18</v>
      </c>
      <c r="E24" s="10">
        <f>+'Lundi S2'!E24+'Mardi S2 '!E24+'Mercredi S2 '!E24+'Jeudi S2 '!E24+'Vendredi S2 '!E24+'Samedi S2'!E24</f>
        <v>30</v>
      </c>
      <c r="F24" s="10">
        <f>+'Lundi S2'!F24+'Mardi S2 '!F24+'Mercredi S2 '!F24+'Jeudi S2 '!F24+'Vendredi S2 '!F24+'Samedi S2'!F24</f>
        <v>12</v>
      </c>
      <c r="G24" s="11">
        <f>+'Lundi S2'!G24+'Mardi S2 '!G24+'Mercredi S2 '!G24+'Jeudi S2 '!G24+'Vendredi S2 '!G24+'Samedi S2'!G24</f>
        <v>30</v>
      </c>
      <c r="H24" s="9">
        <f>+'Lundi S2'!H24+'Mardi S2 '!H24+'Mercredi S2 '!H24+'Jeudi S2 '!H24+'Vendredi S2 '!H24+'Samedi S2'!H24</f>
        <v>18</v>
      </c>
      <c r="I24" s="10">
        <f>+'Lundi S2'!I24+'Mardi S2 '!I24+'Mercredi S2 '!I24+'Jeudi S2 '!I24+'Vendredi S2 '!I24+'Samedi S2'!I24</f>
        <v>6</v>
      </c>
      <c r="J24" s="10">
        <f>+'Lundi S2'!J24+'Mardi S2 '!J24+'Mercredi S2 '!J24+'Jeudi S2 '!J24+'Vendredi S2 '!J24+'Samedi S2'!J24</f>
        <v>6</v>
      </c>
      <c r="K24" s="10">
        <f>+'Lundi S2'!K24+'Mardi S2 '!K24+'Mercredi S2 '!K24+'Jeudi S2 '!K24+'Vendredi S2 '!K24+'Samedi S2'!K24</f>
        <v>6</v>
      </c>
      <c r="L24" s="11">
        <f>+'Lundi S2'!L24+'Mardi S2 '!L24+'Mercredi S2 '!L24+'Jeudi S2 '!L24+'Vendredi S2 '!L24+'Samedi S2'!L24</f>
        <v>6</v>
      </c>
      <c r="M24" s="9">
        <f>+'Lundi S2'!M24+'Mardi S2 '!M24+'Mercredi S2 '!M24+'Jeudi S2 '!M24+'Vendredi S2 '!M24+'Samedi S2'!M24</f>
        <v>18</v>
      </c>
      <c r="N24" s="10">
        <f>+'Lundi S2'!N24+'Mardi S2 '!N24+'Mercredi S2 '!N24+'Jeudi S2 '!N24+'Vendredi S2 '!N24+'Samedi S2'!N24</f>
        <v>6</v>
      </c>
      <c r="O24" s="10">
        <f>+'Lundi S2'!O24+'Mardi S2 '!O24+'Mercredi S2 '!O24+'Jeudi S2 '!O24+'Vendredi S2 '!O24+'Samedi S2'!O24</f>
        <v>18</v>
      </c>
      <c r="P24" s="10">
        <f>+'Lundi S2'!P24+'Mardi S2 '!P24+'Mercredi S2 '!P24+'Jeudi S2 '!P24+'Vendredi S2 '!P24+'Samedi S2'!P24</f>
        <v>0</v>
      </c>
      <c r="Q24" s="11">
        <f>+'Lundi S2'!Q24+'Mardi S2 '!Q24+'Mercredi S2 '!Q24+'Jeudi S2 '!Q24+'Vendredi S2 '!Q24+'Samedi S2'!Q24</f>
        <v>0</v>
      </c>
      <c r="R24" s="61">
        <f>+'Lundi S2'!R24+'Mardi S2 '!R24+'Mercredi S2 '!R24+'Jeudi S2 '!R24+'Vendredi S2 '!R24+'Samedi S2'!R24</f>
        <v>3</v>
      </c>
      <c r="S24" s="62">
        <f>+'Lundi S2'!S24+'Mardi S2 '!S24+'Mercredi S2 '!S24+'Jeudi S2 '!S24+'Vendredi S2 '!S24+'Samedi S2'!S24</f>
        <v>0.99999999999999989</v>
      </c>
      <c r="T24" s="62">
        <f>+'Lundi S2'!T24+'Mardi S2 '!T24+'Mercredi S2 '!T24+'Jeudi S2 '!T24+'Vendredi S2 '!T24+'Samedi S2'!T24</f>
        <v>0.6</v>
      </c>
      <c r="U24" s="62">
        <f>+'Lundi S2'!U24+'Mardi S2 '!U24+'Mercredi S2 '!U24+'Jeudi S2 '!U24+'Vendredi S2 '!U24+'Samedi S2'!U24</f>
        <v>3.6</v>
      </c>
      <c r="V24" s="63">
        <f>+'Lundi S2'!V24+'Mardi S2 '!V24+'Mercredi S2 '!V24+'Jeudi S2 '!V24+'Vendredi S2 '!V24+'Samedi S2'!V24</f>
        <v>0.9</v>
      </c>
      <c r="W24" s="9">
        <f>+'Lundi S2'!W24+'Mardi S2 '!W24+'Mercredi S2 '!W24+'Jeudi S2 '!W24+'Vendredi S2 '!W24+'Samedi S2'!W24</f>
        <v>0</v>
      </c>
      <c r="X24" s="10">
        <f>+'Lundi S2'!X24+'Mardi S2 '!X24+'Mercredi S2 '!X24+'Jeudi S2 '!X24+'Vendredi S2 '!X24+'Samedi S2'!X24</f>
        <v>0</v>
      </c>
      <c r="Y24" s="10">
        <f>+'Lundi S2'!Y24+'Mardi S2 '!Y24+'Mercredi S2 '!Y24+'Jeudi S2 '!Y24+'Vendredi S2 '!Y24+'Samedi S2'!Y24</f>
        <v>0</v>
      </c>
      <c r="Z24" s="10">
        <f>+'Lundi S2'!Z24+'Mardi S2 '!Z24+'Mercredi S2 '!Z24+'Jeudi S2 '!Z24+'Vendredi S2 '!Z24+'Samedi S2'!Z24</f>
        <v>0</v>
      </c>
      <c r="AA24" s="11">
        <f>+'Lundi S2'!AA24+'Mardi S2 '!AA24+'Mercredi S2 '!AA24+'Jeudi S2 '!AA24+'Vendredi S2 '!AA24+'Samedi S2'!AA24</f>
        <v>0</v>
      </c>
      <c r="AB24" s="9">
        <f>+'Lundi S2'!AB24+'Mardi S2 '!AB24+'Mercredi S2 '!AB24+'Jeudi S2 '!AB24+'Vendredi S2 '!AB24+'Samedi S2'!AB24</f>
        <v>0</v>
      </c>
      <c r="AC24" s="10">
        <f>+'Lundi S2'!AC24+'Mardi S2 '!AC24+'Mercredi S2 '!AC24+'Jeudi S2 '!AC24+'Vendredi S2 '!AC24+'Samedi S2'!AC24</f>
        <v>0</v>
      </c>
      <c r="AD24" s="10">
        <f>+'Lundi S2'!AD24+'Mardi S2 '!AD24+'Mercredi S2 '!AD24+'Jeudi S2 '!AD24+'Vendredi S2 '!AD24+'Samedi S2'!AD24</f>
        <v>0</v>
      </c>
      <c r="AE24" s="10">
        <f>+'Lundi S2'!AE24+'Mardi S2 '!AE24+'Mercredi S2 '!AE24+'Jeudi S2 '!AE24+'Vendredi S2 '!AE24+'Samedi S2'!AE24</f>
        <v>0</v>
      </c>
      <c r="AF24" s="11">
        <f>+'Lundi S2'!AF24+'Mardi S2 '!AF24+'Mercredi S2 '!AF24+'Jeudi S2 '!AF24+'Vendredi S2 '!AF24+'Samedi S2'!AF24</f>
        <v>0</v>
      </c>
      <c r="AG24" s="9">
        <f>+'Lundi S2'!AG24+'Mardi S2 '!AG24+'Mercredi S2 '!AG24+'Jeudi S2 '!AG24+'Vendredi S2 '!AG24+'Samedi S2'!AG24</f>
        <v>0</v>
      </c>
      <c r="AH24" s="10">
        <f>+'Lundi S2'!AH24+'Mardi S2 '!AH24+'Mercredi S2 '!AH24+'Jeudi S2 '!AH24+'Vendredi S2 '!AH24+'Samedi S2'!AH24</f>
        <v>0</v>
      </c>
      <c r="AI24" s="10">
        <f>+'Lundi S2'!AI24+'Mardi S2 '!AI24+'Mercredi S2 '!AI24+'Jeudi S2 '!AI24+'Vendredi S2 '!AI24+'Samedi S2'!AI24</f>
        <v>0</v>
      </c>
      <c r="AJ24" s="10">
        <f>+'Lundi S2'!AJ24+'Mardi S2 '!AJ24+'Mercredi S2 '!AJ24+'Jeudi S2 '!AJ24+'Vendredi S2 '!AJ24+'Samedi S2'!AJ24</f>
        <v>0</v>
      </c>
      <c r="AK24" s="11">
        <f>+'Lundi S2'!AK24+'Mardi S2 '!AK24+'Mercredi S2 '!AK24+'Jeudi S2 '!AK24+'Vendredi S2 '!AK24+'Samedi S2'!AK24</f>
        <v>0</v>
      </c>
      <c r="AL24" s="9">
        <f>+'Lundi S2'!AL24+'Mardi S2 '!AL24+'Mercredi S2 '!AL24+'Jeudi S2 '!AL24+'Vendredi S2 '!AL24+'Samedi S2'!AL24</f>
        <v>0</v>
      </c>
      <c r="AM24" s="10">
        <f>+'Lundi S2'!AM24+'Mardi S2 '!AM24+'Mercredi S2 '!AM24+'Jeudi S2 '!AM24+'Vendredi S2 '!AM24+'Samedi S2'!AM24</f>
        <v>0</v>
      </c>
      <c r="AN24" s="10">
        <f>+'Lundi S2'!AN24+'Mardi S2 '!AN24+'Mercredi S2 '!AN24+'Jeudi S2 '!AN24+'Vendredi S2 '!AN24+'Samedi S2'!AN24</f>
        <v>0</v>
      </c>
      <c r="AO24" s="10">
        <f>+'Lundi S2'!AO24+'Mardi S2 '!AO24+'Mercredi S2 '!AO24+'Jeudi S2 '!AO24+'Vendredi S2 '!AO24+'Samedi S2'!AO24</f>
        <v>0</v>
      </c>
      <c r="AP24" s="11">
        <f>+'Lundi S2'!AP24+'Mardi S2 '!AP24+'Mercredi S2 '!AP24+'Jeudi S2 '!AP24+'Vendredi S2 '!AP24+'Samedi S2'!AP24</f>
        <v>0</v>
      </c>
      <c r="AQ24" s="9">
        <f>+'Lundi S2'!AQ24+'Mardi S2 '!AQ24+'Mercredi S2 '!AQ24+'Jeudi S2 '!AQ24+'Vendredi S2 '!AQ24+'Samedi S2'!AQ24</f>
        <v>0</v>
      </c>
      <c r="AR24" s="10">
        <f>+'Lundi S2'!AR24+'Mardi S2 '!AR24+'Mercredi S2 '!AR24+'Jeudi S2 '!AR24+'Vendredi S2 '!AR24+'Samedi S2'!AR24</f>
        <v>0</v>
      </c>
      <c r="AS24" s="11">
        <f>+'Lundi S2'!AS24+'Mardi S2 '!AS24+'Mercredi S2 '!AS24+'Jeudi S2 '!AS24+'Vendredi S2 '!AS24+'Samedi S2'!AS24</f>
        <v>0</v>
      </c>
      <c r="AT24" s="22"/>
      <c r="AU24" s="14"/>
    </row>
    <row r="25" spans="1:47" ht="31.9" customHeight="1" x14ac:dyDescent="0.2">
      <c r="A25" s="26">
        <v>19</v>
      </c>
      <c r="B25" s="19"/>
      <c r="C25" s="9">
        <f>+'Lundi S2'!C25+'Mardi S2 '!C25+'Mercredi S2 '!C25+'Jeudi S2 '!C25+'Vendredi S2 '!C25+'Samedi S2'!C25</f>
        <v>90</v>
      </c>
      <c r="D25" s="10">
        <f>+'Lundi S2'!D25+'Mardi S2 '!D25+'Mercredi S2 '!D25+'Jeudi S2 '!D25+'Vendredi S2 '!D25+'Samedi S2'!D25</f>
        <v>18</v>
      </c>
      <c r="E25" s="10">
        <f>+'Lundi S2'!E25+'Mardi S2 '!E25+'Mercredi S2 '!E25+'Jeudi S2 '!E25+'Vendredi S2 '!E25+'Samedi S2'!E25</f>
        <v>30</v>
      </c>
      <c r="F25" s="10">
        <f>+'Lundi S2'!F25+'Mardi S2 '!F25+'Mercredi S2 '!F25+'Jeudi S2 '!F25+'Vendredi S2 '!F25+'Samedi S2'!F25</f>
        <v>12</v>
      </c>
      <c r="G25" s="11">
        <f>+'Lundi S2'!G25+'Mardi S2 '!G25+'Mercredi S2 '!G25+'Jeudi S2 '!G25+'Vendredi S2 '!G25+'Samedi S2'!G25</f>
        <v>30</v>
      </c>
      <c r="H25" s="9">
        <f>+'Lundi S2'!H25+'Mardi S2 '!H25+'Mercredi S2 '!H25+'Jeudi S2 '!H25+'Vendredi S2 '!H25+'Samedi S2'!H25</f>
        <v>18</v>
      </c>
      <c r="I25" s="10">
        <f>+'Lundi S2'!I25+'Mardi S2 '!I25+'Mercredi S2 '!I25+'Jeudi S2 '!I25+'Vendredi S2 '!I25+'Samedi S2'!I25</f>
        <v>6</v>
      </c>
      <c r="J25" s="10">
        <f>+'Lundi S2'!J25+'Mardi S2 '!J25+'Mercredi S2 '!J25+'Jeudi S2 '!J25+'Vendredi S2 '!J25+'Samedi S2'!J25</f>
        <v>6</v>
      </c>
      <c r="K25" s="10">
        <f>+'Lundi S2'!K25+'Mardi S2 '!K25+'Mercredi S2 '!K25+'Jeudi S2 '!K25+'Vendredi S2 '!K25+'Samedi S2'!K25</f>
        <v>6</v>
      </c>
      <c r="L25" s="11">
        <f>+'Lundi S2'!L25+'Mardi S2 '!L25+'Mercredi S2 '!L25+'Jeudi S2 '!L25+'Vendredi S2 '!L25+'Samedi S2'!L25</f>
        <v>6</v>
      </c>
      <c r="M25" s="9">
        <f>+'Lundi S2'!M25+'Mardi S2 '!M25+'Mercredi S2 '!M25+'Jeudi S2 '!M25+'Vendredi S2 '!M25+'Samedi S2'!M25</f>
        <v>18</v>
      </c>
      <c r="N25" s="10">
        <f>+'Lundi S2'!N25+'Mardi S2 '!N25+'Mercredi S2 '!N25+'Jeudi S2 '!N25+'Vendredi S2 '!N25+'Samedi S2'!N25</f>
        <v>6</v>
      </c>
      <c r="O25" s="10">
        <f>+'Lundi S2'!O25+'Mardi S2 '!O25+'Mercredi S2 '!O25+'Jeudi S2 '!O25+'Vendredi S2 '!O25+'Samedi S2'!O25</f>
        <v>18</v>
      </c>
      <c r="P25" s="10">
        <f>+'Lundi S2'!P25+'Mardi S2 '!P25+'Mercredi S2 '!P25+'Jeudi S2 '!P25+'Vendredi S2 '!P25+'Samedi S2'!P25</f>
        <v>0</v>
      </c>
      <c r="Q25" s="11">
        <f>+'Lundi S2'!Q25+'Mardi S2 '!Q25+'Mercredi S2 '!Q25+'Jeudi S2 '!Q25+'Vendredi S2 '!Q25+'Samedi S2'!Q25</f>
        <v>0</v>
      </c>
      <c r="R25" s="61">
        <f>+'Lundi S2'!R25+'Mardi S2 '!R25+'Mercredi S2 '!R25+'Jeudi S2 '!R25+'Vendredi S2 '!R25+'Samedi S2'!R25</f>
        <v>3</v>
      </c>
      <c r="S25" s="62">
        <f>+'Lundi S2'!S25+'Mardi S2 '!S25+'Mercredi S2 '!S25+'Jeudi S2 '!S25+'Vendredi S2 '!S25+'Samedi S2'!S25</f>
        <v>0.99999999999999989</v>
      </c>
      <c r="T25" s="62">
        <f>+'Lundi S2'!T25+'Mardi S2 '!T25+'Mercredi S2 '!T25+'Jeudi S2 '!T25+'Vendredi S2 '!T25+'Samedi S2'!T25</f>
        <v>0.6</v>
      </c>
      <c r="U25" s="62">
        <f>+'Lundi S2'!U25+'Mardi S2 '!U25+'Mercredi S2 '!U25+'Jeudi S2 '!U25+'Vendredi S2 '!U25+'Samedi S2'!U25</f>
        <v>3.6</v>
      </c>
      <c r="V25" s="63">
        <f>+'Lundi S2'!V25+'Mardi S2 '!V25+'Mercredi S2 '!V25+'Jeudi S2 '!V25+'Vendredi S2 '!V25+'Samedi S2'!V25</f>
        <v>0.9</v>
      </c>
      <c r="W25" s="9">
        <f>+'Lundi S2'!W25+'Mardi S2 '!W25+'Mercredi S2 '!W25+'Jeudi S2 '!W25+'Vendredi S2 '!W25+'Samedi S2'!W25</f>
        <v>0</v>
      </c>
      <c r="X25" s="10">
        <f>+'Lundi S2'!X25+'Mardi S2 '!X25+'Mercredi S2 '!X25+'Jeudi S2 '!X25+'Vendredi S2 '!X25+'Samedi S2'!X25</f>
        <v>0</v>
      </c>
      <c r="Y25" s="10">
        <f>+'Lundi S2'!Y25+'Mardi S2 '!Y25+'Mercredi S2 '!Y25+'Jeudi S2 '!Y25+'Vendredi S2 '!Y25+'Samedi S2'!Y25</f>
        <v>0</v>
      </c>
      <c r="Z25" s="10">
        <f>+'Lundi S2'!Z25+'Mardi S2 '!Z25+'Mercredi S2 '!Z25+'Jeudi S2 '!Z25+'Vendredi S2 '!Z25+'Samedi S2'!Z25</f>
        <v>0</v>
      </c>
      <c r="AA25" s="11">
        <f>+'Lundi S2'!AA25+'Mardi S2 '!AA25+'Mercredi S2 '!AA25+'Jeudi S2 '!AA25+'Vendredi S2 '!AA25+'Samedi S2'!AA25</f>
        <v>0</v>
      </c>
      <c r="AB25" s="9">
        <f>+'Lundi S2'!AB25+'Mardi S2 '!AB25+'Mercredi S2 '!AB25+'Jeudi S2 '!AB25+'Vendredi S2 '!AB25+'Samedi S2'!AB25</f>
        <v>0</v>
      </c>
      <c r="AC25" s="10">
        <f>+'Lundi S2'!AC25+'Mardi S2 '!AC25+'Mercredi S2 '!AC25+'Jeudi S2 '!AC25+'Vendredi S2 '!AC25+'Samedi S2'!AC25</f>
        <v>0</v>
      </c>
      <c r="AD25" s="10">
        <f>+'Lundi S2'!AD25+'Mardi S2 '!AD25+'Mercredi S2 '!AD25+'Jeudi S2 '!AD25+'Vendredi S2 '!AD25+'Samedi S2'!AD25</f>
        <v>0</v>
      </c>
      <c r="AE25" s="10">
        <f>+'Lundi S2'!AE25+'Mardi S2 '!AE25+'Mercredi S2 '!AE25+'Jeudi S2 '!AE25+'Vendredi S2 '!AE25+'Samedi S2'!AE25</f>
        <v>0</v>
      </c>
      <c r="AF25" s="11">
        <f>+'Lundi S2'!AF25+'Mardi S2 '!AF25+'Mercredi S2 '!AF25+'Jeudi S2 '!AF25+'Vendredi S2 '!AF25+'Samedi S2'!AF25</f>
        <v>0</v>
      </c>
      <c r="AG25" s="9">
        <f>+'Lundi S2'!AG25+'Mardi S2 '!AG25+'Mercredi S2 '!AG25+'Jeudi S2 '!AG25+'Vendredi S2 '!AG25+'Samedi S2'!AG25</f>
        <v>0</v>
      </c>
      <c r="AH25" s="10">
        <f>+'Lundi S2'!AH25+'Mardi S2 '!AH25+'Mercredi S2 '!AH25+'Jeudi S2 '!AH25+'Vendredi S2 '!AH25+'Samedi S2'!AH25</f>
        <v>0</v>
      </c>
      <c r="AI25" s="10">
        <f>+'Lundi S2'!AI25+'Mardi S2 '!AI25+'Mercredi S2 '!AI25+'Jeudi S2 '!AI25+'Vendredi S2 '!AI25+'Samedi S2'!AI25</f>
        <v>0</v>
      </c>
      <c r="AJ25" s="10">
        <f>+'Lundi S2'!AJ25+'Mardi S2 '!AJ25+'Mercredi S2 '!AJ25+'Jeudi S2 '!AJ25+'Vendredi S2 '!AJ25+'Samedi S2'!AJ25</f>
        <v>0</v>
      </c>
      <c r="AK25" s="11">
        <f>+'Lundi S2'!AK25+'Mardi S2 '!AK25+'Mercredi S2 '!AK25+'Jeudi S2 '!AK25+'Vendredi S2 '!AK25+'Samedi S2'!AK25</f>
        <v>0</v>
      </c>
      <c r="AL25" s="9">
        <f>+'Lundi S2'!AL25+'Mardi S2 '!AL25+'Mercredi S2 '!AL25+'Jeudi S2 '!AL25+'Vendredi S2 '!AL25+'Samedi S2'!AL25</f>
        <v>0</v>
      </c>
      <c r="AM25" s="10">
        <f>+'Lundi S2'!AM25+'Mardi S2 '!AM25+'Mercredi S2 '!AM25+'Jeudi S2 '!AM25+'Vendredi S2 '!AM25+'Samedi S2'!AM25</f>
        <v>0</v>
      </c>
      <c r="AN25" s="10">
        <f>+'Lundi S2'!AN25+'Mardi S2 '!AN25+'Mercredi S2 '!AN25+'Jeudi S2 '!AN25+'Vendredi S2 '!AN25+'Samedi S2'!AN25</f>
        <v>0</v>
      </c>
      <c r="AO25" s="10">
        <f>+'Lundi S2'!AO25+'Mardi S2 '!AO25+'Mercredi S2 '!AO25+'Jeudi S2 '!AO25+'Vendredi S2 '!AO25+'Samedi S2'!AO25</f>
        <v>0</v>
      </c>
      <c r="AP25" s="11">
        <f>+'Lundi S2'!AP25+'Mardi S2 '!AP25+'Mercredi S2 '!AP25+'Jeudi S2 '!AP25+'Vendredi S2 '!AP25+'Samedi S2'!AP25</f>
        <v>0</v>
      </c>
      <c r="AQ25" s="9">
        <f>+'Lundi S2'!AQ25+'Mardi S2 '!AQ25+'Mercredi S2 '!AQ25+'Jeudi S2 '!AQ25+'Vendredi S2 '!AQ25+'Samedi S2'!AQ25</f>
        <v>0</v>
      </c>
      <c r="AR25" s="10">
        <f>+'Lundi S2'!AR25+'Mardi S2 '!AR25+'Mercredi S2 '!AR25+'Jeudi S2 '!AR25+'Vendredi S2 '!AR25+'Samedi S2'!AR25</f>
        <v>0</v>
      </c>
      <c r="AS25" s="11">
        <f>+'Lundi S2'!AS25+'Mardi S2 '!AS25+'Mercredi S2 '!AS25+'Jeudi S2 '!AS25+'Vendredi S2 '!AS25+'Samedi S2'!AS25</f>
        <v>0</v>
      </c>
      <c r="AT25" s="22"/>
      <c r="AU25" s="14"/>
    </row>
    <row r="26" spans="1:47" ht="31.9" customHeight="1" x14ac:dyDescent="0.2">
      <c r="A26" s="26">
        <v>20</v>
      </c>
      <c r="B26" s="19"/>
      <c r="C26" s="9">
        <f>+'Lundi S2'!C26+'Mardi S2 '!C26+'Mercredi S2 '!C26+'Jeudi S2 '!C26+'Vendredi S2 '!C26+'Samedi S2'!C26</f>
        <v>90</v>
      </c>
      <c r="D26" s="10">
        <f>+'Lundi S2'!D26+'Mardi S2 '!D26+'Mercredi S2 '!D26+'Jeudi S2 '!D26+'Vendredi S2 '!D26+'Samedi S2'!D26</f>
        <v>18</v>
      </c>
      <c r="E26" s="10">
        <f>+'Lundi S2'!E26+'Mardi S2 '!E26+'Mercredi S2 '!E26+'Jeudi S2 '!E26+'Vendredi S2 '!E26+'Samedi S2'!E26</f>
        <v>30</v>
      </c>
      <c r="F26" s="10">
        <f>+'Lundi S2'!F26+'Mardi S2 '!F26+'Mercredi S2 '!F26+'Jeudi S2 '!F26+'Vendredi S2 '!F26+'Samedi S2'!F26</f>
        <v>12</v>
      </c>
      <c r="G26" s="11">
        <f>+'Lundi S2'!G26+'Mardi S2 '!G26+'Mercredi S2 '!G26+'Jeudi S2 '!G26+'Vendredi S2 '!G26+'Samedi S2'!G26</f>
        <v>30</v>
      </c>
      <c r="H26" s="9">
        <f>+'Lundi S2'!H26+'Mardi S2 '!H26+'Mercredi S2 '!H26+'Jeudi S2 '!H26+'Vendredi S2 '!H26+'Samedi S2'!H26</f>
        <v>18</v>
      </c>
      <c r="I26" s="10">
        <f>+'Lundi S2'!I26+'Mardi S2 '!I26+'Mercredi S2 '!I26+'Jeudi S2 '!I26+'Vendredi S2 '!I26+'Samedi S2'!I26</f>
        <v>6</v>
      </c>
      <c r="J26" s="10">
        <f>+'Lundi S2'!J26+'Mardi S2 '!J26+'Mercredi S2 '!J26+'Jeudi S2 '!J26+'Vendredi S2 '!J26+'Samedi S2'!J26</f>
        <v>6</v>
      </c>
      <c r="K26" s="10">
        <f>+'Lundi S2'!K26+'Mardi S2 '!K26+'Mercredi S2 '!K26+'Jeudi S2 '!K26+'Vendredi S2 '!K26+'Samedi S2'!K26</f>
        <v>6</v>
      </c>
      <c r="L26" s="11">
        <f>+'Lundi S2'!L26+'Mardi S2 '!L26+'Mercredi S2 '!L26+'Jeudi S2 '!L26+'Vendredi S2 '!L26+'Samedi S2'!L26</f>
        <v>6</v>
      </c>
      <c r="M26" s="9">
        <f>+'Lundi S2'!M26+'Mardi S2 '!M26+'Mercredi S2 '!M26+'Jeudi S2 '!M26+'Vendredi S2 '!M26+'Samedi S2'!M26</f>
        <v>18</v>
      </c>
      <c r="N26" s="10">
        <f>+'Lundi S2'!N26+'Mardi S2 '!N26+'Mercredi S2 '!N26+'Jeudi S2 '!N26+'Vendredi S2 '!N26+'Samedi S2'!N26</f>
        <v>6</v>
      </c>
      <c r="O26" s="10">
        <f>+'Lundi S2'!O26+'Mardi S2 '!O26+'Mercredi S2 '!O26+'Jeudi S2 '!O26+'Vendredi S2 '!O26+'Samedi S2'!O26</f>
        <v>18</v>
      </c>
      <c r="P26" s="10">
        <f>+'Lundi S2'!P26+'Mardi S2 '!P26+'Mercredi S2 '!P26+'Jeudi S2 '!P26+'Vendredi S2 '!P26+'Samedi S2'!P26</f>
        <v>0</v>
      </c>
      <c r="Q26" s="11">
        <f>+'Lundi S2'!Q26+'Mardi S2 '!Q26+'Mercredi S2 '!Q26+'Jeudi S2 '!Q26+'Vendredi S2 '!Q26+'Samedi S2'!Q26</f>
        <v>0</v>
      </c>
      <c r="R26" s="61">
        <f>+'Lundi S2'!R26+'Mardi S2 '!R26+'Mercredi S2 '!R26+'Jeudi S2 '!R26+'Vendredi S2 '!R26+'Samedi S2'!R26</f>
        <v>3</v>
      </c>
      <c r="S26" s="62">
        <f>+'Lundi S2'!S26+'Mardi S2 '!S26+'Mercredi S2 '!S26+'Jeudi S2 '!S26+'Vendredi S2 '!S26+'Samedi S2'!S26</f>
        <v>0.99999999999999989</v>
      </c>
      <c r="T26" s="62">
        <f>+'Lundi S2'!T26+'Mardi S2 '!T26+'Mercredi S2 '!T26+'Jeudi S2 '!T26+'Vendredi S2 '!T26+'Samedi S2'!T26</f>
        <v>0.6</v>
      </c>
      <c r="U26" s="62">
        <f>+'Lundi S2'!U26+'Mardi S2 '!U26+'Mercredi S2 '!U26+'Jeudi S2 '!U26+'Vendredi S2 '!U26+'Samedi S2'!U26</f>
        <v>3.6</v>
      </c>
      <c r="V26" s="63">
        <f>+'Lundi S2'!V26+'Mardi S2 '!V26+'Mercredi S2 '!V26+'Jeudi S2 '!V26+'Vendredi S2 '!V26+'Samedi S2'!V26</f>
        <v>0.9</v>
      </c>
      <c r="W26" s="9">
        <f>+'Lundi S2'!W26+'Mardi S2 '!W26+'Mercredi S2 '!W26+'Jeudi S2 '!W26+'Vendredi S2 '!W26+'Samedi S2'!W26</f>
        <v>0</v>
      </c>
      <c r="X26" s="10">
        <f>+'Lundi S2'!X26+'Mardi S2 '!X26+'Mercredi S2 '!X26+'Jeudi S2 '!X26+'Vendredi S2 '!X26+'Samedi S2'!X26</f>
        <v>0</v>
      </c>
      <c r="Y26" s="10">
        <f>+'Lundi S2'!Y26+'Mardi S2 '!Y26+'Mercredi S2 '!Y26+'Jeudi S2 '!Y26+'Vendredi S2 '!Y26+'Samedi S2'!Y26</f>
        <v>0</v>
      </c>
      <c r="Z26" s="10">
        <f>+'Lundi S2'!Z26+'Mardi S2 '!Z26+'Mercredi S2 '!Z26+'Jeudi S2 '!Z26+'Vendredi S2 '!Z26+'Samedi S2'!Z26</f>
        <v>0</v>
      </c>
      <c r="AA26" s="11">
        <f>+'Lundi S2'!AA26+'Mardi S2 '!AA26+'Mercredi S2 '!AA26+'Jeudi S2 '!AA26+'Vendredi S2 '!AA26+'Samedi S2'!AA26</f>
        <v>0</v>
      </c>
      <c r="AB26" s="9">
        <f>+'Lundi S2'!AB26+'Mardi S2 '!AB26+'Mercredi S2 '!AB26+'Jeudi S2 '!AB26+'Vendredi S2 '!AB26+'Samedi S2'!AB26</f>
        <v>0</v>
      </c>
      <c r="AC26" s="10">
        <f>+'Lundi S2'!AC26+'Mardi S2 '!AC26+'Mercredi S2 '!AC26+'Jeudi S2 '!AC26+'Vendredi S2 '!AC26+'Samedi S2'!AC26</f>
        <v>0</v>
      </c>
      <c r="AD26" s="10">
        <f>+'Lundi S2'!AD26+'Mardi S2 '!AD26+'Mercredi S2 '!AD26+'Jeudi S2 '!AD26+'Vendredi S2 '!AD26+'Samedi S2'!AD26</f>
        <v>0</v>
      </c>
      <c r="AE26" s="10">
        <f>+'Lundi S2'!AE26+'Mardi S2 '!AE26+'Mercredi S2 '!AE26+'Jeudi S2 '!AE26+'Vendredi S2 '!AE26+'Samedi S2'!AE26</f>
        <v>0</v>
      </c>
      <c r="AF26" s="11">
        <f>+'Lundi S2'!AF26+'Mardi S2 '!AF26+'Mercredi S2 '!AF26+'Jeudi S2 '!AF26+'Vendredi S2 '!AF26+'Samedi S2'!AF26</f>
        <v>0</v>
      </c>
      <c r="AG26" s="9">
        <f>+'Lundi S2'!AG26+'Mardi S2 '!AG26+'Mercredi S2 '!AG26+'Jeudi S2 '!AG26+'Vendredi S2 '!AG26+'Samedi S2'!AG26</f>
        <v>0</v>
      </c>
      <c r="AH26" s="10">
        <f>+'Lundi S2'!AH26+'Mardi S2 '!AH26+'Mercredi S2 '!AH26+'Jeudi S2 '!AH26+'Vendredi S2 '!AH26+'Samedi S2'!AH26</f>
        <v>0</v>
      </c>
      <c r="AI26" s="10">
        <f>+'Lundi S2'!AI26+'Mardi S2 '!AI26+'Mercredi S2 '!AI26+'Jeudi S2 '!AI26+'Vendredi S2 '!AI26+'Samedi S2'!AI26</f>
        <v>0</v>
      </c>
      <c r="AJ26" s="10">
        <f>+'Lundi S2'!AJ26+'Mardi S2 '!AJ26+'Mercredi S2 '!AJ26+'Jeudi S2 '!AJ26+'Vendredi S2 '!AJ26+'Samedi S2'!AJ26</f>
        <v>0</v>
      </c>
      <c r="AK26" s="11">
        <f>+'Lundi S2'!AK26+'Mardi S2 '!AK26+'Mercredi S2 '!AK26+'Jeudi S2 '!AK26+'Vendredi S2 '!AK26+'Samedi S2'!AK26</f>
        <v>0</v>
      </c>
      <c r="AL26" s="9">
        <f>+'Lundi S2'!AL26+'Mardi S2 '!AL26+'Mercredi S2 '!AL26+'Jeudi S2 '!AL26+'Vendredi S2 '!AL26+'Samedi S2'!AL26</f>
        <v>0</v>
      </c>
      <c r="AM26" s="10">
        <f>+'Lundi S2'!AM26+'Mardi S2 '!AM26+'Mercredi S2 '!AM26+'Jeudi S2 '!AM26+'Vendredi S2 '!AM26+'Samedi S2'!AM26</f>
        <v>0</v>
      </c>
      <c r="AN26" s="10">
        <f>+'Lundi S2'!AN26+'Mardi S2 '!AN26+'Mercredi S2 '!AN26+'Jeudi S2 '!AN26+'Vendredi S2 '!AN26+'Samedi S2'!AN26</f>
        <v>0</v>
      </c>
      <c r="AO26" s="10">
        <f>+'Lundi S2'!AO26+'Mardi S2 '!AO26+'Mercredi S2 '!AO26+'Jeudi S2 '!AO26+'Vendredi S2 '!AO26+'Samedi S2'!AO26</f>
        <v>0</v>
      </c>
      <c r="AP26" s="11">
        <f>+'Lundi S2'!AP26+'Mardi S2 '!AP26+'Mercredi S2 '!AP26+'Jeudi S2 '!AP26+'Vendredi S2 '!AP26+'Samedi S2'!AP26</f>
        <v>0</v>
      </c>
      <c r="AQ26" s="9">
        <f>+'Lundi S2'!AQ26+'Mardi S2 '!AQ26+'Mercredi S2 '!AQ26+'Jeudi S2 '!AQ26+'Vendredi S2 '!AQ26+'Samedi S2'!AQ26</f>
        <v>0</v>
      </c>
      <c r="AR26" s="10">
        <f>+'Lundi S2'!AR26+'Mardi S2 '!AR26+'Mercredi S2 '!AR26+'Jeudi S2 '!AR26+'Vendredi S2 '!AR26+'Samedi S2'!AR26</f>
        <v>0</v>
      </c>
      <c r="AS26" s="11">
        <f>+'Lundi S2'!AS26+'Mardi S2 '!AS26+'Mercredi S2 '!AS26+'Jeudi S2 '!AS26+'Vendredi S2 '!AS26+'Samedi S2'!AS26</f>
        <v>0</v>
      </c>
      <c r="AT26" s="22"/>
      <c r="AU26" s="14"/>
    </row>
    <row r="27" spans="1:47" ht="31.9" customHeight="1" x14ac:dyDescent="0.2">
      <c r="A27" s="26">
        <v>21</v>
      </c>
      <c r="B27" s="19"/>
      <c r="C27" s="9">
        <f>+'Lundi S2'!C27+'Mardi S2 '!C27+'Mercredi S2 '!C27+'Jeudi S2 '!C27+'Vendredi S2 '!C27+'Samedi S2'!C27</f>
        <v>90</v>
      </c>
      <c r="D27" s="10">
        <f>+'Lundi S2'!D27+'Mardi S2 '!D27+'Mercredi S2 '!D27+'Jeudi S2 '!D27+'Vendredi S2 '!D27+'Samedi S2'!D27</f>
        <v>18</v>
      </c>
      <c r="E27" s="10">
        <f>+'Lundi S2'!E27+'Mardi S2 '!E27+'Mercredi S2 '!E27+'Jeudi S2 '!E27+'Vendredi S2 '!E27+'Samedi S2'!E27</f>
        <v>30</v>
      </c>
      <c r="F27" s="10">
        <f>+'Lundi S2'!F27+'Mardi S2 '!F27+'Mercredi S2 '!F27+'Jeudi S2 '!F27+'Vendredi S2 '!F27+'Samedi S2'!F27</f>
        <v>12</v>
      </c>
      <c r="G27" s="11">
        <f>+'Lundi S2'!G27+'Mardi S2 '!G27+'Mercredi S2 '!G27+'Jeudi S2 '!G27+'Vendredi S2 '!G27+'Samedi S2'!G27</f>
        <v>30</v>
      </c>
      <c r="H27" s="9">
        <f>+'Lundi S2'!H27+'Mardi S2 '!H27+'Mercredi S2 '!H27+'Jeudi S2 '!H27+'Vendredi S2 '!H27+'Samedi S2'!H27</f>
        <v>18</v>
      </c>
      <c r="I27" s="10">
        <f>+'Lundi S2'!I27+'Mardi S2 '!I27+'Mercredi S2 '!I27+'Jeudi S2 '!I27+'Vendredi S2 '!I27+'Samedi S2'!I27</f>
        <v>6</v>
      </c>
      <c r="J27" s="10">
        <f>+'Lundi S2'!J27+'Mardi S2 '!J27+'Mercredi S2 '!J27+'Jeudi S2 '!J27+'Vendredi S2 '!J27+'Samedi S2'!J27</f>
        <v>6</v>
      </c>
      <c r="K27" s="10">
        <f>+'Lundi S2'!K27+'Mardi S2 '!K27+'Mercredi S2 '!K27+'Jeudi S2 '!K27+'Vendredi S2 '!K27+'Samedi S2'!K27</f>
        <v>6</v>
      </c>
      <c r="L27" s="11">
        <f>+'Lundi S2'!L27+'Mardi S2 '!L27+'Mercredi S2 '!L27+'Jeudi S2 '!L27+'Vendredi S2 '!L27+'Samedi S2'!L27</f>
        <v>6</v>
      </c>
      <c r="M27" s="9">
        <f>+'Lundi S2'!M27+'Mardi S2 '!M27+'Mercredi S2 '!M27+'Jeudi S2 '!M27+'Vendredi S2 '!M27+'Samedi S2'!M27</f>
        <v>18</v>
      </c>
      <c r="N27" s="10">
        <f>+'Lundi S2'!N27+'Mardi S2 '!N27+'Mercredi S2 '!N27+'Jeudi S2 '!N27+'Vendredi S2 '!N27+'Samedi S2'!N27</f>
        <v>6</v>
      </c>
      <c r="O27" s="10">
        <f>+'Lundi S2'!O27+'Mardi S2 '!O27+'Mercredi S2 '!O27+'Jeudi S2 '!O27+'Vendredi S2 '!O27+'Samedi S2'!O27</f>
        <v>18</v>
      </c>
      <c r="P27" s="10">
        <f>+'Lundi S2'!P27+'Mardi S2 '!P27+'Mercredi S2 '!P27+'Jeudi S2 '!P27+'Vendredi S2 '!P27+'Samedi S2'!P27</f>
        <v>0</v>
      </c>
      <c r="Q27" s="11">
        <f>+'Lundi S2'!Q27+'Mardi S2 '!Q27+'Mercredi S2 '!Q27+'Jeudi S2 '!Q27+'Vendredi S2 '!Q27+'Samedi S2'!Q27</f>
        <v>0</v>
      </c>
      <c r="R27" s="61">
        <f>+'Lundi S2'!R27+'Mardi S2 '!R27+'Mercredi S2 '!R27+'Jeudi S2 '!R27+'Vendredi S2 '!R27+'Samedi S2'!R27</f>
        <v>3</v>
      </c>
      <c r="S27" s="62">
        <f>+'Lundi S2'!S27+'Mardi S2 '!S27+'Mercredi S2 '!S27+'Jeudi S2 '!S27+'Vendredi S2 '!S27+'Samedi S2'!S27</f>
        <v>0.99999999999999989</v>
      </c>
      <c r="T27" s="62">
        <f>+'Lundi S2'!T27+'Mardi S2 '!T27+'Mercredi S2 '!T27+'Jeudi S2 '!T27+'Vendredi S2 '!T27+'Samedi S2'!T27</f>
        <v>0.6</v>
      </c>
      <c r="U27" s="62">
        <f>+'Lundi S2'!U27+'Mardi S2 '!U27+'Mercredi S2 '!U27+'Jeudi S2 '!U27+'Vendredi S2 '!U27+'Samedi S2'!U27</f>
        <v>3.6</v>
      </c>
      <c r="V27" s="63">
        <f>+'Lundi S2'!V27+'Mardi S2 '!V27+'Mercredi S2 '!V27+'Jeudi S2 '!V27+'Vendredi S2 '!V27+'Samedi S2'!V27</f>
        <v>0.9</v>
      </c>
      <c r="W27" s="9">
        <f>+'Lundi S2'!W27+'Mardi S2 '!W27+'Mercredi S2 '!W27+'Jeudi S2 '!W27+'Vendredi S2 '!W27+'Samedi S2'!W27</f>
        <v>0</v>
      </c>
      <c r="X27" s="10">
        <f>+'Lundi S2'!X27+'Mardi S2 '!X27+'Mercredi S2 '!X27+'Jeudi S2 '!X27+'Vendredi S2 '!X27+'Samedi S2'!X27</f>
        <v>0</v>
      </c>
      <c r="Y27" s="10">
        <f>+'Lundi S2'!Y27+'Mardi S2 '!Y27+'Mercredi S2 '!Y27+'Jeudi S2 '!Y27+'Vendredi S2 '!Y27+'Samedi S2'!Y27</f>
        <v>0</v>
      </c>
      <c r="Z27" s="10">
        <f>+'Lundi S2'!Z27+'Mardi S2 '!Z27+'Mercredi S2 '!Z27+'Jeudi S2 '!Z27+'Vendredi S2 '!Z27+'Samedi S2'!Z27</f>
        <v>0</v>
      </c>
      <c r="AA27" s="11">
        <f>+'Lundi S2'!AA27+'Mardi S2 '!AA27+'Mercredi S2 '!AA27+'Jeudi S2 '!AA27+'Vendredi S2 '!AA27+'Samedi S2'!AA27</f>
        <v>0</v>
      </c>
      <c r="AB27" s="9">
        <f>+'Lundi S2'!AB27+'Mardi S2 '!AB27+'Mercredi S2 '!AB27+'Jeudi S2 '!AB27+'Vendredi S2 '!AB27+'Samedi S2'!AB27</f>
        <v>0</v>
      </c>
      <c r="AC27" s="10">
        <f>+'Lundi S2'!AC27+'Mardi S2 '!AC27+'Mercredi S2 '!AC27+'Jeudi S2 '!AC27+'Vendredi S2 '!AC27+'Samedi S2'!AC27</f>
        <v>0</v>
      </c>
      <c r="AD27" s="10">
        <f>+'Lundi S2'!AD27+'Mardi S2 '!AD27+'Mercredi S2 '!AD27+'Jeudi S2 '!AD27+'Vendredi S2 '!AD27+'Samedi S2'!AD27</f>
        <v>0</v>
      </c>
      <c r="AE27" s="10">
        <f>+'Lundi S2'!AE27+'Mardi S2 '!AE27+'Mercredi S2 '!AE27+'Jeudi S2 '!AE27+'Vendredi S2 '!AE27+'Samedi S2'!AE27</f>
        <v>0</v>
      </c>
      <c r="AF27" s="11">
        <f>+'Lundi S2'!AF27+'Mardi S2 '!AF27+'Mercredi S2 '!AF27+'Jeudi S2 '!AF27+'Vendredi S2 '!AF27+'Samedi S2'!AF27</f>
        <v>0</v>
      </c>
      <c r="AG27" s="9">
        <f>+'Lundi S2'!AG27+'Mardi S2 '!AG27+'Mercredi S2 '!AG27+'Jeudi S2 '!AG27+'Vendredi S2 '!AG27+'Samedi S2'!AG27</f>
        <v>0</v>
      </c>
      <c r="AH27" s="10">
        <f>+'Lundi S2'!AH27+'Mardi S2 '!AH27+'Mercredi S2 '!AH27+'Jeudi S2 '!AH27+'Vendredi S2 '!AH27+'Samedi S2'!AH27</f>
        <v>0</v>
      </c>
      <c r="AI27" s="10">
        <f>+'Lundi S2'!AI27+'Mardi S2 '!AI27+'Mercredi S2 '!AI27+'Jeudi S2 '!AI27+'Vendredi S2 '!AI27+'Samedi S2'!AI27</f>
        <v>0</v>
      </c>
      <c r="AJ27" s="10">
        <f>+'Lundi S2'!AJ27+'Mardi S2 '!AJ27+'Mercredi S2 '!AJ27+'Jeudi S2 '!AJ27+'Vendredi S2 '!AJ27+'Samedi S2'!AJ27</f>
        <v>0</v>
      </c>
      <c r="AK27" s="11">
        <f>+'Lundi S2'!AK27+'Mardi S2 '!AK27+'Mercredi S2 '!AK27+'Jeudi S2 '!AK27+'Vendredi S2 '!AK27+'Samedi S2'!AK27</f>
        <v>0</v>
      </c>
      <c r="AL27" s="9">
        <f>+'Lundi S2'!AL27+'Mardi S2 '!AL27+'Mercredi S2 '!AL27+'Jeudi S2 '!AL27+'Vendredi S2 '!AL27+'Samedi S2'!AL27</f>
        <v>0</v>
      </c>
      <c r="AM27" s="10">
        <f>+'Lundi S2'!AM27+'Mardi S2 '!AM27+'Mercredi S2 '!AM27+'Jeudi S2 '!AM27+'Vendredi S2 '!AM27+'Samedi S2'!AM27</f>
        <v>0</v>
      </c>
      <c r="AN27" s="10">
        <f>+'Lundi S2'!AN27+'Mardi S2 '!AN27+'Mercredi S2 '!AN27+'Jeudi S2 '!AN27+'Vendredi S2 '!AN27+'Samedi S2'!AN27</f>
        <v>0</v>
      </c>
      <c r="AO27" s="10">
        <f>+'Lundi S2'!AO27+'Mardi S2 '!AO27+'Mercredi S2 '!AO27+'Jeudi S2 '!AO27+'Vendredi S2 '!AO27+'Samedi S2'!AO27</f>
        <v>0</v>
      </c>
      <c r="AP27" s="11">
        <f>+'Lundi S2'!AP27+'Mardi S2 '!AP27+'Mercredi S2 '!AP27+'Jeudi S2 '!AP27+'Vendredi S2 '!AP27+'Samedi S2'!AP27</f>
        <v>0</v>
      </c>
      <c r="AQ27" s="9">
        <f>+'Lundi S2'!AQ27+'Mardi S2 '!AQ27+'Mercredi S2 '!AQ27+'Jeudi S2 '!AQ27+'Vendredi S2 '!AQ27+'Samedi S2'!AQ27</f>
        <v>0</v>
      </c>
      <c r="AR27" s="10">
        <f>+'Lundi S2'!AR27+'Mardi S2 '!AR27+'Mercredi S2 '!AR27+'Jeudi S2 '!AR27+'Vendredi S2 '!AR27+'Samedi S2'!AR27</f>
        <v>0</v>
      </c>
      <c r="AS27" s="11">
        <f>+'Lundi S2'!AS27+'Mardi S2 '!AS27+'Mercredi S2 '!AS27+'Jeudi S2 '!AS27+'Vendredi S2 '!AS27+'Samedi S2'!AS27</f>
        <v>0</v>
      </c>
      <c r="AT27" s="22"/>
      <c r="AU27" s="14"/>
    </row>
    <row r="28" spans="1:47" ht="31.9" customHeight="1" x14ac:dyDescent="0.2">
      <c r="A28" s="26">
        <v>22</v>
      </c>
      <c r="B28" s="19"/>
      <c r="C28" s="9">
        <f>+'Lundi S2'!C28+'Mardi S2 '!C28+'Mercredi S2 '!C28+'Jeudi S2 '!C28+'Vendredi S2 '!C28+'Samedi S2'!C28</f>
        <v>90</v>
      </c>
      <c r="D28" s="10">
        <f>+'Lundi S2'!D28+'Mardi S2 '!D28+'Mercredi S2 '!D28+'Jeudi S2 '!D28+'Vendredi S2 '!D28+'Samedi S2'!D28</f>
        <v>18</v>
      </c>
      <c r="E28" s="10">
        <f>+'Lundi S2'!E28+'Mardi S2 '!E28+'Mercredi S2 '!E28+'Jeudi S2 '!E28+'Vendredi S2 '!E28+'Samedi S2'!E28</f>
        <v>30</v>
      </c>
      <c r="F28" s="10">
        <f>+'Lundi S2'!F28+'Mardi S2 '!F28+'Mercredi S2 '!F28+'Jeudi S2 '!F28+'Vendredi S2 '!F28+'Samedi S2'!F28</f>
        <v>12</v>
      </c>
      <c r="G28" s="11">
        <f>+'Lundi S2'!G28+'Mardi S2 '!G28+'Mercredi S2 '!G28+'Jeudi S2 '!G28+'Vendredi S2 '!G28+'Samedi S2'!G28</f>
        <v>30</v>
      </c>
      <c r="H28" s="9">
        <f>+'Lundi S2'!H28+'Mardi S2 '!H28+'Mercredi S2 '!H28+'Jeudi S2 '!H28+'Vendredi S2 '!H28+'Samedi S2'!H28</f>
        <v>18</v>
      </c>
      <c r="I28" s="10">
        <f>+'Lundi S2'!I28+'Mardi S2 '!I28+'Mercredi S2 '!I28+'Jeudi S2 '!I28+'Vendredi S2 '!I28+'Samedi S2'!I28</f>
        <v>6</v>
      </c>
      <c r="J28" s="10">
        <f>+'Lundi S2'!J28+'Mardi S2 '!J28+'Mercredi S2 '!J28+'Jeudi S2 '!J28+'Vendredi S2 '!J28+'Samedi S2'!J28</f>
        <v>6</v>
      </c>
      <c r="K28" s="10">
        <f>+'Lundi S2'!K28+'Mardi S2 '!K28+'Mercredi S2 '!K28+'Jeudi S2 '!K28+'Vendredi S2 '!K28+'Samedi S2'!K28</f>
        <v>6</v>
      </c>
      <c r="L28" s="11">
        <f>+'Lundi S2'!L28+'Mardi S2 '!L28+'Mercredi S2 '!L28+'Jeudi S2 '!L28+'Vendredi S2 '!L28+'Samedi S2'!L28</f>
        <v>6</v>
      </c>
      <c r="M28" s="9">
        <f>+'Lundi S2'!M28+'Mardi S2 '!M28+'Mercredi S2 '!M28+'Jeudi S2 '!M28+'Vendredi S2 '!M28+'Samedi S2'!M28</f>
        <v>18</v>
      </c>
      <c r="N28" s="10">
        <f>+'Lundi S2'!N28+'Mardi S2 '!N28+'Mercredi S2 '!N28+'Jeudi S2 '!N28+'Vendredi S2 '!N28+'Samedi S2'!N28</f>
        <v>6</v>
      </c>
      <c r="O28" s="10">
        <f>+'Lundi S2'!O28+'Mardi S2 '!O28+'Mercredi S2 '!O28+'Jeudi S2 '!O28+'Vendredi S2 '!O28+'Samedi S2'!O28</f>
        <v>18</v>
      </c>
      <c r="P28" s="10">
        <f>+'Lundi S2'!P28+'Mardi S2 '!P28+'Mercredi S2 '!P28+'Jeudi S2 '!P28+'Vendredi S2 '!P28+'Samedi S2'!P28</f>
        <v>0</v>
      </c>
      <c r="Q28" s="11">
        <f>+'Lundi S2'!Q28+'Mardi S2 '!Q28+'Mercredi S2 '!Q28+'Jeudi S2 '!Q28+'Vendredi S2 '!Q28+'Samedi S2'!Q28</f>
        <v>0</v>
      </c>
      <c r="R28" s="61">
        <f>+'Lundi S2'!R28+'Mardi S2 '!R28+'Mercredi S2 '!R28+'Jeudi S2 '!R28+'Vendredi S2 '!R28+'Samedi S2'!R28</f>
        <v>3</v>
      </c>
      <c r="S28" s="62">
        <f>+'Lundi S2'!S28+'Mardi S2 '!S28+'Mercredi S2 '!S28+'Jeudi S2 '!S28+'Vendredi S2 '!S28+'Samedi S2'!S28</f>
        <v>0.99999999999999989</v>
      </c>
      <c r="T28" s="62">
        <f>+'Lundi S2'!T28+'Mardi S2 '!T28+'Mercredi S2 '!T28+'Jeudi S2 '!T28+'Vendredi S2 '!T28+'Samedi S2'!T28</f>
        <v>0.6</v>
      </c>
      <c r="U28" s="62">
        <f>+'Lundi S2'!U28+'Mardi S2 '!U28+'Mercredi S2 '!U28+'Jeudi S2 '!U28+'Vendredi S2 '!U28+'Samedi S2'!U28</f>
        <v>3.6</v>
      </c>
      <c r="V28" s="63">
        <f>+'Lundi S2'!V28+'Mardi S2 '!V28+'Mercredi S2 '!V28+'Jeudi S2 '!V28+'Vendredi S2 '!V28+'Samedi S2'!V28</f>
        <v>0.9</v>
      </c>
      <c r="W28" s="9">
        <f>+'Lundi S2'!W28+'Mardi S2 '!W28+'Mercredi S2 '!W28+'Jeudi S2 '!W28+'Vendredi S2 '!W28+'Samedi S2'!W28</f>
        <v>0</v>
      </c>
      <c r="X28" s="10">
        <f>+'Lundi S2'!X28+'Mardi S2 '!X28+'Mercredi S2 '!X28+'Jeudi S2 '!X28+'Vendredi S2 '!X28+'Samedi S2'!X28</f>
        <v>0</v>
      </c>
      <c r="Y28" s="10">
        <f>+'Lundi S2'!Y28+'Mardi S2 '!Y28+'Mercredi S2 '!Y28+'Jeudi S2 '!Y28+'Vendredi S2 '!Y28+'Samedi S2'!Y28</f>
        <v>0</v>
      </c>
      <c r="Z28" s="10">
        <f>+'Lundi S2'!Z28+'Mardi S2 '!Z28+'Mercredi S2 '!Z28+'Jeudi S2 '!Z28+'Vendredi S2 '!Z28+'Samedi S2'!Z28</f>
        <v>0</v>
      </c>
      <c r="AA28" s="11">
        <f>+'Lundi S2'!AA28+'Mardi S2 '!AA28+'Mercredi S2 '!AA28+'Jeudi S2 '!AA28+'Vendredi S2 '!AA28+'Samedi S2'!AA28</f>
        <v>0</v>
      </c>
      <c r="AB28" s="9">
        <f>+'Lundi S2'!AB28+'Mardi S2 '!AB28+'Mercredi S2 '!AB28+'Jeudi S2 '!AB28+'Vendredi S2 '!AB28+'Samedi S2'!AB28</f>
        <v>0</v>
      </c>
      <c r="AC28" s="10">
        <f>+'Lundi S2'!AC28+'Mardi S2 '!AC28+'Mercredi S2 '!AC28+'Jeudi S2 '!AC28+'Vendredi S2 '!AC28+'Samedi S2'!AC28</f>
        <v>0</v>
      </c>
      <c r="AD28" s="10">
        <f>+'Lundi S2'!AD28+'Mardi S2 '!AD28+'Mercredi S2 '!AD28+'Jeudi S2 '!AD28+'Vendredi S2 '!AD28+'Samedi S2'!AD28</f>
        <v>0</v>
      </c>
      <c r="AE28" s="10">
        <f>+'Lundi S2'!AE28+'Mardi S2 '!AE28+'Mercredi S2 '!AE28+'Jeudi S2 '!AE28+'Vendredi S2 '!AE28+'Samedi S2'!AE28</f>
        <v>0</v>
      </c>
      <c r="AF28" s="11">
        <f>+'Lundi S2'!AF28+'Mardi S2 '!AF28+'Mercredi S2 '!AF28+'Jeudi S2 '!AF28+'Vendredi S2 '!AF28+'Samedi S2'!AF28</f>
        <v>0</v>
      </c>
      <c r="AG28" s="9">
        <f>+'Lundi S2'!AG28+'Mardi S2 '!AG28+'Mercredi S2 '!AG28+'Jeudi S2 '!AG28+'Vendredi S2 '!AG28+'Samedi S2'!AG28</f>
        <v>0</v>
      </c>
      <c r="AH28" s="10">
        <f>+'Lundi S2'!AH28+'Mardi S2 '!AH28+'Mercredi S2 '!AH28+'Jeudi S2 '!AH28+'Vendredi S2 '!AH28+'Samedi S2'!AH28</f>
        <v>0</v>
      </c>
      <c r="AI28" s="10">
        <f>+'Lundi S2'!AI28+'Mardi S2 '!AI28+'Mercredi S2 '!AI28+'Jeudi S2 '!AI28+'Vendredi S2 '!AI28+'Samedi S2'!AI28</f>
        <v>0</v>
      </c>
      <c r="AJ28" s="10">
        <f>+'Lundi S2'!AJ28+'Mardi S2 '!AJ28+'Mercredi S2 '!AJ28+'Jeudi S2 '!AJ28+'Vendredi S2 '!AJ28+'Samedi S2'!AJ28</f>
        <v>0</v>
      </c>
      <c r="AK28" s="11">
        <f>+'Lundi S2'!AK28+'Mardi S2 '!AK28+'Mercredi S2 '!AK28+'Jeudi S2 '!AK28+'Vendredi S2 '!AK28+'Samedi S2'!AK28</f>
        <v>0</v>
      </c>
      <c r="AL28" s="9">
        <f>+'Lundi S2'!AL28+'Mardi S2 '!AL28+'Mercredi S2 '!AL28+'Jeudi S2 '!AL28+'Vendredi S2 '!AL28+'Samedi S2'!AL28</f>
        <v>0</v>
      </c>
      <c r="AM28" s="10">
        <f>+'Lundi S2'!AM28+'Mardi S2 '!AM28+'Mercredi S2 '!AM28+'Jeudi S2 '!AM28+'Vendredi S2 '!AM28+'Samedi S2'!AM28</f>
        <v>0</v>
      </c>
      <c r="AN28" s="10">
        <f>+'Lundi S2'!AN28+'Mardi S2 '!AN28+'Mercredi S2 '!AN28+'Jeudi S2 '!AN28+'Vendredi S2 '!AN28+'Samedi S2'!AN28</f>
        <v>0</v>
      </c>
      <c r="AO28" s="10">
        <f>+'Lundi S2'!AO28+'Mardi S2 '!AO28+'Mercredi S2 '!AO28+'Jeudi S2 '!AO28+'Vendredi S2 '!AO28+'Samedi S2'!AO28</f>
        <v>0</v>
      </c>
      <c r="AP28" s="11">
        <f>+'Lundi S2'!AP28+'Mardi S2 '!AP28+'Mercredi S2 '!AP28+'Jeudi S2 '!AP28+'Vendredi S2 '!AP28+'Samedi S2'!AP28</f>
        <v>0</v>
      </c>
      <c r="AQ28" s="9">
        <f>+'Lundi S2'!AQ28+'Mardi S2 '!AQ28+'Mercredi S2 '!AQ28+'Jeudi S2 '!AQ28+'Vendredi S2 '!AQ28+'Samedi S2'!AQ28</f>
        <v>0</v>
      </c>
      <c r="AR28" s="10">
        <f>+'Lundi S2'!AR28+'Mardi S2 '!AR28+'Mercredi S2 '!AR28+'Jeudi S2 '!AR28+'Vendredi S2 '!AR28+'Samedi S2'!AR28</f>
        <v>0</v>
      </c>
      <c r="AS28" s="11">
        <f>+'Lundi S2'!AS28+'Mardi S2 '!AS28+'Mercredi S2 '!AS28+'Jeudi S2 '!AS28+'Vendredi S2 '!AS28+'Samedi S2'!AS28</f>
        <v>0</v>
      </c>
      <c r="AT28" s="22"/>
      <c r="AU28" s="14"/>
    </row>
    <row r="29" spans="1:47" ht="31.9" customHeight="1" x14ac:dyDescent="0.2">
      <c r="A29" s="26">
        <v>23</v>
      </c>
      <c r="B29" s="19"/>
      <c r="C29" s="9">
        <f>+'Lundi S2'!C29+'Mardi S2 '!C29+'Mercredi S2 '!C29+'Jeudi S2 '!C29+'Vendredi S2 '!C29+'Samedi S2'!C29</f>
        <v>90</v>
      </c>
      <c r="D29" s="10">
        <f>+'Lundi S2'!D29+'Mardi S2 '!D29+'Mercredi S2 '!D29+'Jeudi S2 '!D29+'Vendredi S2 '!D29+'Samedi S2'!D29</f>
        <v>18</v>
      </c>
      <c r="E29" s="10">
        <f>+'Lundi S2'!E29+'Mardi S2 '!E29+'Mercredi S2 '!E29+'Jeudi S2 '!E29+'Vendredi S2 '!E29+'Samedi S2'!E29</f>
        <v>30</v>
      </c>
      <c r="F29" s="10">
        <f>+'Lundi S2'!F29+'Mardi S2 '!F29+'Mercredi S2 '!F29+'Jeudi S2 '!F29+'Vendredi S2 '!F29+'Samedi S2'!F29</f>
        <v>12</v>
      </c>
      <c r="G29" s="11">
        <f>+'Lundi S2'!G29+'Mardi S2 '!G29+'Mercredi S2 '!G29+'Jeudi S2 '!G29+'Vendredi S2 '!G29+'Samedi S2'!G29</f>
        <v>30</v>
      </c>
      <c r="H29" s="9">
        <f>+'Lundi S2'!H29+'Mardi S2 '!H29+'Mercredi S2 '!H29+'Jeudi S2 '!H29+'Vendredi S2 '!H29+'Samedi S2'!H29</f>
        <v>18</v>
      </c>
      <c r="I29" s="10">
        <f>+'Lundi S2'!I29+'Mardi S2 '!I29+'Mercredi S2 '!I29+'Jeudi S2 '!I29+'Vendredi S2 '!I29+'Samedi S2'!I29</f>
        <v>6</v>
      </c>
      <c r="J29" s="10">
        <f>+'Lundi S2'!J29+'Mardi S2 '!J29+'Mercredi S2 '!J29+'Jeudi S2 '!J29+'Vendredi S2 '!J29+'Samedi S2'!J29</f>
        <v>6</v>
      </c>
      <c r="K29" s="10">
        <f>+'Lundi S2'!K29+'Mardi S2 '!K29+'Mercredi S2 '!K29+'Jeudi S2 '!K29+'Vendredi S2 '!K29+'Samedi S2'!K29</f>
        <v>6</v>
      </c>
      <c r="L29" s="11">
        <f>+'Lundi S2'!L29+'Mardi S2 '!L29+'Mercredi S2 '!L29+'Jeudi S2 '!L29+'Vendredi S2 '!L29+'Samedi S2'!L29</f>
        <v>6</v>
      </c>
      <c r="M29" s="9">
        <f>+'Lundi S2'!M29+'Mardi S2 '!M29+'Mercredi S2 '!M29+'Jeudi S2 '!M29+'Vendredi S2 '!M29+'Samedi S2'!M29</f>
        <v>18</v>
      </c>
      <c r="N29" s="10">
        <f>+'Lundi S2'!N29+'Mardi S2 '!N29+'Mercredi S2 '!N29+'Jeudi S2 '!N29+'Vendredi S2 '!N29+'Samedi S2'!N29</f>
        <v>6</v>
      </c>
      <c r="O29" s="10">
        <f>+'Lundi S2'!O29+'Mardi S2 '!O29+'Mercredi S2 '!O29+'Jeudi S2 '!O29+'Vendredi S2 '!O29+'Samedi S2'!O29</f>
        <v>18</v>
      </c>
      <c r="P29" s="10">
        <f>+'Lundi S2'!P29+'Mardi S2 '!P29+'Mercredi S2 '!P29+'Jeudi S2 '!P29+'Vendredi S2 '!P29+'Samedi S2'!P29</f>
        <v>0</v>
      </c>
      <c r="Q29" s="11">
        <f>+'Lundi S2'!Q29+'Mardi S2 '!Q29+'Mercredi S2 '!Q29+'Jeudi S2 '!Q29+'Vendredi S2 '!Q29+'Samedi S2'!Q29</f>
        <v>0</v>
      </c>
      <c r="R29" s="61">
        <f>+'Lundi S2'!R29+'Mardi S2 '!R29+'Mercredi S2 '!R29+'Jeudi S2 '!R29+'Vendredi S2 '!R29+'Samedi S2'!R29</f>
        <v>3</v>
      </c>
      <c r="S29" s="62">
        <f>+'Lundi S2'!S29+'Mardi S2 '!S29+'Mercredi S2 '!S29+'Jeudi S2 '!S29+'Vendredi S2 '!S29+'Samedi S2'!S29</f>
        <v>0.99999999999999989</v>
      </c>
      <c r="T29" s="62">
        <f>+'Lundi S2'!T29+'Mardi S2 '!T29+'Mercredi S2 '!T29+'Jeudi S2 '!T29+'Vendredi S2 '!T29+'Samedi S2'!T29</f>
        <v>0.6</v>
      </c>
      <c r="U29" s="62">
        <f>+'Lundi S2'!U29+'Mardi S2 '!U29+'Mercredi S2 '!U29+'Jeudi S2 '!U29+'Vendredi S2 '!U29+'Samedi S2'!U29</f>
        <v>3.6</v>
      </c>
      <c r="V29" s="63">
        <f>+'Lundi S2'!V29+'Mardi S2 '!V29+'Mercredi S2 '!V29+'Jeudi S2 '!V29+'Vendredi S2 '!V29+'Samedi S2'!V29</f>
        <v>0.9</v>
      </c>
      <c r="W29" s="9">
        <f>+'Lundi S2'!W29+'Mardi S2 '!W29+'Mercredi S2 '!W29+'Jeudi S2 '!W29+'Vendredi S2 '!W29+'Samedi S2'!W29</f>
        <v>0</v>
      </c>
      <c r="X29" s="10">
        <f>+'Lundi S2'!X29+'Mardi S2 '!X29+'Mercredi S2 '!X29+'Jeudi S2 '!X29+'Vendredi S2 '!X29+'Samedi S2'!X29</f>
        <v>0</v>
      </c>
      <c r="Y29" s="10">
        <f>+'Lundi S2'!Y29+'Mardi S2 '!Y29+'Mercredi S2 '!Y29+'Jeudi S2 '!Y29+'Vendredi S2 '!Y29+'Samedi S2'!Y29</f>
        <v>0</v>
      </c>
      <c r="Z29" s="10">
        <f>+'Lundi S2'!Z29+'Mardi S2 '!Z29+'Mercredi S2 '!Z29+'Jeudi S2 '!Z29+'Vendredi S2 '!Z29+'Samedi S2'!Z29</f>
        <v>0</v>
      </c>
      <c r="AA29" s="11">
        <f>+'Lundi S2'!AA29+'Mardi S2 '!AA29+'Mercredi S2 '!AA29+'Jeudi S2 '!AA29+'Vendredi S2 '!AA29+'Samedi S2'!AA29</f>
        <v>0</v>
      </c>
      <c r="AB29" s="9">
        <f>+'Lundi S2'!AB29+'Mardi S2 '!AB29+'Mercredi S2 '!AB29+'Jeudi S2 '!AB29+'Vendredi S2 '!AB29+'Samedi S2'!AB29</f>
        <v>0</v>
      </c>
      <c r="AC29" s="10">
        <f>+'Lundi S2'!AC29+'Mardi S2 '!AC29+'Mercredi S2 '!AC29+'Jeudi S2 '!AC29+'Vendredi S2 '!AC29+'Samedi S2'!AC29</f>
        <v>0</v>
      </c>
      <c r="AD29" s="10">
        <f>+'Lundi S2'!AD29+'Mardi S2 '!AD29+'Mercredi S2 '!AD29+'Jeudi S2 '!AD29+'Vendredi S2 '!AD29+'Samedi S2'!AD29</f>
        <v>0</v>
      </c>
      <c r="AE29" s="10">
        <f>+'Lundi S2'!AE29+'Mardi S2 '!AE29+'Mercredi S2 '!AE29+'Jeudi S2 '!AE29+'Vendredi S2 '!AE29+'Samedi S2'!AE29</f>
        <v>0</v>
      </c>
      <c r="AF29" s="11">
        <f>+'Lundi S2'!AF29+'Mardi S2 '!AF29+'Mercredi S2 '!AF29+'Jeudi S2 '!AF29+'Vendredi S2 '!AF29+'Samedi S2'!AF29</f>
        <v>0</v>
      </c>
      <c r="AG29" s="9">
        <f>+'Lundi S2'!AG29+'Mardi S2 '!AG29+'Mercredi S2 '!AG29+'Jeudi S2 '!AG29+'Vendredi S2 '!AG29+'Samedi S2'!AG29</f>
        <v>0</v>
      </c>
      <c r="AH29" s="10">
        <f>+'Lundi S2'!AH29+'Mardi S2 '!AH29+'Mercredi S2 '!AH29+'Jeudi S2 '!AH29+'Vendredi S2 '!AH29+'Samedi S2'!AH29</f>
        <v>0</v>
      </c>
      <c r="AI29" s="10">
        <f>+'Lundi S2'!AI29+'Mardi S2 '!AI29+'Mercredi S2 '!AI29+'Jeudi S2 '!AI29+'Vendredi S2 '!AI29+'Samedi S2'!AI29</f>
        <v>0</v>
      </c>
      <c r="AJ29" s="10">
        <f>+'Lundi S2'!AJ29+'Mardi S2 '!AJ29+'Mercredi S2 '!AJ29+'Jeudi S2 '!AJ29+'Vendredi S2 '!AJ29+'Samedi S2'!AJ29</f>
        <v>0</v>
      </c>
      <c r="AK29" s="11">
        <f>+'Lundi S2'!AK29+'Mardi S2 '!AK29+'Mercredi S2 '!AK29+'Jeudi S2 '!AK29+'Vendredi S2 '!AK29+'Samedi S2'!AK29</f>
        <v>0</v>
      </c>
      <c r="AL29" s="9">
        <f>+'Lundi S2'!AL29+'Mardi S2 '!AL29+'Mercredi S2 '!AL29+'Jeudi S2 '!AL29+'Vendredi S2 '!AL29+'Samedi S2'!AL29</f>
        <v>0</v>
      </c>
      <c r="AM29" s="10">
        <f>+'Lundi S2'!AM29+'Mardi S2 '!AM29+'Mercredi S2 '!AM29+'Jeudi S2 '!AM29+'Vendredi S2 '!AM29+'Samedi S2'!AM29</f>
        <v>0</v>
      </c>
      <c r="AN29" s="10">
        <f>+'Lundi S2'!AN29+'Mardi S2 '!AN29+'Mercredi S2 '!AN29+'Jeudi S2 '!AN29+'Vendredi S2 '!AN29+'Samedi S2'!AN29</f>
        <v>0</v>
      </c>
      <c r="AO29" s="10">
        <f>+'Lundi S2'!AO29+'Mardi S2 '!AO29+'Mercredi S2 '!AO29+'Jeudi S2 '!AO29+'Vendredi S2 '!AO29+'Samedi S2'!AO29</f>
        <v>0</v>
      </c>
      <c r="AP29" s="11">
        <f>+'Lundi S2'!AP29+'Mardi S2 '!AP29+'Mercredi S2 '!AP29+'Jeudi S2 '!AP29+'Vendredi S2 '!AP29+'Samedi S2'!AP29</f>
        <v>0</v>
      </c>
      <c r="AQ29" s="9">
        <f>+'Lundi S2'!AQ29+'Mardi S2 '!AQ29+'Mercredi S2 '!AQ29+'Jeudi S2 '!AQ29+'Vendredi S2 '!AQ29+'Samedi S2'!AQ29</f>
        <v>0</v>
      </c>
      <c r="AR29" s="10">
        <f>+'Lundi S2'!AR29+'Mardi S2 '!AR29+'Mercredi S2 '!AR29+'Jeudi S2 '!AR29+'Vendredi S2 '!AR29+'Samedi S2'!AR29</f>
        <v>0</v>
      </c>
      <c r="AS29" s="11">
        <f>+'Lundi S2'!AS29+'Mardi S2 '!AS29+'Mercredi S2 '!AS29+'Jeudi S2 '!AS29+'Vendredi S2 '!AS29+'Samedi S2'!AS29</f>
        <v>0</v>
      </c>
      <c r="AT29" s="22"/>
      <c r="AU29" s="14"/>
    </row>
    <row r="30" spans="1:47" ht="31.9" customHeight="1" x14ac:dyDescent="0.2">
      <c r="A30" s="26">
        <v>24</v>
      </c>
      <c r="B30" s="19"/>
      <c r="C30" s="9">
        <f>+'Lundi S2'!C30+'Mardi S2 '!C30+'Mercredi S2 '!C30+'Jeudi S2 '!C30+'Vendredi S2 '!C30+'Samedi S2'!C30</f>
        <v>90</v>
      </c>
      <c r="D30" s="10">
        <f>+'Lundi S2'!D30+'Mardi S2 '!D30+'Mercredi S2 '!D30+'Jeudi S2 '!D30+'Vendredi S2 '!D30+'Samedi S2'!D30</f>
        <v>18</v>
      </c>
      <c r="E30" s="10">
        <f>+'Lundi S2'!E30+'Mardi S2 '!E30+'Mercredi S2 '!E30+'Jeudi S2 '!E30+'Vendredi S2 '!E30+'Samedi S2'!E30</f>
        <v>30</v>
      </c>
      <c r="F30" s="10">
        <f>+'Lundi S2'!F30+'Mardi S2 '!F30+'Mercredi S2 '!F30+'Jeudi S2 '!F30+'Vendredi S2 '!F30+'Samedi S2'!F30</f>
        <v>12</v>
      </c>
      <c r="G30" s="11">
        <f>+'Lundi S2'!G30+'Mardi S2 '!G30+'Mercredi S2 '!G30+'Jeudi S2 '!G30+'Vendredi S2 '!G30+'Samedi S2'!G30</f>
        <v>30</v>
      </c>
      <c r="H30" s="9">
        <f>+'Lundi S2'!H30+'Mardi S2 '!H30+'Mercredi S2 '!H30+'Jeudi S2 '!H30+'Vendredi S2 '!H30+'Samedi S2'!H30</f>
        <v>18</v>
      </c>
      <c r="I30" s="10">
        <f>+'Lundi S2'!I30+'Mardi S2 '!I30+'Mercredi S2 '!I30+'Jeudi S2 '!I30+'Vendredi S2 '!I30+'Samedi S2'!I30</f>
        <v>6</v>
      </c>
      <c r="J30" s="10">
        <f>+'Lundi S2'!J30+'Mardi S2 '!J30+'Mercredi S2 '!J30+'Jeudi S2 '!J30+'Vendredi S2 '!J30+'Samedi S2'!J30</f>
        <v>6</v>
      </c>
      <c r="K30" s="10">
        <f>+'Lundi S2'!K30+'Mardi S2 '!K30+'Mercredi S2 '!K30+'Jeudi S2 '!K30+'Vendredi S2 '!K30+'Samedi S2'!K30</f>
        <v>6</v>
      </c>
      <c r="L30" s="11">
        <f>+'Lundi S2'!L30+'Mardi S2 '!L30+'Mercredi S2 '!L30+'Jeudi S2 '!L30+'Vendredi S2 '!L30+'Samedi S2'!L30</f>
        <v>6</v>
      </c>
      <c r="M30" s="9">
        <f>+'Lundi S2'!M30+'Mardi S2 '!M30+'Mercredi S2 '!M30+'Jeudi S2 '!M30+'Vendredi S2 '!M30+'Samedi S2'!M30</f>
        <v>18</v>
      </c>
      <c r="N30" s="10">
        <f>+'Lundi S2'!N30+'Mardi S2 '!N30+'Mercredi S2 '!N30+'Jeudi S2 '!N30+'Vendredi S2 '!N30+'Samedi S2'!N30</f>
        <v>6</v>
      </c>
      <c r="O30" s="10">
        <f>+'Lundi S2'!O30+'Mardi S2 '!O30+'Mercredi S2 '!O30+'Jeudi S2 '!O30+'Vendredi S2 '!O30+'Samedi S2'!O30</f>
        <v>18</v>
      </c>
      <c r="P30" s="10">
        <f>+'Lundi S2'!P30+'Mardi S2 '!P30+'Mercredi S2 '!P30+'Jeudi S2 '!P30+'Vendredi S2 '!P30+'Samedi S2'!P30</f>
        <v>0</v>
      </c>
      <c r="Q30" s="11">
        <f>+'Lundi S2'!Q30+'Mardi S2 '!Q30+'Mercredi S2 '!Q30+'Jeudi S2 '!Q30+'Vendredi S2 '!Q30+'Samedi S2'!Q30</f>
        <v>0</v>
      </c>
      <c r="R30" s="61">
        <f>+'Lundi S2'!R30+'Mardi S2 '!R30+'Mercredi S2 '!R30+'Jeudi S2 '!R30+'Vendredi S2 '!R30+'Samedi S2'!R30</f>
        <v>3</v>
      </c>
      <c r="S30" s="62">
        <f>+'Lundi S2'!S30+'Mardi S2 '!S30+'Mercredi S2 '!S30+'Jeudi S2 '!S30+'Vendredi S2 '!S30+'Samedi S2'!S30</f>
        <v>0.99999999999999989</v>
      </c>
      <c r="T30" s="62">
        <f>+'Lundi S2'!T30+'Mardi S2 '!T30+'Mercredi S2 '!T30+'Jeudi S2 '!T30+'Vendredi S2 '!T30+'Samedi S2'!T30</f>
        <v>0.6</v>
      </c>
      <c r="U30" s="62">
        <f>+'Lundi S2'!U30+'Mardi S2 '!U30+'Mercredi S2 '!U30+'Jeudi S2 '!U30+'Vendredi S2 '!U30+'Samedi S2'!U30</f>
        <v>3.6</v>
      </c>
      <c r="V30" s="63">
        <f>+'Lundi S2'!V30+'Mardi S2 '!V30+'Mercredi S2 '!V30+'Jeudi S2 '!V30+'Vendredi S2 '!V30+'Samedi S2'!V30</f>
        <v>0.9</v>
      </c>
      <c r="W30" s="9">
        <f>+'Lundi S2'!W30+'Mardi S2 '!W30+'Mercredi S2 '!W30+'Jeudi S2 '!W30+'Vendredi S2 '!W30+'Samedi S2'!W30</f>
        <v>0</v>
      </c>
      <c r="X30" s="10">
        <f>+'Lundi S2'!X30+'Mardi S2 '!X30+'Mercredi S2 '!X30+'Jeudi S2 '!X30+'Vendredi S2 '!X30+'Samedi S2'!X30</f>
        <v>0</v>
      </c>
      <c r="Y30" s="10">
        <f>+'Lundi S2'!Y30+'Mardi S2 '!Y30+'Mercredi S2 '!Y30+'Jeudi S2 '!Y30+'Vendredi S2 '!Y30+'Samedi S2'!Y30</f>
        <v>0</v>
      </c>
      <c r="Z30" s="10">
        <f>+'Lundi S2'!Z30+'Mardi S2 '!Z30+'Mercredi S2 '!Z30+'Jeudi S2 '!Z30+'Vendredi S2 '!Z30+'Samedi S2'!Z30</f>
        <v>0</v>
      </c>
      <c r="AA30" s="11">
        <f>+'Lundi S2'!AA30+'Mardi S2 '!AA30+'Mercredi S2 '!AA30+'Jeudi S2 '!AA30+'Vendredi S2 '!AA30+'Samedi S2'!AA30</f>
        <v>0</v>
      </c>
      <c r="AB30" s="9">
        <f>+'Lundi S2'!AB30+'Mardi S2 '!AB30+'Mercredi S2 '!AB30+'Jeudi S2 '!AB30+'Vendredi S2 '!AB30+'Samedi S2'!AB30</f>
        <v>0</v>
      </c>
      <c r="AC30" s="10">
        <f>+'Lundi S2'!AC30+'Mardi S2 '!AC30+'Mercredi S2 '!AC30+'Jeudi S2 '!AC30+'Vendredi S2 '!AC30+'Samedi S2'!AC30</f>
        <v>0</v>
      </c>
      <c r="AD30" s="10">
        <f>+'Lundi S2'!AD30+'Mardi S2 '!AD30+'Mercredi S2 '!AD30+'Jeudi S2 '!AD30+'Vendredi S2 '!AD30+'Samedi S2'!AD30</f>
        <v>0</v>
      </c>
      <c r="AE30" s="10">
        <f>+'Lundi S2'!AE30+'Mardi S2 '!AE30+'Mercredi S2 '!AE30+'Jeudi S2 '!AE30+'Vendredi S2 '!AE30+'Samedi S2'!AE30</f>
        <v>0</v>
      </c>
      <c r="AF30" s="11">
        <f>+'Lundi S2'!AF30+'Mardi S2 '!AF30+'Mercredi S2 '!AF30+'Jeudi S2 '!AF30+'Vendredi S2 '!AF30+'Samedi S2'!AF30</f>
        <v>0</v>
      </c>
      <c r="AG30" s="9">
        <f>+'Lundi S2'!AG30+'Mardi S2 '!AG30+'Mercredi S2 '!AG30+'Jeudi S2 '!AG30+'Vendredi S2 '!AG30+'Samedi S2'!AG30</f>
        <v>0</v>
      </c>
      <c r="AH30" s="10">
        <f>+'Lundi S2'!AH30+'Mardi S2 '!AH30+'Mercredi S2 '!AH30+'Jeudi S2 '!AH30+'Vendredi S2 '!AH30+'Samedi S2'!AH30</f>
        <v>0</v>
      </c>
      <c r="AI30" s="10">
        <f>+'Lundi S2'!AI30+'Mardi S2 '!AI30+'Mercredi S2 '!AI30+'Jeudi S2 '!AI30+'Vendredi S2 '!AI30+'Samedi S2'!AI30</f>
        <v>0</v>
      </c>
      <c r="AJ30" s="10">
        <f>+'Lundi S2'!AJ30+'Mardi S2 '!AJ30+'Mercredi S2 '!AJ30+'Jeudi S2 '!AJ30+'Vendredi S2 '!AJ30+'Samedi S2'!AJ30</f>
        <v>0</v>
      </c>
      <c r="AK30" s="11">
        <f>+'Lundi S2'!AK30+'Mardi S2 '!AK30+'Mercredi S2 '!AK30+'Jeudi S2 '!AK30+'Vendredi S2 '!AK30+'Samedi S2'!AK30</f>
        <v>0</v>
      </c>
      <c r="AL30" s="9">
        <f>+'Lundi S2'!AL30+'Mardi S2 '!AL30+'Mercredi S2 '!AL30+'Jeudi S2 '!AL30+'Vendredi S2 '!AL30+'Samedi S2'!AL30</f>
        <v>0</v>
      </c>
      <c r="AM30" s="10">
        <f>+'Lundi S2'!AM30+'Mardi S2 '!AM30+'Mercredi S2 '!AM30+'Jeudi S2 '!AM30+'Vendredi S2 '!AM30+'Samedi S2'!AM30</f>
        <v>0</v>
      </c>
      <c r="AN30" s="10">
        <f>+'Lundi S2'!AN30+'Mardi S2 '!AN30+'Mercredi S2 '!AN30+'Jeudi S2 '!AN30+'Vendredi S2 '!AN30+'Samedi S2'!AN30</f>
        <v>0</v>
      </c>
      <c r="AO30" s="10">
        <f>+'Lundi S2'!AO30+'Mardi S2 '!AO30+'Mercredi S2 '!AO30+'Jeudi S2 '!AO30+'Vendredi S2 '!AO30+'Samedi S2'!AO30</f>
        <v>0</v>
      </c>
      <c r="AP30" s="11">
        <f>+'Lundi S2'!AP30+'Mardi S2 '!AP30+'Mercredi S2 '!AP30+'Jeudi S2 '!AP30+'Vendredi S2 '!AP30+'Samedi S2'!AP30</f>
        <v>0</v>
      </c>
      <c r="AQ30" s="9">
        <f>+'Lundi S2'!AQ30+'Mardi S2 '!AQ30+'Mercredi S2 '!AQ30+'Jeudi S2 '!AQ30+'Vendredi S2 '!AQ30+'Samedi S2'!AQ30</f>
        <v>0</v>
      </c>
      <c r="AR30" s="10">
        <f>+'Lundi S2'!AR30+'Mardi S2 '!AR30+'Mercredi S2 '!AR30+'Jeudi S2 '!AR30+'Vendredi S2 '!AR30+'Samedi S2'!AR30</f>
        <v>0</v>
      </c>
      <c r="AS30" s="11">
        <f>+'Lundi S2'!AS30+'Mardi S2 '!AS30+'Mercredi S2 '!AS30+'Jeudi S2 '!AS30+'Vendredi S2 '!AS30+'Samedi S2'!AS30</f>
        <v>0</v>
      </c>
      <c r="AT30" s="22"/>
      <c r="AU30" s="14"/>
    </row>
    <row r="31" spans="1:47" ht="31.9" customHeight="1" x14ac:dyDescent="0.2">
      <c r="A31" s="26">
        <v>25</v>
      </c>
      <c r="B31" s="19"/>
      <c r="C31" s="9">
        <f>+'Lundi S2'!C31+'Mardi S2 '!C31+'Mercredi S2 '!C31+'Jeudi S2 '!C31+'Vendredi S2 '!C31+'Samedi S2'!C31</f>
        <v>90</v>
      </c>
      <c r="D31" s="10">
        <f>+'Lundi S2'!D31+'Mardi S2 '!D31+'Mercredi S2 '!D31+'Jeudi S2 '!D31+'Vendredi S2 '!D31+'Samedi S2'!D31</f>
        <v>18</v>
      </c>
      <c r="E31" s="10">
        <f>+'Lundi S2'!E31+'Mardi S2 '!E31+'Mercredi S2 '!E31+'Jeudi S2 '!E31+'Vendredi S2 '!E31+'Samedi S2'!E31</f>
        <v>30</v>
      </c>
      <c r="F31" s="10">
        <f>+'Lundi S2'!F31+'Mardi S2 '!F31+'Mercredi S2 '!F31+'Jeudi S2 '!F31+'Vendredi S2 '!F31+'Samedi S2'!F31</f>
        <v>12</v>
      </c>
      <c r="G31" s="11">
        <f>+'Lundi S2'!G31+'Mardi S2 '!G31+'Mercredi S2 '!G31+'Jeudi S2 '!G31+'Vendredi S2 '!G31+'Samedi S2'!G31</f>
        <v>30</v>
      </c>
      <c r="H31" s="9">
        <f>+'Lundi S2'!H31+'Mardi S2 '!H31+'Mercredi S2 '!H31+'Jeudi S2 '!H31+'Vendredi S2 '!H31+'Samedi S2'!H31</f>
        <v>18</v>
      </c>
      <c r="I31" s="10">
        <f>+'Lundi S2'!I31+'Mardi S2 '!I31+'Mercredi S2 '!I31+'Jeudi S2 '!I31+'Vendredi S2 '!I31+'Samedi S2'!I31</f>
        <v>6</v>
      </c>
      <c r="J31" s="10">
        <f>+'Lundi S2'!J31+'Mardi S2 '!J31+'Mercredi S2 '!J31+'Jeudi S2 '!J31+'Vendredi S2 '!J31+'Samedi S2'!J31</f>
        <v>6</v>
      </c>
      <c r="K31" s="10">
        <f>+'Lundi S2'!K31+'Mardi S2 '!K31+'Mercredi S2 '!K31+'Jeudi S2 '!K31+'Vendredi S2 '!K31+'Samedi S2'!K31</f>
        <v>6</v>
      </c>
      <c r="L31" s="11">
        <f>+'Lundi S2'!L31+'Mardi S2 '!L31+'Mercredi S2 '!L31+'Jeudi S2 '!L31+'Vendredi S2 '!L31+'Samedi S2'!L31</f>
        <v>6</v>
      </c>
      <c r="M31" s="9">
        <f>+'Lundi S2'!M31+'Mardi S2 '!M31+'Mercredi S2 '!M31+'Jeudi S2 '!M31+'Vendredi S2 '!M31+'Samedi S2'!M31</f>
        <v>18</v>
      </c>
      <c r="N31" s="10">
        <f>+'Lundi S2'!N31+'Mardi S2 '!N31+'Mercredi S2 '!N31+'Jeudi S2 '!N31+'Vendredi S2 '!N31+'Samedi S2'!N31</f>
        <v>6</v>
      </c>
      <c r="O31" s="10">
        <f>+'Lundi S2'!O31+'Mardi S2 '!O31+'Mercredi S2 '!O31+'Jeudi S2 '!O31+'Vendredi S2 '!O31+'Samedi S2'!O31</f>
        <v>18</v>
      </c>
      <c r="P31" s="10">
        <f>+'Lundi S2'!P31+'Mardi S2 '!P31+'Mercredi S2 '!P31+'Jeudi S2 '!P31+'Vendredi S2 '!P31+'Samedi S2'!P31</f>
        <v>0</v>
      </c>
      <c r="Q31" s="11">
        <f>+'Lundi S2'!Q31+'Mardi S2 '!Q31+'Mercredi S2 '!Q31+'Jeudi S2 '!Q31+'Vendredi S2 '!Q31+'Samedi S2'!Q31</f>
        <v>0</v>
      </c>
      <c r="R31" s="61">
        <f>+'Lundi S2'!R31+'Mardi S2 '!R31+'Mercredi S2 '!R31+'Jeudi S2 '!R31+'Vendredi S2 '!R31+'Samedi S2'!R31</f>
        <v>3</v>
      </c>
      <c r="S31" s="62">
        <f>+'Lundi S2'!S31+'Mardi S2 '!S31+'Mercredi S2 '!S31+'Jeudi S2 '!S31+'Vendredi S2 '!S31+'Samedi S2'!S31</f>
        <v>0.99999999999999989</v>
      </c>
      <c r="T31" s="62">
        <f>+'Lundi S2'!T31+'Mardi S2 '!T31+'Mercredi S2 '!T31+'Jeudi S2 '!T31+'Vendredi S2 '!T31+'Samedi S2'!T31</f>
        <v>0.6</v>
      </c>
      <c r="U31" s="62">
        <f>+'Lundi S2'!U31+'Mardi S2 '!U31+'Mercredi S2 '!U31+'Jeudi S2 '!U31+'Vendredi S2 '!U31+'Samedi S2'!U31</f>
        <v>3.6</v>
      </c>
      <c r="V31" s="63">
        <f>+'Lundi S2'!V31+'Mardi S2 '!V31+'Mercredi S2 '!V31+'Jeudi S2 '!V31+'Vendredi S2 '!V31+'Samedi S2'!V31</f>
        <v>0.9</v>
      </c>
      <c r="W31" s="9">
        <f>+'Lundi S2'!W31+'Mardi S2 '!W31+'Mercredi S2 '!W31+'Jeudi S2 '!W31+'Vendredi S2 '!W31+'Samedi S2'!W31</f>
        <v>0</v>
      </c>
      <c r="X31" s="10">
        <f>+'Lundi S2'!X31+'Mardi S2 '!X31+'Mercredi S2 '!X31+'Jeudi S2 '!X31+'Vendredi S2 '!X31+'Samedi S2'!X31</f>
        <v>0</v>
      </c>
      <c r="Y31" s="10">
        <f>+'Lundi S2'!Y31+'Mardi S2 '!Y31+'Mercredi S2 '!Y31+'Jeudi S2 '!Y31+'Vendredi S2 '!Y31+'Samedi S2'!Y31</f>
        <v>0</v>
      </c>
      <c r="Z31" s="10">
        <f>+'Lundi S2'!Z31+'Mardi S2 '!Z31+'Mercredi S2 '!Z31+'Jeudi S2 '!Z31+'Vendredi S2 '!Z31+'Samedi S2'!Z31</f>
        <v>0</v>
      </c>
      <c r="AA31" s="11">
        <f>+'Lundi S2'!AA31+'Mardi S2 '!AA31+'Mercredi S2 '!AA31+'Jeudi S2 '!AA31+'Vendredi S2 '!AA31+'Samedi S2'!AA31</f>
        <v>0</v>
      </c>
      <c r="AB31" s="9">
        <f>+'Lundi S2'!AB31+'Mardi S2 '!AB31+'Mercredi S2 '!AB31+'Jeudi S2 '!AB31+'Vendredi S2 '!AB31+'Samedi S2'!AB31</f>
        <v>0</v>
      </c>
      <c r="AC31" s="10">
        <f>+'Lundi S2'!AC31+'Mardi S2 '!AC31+'Mercredi S2 '!AC31+'Jeudi S2 '!AC31+'Vendredi S2 '!AC31+'Samedi S2'!AC31</f>
        <v>0</v>
      </c>
      <c r="AD31" s="10">
        <f>+'Lundi S2'!AD31+'Mardi S2 '!AD31+'Mercredi S2 '!AD31+'Jeudi S2 '!AD31+'Vendredi S2 '!AD31+'Samedi S2'!AD31</f>
        <v>0</v>
      </c>
      <c r="AE31" s="10">
        <f>+'Lundi S2'!AE31+'Mardi S2 '!AE31+'Mercredi S2 '!AE31+'Jeudi S2 '!AE31+'Vendredi S2 '!AE31+'Samedi S2'!AE31</f>
        <v>0</v>
      </c>
      <c r="AF31" s="11">
        <f>+'Lundi S2'!AF31+'Mardi S2 '!AF31+'Mercredi S2 '!AF31+'Jeudi S2 '!AF31+'Vendredi S2 '!AF31+'Samedi S2'!AF31</f>
        <v>0</v>
      </c>
      <c r="AG31" s="9">
        <f>+'Lundi S2'!AG31+'Mardi S2 '!AG31+'Mercredi S2 '!AG31+'Jeudi S2 '!AG31+'Vendredi S2 '!AG31+'Samedi S2'!AG31</f>
        <v>0</v>
      </c>
      <c r="AH31" s="10">
        <f>+'Lundi S2'!AH31+'Mardi S2 '!AH31+'Mercredi S2 '!AH31+'Jeudi S2 '!AH31+'Vendredi S2 '!AH31+'Samedi S2'!AH31</f>
        <v>0</v>
      </c>
      <c r="AI31" s="10">
        <f>+'Lundi S2'!AI31+'Mardi S2 '!AI31+'Mercredi S2 '!AI31+'Jeudi S2 '!AI31+'Vendredi S2 '!AI31+'Samedi S2'!AI31</f>
        <v>0</v>
      </c>
      <c r="AJ31" s="10">
        <f>+'Lundi S2'!AJ31+'Mardi S2 '!AJ31+'Mercredi S2 '!AJ31+'Jeudi S2 '!AJ31+'Vendredi S2 '!AJ31+'Samedi S2'!AJ31</f>
        <v>0</v>
      </c>
      <c r="AK31" s="11">
        <f>+'Lundi S2'!AK31+'Mardi S2 '!AK31+'Mercredi S2 '!AK31+'Jeudi S2 '!AK31+'Vendredi S2 '!AK31+'Samedi S2'!AK31</f>
        <v>0</v>
      </c>
      <c r="AL31" s="9">
        <f>+'Lundi S2'!AL31+'Mardi S2 '!AL31+'Mercredi S2 '!AL31+'Jeudi S2 '!AL31+'Vendredi S2 '!AL31+'Samedi S2'!AL31</f>
        <v>0</v>
      </c>
      <c r="AM31" s="10">
        <f>+'Lundi S2'!AM31+'Mardi S2 '!AM31+'Mercredi S2 '!AM31+'Jeudi S2 '!AM31+'Vendredi S2 '!AM31+'Samedi S2'!AM31</f>
        <v>0</v>
      </c>
      <c r="AN31" s="10">
        <f>+'Lundi S2'!AN31+'Mardi S2 '!AN31+'Mercredi S2 '!AN31+'Jeudi S2 '!AN31+'Vendredi S2 '!AN31+'Samedi S2'!AN31</f>
        <v>0</v>
      </c>
      <c r="AO31" s="10">
        <f>+'Lundi S2'!AO31+'Mardi S2 '!AO31+'Mercredi S2 '!AO31+'Jeudi S2 '!AO31+'Vendredi S2 '!AO31+'Samedi S2'!AO31</f>
        <v>0</v>
      </c>
      <c r="AP31" s="11">
        <f>+'Lundi S2'!AP31+'Mardi S2 '!AP31+'Mercredi S2 '!AP31+'Jeudi S2 '!AP31+'Vendredi S2 '!AP31+'Samedi S2'!AP31</f>
        <v>0</v>
      </c>
      <c r="AQ31" s="9">
        <f>+'Lundi S2'!AQ31+'Mardi S2 '!AQ31+'Mercredi S2 '!AQ31+'Jeudi S2 '!AQ31+'Vendredi S2 '!AQ31+'Samedi S2'!AQ31</f>
        <v>0</v>
      </c>
      <c r="AR31" s="10">
        <f>+'Lundi S2'!AR31+'Mardi S2 '!AR31+'Mercredi S2 '!AR31+'Jeudi S2 '!AR31+'Vendredi S2 '!AR31+'Samedi S2'!AR31</f>
        <v>0</v>
      </c>
      <c r="AS31" s="11">
        <f>+'Lundi S2'!AS31+'Mardi S2 '!AS31+'Mercredi S2 '!AS31+'Jeudi S2 '!AS31+'Vendredi S2 '!AS31+'Samedi S2'!AS31</f>
        <v>0</v>
      </c>
      <c r="AT31" s="22"/>
      <c r="AU31" s="14"/>
    </row>
    <row r="32" spans="1:47" ht="31.9" customHeight="1" x14ac:dyDescent="0.2">
      <c r="A32" s="26">
        <v>26</v>
      </c>
      <c r="B32" s="19"/>
      <c r="C32" s="9">
        <f>+'Lundi S2'!C32+'Mardi S2 '!C32+'Mercredi S2 '!C32+'Jeudi S2 '!C32+'Vendredi S2 '!C32+'Samedi S2'!C32</f>
        <v>90</v>
      </c>
      <c r="D32" s="10">
        <f>+'Lundi S2'!D32+'Mardi S2 '!D32+'Mercredi S2 '!D32+'Jeudi S2 '!D32+'Vendredi S2 '!D32+'Samedi S2'!D32</f>
        <v>18</v>
      </c>
      <c r="E32" s="10">
        <f>+'Lundi S2'!E32+'Mardi S2 '!E32+'Mercredi S2 '!E32+'Jeudi S2 '!E32+'Vendredi S2 '!E32+'Samedi S2'!E32</f>
        <v>30</v>
      </c>
      <c r="F32" s="10">
        <f>+'Lundi S2'!F32+'Mardi S2 '!F32+'Mercredi S2 '!F32+'Jeudi S2 '!F32+'Vendredi S2 '!F32+'Samedi S2'!F32</f>
        <v>12</v>
      </c>
      <c r="G32" s="11">
        <f>+'Lundi S2'!G32+'Mardi S2 '!G32+'Mercredi S2 '!G32+'Jeudi S2 '!G32+'Vendredi S2 '!G32+'Samedi S2'!G32</f>
        <v>30</v>
      </c>
      <c r="H32" s="9">
        <f>+'Lundi S2'!H32+'Mardi S2 '!H32+'Mercredi S2 '!H32+'Jeudi S2 '!H32+'Vendredi S2 '!H32+'Samedi S2'!H32</f>
        <v>18</v>
      </c>
      <c r="I32" s="10">
        <f>+'Lundi S2'!I32+'Mardi S2 '!I32+'Mercredi S2 '!I32+'Jeudi S2 '!I32+'Vendredi S2 '!I32+'Samedi S2'!I32</f>
        <v>6</v>
      </c>
      <c r="J32" s="10">
        <f>+'Lundi S2'!J32+'Mardi S2 '!J32+'Mercredi S2 '!J32+'Jeudi S2 '!J32+'Vendredi S2 '!J32+'Samedi S2'!J32</f>
        <v>6</v>
      </c>
      <c r="K32" s="10">
        <f>+'Lundi S2'!K32+'Mardi S2 '!K32+'Mercredi S2 '!K32+'Jeudi S2 '!K32+'Vendredi S2 '!K32+'Samedi S2'!K32</f>
        <v>6</v>
      </c>
      <c r="L32" s="11">
        <f>+'Lundi S2'!L32+'Mardi S2 '!L32+'Mercredi S2 '!L32+'Jeudi S2 '!L32+'Vendredi S2 '!L32+'Samedi S2'!L32</f>
        <v>6</v>
      </c>
      <c r="M32" s="9">
        <f>+'Lundi S2'!M32+'Mardi S2 '!M32+'Mercredi S2 '!M32+'Jeudi S2 '!M32+'Vendredi S2 '!M32+'Samedi S2'!M32</f>
        <v>18</v>
      </c>
      <c r="N32" s="10">
        <f>+'Lundi S2'!N32+'Mardi S2 '!N32+'Mercredi S2 '!N32+'Jeudi S2 '!N32+'Vendredi S2 '!N32+'Samedi S2'!N32</f>
        <v>6</v>
      </c>
      <c r="O32" s="10">
        <f>+'Lundi S2'!O32+'Mardi S2 '!O32+'Mercredi S2 '!O32+'Jeudi S2 '!O32+'Vendredi S2 '!O32+'Samedi S2'!O32</f>
        <v>18</v>
      </c>
      <c r="P32" s="10">
        <f>+'Lundi S2'!P32+'Mardi S2 '!P32+'Mercredi S2 '!P32+'Jeudi S2 '!P32+'Vendredi S2 '!P32+'Samedi S2'!P32</f>
        <v>0</v>
      </c>
      <c r="Q32" s="11">
        <f>+'Lundi S2'!Q32+'Mardi S2 '!Q32+'Mercredi S2 '!Q32+'Jeudi S2 '!Q32+'Vendredi S2 '!Q32+'Samedi S2'!Q32</f>
        <v>0</v>
      </c>
      <c r="R32" s="61">
        <f>+'Lundi S2'!R32+'Mardi S2 '!R32+'Mercredi S2 '!R32+'Jeudi S2 '!R32+'Vendredi S2 '!R32+'Samedi S2'!R32</f>
        <v>3</v>
      </c>
      <c r="S32" s="62">
        <f>+'Lundi S2'!S32+'Mardi S2 '!S32+'Mercredi S2 '!S32+'Jeudi S2 '!S32+'Vendredi S2 '!S32+'Samedi S2'!S32</f>
        <v>0.99999999999999989</v>
      </c>
      <c r="T32" s="62">
        <f>+'Lundi S2'!T32+'Mardi S2 '!T32+'Mercredi S2 '!T32+'Jeudi S2 '!T32+'Vendredi S2 '!T32+'Samedi S2'!T32</f>
        <v>0.6</v>
      </c>
      <c r="U32" s="62">
        <f>+'Lundi S2'!U32+'Mardi S2 '!U32+'Mercredi S2 '!U32+'Jeudi S2 '!U32+'Vendredi S2 '!U32+'Samedi S2'!U32</f>
        <v>3.6</v>
      </c>
      <c r="V32" s="63">
        <f>+'Lundi S2'!V32+'Mardi S2 '!V32+'Mercredi S2 '!V32+'Jeudi S2 '!V32+'Vendredi S2 '!V32+'Samedi S2'!V32</f>
        <v>0.9</v>
      </c>
      <c r="W32" s="9">
        <f>+'Lundi S2'!W32+'Mardi S2 '!W32+'Mercredi S2 '!W32+'Jeudi S2 '!W32+'Vendredi S2 '!W32+'Samedi S2'!W32</f>
        <v>0</v>
      </c>
      <c r="X32" s="10">
        <f>+'Lundi S2'!X32+'Mardi S2 '!X32+'Mercredi S2 '!X32+'Jeudi S2 '!X32+'Vendredi S2 '!X32+'Samedi S2'!X32</f>
        <v>0</v>
      </c>
      <c r="Y32" s="10">
        <f>+'Lundi S2'!Y32+'Mardi S2 '!Y32+'Mercredi S2 '!Y32+'Jeudi S2 '!Y32+'Vendredi S2 '!Y32+'Samedi S2'!Y32</f>
        <v>0</v>
      </c>
      <c r="Z32" s="10">
        <f>+'Lundi S2'!Z32+'Mardi S2 '!Z32+'Mercredi S2 '!Z32+'Jeudi S2 '!Z32+'Vendredi S2 '!Z32+'Samedi S2'!Z32</f>
        <v>0</v>
      </c>
      <c r="AA32" s="11">
        <f>+'Lundi S2'!AA32+'Mardi S2 '!AA32+'Mercredi S2 '!AA32+'Jeudi S2 '!AA32+'Vendredi S2 '!AA32+'Samedi S2'!AA32</f>
        <v>0</v>
      </c>
      <c r="AB32" s="9">
        <f>+'Lundi S2'!AB32+'Mardi S2 '!AB32+'Mercredi S2 '!AB32+'Jeudi S2 '!AB32+'Vendredi S2 '!AB32+'Samedi S2'!AB32</f>
        <v>0</v>
      </c>
      <c r="AC32" s="10">
        <f>+'Lundi S2'!AC32+'Mardi S2 '!AC32+'Mercredi S2 '!AC32+'Jeudi S2 '!AC32+'Vendredi S2 '!AC32+'Samedi S2'!AC32</f>
        <v>0</v>
      </c>
      <c r="AD32" s="10">
        <f>+'Lundi S2'!AD32+'Mardi S2 '!AD32+'Mercredi S2 '!AD32+'Jeudi S2 '!AD32+'Vendredi S2 '!AD32+'Samedi S2'!AD32</f>
        <v>0</v>
      </c>
      <c r="AE32" s="10">
        <f>+'Lundi S2'!AE32+'Mardi S2 '!AE32+'Mercredi S2 '!AE32+'Jeudi S2 '!AE32+'Vendredi S2 '!AE32+'Samedi S2'!AE32</f>
        <v>0</v>
      </c>
      <c r="AF32" s="11">
        <f>+'Lundi S2'!AF32+'Mardi S2 '!AF32+'Mercredi S2 '!AF32+'Jeudi S2 '!AF32+'Vendredi S2 '!AF32+'Samedi S2'!AF32</f>
        <v>0</v>
      </c>
      <c r="AG32" s="9">
        <f>+'Lundi S2'!AG32+'Mardi S2 '!AG32+'Mercredi S2 '!AG32+'Jeudi S2 '!AG32+'Vendredi S2 '!AG32+'Samedi S2'!AG32</f>
        <v>0</v>
      </c>
      <c r="AH32" s="10">
        <f>+'Lundi S2'!AH32+'Mardi S2 '!AH32+'Mercredi S2 '!AH32+'Jeudi S2 '!AH32+'Vendredi S2 '!AH32+'Samedi S2'!AH32</f>
        <v>0</v>
      </c>
      <c r="AI32" s="10">
        <f>+'Lundi S2'!AI32+'Mardi S2 '!AI32+'Mercredi S2 '!AI32+'Jeudi S2 '!AI32+'Vendredi S2 '!AI32+'Samedi S2'!AI32</f>
        <v>0</v>
      </c>
      <c r="AJ32" s="10">
        <f>+'Lundi S2'!AJ32+'Mardi S2 '!AJ32+'Mercredi S2 '!AJ32+'Jeudi S2 '!AJ32+'Vendredi S2 '!AJ32+'Samedi S2'!AJ32</f>
        <v>0</v>
      </c>
      <c r="AK32" s="11">
        <f>+'Lundi S2'!AK32+'Mardi S2 '!AK32+'Mercredi S2 '!AK32+'Jeudi S2 '!AK32+'Vendredi S2 '!AK32+'Samedi S2'!AK32</f>
        <v>0</v>
      </c>
      <c r="AL32" s="9">
        <f>+'Lundi S2'!AL32+'Mardi S2 '!AL32+'Mercredi S2 '!AL32+'Jeudi S2 '!AL32+'Vendredi S2 '!AL32+'Samedi S2'!AL32</f>
        <v>0</v>
      </c>
      <c r="AM32" s="10">
        <f>+'Lundi S2'!AM32+'Mardi S2 '!AM32+'Mercredi S2 '!AM32+'Jeudi S2 '!AM32+'Vendredi S2 '!AM32+'Samedi S2'!AM32</f>
        <v>0</v>
      </c>
      <c r="AN32" s="10">
        <f>+'Lundi S2'!AN32+'Mardi S2 '!AN32+'Mercredi S2 '!AN32+'Jeudi S2 '!AN32+'Vendredi S2 '!AN32+'Samedi S2'!AN32</f>
        <v>0</v>
      </c>
      <c r="AO32" s="10">
        <f>+'Lundi S2'!AO32+'Mardi S2 '!AO32+'Mercredi S2 '!AO32+'Jeudi S2 '!AO32+'Vendredi S2 '!AO32+'Samedi S2'!AO32</f>
        <v>0</v>
      </c>
      <c r="AP32" s="11">
        <f>+'Lundi S2'!AP32+'Mardi S2 '!AP32+'Mercredi S2 '!AP32+'Jeudi S2 '!AP32+'Vendredi S2 '!AP32+'Samedi S2'!AP32</f>
        <v>0</v>
      </c>
      <c r="AQ32" s="9">
        <f>+'Lundi S2'!AQ32+'Mardi S2 '!AQ32+'Mercredi S2 '!AQ32+'Jeudi S2 '!AQ32+'Vendredi S2 '!AQ32+'Samedi S2'!AQ32</f>
        <v>0</v>
      </c>
      <c r="AR32" s="10">
        <f>+'Lundi S2'!AR32+'Mardi S2 '!AR32+'Mercredi S2 '!AR32+'Jeudi S2 '!AR32+'Vendredi S2 '!AR32+'Samedi S2'!AR32</f>
        <v>0</v>
      </c>
      <c r="AS32" s="11">
        <f>+'Lundi S2'!AS32+'Mardi S2 '!AS32+'Mercredi S2 '!AS32+'Jeudi S2 '!AS32+'Vendredi S2 '!AS32+'Samedi S2'!AS32</f>
        <v>0</v>
      </c>
      <c r="AT32" s="22"/>
      <c r="AU32" s="14"/>
    </row>
    <row r="33" spans="1:47" ht="31.9" customHeight="1" x14ac:dyDescent="0.2">
      <c r="A33" s="26">
        <v>27</v>
      </c>
      <c r="B33" s="19"/>
      <c r="C33" s="9">
        <f>+'Lundi S2'!C33+'Mardi S2 '!C33+'Mercredi S2 '!C33+'Jeudi S2 '!C33+'Vendredi S2 '!C33+'Samedi S2'!C33</f>
        <v>90</v>
      </c>
      <c r="D33" s="10">
        <f>+'Lundi S2'!D33+'Mardi S2 '!D33+'Mercredi S2 '!D33+'Jeudi S2 '!D33+'Vendredi S2 '!D33+'Samedi S2'!D33</f>
        <v>18</v>
      </c>
      <c r="E33" s="10">
        <f>+'Lundi S2'!E33+'Mardi S2 '!E33+'Mercredi S2 '!E33+'Jeudi S2 '!E33+'Vendredi S2 '!E33+'Samedi S2'!E33</f>
        <v>30</v>
      </c>
      <c r="F33" s="10">
        <f>+'Lundi S2'!F33+'Mardi S2 '!F33+'Mercredi S2 '!F33+'Jeudi S2 '!F33+'Vendredi S2 '!F33+'Samedi S2'!F33</f>
        <v>12</v>
      </c>
      <c r="G33" s="11">
        <f>+'Lundi S2'!G33+'Mardi S2 '!G33+'Mercredi S2 '!G33+'Jeudi S2 '!G33+'Vendredi S2 '!G33+'Samedi S2'!G33</f>
        <v>30</v>
      </c>
      <c r="H33" s="9">
        <f>+'Lundi S2'!H33+'Mardi S2 '!H33+'Mercredi S2 '!H33+'Jeudi S2 '!H33+'Vendredi S2 '!H33+'Samedi S2'!H33</f>
        <v>18</v>
      </c>
      <c r="I33" s="10">
        <f>+'Lundi S2'!I33+'Mardi S2 '!I33+'Mercredi S2 '!I33+'Jeudi S2 '!I33+'Vendredi S2 '!I33+'Samedi S2'!I33</f>
        <v>6</v>
      </c>
      <c r="J33" s="10">
        <f>+'Lundi S2'!J33+'Mardi S2 '!J33+'Mercredi S2 '!J33+'Jeudi S2 '!J33+'Vendredi S2 '!J33+'Samedi S2'!J33</f>
        <v>6</v>
      </c>
      <c r="K33" s="10">
        <f>+'Lundi S2'!K33+'Mardi S2 '!K33+'Mercredi S2 '!K33+'Jeudi S2 '!K33+'Vendredi S2 '!K33+'Samedi S2'!K33</f>
        <v>6</v>
      </c>
      <c r="L33" s="11">
        <f>+'Lundi S2'!L33+'Mardi S2 '!L33+'Mercredi S2 '!L33+'Jeudi S2 '!L33+'Vendredi S2 '!L33+'Samedi S2'!L33</f>
        <v>6</v>
      </c>
      <c r="M33" s="9">
        <f>+'Lundi S2'!M33+'Mardi S2 '!M33+'Mercredi S2 '!M33+'Jeudi S2 '!M33+'Vendredi S2 '!M33+'Samedi S2'!M33</f>
        <v>18</v>
      </c>
      <c r="N33" s="10">
        <f>+'Lundi S2'!N33+'Mardi S2 '!N33+'Mercredi S2 '!N33+'Jeudi S2 '!N33+'Vendredi S2 '!N33+'Samedi S2'!N33</f>
        <v>6</v>
      </c>
      <c r="O33" s="10">
        <f>+'Lundi S2'!O33+'Mardi S2 '!O33+'Mercredi S2 '!O33+'Jeudi S2 '!O33+'Vendredi S2 '!O33+'Samedi S2'!O33</f>
        <v>18</v>
      </c>
      <c r="P33" s="10">
        <f>+'Lundi S2'!P33+'Mardi S2 '!P33+'Mercredi S2 '!P33+'Jeudi S2 '!P33+'Vendredi S2 '!P33+'Samedi S2'!P33</f>
        <v>0</v>
      </c>
      <c r="Q33" s="11">
        <f>+'Lundi S2'!Q33+'Mardi S2 '!Q33+'Mercredi S2 '!Q33+'Jeudi S2 '!Q33+'Vendredi S2 '!Q33+'Samedi S2'!Q33</f>
        <v>0</v>
      </c>
      <c r="R33" s="61">
        <f>+'Lundi S2'!R33+'Mardi S2 '!R33+'Mercredi S2 '!R33+'Jeudi S2 '!R33+'Vendredi S2 '!R33+'Samedi S2'!R33</f>
        <v>3</v>
      </c>
      <c r="S33" s="62">
        <f>+'Lundi S2'!S33+'Mardi S2 '!S33+'Mercredi S2 '!S33+'Jeudi S2 '!S33+'Vendredi S2 '!S33+'Samedi S2'!S33</f>
        <v>0.99999999999999989</v>
      </c>
      <c r="T33" s="62">
        <f>+'Lundi S2'!T33+'Mardi S2 '!T33+'Mercredi S2 '!T33+'Jeudi S2 '!T33+'Vendredi S2 '!T33+'Samedi S2'!T33</f>
        <v>0.6</v>
      </c>
      <c r="U33" s="62">
        <f>+'Lundi S2'!U33+'Mardi S2 '!U33+'Mercredi S2 '!U33+'Jeudi S2 '!U33+'Vendredi S2 '!U33+'Samedi S2'!U33</f>
        <v>3.6</v>
      </c>
      <c r="V33" s="63">
        <f>+'Lundi S2'!V33+'Mardi S2 '!V33+'Mercredi S2 '!V33+'Jeudi S2 '!V33+'Vendredi S2 '!V33+'Samedi S2'!V33</f>
        <v>0.9</v>
      </c>
      <c r="W33" s="9">
        <f>+'Lundi S2'!W33+'Mardi S2 '!W33+'Mercredi S2 '!W33+'Jeudi S2 '!W33+'Vendredi S2 '!W33+'Samedi S2'!W33</f>
        <v>0</v>
      </c>
      <c r="X33" s="10">
        <f>+'Lundi S2'!X33+'Mardi S2 '!X33+'Mercredi S2 '!X33+'Jeudi S2 '!X33+'Vendredi S2 '!X33+'Samedi S2'!X33</f>
        <v>0</v>
      </c>
      <c r="Y33" s="10">
        <f>+'Lundi S2'!Y33+'Mardi S2 '!Y33+'Mercredi S2 '!Y33+'Jeudi S2 '!Y33+'Vendredi S2 '!Y33+'Samedi S2'!Y33</f>
        <v>0</v>
      </c>
      <c r="Z33" s="10">
        <f>+'Lundi S2'!Z33+'Mardi S2 '!Z33+'Mercredi S2 '!Z33+'Jeudi S2 '!Z33+'Vendredi S2 '!Z33+'Samedi S2'!Z33</f>
        <v>0</v>
      </c>
      <c r="AA33" s="11">
        <f>+'Lundi S2'!AA33+'Mardi S2 '!AA33+'Mercredi S2 '!AA33+'Jeudi S2 '!AA33+'Vendredi S2 '!AA33+'Samedi S2'!AA33</f>
        <v>0</v>
      </c>
      <c r="AB33" s="9">
        <f>+'Lundi S2'!AB33+'Mardi S2 '!AB33+'Mercredi S2 '!AB33+'Jeudi S2 '!AB33+'Vendredi S2 '!AB33+'Samedi S2'!AB33</f>
        <v>0</v>
      </c>
      <c r="AC33" s="10">
        <f>+'Lundi S2'!AC33+'Mardi S2 '!AC33+'Mercredi S2 '!AC33+'Jeudi S2 '!AC33+'Vendredi S2 '!AC33+'Samedi S2'!AC33</f>
        <v>0</v>
      </c>
      <c r="AD33" s="10">
        <f>+'Lundi S2'!AD33+'Mardi S2 '!AD33+'Mercredi S2 '!AD33+'Jeudi S2 '!AD33+'Vendredi S2 '!AD33+'Samedi S2'!AD33</f>
        <v>0</v>
      </c>
      <c r="AE33" s="10">
        <f>+'Lundi S2'!AE33+'Mardi S2 '!AE33+'Mercredi S2 '!AE33+'Jeudi S2 '!AE33+'Vendredi S2 '!AE33+'Samedi S2'!AE33</f>
        <v>0</v>
      </c>
      <c r="AF33" s="11">
        <f>+'Lundi S2'!AF33+'Mardi S2 '!AF33+'Mercredi S2 '!AF33+'Jeudi S2 '!AF33+'Vendredi S2 '!AF33+'Samedi S2'!AF33</f>
        <v>0</v>
      </c>
      <c r="AG33" s="9">
        <f>+'Lundi S2'!AG33+'Mardi S2 '!AG33+'Mercredi S2 '!AG33+'Jeudi S2 '!AG33+'Vendredi S2 '!AG33+'Samedi S2'!AG33</f>
        <v>0</v>
      </c>
      <c r="AH33" s="10">
        <f>+'Lundi S2'!AH33+'Mardi S2 '!AH33+'Mercredi S2 '!AH33+'Jeudi S2 '!AH33+'Vendredi S2 '!AH33+'Samedi S2'!AH33</f>
        <v>0</v>
      </c>
      <c r="AI33" s="10">
        <f>+'Lundi S2'!AI33+'Mardi S2 '!AI33+'Mercredi S2 '!AI33+'Jeudi S2 '!AI33+'Vendredi S2 '!AI33+'Samedi S2'!AI33</f>
        <v>0</v>
      </c>
      <c r="AJ33" s="10">
        <f>+'Lundi S2'!AJ33+'Mardi S2 '!AJ33+'Mercredi S2 '!AJ33+'Jeudi S2 '!AJ33+'Vendredi S2 '!AJ33+'Samedi S2'!AJ33</f>
        <v>0</v>
      </c>
      <c r="AK33" s="11">
        <f>+'Lundi S2'!AK33+'Mardi S2 '!AK33+'Mercredi S2 '!AK33+'Jeudi S2 '!AK33+'Vendredi S2 '!AK33+'Samedi S2'!AK33</f>
        <v>0</v>
      </c>
      <c r="AL33" s="9">
        <f>+'Lundi S2'!AL33+'Mardi S2 '!AL33+'Mercredi S2 '!AL33+'Jeudi S2 '!AL33+'Vendredi S2 '!AL33+'Samedi S2'!AL33</f>
        <v>0</v>
      </c>
      <c r="AM33" s="10">
        <f>+'Lundi S2'!AM33+'Mardi S2 '!AM33+'Mercredi S2 '!AM33+'Jeudi S2 '!AM33+'Vendredi S2 '!AM33+'Samedi S2'!AM33</f>
        <v>0</v>
      </c>
      <c r="AN33" s="10">
        <f>+'Lundi S2'!AN33+'Mardi S2 '!AN33+'Mercredi S2 '!AN33+'Jeudi S2 '!AN33+'Vendredi S2 '!AN33+'Samedi S2'!AN33</f>
        <v>0</v>
      </c>
      <c r="AO33" s="10">
        <f>+'Lundi S2'!AO33+'Mardi S2 '!AO33+'Mercredi S2 '!AO33+'Jeudi S2 '!AO33+'Vendredi S2 '!AO33+'Samedi S2'!AO33</f>
        <v>0</v>
      </c>
      <c r="AP33" s="11">
        <f>+'Lundi S2'!AP33+'Mardi S2 '!AP33+'Mercredi S2 '!AP33+'Jeudi S2 '!AP33+'Vendredi S2 '!AP33+'Samedi S2'!AP33</f>
        <v>0</v>
      </c>
      <c r="AQ33" s="9">
        <f>+'Lundi S2'!AQ33+'Mardi S2 '!AQ33+'Mercredi S2 '!AQ33+'Jeudi S2 '!AQ33+'Vendredi S2 '!AQ33+'Samedi S2'!AQ33</f>
        <v>0</v>
      </c>
      <c r="AR33" s="10">
        <f>+'Lundi S2'!AR33+'Mardi S2 '!AR33+'Mercredi S2 '!AR33+'Jeudi S2 '!AR33+'Vendredi S2 '!AR33+'Samedi S2'!AR33</f>
        <v>0</v>
      </c>
      <c r="AS33" s="11">
        <f>+'Lundi S2'!AS33+'Mardi S2 '!AS33+'Mercredi S2 '!AS33+'Jeudi S2 '!AS33+'Vendredi S2 '!AS33+'Samedi S2'!AS33</f>
        <v>0</v>
      </c>
      <c r="AT33" s="23"/>
      <c r="AU33" s="14"/>
    </row>
    <row r="34" spans="1:47" ht="31.9" customHeight="1" x14ac:dyDescent="0.2">
      <c r="A34" s="26">
        <v>28</v>
      </c>
      <c r="B34" s="19"/>
      <c r="C34" s="9">
        <f>+'Lundi S2'!C34+'Mardi S2 '!C34+'Mercredi S2 '!C34+'Jeudi S2 '!C34+'Vendredi S2 '!C34+'Samedi S2'!C34</f>
        <v>90</v>
      </c>
      <c r="D34" s="10">
        <f>+'Lundi S2'!D34+'Mardi S2 '!D34+'Mercredi S2 '!D34+'Jeudi S2 '!D34+'Vendredi S2 '!D34+'Samedi S2'!D34</f>
        <v>18</v>
      </c>
      <c r="E34" s="10">
        <f>+'Lundi S2'!E34+'Mardi S2 '!E34+'Mercredi S2 '!E34+'Jeudi S2 '!E34+'Vendredi S2 '!E34+'Samedi S2'!E34</f>
        <v>30</v>
      </c>
      <c r="F34" s="10">
        <f>+'Lundi S2'!F34+'Mardi S2 '!F34+'Mercredi S2 '!F34+'Jeudi S2 '!F34+'Vendredi S2 '!F34+'Samedi S2'!F34</f>
        <v>12</v>
      </c>
      <c r="G34" s="11">
        <f>+'Lundi S2'!G34+'Mardi S2 '!G34+'Mercredi S2 '!G34+'Jeudi S2 '!G34+'Vendredi S2 '!G34+'Samedi S2'!G34</f>
        <v>30</v>
      </c>
      <c r="H34" s="9">
        <f>+'Lundi S2'!H34+'Mardi S2 '!H34+'Mercredi S2 '!H34+'Jeudi S2 '!H34+'Vendredi S2 '!H34+'Samedi S2'!H34</f>
        <v>18</v>
      </c>
      <c r="I34" s="10">
        <f>+'Lundi S2'!I34+'Mardi S2 '!I34+'Mercredi S2 '!I34+'Jeudi S2 '!I34+'Vendredi S2 '!I34+'Samedi S2'!I34</f>
        <v>6</v>
      </c>
      <c r="J34" s="10">
        <f>+'Lundi S2'!J34+'Mardi S2 '!J34+'Mercredi S2 '!J34+'Jeudi S2 '!J34+'Vendredi S2 '!J34+'Samedi S2'!J34</f>
        <v>6</v>
      </c>
      <c r="K34" s="10">
        <f>+'Lundi S2'!K34+'Mardi S2 '!K34+'Mercredi S2 '!K34+'Jeudi S2 '!K34+'Vendredi S2 '!K34+'Samedi S2'!K34</f>
        <v>6</v>
      </c>
      <c r="L34" s="11">
        <f>+'Lundi S2'!L34+'Mardi S2 '!L34+'Mercredi S2 '!L34+'Jeudi S2 '!L34+'Vendredi S2 '!L34+'Samedi S2'!L34</f>
        <v>6</v>
      </c>
      <c r="M34" s="9">
        <f>+'Lundi S2'!M34+'Mardi S2 '!M34+'Mercredi S2 '!M34+'Jeudi S2 '!M34+'Vendredi S2 '!M34+'Samedi S2'!M34</f>
        <v>18</v>
      </c>
      <c r="N34" s="10">
        <f>+'Lundi S2'!N34+'Mardi S2 '!N34+'Mercredi S2 '!N34+'Jeudi S2 '!N34+'Vendredi S2 '!N34+'Samedi S2'!N34</f>
        <v>6</v>
      </c>
      <c r="O34" s="10">
        <f>+'Lundi S2'!O34+'Mardi S2 '!O34+'Mercredi S2 '!O34+'Jeudi S2 '!O34+'Vendredi S2 '!O34+'Samedi S2'!O34</f>
        <v>18</v>
      </c>
      <c r="P34" s="10">
        <f>+'Lundi S2'!P34+'Mardi S2 '!P34+'Mercredi S2 '!P34+'Jeudi S2 '!P34+'Vendredi S2 '!P34+'Samedi S2'!P34</f>
        <v>0</v>
      </c>
      <c r="Q34" s="11">
        <f>+'Lundi S2'!Q34+'Mardi S2 '!Q34+'Mercredi S2 '!Q34+'Jeudi S2 '!Q34+'Vendredi S2 '!Q34+'Samedi S2'!Q34</f>
        <v>0</v>
      </c>
      <c r="R34" s="61">
        <f>+'Lundi S2'!R34+'Mardi S2 '!R34+'Mercredi S2 '!R34+'Jeudi S2 '!R34+'Vendredi S2 '!R34+'Samedi S2'!R34</f>
        <v>3</v>
      </c>
      <c r="S34" s="62">
        <f>+'Lundi S2'!S34+'Mardi S2 '!S34+'Mercredi S2 '!S34+'Jeudi S2 '!S34+'Vendredi S2 '!S34+'Samedi S2'!S34</f>
        <v>0.99999999999999989</v>
      </c>
      <c r="T34" s="62">
        <f>+'Lundi S2'!T34+'Mardi S2 '!T34+'Mercredi S2 '!T34+'Jeudi S2 '!T34+'Vendredi S2 '!T34+'Samedi S2'!T34</f>
        <v>0.6</v>
      </c>
      <c r="U34" s="62">
        <f>+'Lundi S2'!U34+'Mardi S2 '!U34+'Mercredi S2 '!U34+'Jeudi S2 '!U34+'Vendredi S2 '!U34+'Samedi S2'!U34</f>
        <v>3.6</v>
      </c>
      <c r="V34" s="63">
        <f>+'Lundi S2'!V34+'Mardi S2 '!V34+'Mercredi S2 '!V34+'Jeudi S2 '!V34+'Vendredi S2 '!V34+'Samedi S2'!V34</f>
        <v>0.9</v>
      </c>
      <c r="W34" s="9">
        <f>+'Lundi S2'!W34+'Mardi S2 '!W34+'Mercredi S2 '!W34+'Jeudi S2 '!W34+'Vendredi S2 '!W34+'Samedi S2'!W34</f>
        <v>0</v>
      </c>
      <c r="X34" s="10">
        <f>+'Lundi S2'!X34+'Mardi S2 '!X34+'Mercredi S2 '!X34+'Jeudi S2 '!X34+'Vendredi S2 '!X34+'Samedi S2'!X34</f>
        <v>0</v>
      </c>
      <c r="Y34" s="10">
        <f>+'Lundi S2'!Y34+'Mardi S2 '!Y34+'Mercredi S2 '!Y34+'Jeudi S2 '!Y34+'Vendredi S2 '!Y34+'Samedi S2'!Y34</f>
        <v>0</v>
      </c>
      <c r="Z34" s="10">
        <f>+'Lundi S2'!Z34+'Mardi S2 '!Z34+'Mercredi S2 '!Z34+'Jeudi S2 '!Z34+'Vendredi S2 '!Z34+'Samedi S2'!Z34</f>
        <v>0</v>
      </c>
      <c r="AA34" s="11">
        <f>+'Lundi S2'!AA34+'Mardi S2 '!AA34+'Mercredi S2 '!AA34+'Jeudi S2 '!AA34+'Vendredi S2 '!AA34+'Samedi S2'!AA34</f>
        <v>0</v>
      </c>
      <c r="AB34" s="9">
        <f>+'Lundi S2'!AB34+'Mardi S2 '!AB34+'Mercredi S2 '!AB34+'Jeudi S2 '!AB34+'Vendredi S2 '!AB34+'Samedi S2'!AB34</f>
        <v>0</v>
      </c>
      <c r="AC34" s="10">
        <f>+'Lundi S2'!AC34+'Mardi S2 '!AC34+'Mercredi S2 '!AC34+'Jeudi S2 '!AC34+'Vendredi S2 '!AC34+'Samedi S2'!AC34</f>
        <v>0</v>
      </c>
      <c r="AD34" s="10">
        <f>+'Lundi S2'!AD34+'Mardi S2 '!AD34+'Mercredi S2 '!AD34+'Jeudi S2 '!AD34+'Vendredi S2 '!AD34+'Samedi S2'!AD34</f>
        <v>0</v>
      </c>
      <c r="AE34" s="10">
        <f>+'Lundi S2'!AE34+'Mardi S2 '!AE34+'Mercredi S2 '!AE34+'Jeudi S2 '!AE34+'Vendredi S2 '!AE34+'Samedi S2'!AE34</f>
        <v>0</v>
      </c>
      <c r="AF34" s="11">
        <f>+'Lundi S2'!AF34+'Mardi S2 '!AF34+'Mercredi S2 '!AF34+'Jeudi S2 '!AF34+'Vendredi S2 '!AF34+'Samedi S2'!AF34</f>
        <v>0</v>
      </c>
      <c r="AG34" s="9">
        <f>+'Lundi S2'!AG34+'Mardi S2 '!AG34+'Mercredi S2 '!AG34+'Jeudi S2 '!AG34+'Vendredi S2 '!AG34+'Samedi S2'!AG34</f>
        <v>0</v>
      </c>
      <c r="AH34" s="10">
        <f>+'Lundi S2'!AH34+'Mardi S2 '!AH34+'Mercredi S2 '!AH34+'Jeudi S2 '!AH34+'Vendredi S2 '!AH34+'Samedi S2'!AH34</f>
        <v>0</v>
      </c>
      <c r="AI34" s="10">
        <f>+'Lundi S2'!AI34+'Mardi S2 '!AI34+'Mercredi S2 '!AI34+'Jeudi S2 '!AI34+'Vendredi S2 '!AI34+'Samedi S2'!AI34</f>
        <v>0</v>
      </c>
      <c r="AJ34" s="10">
        <f>+'Lundi S2'!AJ34+'Mardi S2 '!AJ34+'Mercredi S2 '!AJ34+'Jeudi S2 '!AJ34+'Vendredi S2 '!AJ34+'Samedi S2'!AJ34</f>
        <v>0</v>
      </c>
      <c r="AK34" s="11">
        <f>+'Lundi S2'!AK34+'Mardi S2 '!AK34+'Mercredi S2 '!AK34+'Jeudi S2 '!AK34+'Vendredi S2 '!AK34+'Samedi S2'!AK34</f>
        <v>0</v>
      </c>
      <c r="AL34" s="9">
        <f>+'Lundi S2'!AL34+'Mardi S2 '!AL34+'Mercredi S2 '!AL34+'Jeudi S2 '!AL34+'Vendredi S2 '!AL34+'Samedi S2'!AL34</f>
        <v>0</v>
      </c>
      <c r="AM34" s="10">
        <f>+'Lundi S2'!AM34+'Mardi S2 '!AM34+'Mercredi S2 '!AM34+'Jeudi S2 '!AM34+'Vendredi S2 '!AM34+'Samedi S2'!AM34</f>
        <v>0</v>
      </c>
      <c r="AN34" s="10">
        <f>+'Lundi S2'!AN34+'Mardi S2 '!AN34+'Mercredi S2 '!AN34+'Jeudi S2 '!AN34+'Vendredi S2 '!AN34+'Samedi S2'!AN34</f>
        <v>0</v>
      </c>
      <c r="AO34" s="10">
        <f>+'Lundi S2'!AO34+'Mardi S2 '!AO34+'Mercredi S2 '!AO34+'Jeudi S2 '!AO34+'Vendredi S2 '!AO34+'Samedi S2'!AO34</f>
        <v>0</v>
      </c>
      <c r="AP34" s="11">
        <f>+'Lundi S2'!AP34+'Mardi S2 '!AP34+'Mercredi S2 '!AP34+'Jeudi S2 '!AP34+'Vendredi S2 '!AP34+'Samedi S2'!AP34</f>
        <v>0</v>
      </c>
      <c r="AQ34" s="9">
        <f>+'Lundi S2'!AQ34+'Mardi S2 '!AQ34+'Mercredi S2 '!AQ34+'Jeudi S2 '!AQ34+'Vendredi S2 '!AQ34+'Samedi S2'!AQ34</f>
        <v>0</v>
      </c>
      <c r="AR34" s="10">
        <f>+'Lundi S2'!AR34+'Mardi S2 '!AR34+'Mercredi S2 '!AR34+'Jeudi S2 '!AR34+'Vendredi S2 '!AR34+'Samedi S2'!AR34</f>
        <v>0</v>
      </c>
      <c r="AS34" s="11">
        <f>+'Lundi S2'!AS34+'Mardi S2 '!AS34+'Mercredi S2 '!AS34+'Jeudi S2 '!AS34+'Vendredi S2 '!AS34+'Samedi S2'!AS34</f>
        <v>0</v>
      </c>
      <c r="AT34" s="24"/>
      <c r="AU34" s="13"/>
    </row>
    <row r="35" spans="1:47" ht="31.9" customHeight="1" x14ac:dyDescent="0.2">
      <c r="A35" s="26">
        <v>29</v>
      </c>
      <c r="B35" s="19"/>
      <c r="C35" s="9">
        <f>+'Lundi S2'!C35+'Mardi S2 '!C35+'Mercredi S2 '!C35+'Jeudi S2 '!C35+'Vendredi S2 '!C35+'Samedi S2'!C35</f>
        <v>90</v>
      </c>
      <c r="D35" s="10">
        <f>+'Lundi S2'!D35+'Mardi S2 '!D35+'Mercredi S2 '!D35+'Jeudi S2 '!D35+'Vendredi S2 '!D35+'Samedi S2'!D35</f>
        <v>18</v>
      </c>
      <c r="E35" s="10">
        <f>+'Lundi S2'!E35+'Mardi S2 '!E35+'Mercredi S2 '!E35+'Jeudi S2 '!E35+'Vendredi S2 '!E35+'Samedi S2'!E35</f>
        <v>30</v>
      </c>
      <c r="F35" s="10">
        <f>+'Lundi S2'!F35+'Mardi S2 '!F35+'Mercredi S2 '!F35+'Jeudi S2 '!F35+'Vendredi S2 '!F35+'Samedi S2'!F35</f>
        <v>12</v>
      </c>
      <c r="G35" s="11">
        <f>+'Lundi S2'!G35+'Mardi S2 '!G35+'Mercredi S2 '!G35+'Jeudi S2 '!G35+'Vendredi S2 '!G35+'Samedi S2'!G35</f>
        <v>30</v>
      </c>
      <c r="H35" s="9">
        <f>+'Lundi S2'!H35+'Mardi S2 '!H35+'Mercredi S2 '!H35+'Jeudi S2 '!H35+'Vendredi S2 '!H35+'Samedi S2'!H35</f>
        <v>18</v>
      </c>
      <c r="I35" s="10">
        <f>+'Lundi S2'!I35+'Mardi S2 '!I35+'Mercredi S2 '!I35+'Jeudi S2 '!I35+'Vendredi S2 '!I35+'Samedi S2'!I35</f>
        <v>6</v>
      </c>
      <c r="J35" s="10">
        <f>+'Lundi S2'!J35+'Mardi S2 '!J35+'Mercredi S2 '!J35+'Jeudi S2 '!J35+'Vendredi S2 '!J35+'Samedi S2'!J35</f>
        <v>6</v>
      </c>
      <c r="K35" s="10">
        <f>+'Lundi S2'!K35+'Mardi S2 '!K35+'Mercredi S2 '!K35+'Jeudi S2 '!K35+'Vendredi S2 '!K35+'Samedi S2'!K35</f>
        <v>6</v>
      </c>
      <c r="L35" s="11">
        <f>+'Lundi S2'!L35+'Mardi S2 '!L35+'Mercredi S2 '!L35+'Jeudi S2 '!L35+'Vendredi S2 '!L35+'Samedi S2'!L35</f>
        <v>6</v>
      </c>
      <c r="M35" s="9">
        <f>+'Lundi S2'!M35+'Mardi S2 '!M35+'Mercredi S2 '!M35+'Jeudi S2 '!M35+'Vendredi S2 '!M35+'Samedi S2'!M35</f>
        <v>18</v>
      </c>
      <c r="N35" s="10">
        <f>+'Lundi S2'!N35+'Mardi S2 '!N35+'Mercredi S2 '!N35+'Jeudi S2 '!N35+'Vendredi S2 '!N35+'Samedi S2'!N35</f>
        <v>6</v>
      </c>
      <c r="O35" s="10">
        <f>+'Lundi S2'!O35+'Mardi S2 '!O35+'Mercredi S2 '!O35+'Jeudi S2 '!O35+'Vendredi S2 '!O35+'Samedi S2'!O35</f>
        <v>18</v>
      </c>
      <c r="P35" s="10">
        <f>+'Lundi S2'!P35+'Mardi S2 '!P35+'Mercredi S2 '!P35+'Jeudi S2 '!P35+'Vendredi S2 '!P35+'Samedi S2'!P35</f>
        <v>0</v>
      </c>
      <c r="Q35" s="11">
        <f>+'Lundi S2'!Q35+'Mardi S2 '!Q35+'Mercredi S2 '!Q35+'Jeudi S2 '!Q35+'Vendredi S2 '!Q35+'Samedi S2'!Q35</f>
        <v>0</v>
      </c>
      <c r="R35" s="61">
        <f>+'Lundi S2'!R35+'Mardi S2 '!R35+'Mercredi S2 '!R35+'Jeudi S2 '!R35+'Vendredi S2 '!R35+'Samedi S2'!R35</f>
        <v>3</v>
      </c>
      <c r="S35" s="62">
        <f>+'Lundi S2'!S35+'Mardi S2 '!S35+'Mercredi S2 '!S35+'Jeudi S2 '!S35+'Vendredi S2 '!S35+'Samedi S2'!S35</f>
        <v>0.99999999999999989</v>
      </c>
      <c r="T35" s="62">
        <f>+'Lundi S2'!T35+'Mardi S2 '!T35+'Mercredi S2 '!T35+'Jeudi S2 '!T35+'Vendredi S2 '!T35+'Samedi S2'!T35</f>
        <v>0.6</v>
      </c>
      <c r="U35" s="62">
        <f>+'Lundi S2'!U35+'Mardi S2 '!U35+'Mercredi S2 '!U35+'Jeudi S2 '!U35+'Vendredi S2 '!U35+'Samedi S2'!U35</f>
        <v>3.6</v>
      </c>
      <c r="V35" s="63">
        <f>+'Lundi S2'!V35+'Mardi S2 '!V35+'Mercredi S2 '!V35+'Jeudi S2 '!V35+'Vendredi S2 '!V35+'Samedi S2'!V35</f>
        <v>0.9</v>
      </c>
      <c r="W35" s="9">
        <f>+'Lundi S2'!W35+'Mardi S2 '!W35+'Mercredi S2 '!W35+'Jeudi S2 '!W35+'Vendredi S2 '!W35+'Samedi S2'!W35</f>
        <v>0</v>
      </c>
      <c r="X35" s="10">
        <f>+'Lundi S2'!X35+'Mardi S2 '!X35+'Mercredi S2 '!X35+'Jeudi S2 '!X35+'Vendredi S2 '!X35+'Samedi S2'!X35</f>
        <v>0</v>
      </c>
      <c r="Y35" s="10">
        <f>+'Lundi S2'!Y35+'Mardi S2 '!Y35+'Mercredi S2 '!Y35+'Jeudi S2 '!Y35+'Vendredi S2 '!Y35+'Samedi S2'!Y35</f>
        <v>0</v>
      </c>
      <c r="Z35" s="10">
        <f>+'Lundi S2'!Z35+'Mardi S2 '!Z35+'Mercredi S2 '!Z35+'Jeudi S2 '!Z35+'Vendredi S2 '!Z35+'Samedi S2'!Z35</f>
        <v>0</v>
      </c>
      <c r="AA35" s="11">
        <f>+'Lundi S2'!AA35+'Mardi S2 '!AA35+'Mercredi S2 '!AA35+'Jeudi S2 '!AA35+'Vendredi S2 '!AA35+'Samedi S2'!AA35</f>
        <v>0</v>
      </c>
      <c r="AB35" s="9">
        <f>+'Lundi S2'!AB35+'Mardi S2 '!AB35+'Mercredi S2 '!AB35+'Jeudi S2 '!AB35+'Vendredi S2 '!AB35+'Samedi S2'!AB35</f>
        <v>0</v>
      </c>
      <c r="AC35" s="10">
        <f>+'Lundi S2'!AC35+'Mardi S2 '!AC35+'Mercredi S2 '!AC35+'Jeudi S2 '!AC35+'Vendredi S2 '!AC35+'Samedi S2'!AC35</f>
        <v>0</v>
      </c>
      <c r="AD35" s="10">
        <f>+'Lundi S2'!AD35+'Mardi S2 '!AD35+'Mercredi S2 '!AD35+'Jeudi S2 '!AD35+'Vendredi S2 '!AD35+'Samedi S2'!AD35</f>
        <v>0</v>
      </c>
      <c r="AE35" s="10">
        <f>+'Lundi S2'!AE35+'Mardi S2 '!AE35+'Mercredi S2 '!AE35+'Jeudi S2 '!AE35+'Vendredi S2 '!AE35+'Samedi S2'!AE35</f>
        <v>0</v>
      </c>
      <c r="AF35" s="11">
        <f>+'Lundi S2'!AF35+'Mardi S2 '!AF35+'Mercredi S2 '!AF35+'Jeudi S2 '!AF35+'Vendredi S2 '!AF35+'Samedi S2'!AF35</f>
        <v>0</v>
      </c>
      <c r="AG35" s="9">
        <f>+'Lundi S2'!AG35+'Mardi S2 '!AG35+'Mercredi S2 '!AG35+'Jeudi S2 '!AG35+'Vendredi S2 '!AG35+'Samedi S2'!AG35</f>
        <v>0</v>
      </c>
      <c r="AH35" s="10">
        <f>+'Lundi S2'!AH35+'Mardi S2 '!AH35+'Mercredi S2 '!AH35+'Jeudi S2 '!AH35+'Vendredi S2 '!AH35+'Samedi S2'!AH35</f>
        <v>0</v>
      </c>
      <c r="AI35" s="10">
        <f>+'Lundi S2'!AI35+'Mardi S2 '!AI35+'Mercredi S2 '!AI35+'Jeudi S2 '!AI35+'Vendredi S2 '!AI35+'Samedi S2'!AI35</f>
        <v>0</v>
      </c>
      <c r="AJ35" s="10">
        <f>+'Lundi S2'!AJ35+'Mardi S2 '!AJ35+'Mercredi S2 '!AJ35+'Jeudi S2 '!AJ35+'Vendredi S2 '!AJ35+'Samedi S2'!AJ35</f>
        <v>0</v>
      </c>
      <c r="AK35" s="11">
        <f>+'Lundi S2'!AK35+'Mardi S2 '!AK35+'Mercredi S2 '!AK35+'Jeudi S2 '!AK35+'Vendredi S2 '!AK35+'Samedi S2'!AK35</f>
        <v>0</v>
      </c>
      <c r="AL35" s="9">
        <f>+'Lundi S2'!AL35+'Mardi S2 '!AL35+'Mercredi S2 '!AL35+'Jeudi S2 '!AL35+'Vendredi S2 '!AL35+'Samedi S2'!AL35</f>
        <v>0</v>
      </c>
      <c r="AM35" s="10">
        <f>+'Lundi S2'!AM35+'Mardi S2 '!AM35+'Mercredi S2 '!AM35+'Jeudi S2 '!AM35+'Vendredi S2 '!AM35+'Samedi S2'!AM35</f>
        <v>0</v>
      </c>
      <c r="AN35" s="10">
        <f>+'Lundi S2'!AN35+'Mardi S2 '!AN35+'Mercredi S2 '!AN35+'Jeudi S2 '!AN35+'Vendredi S2 '!AN35+'Samedi S2'!AN35</f>
        <v>0</v>
      </c>
      <c r="AO35" s="10">
        <f>+'Lundi S2'!AO35+'Mardi S2 '!AO35+'Mercredi S2 '!AO35+'Jeudi S2 '!AO35+'Vendredi S2 '!AO35+'Samedi S2'!AO35</f>
        <v>0</v>
      </c>
      <c r="AP35" s="11">
        <f>+'Lundi S2'!AP35+'Mardi S2 '!AP35+'Mercredi S2 '!AP35+'Jeudi S2 '!AP35+'Vendredi S2 '!AP35+'Samedi S2'!AP35</f>
        <v>0</v>
      </c>
      <c r="AQ35" s="9">
        <f>+'Lundi S2'!AQ35+'Mardi S2 '!AQ35+'Mercredi S2 '!AQ35+'Jeudi S2 '!AQ35+'Vendredi S2 '!AQ35+'Samedi S2'!AQ35</f>
        <v>0</v>
      </c>
      <c r="AR35" s="10">
        <f>+'Lundi S2'!AR35+'Mardi S2 '!AR35+'Mercredi S2 '!AR35+'Jeudi S2 '!AR35+'Vendredi S2 '!AR35+'Samedi S2'!AR35</f>
        <v>0</v>
      </c>
      <c r="AS35" s="11">
        <f>+'Lundi S2'!AS35+'Mardi S2 '!AS35+'Mercredi S2 '!AS35+'Jeudi S2 '!AS35+'Vendredi S2 '!AS35+'Samedi S2'!AS35</f>
        <v>0</v>
      </c>
      <c r="AT35" s="24"/>
      <c r="AU35" s="12"/>
    </row>
    <row r="36" spans="1:47" ht="31.9" customHeight="1" thickBot="1" x14ac:dyDescent="0.25">
      <c r="A36" s="27">
        <v>30</v>
      </c>
      <c r="B36" s="28"/>
      <c r="C36" s="29">
        <f>+'Lundi S2'!C36+'Mardi S2 '!C36+'Mercredi S2 '!C36+'Jeudi S2 '!C36+'Vendredi S2 '!C36+'Samedi S2'!C36</f>
        <v>90</v>
      </c>
      <c r="D36" s="30">
        <f>+'Lundi S2'!D36+'Mardi S2 '!D36+'Mercredi S2 '!D36+'Jeudi S2 '!D36+'Vendredi S2 '!D36+'Samedi S2'!D36</f>
        <v>18</v>
      </c>
      <c r="E36" s="30">
        <f>+'Lundi S2'!E36+'Mardi S2 '!E36+'Mercredi S2 '!E36+'Jeudi S2 '!E36+'Vendredi S2 '!E36+'Samedi S2'!E36</f>
        <v>30</v>
      </c>
      <c r="F36" s="30">
        <f>+'Lundi S2'!F36+'Mardi S2 '!F36+'Mercredi S2 '!F36+'Jeudi S2 '!F36+'Vendredi S2 '!F36+'Samedi S2'!F36</f>
        <v>12</v>
      </c>
      <c r="G36" s="31">
        <f>+'Lundi S2'!G36+'Mardi S2 '!G36+'Mercredi S2 '!G36+'Jeudi S2 '!G36+'Vendredi S2 '!G36+'Samedi S2'!G36</f>
        <v>30</v>
      </c>
      <c r="H36" s="29">
        <f>+'Lundi S2'!H36+'Mardi S2 '!H36+'Mercredi S2 '!H36+'Jeudi S2 '!H36+'Vendredi S2 '!H36+'Samedi S2'!H36</f>
        <v>18</v>
      </c>
      <c r="I36" s="30">
        <f>+'Lundi S2'!I36+'Mardi S2 '!I36+'Mercredi S2 '!I36+'Jeudi S2 '!I36+'Vendredi S2 '!I36+'Samedi S2'!I36</f>
        <v>6</v>
      </c>
      <c r="J36" s="30">
        <f>+'Lundi S2'!J36+'Mardi S2 '!J36+'Mercredi S2 '!J36+'Jeudi S2 '!J36+'Vendredi S2 '!J36+'Samedi S2'!J36</f>
        <v>6</v>
      </c>
      <c r="K36" s="30">
        <f>+'Lundi S2'!K36+'Mardi S2 '!K36+'Mercredi S2 '!K36+'Jeudi S2 '!K36+'Vendredi S2 '!K36+'Samedi S2'!K36</f>
        <v>6</v>
      </c>
      <c r="L36" s="31">
        <f>+'Lundi S2'!L36+'Mardi S2 '!L36+'Mercredi S2 '!L36+'Jeudi S2 '!L36+'Vendredi S2 '!L36+'Samedi S2'!L36</f>
        <v>6</v>
      </c>
      <c r="M36" s="29">
        <f>+'Lundi S2'!M36+'Mardi S2 '!M36+'Mercredi S2 '!M36+'Jeudi S2 '!M36+'Vendredi S2 '!M36+'Samedi S2'!M36</f>
        <v>18</v>
      </c>
      <c r="N36" s="30">
        <f>+'Lundi S2'!N36+'Mardi S2 '!N36+'Mercredi S2 '!N36+'Jeudi S2 '!N36+'Vendredi S2 '!N36+'Samedi S2'!N36</f>
        <v>6</v>
      </c>
      <c r="O36" s="30">
        <f>+'Lundi S2'!O36+'Mardi S2 '!O36+'Mercredi S2 '!O36+'Jeudi S2 '!O36+'Vendredi S2 '!O36+'Samedi S2'!O36</f>
        <v>18</v>
      </c>
      <c r="P36" s="30">
        <f>+'Lundi S2'!P36+'Mardi S2 '!P36+'Mercredi S2 '!P36+'Jeudi S2 '!P36+'Vendredi S2 '!P36+'Samedi S2'!P36</f>
        <v>0</v>
      </c>
      <c r="Q36" s="31">
        <f>+'Lundi S2'!Q36+'Mardi S2 '!Q36+'Mercredi S2 '!Q36+'Jeudi S2 '!Q36+'Vendredi S2 '!Q36+'Samedi S2'!Q36</f>
        <v>0</v>
      </c>
      <c r="R36" s="64">
        <f>+'Lundi S2'!R36+'Mardi S2 '!R36+'Mercredi S2 '!R36+'Jeudi S2 '!R36+'Vendredi S2 '!R36+'Samedi S2'!R36</f>
        <v>3</v>
      </c>
      <c r="S36" s="65">
        <f>+'Lundi S2'!S36+'Mardi S2 '!S36+'Mercredi S2 '!S36+'Jeudi S2 '!S36+'Vendredi S2 '!S36+'Samedi S2'!S36</f>
        <v>0.99999999999999989</v>
      </c>
      <c r="T36" s="65">
        <f>+'Lundi S2'!T36+'Mardi S2 '!T36+'Mercredi S2 '!T36+'Jeudi S2 '!T36+'Vendredi S2 '!T36+'Samedi S2'!T36</f>
        <v>0.6</v>
      </c>
      <c r="U36" s="65">
        <f>+'Lundi S2'!U36+'Mardi S2 '!U36+'Mercredi S2 '!U36+'Jeudi S2 '!U36+'Vendredi S2 '!U36+'Samedi S2'!U36</f>
        <v>3.6</v>
      </c>
      <c r="V36" s="66">
        <f>+'Lundi S2'!V36+'Mardi S2 '!V36+'Mercredi S2 '!V36+'Jeudi S2 '!V36+'Vendredi S2 '!V36+'Samedi S2'!V36</f>
        <v>0.9</v>
      </c>
      <c r="W36" s="29">
        <f>+'Lundi S2'!W36+'Mardi S2 '!W36+'Mercredi S2 '!W36+'Jeudi S2 '!W36+'Vendredi S2 '!W36+'Samedi S2'!W36</f>
        <v>0</v>
      </c>
      <c r="X36" s="30">
        <f>+'Lundi S2'!X36+'Mardi S2 '!X36+'Mercredi S2 '!X36+'Jeudi S2 '!X36+'Vendredi S2 '!X36+'Samedi S2'!X36</f>
        <v>0</v>
      </c>
      <c r="Y36" s="30">
        <f>+'Lundi S2'!Y36+'Mardi S2 '!Y36+'Mercredi S2 '!Y36+'Jeudi S2 '!Y36+'Vendredi S2 '!Y36+'Samedi S2'!Y36</f>
        <v>0</v>
      </c>
      <c r="Z36" s="30">
        <f>+'Lundi S2'!Z36+'Mardi S2 '!Z36+'Mercredi S2 '!Z36+'Jeudi S2 '!Z36+'Vendredi S2 '!Z36+'Samedi S2'!Z36</f>
        <v>0</v>
      </c>
      <c r="AA36" s="31">
        <f>+'Lundi S2'!AA36+'Mardi S2 '!AA36+'Mercredi S2 '!AA36+'Jeudi S2 '!AA36+'Vendredi S2 '!AA36+'Samedi S2'!AA36</f>
        <v>0</v>
      </c>
      <c r="AB36" s="29">
        <f>+'Lundi S2'!AB36+'Mardi S2 '!AB36+'Mercredi S2 '!AB36+'Jeudi S2 '!AB36+'Vendredi S2 '!AB36+'Samedi S2'!AB36</f>
        <v>0</v>
      </c>
      <c r="AC36" s="30">
        <f>+'Lundi S2'!AC36+'Mardi S2 '!AC36+'Mercredi S2 '!AC36+'Jeudi S2 '!AC36+'Vendredi S2 '!AC36+'Samedi S2'!AC36</f>
        <v>0</v>
      </c>
      <c r="AD36" s="30">
        <f>+'Lundi S2'!AD36+'Mardi S2 '!AD36+'Mercredi S2 '!AD36+'Jeudi S2 '!AD36+'Vendredi S2 '!AD36+'Samedi S2'!AD36</f>
        <v>0</v>
      </c>
      <c r="AE36" s="30">
        <f>+'Lundi S2'!AE36+'Mardi S2 '!AE36+'Mercredi S2 '!AE36+'Jeudi S2 '!AE36+'Vendredi S2 '!AE36+'Samedi S2'!AE36</f>
        <v>0</v>
      </c>
      <c r="AF36" s="31">
        <f>+'Lundi S2'!AF36+'Mardi S2 '!AF36+'Mercredi S2 '!AF36+'Jeudi S2 '!AF36+'Vendredi S2 '!AF36+'Samedi S2'!AF36</f>
        <v>0</v>
      </c>
      <c r="AG36" s="29">
        <f>+'Lundi S2'!AG36+'Mardi S2 '!AG36+'Mercredi S2 '!AG36+'Jeudi S2 '!AG36+'Vendredi S2 '!AG36+'Samedi S2'!AG36</f>
        <v>0</v>
      </c>
      <c r="AH36" s="30">
        <f>+'Lundi S2'!AH36+'Mardi S2 '!AH36+'Mercredi S2 '!AH36+'Jeudi S2 '!AH36+'Vendredi S2 '!AH36+'Samedi S2'!AH36</f>
        <v>0</v>
      </c>
      <c r="AI36" s="30">
        <f>+'Lundi S2'!AI36+'Mardi S2 '!AI36+'Mercredi S2 '!AI36+'Jeudi S2 '!AI36+'Vendredi S2 '!AI36+'Samedi S2'!AI36</f>
        <v>0</v>
      </c>
      <c r="AJ36" s="30">
        <f>+'Lundi S2'!AJ36+'Mardi S2 '!AJ36+'Mercredi S2 '!AJ36+'Jeudi S2 '!AJ36+'Vendredi S2 '!AJ36+'Samedi S2'!AJ36</f>
        <v>0</v>
      </c>
      <c r="AK36" s="31">
        <f>+'Lundi S2'!AK36+'Mardi S2 '!AK36+'Mercredi S2 '!AK36+'Jeudi S2 '!AK36+'Vendredi S2 '!AK36+'Samedi S2'!AK36</f>
        <v>0</v>
      </c>
      <c r="AL36" s="29">
        <f>+'Lundi S2'!AL36+'Mardi S2 '!AL36+'Mercredi S2 '!AL36+'Jeudi S2 '!AL36+'Vendredi S2 '!AL36+'Samedi S2'!AL36</f>
        <v>0</v>
      </c>
      <c r="AM36" s="30">
        <f>+'Lundi S2'!AM36+'Mardi S2 '!AM36+'Mercredi S2 '!AM36+'Jeudi S2 '!AM36+'Vendredi S2 '!AM36+'Samedi S2'!AM36</f>
        <v>0</v>
      </c>
      <c r="AN36" s="30">
        <f>+'Lundi S2'!AN36+'Mardi S2 '!AN36+'Mercredi S2 '!AN36+'Jeudi S2 '!AN36+'Vendredi S2 '!AN36+'Samedi S2'!AN36</f>
        <v>0</v>
      </c>
      <c r="AO36" s="30">
        <f>+'Lundi S2'!AO36+'Mardi S2 '!AO36+'Mercredi S2 '!AO36+'Jeudi S2 '!AO36+'Vendredi S2 '!AO36+'Samedi S2'!AO36</f>
        <v>0</v>
      </c>
      <c r="AP36" s="31">
        <f>+'Lundi S2'!AP36+'Mardi S2 '!AP36+'Mercredi S2 '!AP36+'Jeudi S2 '!AP36+'Vendredi S2 '!AP36+'Samedi S2'!AP36</f>
        <v>0</v>
      </c>
      <c r="AQ36" s="29">
        <f>+'Lundi S2'!AQ36+'Mardi S2 '!AQ36+'Mercredi S2 '!AQ36+'Jeudi S2 '!AQ36+'Vendredi S2 '!AQ36+'Samedi S2'!AQ36</f>
        <v>0</v>
      </c>
      <c r="AR36" s="30">
        <f>+'Lundi S2'!AR36+'Mardi S2 '!AR36+'Mercredi S2 '!AR36+'Jeudi S2 '!AR36+'Vendredi S2 '!AR36+'Samedi S2'!AR36</f>
        <v>0</v>
      </c>
      <c r="AS36" s="31">
        <f>+'Lundi S2'!AS36+'Mardi S2 '!AS36+'Mercredi S2 '!AS36+'Jeudi S2 '!AS36+'Vendredi S2 '!AS36+'Samedi S2'!AS36</f>
        <v>0</v>
      </c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2700</v>
      </c>
      <c r="D37" s="40">
        <f t="shared" ref="D37:AS37" si="0">SUM(D7:D36)</f>
        <v>540</v>
      </c>
      <c r="E37" s="40">
        <f t="shared" si="0"/>
        <v>900</v>
      </c>
      <c r="F37" s="40">
        <f t="shared" si="0"/>
        <v>360</v>
      </c>
      <c r="G37" s="41">
        <f t="shared" si="0"/>
        <v>900</v>
      </c>
      <c r="H37" s="39">
        <f t="shared" si="0"/>
        <v>540</v>
      </c>
      <c r="I37" s="40">
        <f t="shared" si="0"/>
        <v>180</v>
      </c>
      <c r="J37" s="40">
        <f t="shared" si="0"/>
        <v>180</v>
      </c>
      <c r="K37" s="40">
        <f t="shared" si="0"/>
        <v>180</v>
      </c>
      <c r="L37" s="41">
        <f t="shared" si="0"/>
        <v>180</v>
      </c>
      <c r="M37" s="39">
        <f t="shared" si="0"/>
        <v>540</v>
      </c>
      <c r="N37" s="40">
        <f t="shared" si="0"/>
        <v>180</v>
      </c>
      <c r="O37" s="40">
        <f t="shared" si="0"/>
        <v>540</v>
      </c>
      <c r="P37" s="40">
        <f t="shared" si="0"/>
        <v>0</v>
      </c>
      <c r="Q37" s="41">
        <f t="shared" si="0"/>
        <v>0</v>
      </c>
      <c r="R37" s="39">
        <f>SUM(R7:R36)</f>
        <v>90</v>
      </c>
      <c r="S37" s="40">
        <f t="shared" si="0"/>
        <v>29.999999999999996</v>
      </c>
      <c r="T37" s="40">
        <f t="shared" si="0"/>
        <v>18</v>
      </c>
      <c r="U37" s="40">
        <f t="shared" si="0"/>
        <v>107.99999999999994</v>
      </c>
      <c r="V37" s="41">
        <f t="shared" si="0"/>
        <v>26.999999999999986</v>
      </c>
      <c r="W37" s="39">
        <f t="shared" si="0"/>
        <v>6</v>
      </c>
      <c r="X37" s="40">
        <f t="shared" si="0"/>
        <v>6</v>
      </c>
      <c r="Y37" s="40">
        <f t="shared" si="0"/>
        <v>6</v>
      </c>
      <c r="Z37" s="40">
        <f t="shared" si="0"/>
        <v>6</v>
      </c>
      <c r="AA37" s="41">
        <f t="shared" si="0"/>
        <v>6</v>
      </c>
      <c r="AB37" s="39">
        <f t="shared" si="0"/>
        <v>6</v>
      </c>
      <c r="AC37" s="40">
        <f t="shared" si="0"/>
        <v>6</v>
      </c>
      <c r="AD37" s="40">
        <f t="shared" si="0"/>
        <v>6</v>
      </c>
      <c r="AE37" s="40">
        <f t="shared" si="0"/>
        <v>6</v>
      </c>
      <c r="AF37" s="41">
        <f t="shared" si="0"/>
        <v>6</v>
      </c>
      <c r="AG37" s="39">
        <f t="shared" si="0"/>
        <v>6</v>
      </c>
      <c r="AH37" s="40">
        <f t="shared" si="0"/>
        <v>6</v>
      </c>
      <c r="AI37" s="40">
        <f t="shared" si="0"/>
        <v>6</v>
      </c>
      <c r="AJ37" s="40">
        <f t="shared" si="0"/>
        <v>6</v>
      </c>
      <c r="AK37" s="41">
        <f t="shared" si="0"/>
        <v>6</v>
      </c>
      <c r="AL37" s="39">
        <f t="shared" si="0"/>
        <v>6</v>
      </c>
      <c r="AM37" s="40">
        <f t="shared" si="0"/>
        <v>6</v>
      </c>
      <c r="AN37" s="40">
        <f t="shared" si="0"/>
        <v>6</v>
      </c>
      <c r="AO37" s="40">
        <f t="shared" si="0"/>
        <v>6</v>
      </c>
      <c r="AP37" s="41">
        <f t="shared" si="0"/>
        <v>6</v>
      </c>
      <c r="AQ37" s="39">
        <f t="shared" si="0"/>
        <v>6</v>
      </c>
      <c r="AR37" s="40">
        <f t="shared" si="0"/>
        <v>6</v>
      </c>
      <c r="AS37" s="41">
        <f t="shared" si="0"/>
        <v>6</v>
      </c>
      <c r="AT37" s="25">
        <f t="shared" ref="AT37:AU37" si="1">SUM(AT7:AT36)</f>
        <v>0</v>
      </c>
      <c r="AU37" s="2">
        <f t="shared" si="1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D269-B273-43BF-914B-1CED6F0E92DC}">
  <dimension ref="A2:AU37"/>
  <sheetViews>
    <sheetView zoomScale="56" zoomScaleNormal="56" workbookViewId="0">
      <pane xSplit="2" ySplit="6" topLeftCell="C7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4EE13-1C39-4C64-8F00-3431A526C279}">
  <dimension ref="A2:AU37"/>
  <sheetViews>
    <sheetView zoomScale="56" zoomScaleNormal="56" workbookViewId="0">
      <pane xSplit="2" ySplit="6" topLeftCell="C7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A0BB-1A4E-4BD3-A465-4C97E4D47E07}">
  <dimension ref="A2:AU37"/>
  <sheetViews>
    <sheetView zoomScale="56" zoomScaleNormal="56" workbookViewId="0">
      <pane xSplit="2" ySplit="6" topLeftCell="C7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57F6-5705-48F0-AC17-5F5B10F33CD2}">
  <dimension ref="A2:AU37"/>
  <sheetViews>
    <sheetView zoomScale="56" zoomScaleNormal="56" workbookViewId="0">
      <pane xSplit="2" ySplit="6" topLeftCell="C7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1BB6-B545-4876-A2C4-D26CF711EA0B}">
  <dimension ref="A2:AU37"/>
  <sheetViews>
    <sheetView zoomScale="56" zoomScaleNormal="56" workbookViewId="0">
      <pane xSplit="2" ySplit="6" topLeftCell="C7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ADF8-0C21-46E2-9787-A258CF61AD08}">
  <dimension ref="A2:AU37"/>
  <sheetViews>
    <sheetView zoomScale="56" zoomScaleNormal="56" workbookViewId="0">
      <pane xSplit="2" ySplit="6" topLeftCell="C7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B16C-F2CF-48B1-9867-4A8EE420F657}">
  <dimension ref="A2:AU37"/>
  <sheetViews>
    <sheetView zoomScale="56" zoomScaleNormal="56" workbookViewId="0">
      <pane xSplit="2" ySplit="6" topLeftCell="M34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+'Lundi S3'!C7+'Mardi S3'!C7+'Mercredi S3'!C7+'Jeudi S3'!C7+'Vendredi S3'!C7+'Samedi S3'!C7</f>
        <v>90</v>
      </c>
      <c r="D7" s="7">
        <f>+'Lundi S3'!D7+'Mardi S3'!D7+'Mercredi S3'!D7+'Jeudi S3'!D7+'Vendredi S3'!D7+'Samedi S3'!D7</f>
        <v>18</v>
      </c>
      <c r="E7" s="7">
        <f>+'Lundi S3'!E7+'Mardi S3'!E7+'Mercredi S3'!E7+'Jeudi S3'!E7+'Vendredi S3'!E7+'Samedi S3'!E7</f>
        <v>30</v>
      </c>
      <c r="F7" s="7">
        <f>+'Lundi S3'!F7+'Mardi S3'!F7+'Mercredi S3'!F7+'Jeudi S3'!F7+'Vendredi S3'!F7+'Samedi S3'!F7</f>
        <v>12</v>
      </c>
      <c r="G7" s="8">
        <f>+'Lundi S3'!G7+'Mardi S3'!G7+'Mercredi S3'!G7+'Jeudi S3'!G7+'Vendredi S3'!G7+'Samedi S3'!G7</f>
        <v>30</v>
      </c>
      <c r="H7" s="6">
        <f>+'Lundi S3'!H7+'Mardi S3'!H7+'Mercredi S3'!H7+'Jeudi S3'!H7+'Vendredi S3'!H7+'Samedi S3'!H7</f>
        <v>18</v>
      </c>
      <c r="I7" s="7">
        <f>+'Lundi S3'!I7+'Mardi S3'!I7+'Mercredi S3'!I7+'Jeudi S3'!I7+'Vendredi S3'!I7+'Samedi S3'!I7</f>
        <v>6</v>
      </c>
      <c r="J7" s="7">
        <f>+'Lundi S3'!J7+'Mardi S3'!J7+'Mercredi S3'!J7+'Jeudi S3'!J7+'Vendredi S3'!J7+'Samedi S3'!J7</f>
        <v>6</v>
      </c>
      <c r="K7" s="7">
        <f>+'Lundi S3'!K7+'Mardi S3'!K7+'Mercredi S3'!K7+'Jeudi S3'!K7+'Vendredi S3'!K7+'Samedi S3'!K7</f>
        <v>6</v>
      </c>
      <c r="L7" s="8">
        <f>+'Lundi S3'!L7+'Mardi S3'!L7+'Mercredi S3'!L7+'Jeudi S3'!L7+'Vendredi S3'!L7+'Samedi S3'!L7</f>
        <v>6</v>
      </c>
      <c r="M7" s="6">
        <f>+'Lundi S3'!M7+'Mardi S3'!M7+'Mercredi S3'!M7+'Jeudi S3'!M7+'Vendredi S3'!M7+'Samedi S3'!M7</f>
        <v>18</v>
      </c>
      <c r="N7" s="7">
        <f>+'Lundi S3'!N7+'Mardi S3'!N7+'Mercredi S3'!N7+'Jeudi S3'!N7+'Vendredi S3'!N7+'Samedi S3'!N7</f>
        <v>6</v>
      </c>
      <c r="O7" s="7">
        <f>+'Lundi S3'!O7+'Mardi S3'!O7+'Mercredi S3'!O7+'Jeudi S3'!O7+'Vendredi S3'!O7+'Samedi S3'!O7</f>
        <v>18</v>
      </c>
      <c r="P7" s="7">
        <f>+'Lundi S3'!P7+'Mardi S3'!P7+'Mercredi S3'!P7+'Jeudi S3'!P7+'Vendredi S3'!P7+'Samedi S3'!P7</f>
        <v>0</v>
      </c>
      <c r="Q7" s="8">
        <f>+'Lundi S3'!Q7+'Mardi S3'!Q7+'Mercredi S3'!Q7+'Jeudi S3'!Q7+'Vendredi S3'!Q7+'Samedi S3'!Q7</f>
        <v>0</v>
      </c>
      <c r="R7" s="58">
        <f>+'Lundi S3'!R7+'Mardi S3'!R7+'Mercredi S3'!R7+'Jeudi S3'!R7+'Vendredi S3'!R7+'Samedi S3'!R7</f>
        <v>3</v>
      </c>
      <c r="S7" s="59">
        <f>+'Lundi S3'!S7+'Mardi S3'!S7+'Mercredi S3'!S7+'Jeudi S3'!S7+'Vendredi S3'!S7+'Samedi S3'!S7</f>
        <v>0.99999999999999989</v>
      </c>
      <c r="T7" s="59">
        <f>+'Lundi S3'!T7+'Mardi S3'!T7+'Mercredi S3'!T7+'Jeudi S3'!T7+'Vendredi S3'!T7+'Samedi S3'!T7</f>
        <v>0.6</v>
      </c>
      <c r="U7" s="59">
        <f>+'Lundi S3'!U7+'Mardi S3'!U7+'Mercredi S3'!U7+'Jeudi S3'!U7+'Vendredi S3'!U7+'Samedi S3'!U7</f>
        <v>3.6</v>
      </c>
      <c r="V7" s="60">
        <f>+'Lundi S3'!V7+'Mardi S3'!V7+'Mercredi S3'!V7+'Jeudi S3'!V7+'Vendredi S3'!V7+'Samedi S3'!V7</f>
        <v>0.9</v>
      </c>
      <c r="W7" s="6">
        <f>+'Lundi S3'!W7+'Mardi S3'!W7+'Mercredi S3'!W7+'Jeudi S3'!W7+'Vendredi S3'!W7+'Samedi S3'!W7</f>
        <v>6</v>
      </c>
      <c r="X7" s="7">
        <f>+'Lundi S3'!X7+'Mardi S3'!X7+'Mercredi S3'!X7+'Jeudi S3'!X7+'Vendredi S3'!X7+'Samedi S3'!X7</f>
        <v>6</v>
      </c>
      <c r="Y7" s="7">
        <f>+'Lundi S3'!Y7+'Mardi S3'!Y7+'Mercredi S3'!Y7+'Jeudi S3'!Y7+'Vendredi S3'!Y7+'Samedi S3'!Y7</f>
        <v>6</v>
      </c>
      <c r="Z7" s="7">
        <f>+'Lundi S3'!Z7+'Mardi S3'!Z7+'Mercredi S3'!Z7+'Jeudi S3'!Z7+'Vendredi S3'!Z7+'Samedi S3'!Z7</f>
        <v>6</v>
      </c>
      <c r="AA7" s="8">
        <f>+'Lundi S3'!AA7+'Mardi S3'!AA7+'Mercredi S3'!AA7+'Jeudi S3'!AA7+'Vendredi S3'!AA7+'Samedi S3'!AA7</f>
        <v>6</v>
      </c>
      <c r="AB7" s="6">
        <f>+'Lundi S3'!AB7+'Mardi S3'!AB7+'Mercredi S3'!AB7+'Jeudi S3'!AB7+'Vendredi S3'!AB7+'Samedi S3'!AB7</f>
        <v>6</v>
      </c>
      <c r="AC7" s="7">
        <f>+'Lundi S3'!AC7+'Mardi S3'!AC7+'Mercredi S3'!AC7+'Jeudi S3'!AC7+'Vendredi S3'!AC7+'Samedi S3'!AC7</f>
        <v>6</v>
      </c>
      <c r="AD7" s="7">
        <f>+'Lundi S3'!AD7+'Mardi S3'!AD7+'Mercredi S3'!AD7+'Jeudi S3'!AD7+'Vendredi S3'!AD7+'Samedi S3'!AD7</f>
        <v>6</v>
      </c>
      <c r="AE7" s="7">
        <f>+'Lundi S3'!AE7+'Mardi S3'!AE7+'Mercredi S3'!AE7+'Jeudi S3'!AE7+'Vendredi S3'!AE7+'Samedi S3'!AE7</f>
        <v>6</v>
      </c>
      <c r="AF7" s="8">
        <f>+'Lundi S3'!AF7+'Mardi S3'!AF7+'Mercredi S3'!AF7+'Jeudi S3'!AF7+'Vendredi S3'!AF7+'Samedi S3'!AF7</f>
        <v>6</v>
      </c>
      <c r="AG7" s="6">
        <f>+'Lundi S3'!AG7+'Mardi S3'!AG7+'Mercredi S3'!AG7+'Jeudi S3'!AG7+'Vendredi S3'!AG7+'Samedi S3'!AG7</f>
        <v>6</v>
      </c>
      <c r="AH7" s="7">
        <f>+'Lundi S3'!AH7+'Mardi S3'!AH7+'Mercredi S3'!AH7+'Jeudi S3'!AH7+'Vendredi S3'!AH7+'Samedi S3'!AH7</f>
        <v>6</v>
      </c>
      <c r="AI7" s="7">
        <f>+'Lundi S3'!AI7+'Mardi S3'!AI7+'Mercredi S3'!AI7+'Jeudi S3'!AI7+'Vendredi S3'!AI7+'Samedi S3'!AI7</f>
        <v>6</v>
      </c>
      <c r="AJ7" s="7">
        <f>+'Lundi S3'!AJ7+'Mardi S3'!AJ7+'Mercredi S3'!AJ7+'Jeudi S3'!AJ7+'Vendredi S3'!AJ7+'Samedi S3'!AJ7</f>
        <v>6</v>
      </c>
      <c r="AK7" s="8">
        <f>+'Lundi S3'!AK7+'Mardi S3'!AK7+'Mercredi S3'!AK7+'Jeudi S3'!AK7+'Vendredi S3'!AK7+'Samedi S3'!AK7</f>
        <v>6</v>
      </c>
      <c r="AL7" s="6">
        <f>+'Lundi S3'!AL7+'Mardi S3'!AL7+'Mercredi S3'!AL7+'Jeudi S3'!AL7+'Vendredi S3'!AL7+'Samedi S3'!AL7</f>
        <v>6</v>
      </c>
      <c r="AM7" s="7">
        <f>+'Lundi S3'!AM7+'Mardi S3'!AM7+'Mercredi S3'!AM7+'Jeudi S3'!AM7+'Vendredi S3'!AM7+'Samedi S3'!AM7</f>
        <v>6</v>
      </c>
      <c r="AN7" s="7">
        <f>+'Lundi S3'!AN7+'Mardi S3'!AN7+'Mercredi S3'!AN7+'Jeudi S3'!AN7+'Vendredi S3'!AN7+'Samedi S3'!AN7</f>
        <v>6</v>
      </c>
      <c r="AO7" s="7">
        <f>+'Lundi S3'!AO7+'Mardi S3'!AO7+'Mercredi S3'!AO7+'Jeudi S3'!AO7+'Vendredi S3'!AO7+'Samedi S3'!AO7</f>
        <v>6</v>
      </c>
      <c r="AP7" s="8">
        <f>+'Lundi S3'!AP7+'Mardi S3'!AP7+'Mercredi S3'!AP7+'Jeudi S3'!AP7+'Vendredi S3'!AP7+'Samedi S3'!AP7</f>
        <v>6</v>
      </c>
      <c r="AQ7" s="6">
        <f>+'Lundi S3'!AQ7+'Mardi S3'!AQ7+'Mercredi S3'!AQ7+'Jeudi S3'!AQ7+'Vendredi S3'!AQ7+'Samedi S3'!AQ7</f>
        <v>6</v>
      </c>
      <c r="AR7" s="7">
        <f>+'Lundi S3'!AR7+'Mardi S3'!AR7+'Mercredi S3'!AR7+'Jeudi S3'!AR7+'Vendredi S3'!AR7+'Samedi S3'!AR7</f>
        <v>6</v>
      </c>
      <c r="AS7" s="8">
        <f>+'Lundi S3'!AS7+'Mardi S3'!AS7+'Mercredi S3'!AS7+'Jeudi S3'!AS7+'Vendredi S3'!AS7+'Samedi S3'!AS7</f>
        <v>6</v>
      </c>
      <c r="AT7" s="20"/>
      <c r="AU7" s="15"/>
    </row>
    <row r="8" spans="1:47" ht="31.9" customHeight="1" x14ac:dyDescent="0.2">
      <c r="A8" s="26">
        <v>2</v>
      </c>
      <c r="B8" s="19"/>
      <c r="C8" s="9">
        <f>+'Lundi S3'!C8+'Mardi S3'!C8+'Mercredi S3'!C8+'Jeudi S3'!C8+'Vendredi S3'!C8+'Samedi S3'!C8</f>
        <v>90</v>
      </c>
      <c r="D8" s="10">
        <f>+'Lundi S3'!D8+'Mardi S3'!D8+'Mercredi S3'!D8+'Jeudi S3'!D8+'Vendredi S3'!D8+'Samedi S3'!D8</f>
        <v>18</v>
      </c>
      <c r="E8" s="10">
        <f>+'Lundi S3'!E8+'Mardi S3'!E8+'Mercredi S3'!E8+'Jeudi S3'!E8+'Vendredi S3'!E8+'Samedi S3'!E8</f>
        <v>30</v>
      </c>
      <c r="F8" s="10">
        <f>+'Lundi S3'!F8+'Mardi S3'!F8+'Mercredi S3'!F8+'Jeudi S3'!F8+'Vendredi S3'!F8+'Samedi S3'!F8</f>
        <v>12</v>
      </c>
      <c r="G8" s="11">
        <f>+'Lundi S3'!G8+'Mardi S3'!G8+'Mercredi S3'!G8+'Jeudi S3'!G8+'Vendredi S3'!G8+'Samedi S3'!G8</f>
        <v>30</v>
      </c>
      <c r="H8" s="9">
        <f>+'Lundi S3'!H8+'Mardi S3'!H8+'Mercredi S3'!H8+'Jeudi S3'!H8+'Vendredi S3'!H8+'Samedi S3'!H8</f>
        <v>18</v>
      </c>
      <c r="I8" s="10">
        <f>+'Lundi S3'!I8+'Mardi S3'!I8+'Mercredi S3'!I8+'Jeudi S3'!I8+'Vendredi S3'!I8+'Samedi S3'!I8</f>
        <v>6</v>
      </c>
      <c r="J8" s="10">
        <f>+'Lundi S3'!J8+'Mardi S3'!J8+'Mercredi S3'!J8+'Jeudi S3'!J8+'Vendredi S3'!J8+'Samedi S3'!J8</f>
        <v>6</v>
      </c>
      <c r="K8" s="10">
        <f>+'Lundi S3'!K8+'Mardi S3'!K8+'Mercredi S3'!K8+'Jeudi S3'!K8+'Vendredi S3'!K8+'Samedi S3'!K8</f>
        <v>6</v>
      </c>
      <c r="L8" s="11">
        <f>+'Lundi S3'!L8+'Mardi S3'!L8+'Mercredi S3'!L8+'Jeudi S3'!L8+'Vendredi S3'!L8+'Samedi S3'!L8</f>
        <v>6</v>
      </c>
      <c r="M8" s="9">
        <f>+'Lundi S3'!M8+'Mardi S3'!M8+'Mercredi S3'!M8+'Jeudi S3'!M8+'Vendredi S3'!M8+'Samedi S3'!M8</f>
        <v>18</v>
      </c>
      <c r="N8" s="10">
        <f>+'Lundi S3'!N8+'Mardi S3'!N8+'Mercredi S3'!N8+'Jeudi S3'!N8+'Vendredi S3'!N8+'Samedi S3'!N8</f>
        <v>6</v>
      </c>
      <c r="O8" s="10">
        <f>+'Lundi S3'!O8+'Mardi S3'!O8+'Mercredi S3'!O8+'Jeudi S3'!O8+'Vendredi S3'!O8+'Samedi S3'!O8</f>
        <v>18</v>
      </c>
      <c r="P8" s="10">
        <f>+'Lundi S3'!P8+'Mardi S3'!P8+'Mercredi S3'!P8+'Jeudi S3'!P8+'Vendredi S3'!P8+'Samedi S3'!P8</f>
        <v>0</v>
      </c>
      <c r="Q8" s="11">
        <f>+'Lundi S3'!Q8+'Mardi S3'!Q8+'Mercredi S3'!Q8+'Jeudi S3'!Q8+'Vendredi S3'!Q8+'Samedi S3'!Q8</f>
        <v>0</v>
      </c>
      <c r="R8" s="61">
        <f>+'Lundi S3'!R8+'Mardi S3'!R8+'Mercredi S3'!R8+'Jeudi S3'!R8+'Vendredi S3'!R8+'Samedi S3'!R8</f>
        <v>3</v>
      </c>
      <c r="S8" s="62">
        <f>+'Lundi S3'!S8+'Mardi S3'!S8+'Mercredi S3'!S8+'Jeudi S3'!S8+'Vendredi S3'!S8+'Samedi S3'!S8</f>
        <v>0.99999999999999989</v>
      </c>
      <c r="T8" s="62">
        <f>+'Lundi S3'!T8+'Mardi S3'!T8+'Mercredi S3'!T8+'Jeudi S3'!T8+'Vendredi S3'!T8+'Samedi S3'!T8</f>
        <v>0.6</v>
      </c>
      <c r="U8" s="62">
        <f>+'Lundi S3'!U8+'Mardi S3'!U8+'Mercredi S3'!U8+'Jeudi S3'!U8+'Vendredi S3'!U8+'Samedi S3'!U8</f>
        <v>3.6</v>
      </c>
      <c r="V8" s="63">
        <f>+'Lundi S3'!V8+'Mardi S3'!V8+'Mercredi S3'!V8+'Jeudi S3'!V8+'Vendredi S3'!V8+'Samedi S3'!V8</f>
        <v>0.9</v>
      </c>
      <c r="W8" s="9">
        <f>+'Lundi S3'!W8+'Mardi S3'!W8+'Mercredi S3'!W8+'Jeudi S3'!W8+'Vendredi S3'!W8+'Samedi S3'!W8</f>
        <v>0</v>
      </c>
      <c r="X8" s="10">
        <f>+'Lundi S3'!X8+'Mardi S3'!X8+'Mercredi S3'!X8+'Jeudi S3'!X8+'Vendredi S3'!X8+'Samedi S3'!X8</f>
        <v>0</v>
      </c>
      <c r="Y8" s="10">
        <f>+'Lundi S3'!Y8+'Mardi S3'!Y8+'Mercredi S3'!Y8+'Jeudi S3'!Y8+'Vendredi S3'!Y8+'Samedi S3'!Y8</f>
        <v>0</v>
      </c>
      <c r="Z8" s="10">
        <f>+'Lundi S3'!Z8+'Mardi S3'!Z8+'Mercredi S3'!Z8+'Jeudi S3'!Z8+'Vendredi S3'!Z8+'Samedi S3'!Z8</f>
        <v>0</v>
      </c>
      <c r="AA8" s="11">
        <f>+'Lundi S3'!AA8+'Mardi S3'!AA8+'Mercredi S3'!AA8+'Jeudi S3'!AA8+'Vendredi S3'!AA8+'Samedi S3'!AA8</f>
        <v>0</v>
      </c>
      <c r="AB8" s="9">
        <f>+'Lundi S3'!AB8+'Mardi S3'!AB8+'Mercredi S3'!AB8+'Jeudi S3'!AB8+'Vendredi S3'!AB8+'Samedi S3'!AB8</f>
        <v>0</v>
      </c>
      <c r="AC8" s="10">
        <f>+'Lundi S3'!AC8+'Mardi S3'!AC8+'Mercredi S3'!AC8+'Jeudi S3'!AC8+'Vendredi S3'!AC8+'Samedi S3'!AC8</f>
        <v>0</v>
      </c>
      <c r="AD8" s="10">
        <f>+'Lundi S3'!AD8+'Mardi S3'!AD8+'Mercredi S3'!AD8+'Jeudi S3'!AD8+'Vendredi S3'!AD8+'Samedi S3'!AD8</f>
        <v>0</v>
      </c>
      <c r="AE8" s="10">
        <f>+'Lundi S3'!AE8+'Mardi S3'!AE8+'Mercredi S3'!AE8+'Jeudi S3'!AE8+'Vendredi S3'!AE8+'Samedi S3'!AE8</f>
        <v>0</v>
      </c>
      <c r="AF8" s="11">
        <f>+'Lundi S3'!AF8+'Mardi S3'!AF8+'Mercredi S3'!AF8+'Jeudi S3'!AF8+'Vendredi S3'!AF8+'Samedi S3'!AF8</f>
        <v>0</v>
      </c>
      <c r="AG8" s="9">
        <f>+'Lundi S3'!AG8+'Mardi S3'!AG8+'Mercredi S3'!AG8+'Jeudi S3'!AG8+'Vendredi S3'!AG8+'Samedi S3'!AG8</f>
        <v>0</v>
      </c>
      <c r="AH8" s="10">
        <f>+'Lundi S3'!AH8+'Mardi S3'!AH8+'Mercredi S3'!AH8+'Jeudi S3'!AH8+'Vendredi S3'!AH8+'Samedi S3'!AH8</f>
        <v>0</v>
      </c>
      <c r="AI8" s="10">
        <f>+'Lundi S3'!AI8+'Mardi S3'!AI8+'Mercredi S3'!AI8+'Jeudi S3'!AI8+'Vendredi S3'!AI8+'Samedi S3'!AI8</f>
        <v>0</v>
      </c>
      <c r="AJ8" s="10">
        <f>+'Lundi S3'!AJ8+'Mardi S3'!AJ8+'Mercredi S3'!AJ8+'Jeudi S3'!AJ8+'Vendredi S3'!AJ8+'Samedi S3'!AJ8</f>
        <v>0</v>
      </c>
      <c r="AK8" s="11">
        <f>+'Lundi S3'!AK8+'Mardi S3'!AK8+'Mercredi S3'!AK8+'Jeudi S3'!AK8+'Vendredi S3'!AK8+'Samedi S3'!AK8</f>
        <v>0</v>
      </c>
      <c r="AL8" s="9">
        <f>+'Lundi S3'!AL8+'Mardi S3'!AL8+'Mercredi S3'!AL8+'Jeudi S3'!AL8+'Vendredi S3'!AL8+'Samedi S3'!AL8</f>
        <v>0</v>
      </c>
      <c r="AM8" s="10">
        <f>+'Lundi S3'!AM8+'Mardi S3'!AM8+'Mercredi S3'!AM8+'Jeudi S3'!AM8+'Vendredi S3'!AM8+'Samedi S3'!AM8</f>
        <v>0</v>
      </c>
      <c r="AN8" s="10">
        <f>+'Lundi S3'!AN8+'Mardi S3'!AN8+'Mercredi S3'!AN8+'Jeudi S3'!AN8+'Vendredi S3'!AN8+'Samedi S3'!AN8</f>
        <v>0</v>
      </c>
      <c r="AO8" s="10">
        <f>+'Lundi S3'!AO8+'Mardi S3'!AO8+'Mercredi S3'!AO8+'Jeudi S3'!AO8+'Vendredi S3'!AO8+'Samedi S3'!AO8</f>
        <v>0</v>
      </c>
      <c r="AP8" s="11">
        <f>+'Lundi S3'!AP8+'Mardi S3'!AP8+'Mercredi S3'!AP8+'Jeudi S3'!AP8+'Vendredi S3'!AP8+'Samedi S3'!AP8</f>
        <v>0</v>
      </c>
      <c r="AQ8" s="9">
        <f>+'Lundi S3'!AQ8+'Mardi S3'!AQ8+'Mercredi S3'!AQ8+'Jeudi S3'!AQ8+'Vendredi S3'!AQ8+'Samedi S3'!AQ8</f>
        <v>0</v>
      </c>
      <c r="AR8" s="10">
        <f>+'Lundi S3'!AR8+'Mardi S3'!AR8+'Mercredi S3'!AR8+'Jeudi S3'!AR8+'Vendredi S3'!AR8+'Samedi S3'!AR8</f>
        <v>0</v>
      </c>
      <c r="AS8" s="11">
        <f>+'Lundi S3'!AS8+'Mardi S3'!AS8+'Mercredi S3'!AS8+'Jeudi S3'!AS8+'Vendredi S3'!AS8+'Samedi S3'!AS8</f>
        <v>0</v>
      </c>
      <c r="AT8" s="21"/>
      <c r="AU8" s="14"/>
    </row>
    <row r="9" spans="1:47" ht="31.9" customHeight="1" x14ac:dyDescent="0.2">
      <c r="A9" s="26">
        <v>3</v>
      </c>
      <c r="B9" s="19"/>
      <c r="C9" s="9">
        <f>+'Lundi S3'!C9+'Mardi S3'!C9+'Mercredi S3'!C9+'Jeudi S3'!C9+'Vendredi S3'!C9+'Samedi S3'!C9</f>
        <v>90</v>
      </c>
      <c r="D9" s="10">
        <f>+'Lundi S3'!D9+'Mardi S3'!D9+'Mercredi S3'!D9+'Jeudi S3'!D9+'Vendredi S3'!D9+'Samedi S3'!D9</f>
        <v>18</v>
      </c>
      <c r="E9" s="10">
        <f>+'Lundi S3'!E9+'Mardi S3'!E9+'Mercredi S3'!E9+'Jeudi S3'!E9+'Vendredi S3'!E9+'Samedi S3'!E9</f>
        <v>30</v>
      </c>
      <c r="F9" s="10">
        <f>+'Lundi S3'!F9+'Mardi S3'!F9+'Mercredi S3'!F9+'Jeudi S3'!F9+'Vendredi S3'!F9+'Samedi S3'!F9</f>
        <v>12</v>
      </c>
      <c r="G9" s="11">
        <f>+'Lundi S3'!G9+'Mardi S3'!G9+'Mercredi S3'!G9+'Jeudi S3'!G9+'Vendredi S3'!G9+'Samedi S3'!G9</f>
        <v>30</v>
      </c>
      <c r="H9" s="9">
        <f>+'Lundi S3'!H9+'Mardi S3'!H9+'Mercredi S3'!H9+'Jeudi S3'!H9+'Vendredi S3'!H9+'Samedi S3'!H9</f>
        <v>18</v>
      </c>
      <c r="I9" s="10">
        <f>+'Lundi S3'!I9+'Mardi S3'!I9+'Mercredi S3'!I9+'Jeudi S3'!I9+'Vendredi S3'!I9+'Samedi S3'!I9</f>
        <v>6</v>
      </c>
      <c r="J9" s="10">
        <f>+'Lundi S3'!J9+'Mardi S3'!J9+'Mercredi S3'!J9+'Jeudi S3'!J9+'Vendredi S3'!J9+'Samedi S3'!J9</f>
        <v>6</v>
      </c>
      <c r="K9" s="10">
        <f>+'Lundi S3'!K9+'Mardi S3'!K9+'Mercredi S3'!K9+'Jeudi S3'!K9+'Vendredi S3'!K9+'Samedi S3'!K9</f>
        <v>6</v>
      </c>
      <c r="L9" s="11">
        <f>+'Lundi S3'!L9+'Mardi S3'!L9+'Mercredi S3'!L9+'Jeudi S3'!L9+'Vendredi S3'!L9+'Samedi S3'!L9</f>
        <v>6</v>
      </c>
      <c r="M9" s="9">
        <f>+'Lundi S3'!M9+'Mardi S3'!M9+'Mercredi S3'!M9+'Jeudi S3'!M9+'Vendredi S3'!M9+'Samedi S3'!M9</f>
        <v>18</v>
      </c>
      <c r="N9" s="10">
        <f>+'Lundi S3'!N9+'Mardi S3'!N9+'Mercredi S3'!N9+'Jeudi S3'!N9+'Vendredi S3'!N9+'Samedi S3'!N9</f>
        <v>6</v>
      </c>
      <c r="O9" s="10">
        <f>+'Lundi S3'!O9+'Mardi S3'!O9+'Mercredi S3'!O9+'Jeudi S3'!O9+'Vendredi S3'!O9+'Samedi S3'!O9</f>
        <v>18</v>
      </c>
      <c r="P9" s="10">
        <f>+'Lundi S3'!P9+'Mardi S3'!P9+'Mercredi S3'!P9+'Jeudi S3'!P9+'Vendredi S3'!P9+'Samedi S3'!P9</f>
        <v>0</v>
      </c>
      <c r="Q9" s="11">
        <f>+'Lundi S3'!Q9+'Mardi S3'!Q9+'Mercredi S3'!Q9+'Jeudi S3'!Q9+'Vendredi S3'!Q9+'Samedi S3'!Q9</f>
        <v>0</v>
      </c>
      <c r="R9" s="61">
        <f>+'Lundi S3'!R9+'Mardi S3'!R9+'Mercredi S3'!R9+'Jeudi S3'!R9+'Vendredi S3'!R9+'Samedi S3'!R9</f>
        <v>3</v>
      </c>
      <c r="S9" s="62">
        <f>+'Lundi S3'!S9+'Mardi S3'!S9+'Mercredi S3'!S9+'Jeudi S3'!S9+'Vendredi S3'!S9+'Samedi S3'!S9</f>
        <v>0.99999999999999989</v>
      </c>
      <c r="T9" s="62">
        <f>+'Lundi S3'!T9+'Mardi S3'!T9+'Mercredi S3'!T9+'Jeudi S3'!T9+'Vendredi S3'!T9+'Samedi S3'!T9</f>
        <v>0.6</v>
      </c>
      <c r="U9" s="62">
        <f>+'Lundi S3'!U9+'Mardi S3'!U9+'Mercredi S3'!U9+'Jeudi S3'!U9+'Vendredi S3'!U9+'Samedi S3'!U9</f>
        <v>3.6</v>
      </c>
      <c r="V9" s="63">
        <f>+'Lundi S3'!V9+'Mardi S3'!V9+'Mercredi S3'!V9+'Jeudi S3'!V9+'Vendredi S3'!V9+'Samedi S3'!V9</f>
        <v>0.9</v>
      </c>
      <c r="W9" s="9">
        <f>+'Lundi S3'!W9+'Mardi S3'!W9+'Mercredi S3'!W9+'Jeudi S3'!W9+'Vendredi S3'!W9+'Samedi S3'!W9</f>
        <v>0</v>
      </c>
      <c r="X9" s="10">
        <f>+'Lundi S3'!X9+'Mardi S3'!X9+'Mercredi S3'!X9+'Jeudi S3'!X9+'Vendredi S3'!X9+'Samedi S3'!X9</f>
        <v>0</v>
      </c>
      <c r="Y9" s="10">
        <f>+'Lundi S3'!Y9+'Mardi S3'!Y9+'Mercredi S3'!Y9+'Jeudi S3'!Y9+'Vendredi S3'!Y9+'Samedi S3'!Y9</f>
        <v>0</v>
      </c>
      <c r="Z9" s="10">
        <f>+'Lundi S3'!Z9+'Mardi S3'!Z9+'Mercredi S3'!Z9+'Jeudi S3'!Z9+'Vendredi S3'!Z9+'Samedi S3'!Z9</f>
        <v>0</v>
      </c>
      <c r="AA9" s="11">
        <f>+'Lundi S3'!AA9+'Mardi S3'!AA9+'Mercredi S3'!AA9+'Jeudi S3'!AA9+'Vendredi S3'!AA9+'Samedi S3'!AA9</f>
        <v>0</v>
      </c>
      <c r="AB9" s="9">
        <f>+'Lundi S3'!AB9+'Mardi S3'!AB9+'Mercredi S3'!AB9+'Jeudi S3'!AB9+'Vendredi S3'!AB9+'Samedi S3'!AB9</f>
        <v>0</v>
      </c>
      <c r="AC9" s="10">
        <f>+'Lundi S3'!AC9+'Mardi S3'!AC9+'Mercredi S3'!AC9+'Jeudi S3'!AC9+'Vendredi S3'!AC9+'Samedi S3'!AC9</f>
        <v>0</v>
      </c>
      <c r="AD9" s="10">
        <f>+'Lundi S3'!AD9+'Mardi S3'!AD9+'Mercredi S3'!AD9+'Jeudi S3'!AD9+'Vendredi S3'!AD9+'Samedi S3'!AD9</f>
        <v>0</v>
      </c>
      <c r="AE9" s="10">
        <f>+'Lundi S3'!AE9+'Mardi S3'!AE9+'Mercredi S3'!AE9+'Jeudi S3'!AE9+'Vendredi S3'!AE9+'Samedi S3'!AE9</f>
        <v>0</v>
      </c>
      <c r="AF9" s="11">
        <f>+'Lundi S3'!AF9+'Mardi S3'!AF9+'Mercredi S3'!AF9+'Jeudi S3'!AF9+'Vendredi S3'!AF9+'Samedi S3'!AF9</f>
        <v>0</v>
      </c>
      <c r="AG9" s="9">
        <f>+'Lundi S3'!AG9+'Mardi S3'!AG9+'Mercredi S3'!AG9+'Jeudi S3'!AG9+'Vendredi S3'!AG9+'Samedi S3'!AG9</f>
        <v>0</v>
      </c>
      <c r="AH9" s="10">
        <f>+'Lundi S3'!AH9+'Mardi S3'!AH9+'Mercredi S3'!AH9+'Jeudi S3'!AH9+'Vendredi S3'!AH9+'Samedi S3'!AH9</f>
        <v>0</v>
      </c>
      <c r="AI9" s="10">
        <f>+'Lundi S3'!AI9+'Mardi S3'!AI9+'Mercredi S3'!AI9+'Jeudi S3'!AI9+'Vendredi S3'!AI9+'Samedi S3'!AI9</f>
        <v>0</v>
      </c>
      <c r="AJ9" s="10">
        <f>+'Lundi S3'!AJ9+'Mardi S3'!AJ9+'Mercredi S3'!AJ9+'Jeudi S3'!AJ9+'Vendredi S3'!AJ9+'Samedi S3'!AJ9</f>
        <v>0</v>
      </c>
      <c r="AK9" s="11">
        <f>+'Lundi S3'!AK9+'Mardi S3'!AK9+'Mercredi S3'!AK9+'Jeudi S3'!AK9+'Vendredi S3'!AK9+'Samedi S3'!AK9</f>
        <v>0</v>
      </c>
      <c r="AL9" s="9">
        <f>+'Lundi S3'!AL9+'Mardi S3'!AL9+'Mercredi S3'!AL9+'Jeudi S3'!AL9+'Vendredi S3'!AL9+'Samedi S3'!AL9</f>
        <v>0</v>
      </c>
      <c r="AM9" s="10">
        <f>+'Lundi S3'!AM9+'Mardi S3'!AM9+'Mercredi S3'!AM9+'Jeudi S3'!AM9+'Vendredi S3'!AM9+'Samedi S3'!AM9</f>
        <v>0</v>
      </c>
      <c r="AN9" s="10">
        <f>+'Lundi S3'!AN9+'Mardi S3'!AN9+'Mercredi S3'!AN9+'Jeudi S3'!AN9+'Vendredi S3'!AN9+'Samedi S3'!AN9</f>
        <v>0</v>
      </c>
      <c r="AO9" s="10">
        <f>+'Lundi S3'!AO9+'Mardi S3'!AO9+'Mercredi S3'!AO9+'Jeudi S3'!AO9+'Vendredi S3'!AO9+'Samedi S3'!AO9</f>
        <v>0</v>
      </c>
      <c r="AP9" s="11">
        <f>+'Lundi S3'!AP9+'Mardi S3'!AP9+'Mercredi S3'!AP9+'Jeudi S3'!AP9+'Vendredi S3'!AP9+'Samedi S3'!AP9</f>
        <v>0</v>
      </c>
      <c r="AQ9" s="9">
        <f>+'Lundi S3'!AQ9+'Mardi S3'!AQ9+'Mercredi S3'!AQ9+'Jeudi S3'!AQ9+'Vendredi S3'!AQ9+'Samedi S3'!AQ9</f>
        <v>0</v>
      </c>
      <c r="AR9" s="10">
        <f>+'Lundi S3'!AR9+'Mardi S3'!AR9+'Mercredi S3'!AR9+'Jeudi S3'!AR9+'Vendredi S3'!AR9+'Samedi S3'!AR9</f>
        <v>0</v>
      </c>
      <c r="AS9" s="11">
        <f>+'Lundi S3'!AS9+'Mardi S3'!AS9+'Mercredi S3'!AS9+'Jeudi S3'!AS9+'Vendredi S3'!AS9+'Samedi S3'!AS9</f>
        <v>0</v>
      </c>
      <c r="AT9" s="22"/>
      <c r="AU9" s="14"/>
    </row>
    <row r="10" spans="1:47" ht="31.9" customHeight="1" x14ac:dyDescent="0.2">
      <c r="A10" s="26">
        <v>4</v>
      </c>
      <c r="B10" s="19"/>
      <c r="C10" s="9">
        <f>+'Lundi S3'!C10+'Mardi S3'!C10+'Mercredi S3'!C10+'Jeudi S3'!C10+'Vendredi S3'!C10+'Samedi S3'!C10</f>
        <v>90</v>
      </c>
      <c r="D10" s="10">
        <f>+'Lundi S3'!D10+'Mardi S3'!D10+'Mercredi S3'!D10+'Jeudi S3'!D10+'Vendredi S3'!D10+'Samedi S3'!D10</f>
        <v>18</v>
      </c>
      <c r="E10" s="10">
        <f>+'Lundi S3'!E10+'Mardi S3'!E10+'Mercredi S3'!E10+'Jeudi S3'!E10+'Vendredi S3'!E10+'Samedi S3'!E10</f>
        <v>30</v>
      </c>
      <c r="F10" s="10">
        <f>+'Lundi S3'!F10+'Mardi S3'!F10+'Mercredi S3'!F10+'Jeudi S3'!F10+'Vendredi S3'!F10+'Samedi S3'!F10</f>
        <v>12</v>
      </c>
      <c r="G10" s="11">
        <f>+'Lundi S3'!G10+'Mardi S3'!G10+'Mercredi S3'!G10+'Jeudi S3'!G10+'Vendredi S3'!G10+'Samedi S3'!G10</f>
        <v>30</v>
      </c>
      <c r="H10" s="9">
        <f>+'Lundi S3'!H10+'Mardi S3'!H10+'Mercredi S3'!H10+'Jeudi S3'!H10+'Vendredi S3'!H10+'Samedi S3'!H10</f>
        <v>18</v>
      </c>
      <c r="I10" s="10">
        <f>+'Lundi S3'!I10+'Mardi S3'!I10+'Mercredi S3'!I10+'Jeudi S3'!I10+'Vendredi S3'!I10+'Samedi S3'!I10</f>
        <v>6</v>
      </c>
      <c r="J10" s="10">
        <f>+'Lundi S3'!J10+'Mardi S3'!J10+'Mercredi S3'!J10+'Jeudi S3'!J10+'Vendredi S3'!J10+'Samedi S3'!J10</f>
        <v>6</v>
      </c>
      <c r="K10" s="10">
        <f>+'Lundi S3'!K10+'Mardi S3'!K10+'Mercredi S3'!K10+'Jeudi S3'!K10+'Vendredi S3'!K10+'Samedi S3'!K10</f>
        <v>6</v>
      </c>
      <c r="L10" s="11">
        <f>+'Lundi S3'!L10+'Mardi S3'!L10+'Mercredi S3'!L10+'Jeudi S3'!L10+'Vendredi S3'!L10+'Samedi S3'!L10</f>
        <v>6</v>
      </c>
      <c r="M10" s="9">
        <f>+'Lundi S3'!M10+'Mardi S3'!M10+'Mercredi S3'!M10+'Jeudi S3'!M10+'Vendredi S3'!M10+'Samedi S3'!M10</f>
        <v>18</v>
      </c>
      <c r="N10" s="10">
        <f>+'Lundi S3'!N10+'Mardi S3'!N10+'Mercredi S3'!N10+'Jeudi S3'!N10+'Vendredi S3'!N10+'Samedi S3'!N10</f>
        <v>6</v>
      </c>
      <c r="O10" s="10">
        <f>+'Lundi S3'!O10+'Mardi S3'!O10+'Mercredi S3'!O10+'Jeudi S3'!O10+'Vendredi S3'!O10+'Samedi S3'!O10</f>
        <v>18</v>
      </c>
      <c r="P10" s="10">
        <f>+'Lundi S3'!P10+'Mardi S3'!P10+'Mercredi S3'!P10+'Jeudi S3'!P10+'Vendredi S3'!P10+'Samedi S3'!P10</f>
        <v>0</v>
      </c>
      <c r="Q10" s="11">
        <f>+'Lundi S3'!Q10+'Mardi S3'!Q10+'Mercredi S3'!Q10+'Jeudi S3'!Q10+'Vendredi S3'!Q10+'Samedi S3'!Q10</f>
        <v>0</v>
      </c>
      <c r="R10" s="61">
        <f>+'Lundi S3'!R10+'Mardi S3'!R10+'Mercredi S3'!R10+'Jeudi S3'!R10+'Vendredi S3'!R10+'Samedi S3'!R10</f>
        <v>3</v>
      </c>
      <c r="S10" s="62">
        <f>+'Lundi S3'!S10+'Mardi S3'!S10+'Mercredi S3'!S10+'Jeudi S3'!S10+'Vendredi S3'!S10+'Samedi S3'!S10</f>
        <v>0.99999999999999989</v>
      </c>
      <c r="T10" s="62">
        <f>+'Lundi S3'!T10+'Mardi S3'!T10+'Mercredi S3'!T10+'Jeudi S3'!T10+'Vendredi S3'!T10+'Samedi S3'!T10</f>
        <v>0.6</v>
      </c>
      <c r="U10" s="62">
        <f>+'Lundi S3'!U10+'Mardi S3'!U10+'Mercredi S3'!U10+'Jeudi S3'!U10+'Vendredi S3'!U10+'Samedi S3'!U10</f>
        <v>3.6</v>
      </c>
      <c r="V10" s="63">
        <f>+'Lundi S3'!V10+'Mardi S3'!V10+'Mercredi S3'!V10+'Jeudi S3'!V10+'Vendredi S3'!V10+'Samedi S3'!V10</f>
        <v>0.9</v>
      </c>
      <c r="W10" s="9">
        <f>+'Lundi S3'!W10+'Mardi S3'!W10+'Mercredi S3'!W10+'Jeudi S3'!W10+'Vendredi S3'!W10+'Samedi S3'!W10</f>
        <v>0</v>
      </c>
      <c r="X10" s="10">
        <f>+'Lundi S3'!X10+'Mardi S3'!X10+'Mercredi S3'!X10+'Jeudi S3'!X10+'Vendredi S3'!X10+'Samedi S3'!X10</f>
        <v>0</v>
      </c>
      <c r="Y10" s="10">
        <f>+'Lundi S3'!Y10+'Mardi S3'!Y10+'Mercredi S3'!Y10+'Jeudi S3'!Y10+'Vendredi S3'!Y10+'Samedi S3'!Y10</f>
        <v>0</v>
      </c>
      <c r="Z10" s="10">
        <f>+'Lundi S3'!Z10+'Mardi S3'!Z10+'Mercredi S3'!Z10+'Jeudi S3'!Z10+'Vendredi S3'!Z10+'Samedi S3'!Z10</f>
        <v>0</v>
      </c>
      <c r="AA10" s="11">
        <f>+'Lundi S3'!AA10+'Mardi S3'!AA10+'Mercredi S3'!AA10+'Jeudi S3'!AA10+'Vendredi S3'!AA10+'Samedi S3'!AA10</f>
        <v>0</v>
      </c>
      <c r="AB10" s="9">
        <f>+'Lundi S3'!AB10+'Mardi S3'!AB10+'Mercredi S3'!AB10+'Jeudi S3'!AB10+'Vendredi S3'!AB10+'Samedi S3'!AB10</f>
        <v>0</v>
      </c>
      <c r="AC10" s="10">
        <f>+'Lundi S3'!AC10+'Mardi S3'!AC10+'Mercredi S3'!AC10+'Jeudi S3'!AC10+'Vendredi S3'!AC10+'Samedi S3'!AC10</f>
        <v>0</v>
      </c>
      <c r="AD10" s="10">
        <f>+'Lundi S3'!AD10+'Mardi S3'!AD10+'Mercredi S3'!AD10+'Jeudi S3'!AD10+'Vendredi S3'!AD10+'Samedi S3'!AD10</f>
        <v>0</v>
      </c>
      <c r="AE10" s="10">
        <f>+'Lundi S3'!AE10+'Mardi S3'!AE10+'Mercredi S3'!AE10+'Jeudi S3'!AE10+'Vendredi S3'!AE10+'Samedi S3'!AE10</f>
        <v>0</v>
      </c>
      <c r="AF10" s="11">
        <f>+'Lundi S3'!AF10+'Mardi S3'!AF10+'Mercredi S3'!AF10+'Jeudi S3'!AF10+'Vendredi S3'!AF10+'Samedi S3'!AF10</f>
        <v>0</v>
      </c>
      <c r="AG10" s="9">
        <f>+'Lundi S3'!AG10+'Mardi S3'!AG10+'Mercredi S3'!AG10+'Jeudi S3'!AG10+'Vendredi S3'!AG10+'Samedi S3'!AG10</f>
        <v>0</v>
      </c>
      <c r="AH10" s="10">
        <f>+'Lundi S3'!AH10+'Mardi S3'!AH10+'Mercredi S3'!AH10+'Jeudi S3'!AH10+'Vendredi S3'!AH10+'Samedi S3'!AH10</f>
        <v>0</v>
      </c>
      <c r="AI10" s="10">
        <f>+'Lundi S3'!AI10+'Mardi S3'!AI10+'Mercredi S3'!AI10+'Jeudi S3'!AI10+'Vendredi S3'!AI10+'Samedi S3'!AI10</f>
        <v>0</v>
      </c>
      <c r="AJ10" s="10">
        <f>+'Lundi S3'!AJ10+'Mardi S3'!AJ10+'Mercredi S3'!AJ10+'Jeudi S3'!AJ10+'Vendredi S3'!AJ10+'Samedi S3'!AJ10</f>
        <v>0</v>
      </c>
      <c r="AK10" s="11">
        <f>+'Lundi S3'!AK10+'Mardi S3'!AK10+'Mercredi S3'!AK10+'Jeudi S3'!AK10+'Vendredi S3'!AK10+'Samedi S3'!AK10</f>
        <v>0</v>
      </c>
      <c r="AL10" s="9">
        <f>+'Lundi S3'!AL10+'Mardi S3'!AL10+'Mercredi S3'!AL10+'Jeudi S3'!AL10+'Vendredi S3'!AL10+'Samedi S3'!AL10</f>
        <v>0</v>
      </c>
      <c r="AM10" s="10">
        <f>+'Lundi S3'!AM10+'Mardi S3'!AM10+'Mercredi S3'!AM10+'Jeudi S3'!AM10+'Vendredi S3'!AM10+'Samedi S3'!AM10</f>
        <v>0</v>
      </c>
      <c r="AN10" s="10">
        <f>+'Lundi S3'!AN10+'Mardi S3'!AN10+'Mercredi S3'!AN10+'Jeudi S3'!AN10+'Vendredi S3'!AN10+'Samedi S3'!AN10</f>
        <v>0</v>
      </c>
      <c r="AO10" s="10">
        <f>+'Lundi S3'!AO10+'Mardi S3'!AO10+'Mercredi S3'!AO10+'Jeudi S3'!AO10+'Vendredi S3'!AO10+'Samedi S3'!AO10</f>
        <v>0</v>
      </c>
      <c r="AP10" s="11">
        <f>+'Lundi S3'!AP10+'Mardi S3'!AP10+'Mercredi S3'!AP10+'Jeudi S3'!AP10+'Vendredi S3'!AP10+'Samedi S3'!AP10</f>
        <v>0</v>
      </c>
      <c r="AQ10" s="9">
        <f>+'Lundi S3'!AQ10+'Mardi S3'!AQ10+'Mercredi S3'!AQ10+'Jeudi S3'!AQ10+'Vendredi S3'!AQ10+'Samedi S3'!AQ10</f>
        <v>0</v>
      </c>
      <c r="AR10" s="10">
        <f>+'Lundi S3'!AR10+'Mardi S3'!AR10+'Mercredi S3'!AR10+'Jeudi S3'!AR10+'Vendredi S3'!AR10+'Samedi S3'!AR10</f>
        <v>0</v>
      </c>
      <c r="AS10" s="11">
        <f>+'Lundi S3'!AS10+'Mardi S3'!AS10+'Mercredi S3'!AS10+'Jeudi S3'!AS10+'Vendredi S3'!AS10+'Samedi S3'!AS10</f>
        <v>0</v>
      </c>
      <c r="AT10" s="22"/>
      <c r="AU10" s="14"/>
    </row>
    <row r="11" spans="1:47" ht="31.9" customHeight="1" x14ac:dyDescent="0.2">
      <c r="A11" s="26">
        <v>5</v>
      </c>
      <c r="B11" s="19"/>
      <c r="C11" s="9">
        <f>+'Lundi S3'!C11+'Mardi S3'!C11+'Mercredi S3'!C11+'Jeudi S3'!C11+'Vendredi S3'!C11+'Samedi S3'!C11</f>
        <v>90</v>
      </c>
      <c r="D11" s="10">
        <f>+'Lundi S3'!D11+'Mardi S3'!D11+'Mercredi S3'!D11+'Jeudi S3'!D11+'Vendredi S3'!D11+'Samedi S3'!D11</f>
        <v>18</v>
      </c>
      <c r="E11" s="10">
        <f>+'Lundi S3'!E11+'Mardi S3'!E11+'Mercredi S3'!E11+'Jeudi S3'!E11+'Vendredi S3'!E11+'Samedi S3'!E11</f>
        <v>30</v>
      </c>
      <c r="F11" s="10">
        <f>+'Lundi S3'!F11+'Mardi S3'!F11+'Mercredi S3'!F11+'Jeudi S3'!F11+'Vendredi S3'!F11+'Samedi S3'!F11</f>
        <v>12</v>
      </c>
      <c r="G11" s="11">
        <f>+'Lundi S3'!G11+'Mardi S3'!G11+'Mercredi S3'!G11+'Jeudi S3'!G11+'Vendredi S3'!G11+'Samedi S3'!G11</f>
        <v>30</v>
      </c>
      <c r="H11" s="9">
        <f>+'Lundi S3'!H11+'Mardi S3'!H11+'Mercredi S3'!H11+'Jeudi S3'!H11+'Vendredi S3'!H11+'Samedi S3'!H11</f>
        <v>18</v>
      </c>
      <c r="I11" s="10">
        <f>+'Lundi S3'!I11+'Mardi S3'!I11+'Mercredi S3'!I11+'Jeudi S3'!I11+'Vendredi S3'!I11+'Samedi S3'!I11</f>
        <v>6</v>
      </c>
      <c r="J11" s="10">
        <f>+'Lundi S3'!J11+'Mardi S3'!J11+'Mercredi S3'!J11+'Jeudi S3'!J11+'Vendredi S3'!J11+'Samedi S3'!J11</f>
        <v>6</v>
      </c>
      <c r="K11" s="10">
        <f>+'Lundi S3'!K11+'Mardi S3'!K11+'Mercredi S3'!K11+'Jeudi S3'!K11+'Vendredi S3'!K11+'Samedi S3'!K11</f>
        <v>6</v>
      </c>
      <c r="L11" s="11">
        <f>+'Lundi S3'!L11+'Mardi S3'!L11+'Mercredi S3'!L11+'Jeudi S3'!L11+'Vendredi S3'!L11+'Samedi S3'!L11</f>
        <v>6</v>
      </c>
      <c r="M11" s="9">
        <f>+'Lundi S3'!M11+'Mardi S3'!M11+'Mercredi S3'!M11+'Jeudi S3'!M11+'Vendredi S3'!M11+'Samedi S3'!M11</f>
        <v>18</v>
      </c>
      <c r="N11" s="10">
        <f>+'Lundi S3'!N11+'Mardi S3'!N11+'Mercredi S3'!N11+'Jeudi S3'!N11+'Vendredi S3'!N11+'Samedi S3'!N11</f>
        <v>6</v>
      </c>
      <c r="O11" s="10">
        <f>+'Lundi S3'!O11+'Mardi S3'!O11+'Mercredi S3'!O11+'Jeudi S3'!O11+'Vendredi S3'!O11+'Samedi S3'!O11</f>
        <v>18</v>
      </c>
      <c r="P11" s="10">
        <f>+'Lundi S3'!P11+'Mardi S3'!P11+'Mercredi S3'!P11+'Jeudi S3'!P11+'Vendredi S3'!P11+'Samedi S3'!P11</f>
        <v>0</v>
      </c>
      <c r="Q11" s="11">
        <f>+'Lundi S3'!Q11+'Mardi S3'!Q11+'Mercredi S3'!Q11+'Jeudi S3'!Q11+'Vendredi S3'!Q11+'Samedi S3'!Q11</f>
        <v>0</v>
      </c>
      <c r="R11" s="61">
        <f>+'Lundi S3'!R11+'Mardi S3'!R11+'Mercredi S3'!R11+'Jeudi S3'!R11+'Vendredi S3'!R11+'Samedi S3'!R11</f>
        <v>3</v>
      </c>
      <c r="S11" s="62">
        <f>+'Lundi S3'!S11+'Mardi S3'!S11+'Mercredi S3'!S11+'Jeudi S3'!S11+'Vendredi S3'!S11+'Samedi S3'!S11</f>
        <v>0.99999999999999989</v>
      </c>
      <c r="T11" s="62">
        <f>+'Lundi S3'!T11+'Mardi S3'!T11+'Mercredi S3'!T11+'Jeudi S3'!T11+'Vendredi S3'!T11+'Samedi S3'!T11</f>
        <v>0.6</v>
      </c>
      <c r="U11" s="62">
        <f>+'Lundi S3'!U11+'Mardi S3'!U11+'Mercredi S3'!U11+'Jeudi S3'!U11+'Vendredi S3'!U11+'Samedi S3'!U11</f>
        <v>3.6</v>
      </c>
      <c r="V11" s="63">
        <f>+'Lundi S3'!V11+'Mardi S3'!V11+'Mercredi S3'!V11+'Jeudi S3'!V11+'Vendredi S3'!V11+'Samedi S3'!V11</f>
        <v>0.9</v>
      </c>
      <c r="W11" s="9">
        <f>+'Lundi S3'!W11+'Mardi S3'!W11+'Mercredi S3'!W11+'Jeudi S3'!W11+'Vendredi S3'!W11+'Samedi S3'!W11</f>
        <v>0</v>
      </c>
      <c r="X11" s="10">
        <f>+'Lundi S3'!X11+'Mardi S3'!X11+'Mercredi S3'!X11+'Jeudi S3'!X11+'Vendredi S3'!X11+'Samedi S3'!X11</f>
        <v>0</v>
      </c>
      <c r="Y11" s="10">
        <f>+'Lundi S3'!Y11+'Mardi S3'!Y11+'Mercredi S3'!Y11+'Jeudi S3'!Y11+'Vendredi S3'!Y11+'Samedi S3'!Y11</f>
        <v>0</v>
      </c>
      <c r="Z11" s="10">
        <f>+'Lundi S3'!Z11+'Mardi S3'!Z11+'Mercredi S3'!Z11+'Jeudi S3'!Z11+'Vendredi S3'!Z11+'Samedi S3'!Z11</f>
        <v>0</v>
      </c>
      <c r="AA11" s="11">
        <f>+'Lundi S3'!AA11+'Mardi S3'!AA11+'Mercredi S3'!AA11+'Jeudi S3'!AA11+'Vendredi S3'!AA11+'Samedi S3'!AA11</f>
        <v>0</v>
      </c>
      <c r="AB11" s="9">
        <f>+'Lundi S3'!AB11+'Mardi S3'!AB11+'Mercredi S3'!AB11+'Jeudi S3'!AB11+'Vendredi S3'!AB11+'Samedi S3'!AB11</f>
        <v>0</v>
      </c>
      <c r="AC11" s="10">
        <f>+'Lundi S3'!AC11+'Mardi S3'!AC11+'Mercredi S3'!AC11+'Jeudi S3'!AC11+'Vendredi S3'!AC11+'Samedi S3'!AC11</f>
        <v>0</v>
      </c>
      <c r="AD11" s="10">
        <f>+'Lundi S3'!AD11+'Mardi S3'!AD11+'Mercredi S3'!AD11+'Jeudi S3'!AD11+'Vendredi S3'!AD11+'Samedi S3'!AD11</f>
        <v>0</v>
      </c>
      <c r="AE11" s="10">
        <f>+'Lundi S3'!AE11+'Mardi S3'!AE11+'Mercredi S3'!AE11+'Jeudi S3'!AE11+'Vendredi S3'!AE11+'Samedi S3'!AE11</f>
        <v>0</v>
      </c>
      <c r="AF11" s="11">
        <f>+'Lundi S3'!AF11+'Mardi S3'!AF11+'Mercredi S3'!AF11+'Jeudi S3'!AF11+'Vendredi S3'!AF11+'Samedi S3'!AF11</f>
        <v>0</v>
      </c>
      <c r="AG11" s="9">
        <f>+'Lundi S3'!AG11+'Mardi S3'!AG11+'Mercredi S3'!AG11+'Jeudi S3'!AG11+'Vendredi S3'!AG11+'Samedi S3'!AG11</f>
        <v>0</v>
      </c>
      <c r="AH11" s="10">
        <f>+'Lundi S3'!AH11+'Mardi S3'!AH11+'Mercredi S3'!AH11+'Jeudi S3'!AH11+'Vendredi S3'!AH11+'Samedi S3'!AH11</f>
        <v>0</v>
      </c>
      <c r="AI11" s="10">
        <f>+'Lundi S3'!AI11+'Mardi S3'!AI11+'Mercredi S3'!AI11+'Jeudi S3'!AI11+'Vendredi S3'!AI11+'Samedi S3'!AI11</f>
        <v>0</v>
      </c>
      <c r="AJ11" s="10">
        <f>+'Lundi S3'!AJ11+'Mardi S3'!AJ11+'Mercredi S3'!AJ11+'Jeudi S3'!AJ11+'Vendredi S3'!AJ11+'Samedi S3'!AJ11</f>
        <v>0</v>
      </c>
      <c r="AK11" s="11">
        <f>+'Lundi S3'!AK11+'Mardi S3'!AK11+'Mercredi S3'!AK11+'Jeudi S3'!AK11+'Vendredi S3'!AK11+'Samedi S3'!AK11</f>
        <v>0</v>
      </c>
      <c r="AL11" s="9">
        <f>+'Lundi S3'!AL11+'Mardi S3'!AL11+'Mercredi S3'!AL11+'Jeudi S3'!AL11+'Vendredi S3'!AL11+'Samedi S3'!AL11</f>
        <v>0</v>
      </c>
      <c r="AM11" s="10">
        <f>+'Lundi S3'!AM11+'Mardi S3'!AM11+'Mercredi S3'!AM11+'Jeudi S3'!AM11+'Vendredi S3'!AM11+'Samedi S3'!AM11</f>
        <v>0</v>
      </c>
      <c r="AN11" s="10">
        <f>+'Lundi S3'!AN11+'Mardi S3'!AN11+'Mercredi S3'!AN11+'Jeudi S3'!AN11+'Vendredi S3'!AN11+'Samedi S3'!AN11</f>
        <v>0</v>
      </c>
      <c r="AO11" s="10">
        <f>+'Lundi S3'!AO11+'Mardi S3'!AO11+'Mercredi S3'!AO11+'Jeudi S3'!AO11+'Vendredi S3'!AO11+'Samedi S3'!AO11</f>
        <v>0</v>
      </c>
      <c r="AP11" s="11">
        <f>+'Lundi S3'!AP11+'Mardi S3'!AP11+'Mercredi S3'!AP11+'Jeudi S3'!AP11+'Vendredi S3'!AP11+'Samedi S3'!AP11</f>
        <v>0</v>
      </c>
      <c r="AQ11" s="9">
        <f>+'Lundi S3'!AQ11+'Mardi S3'!AQ11+'Mercredi S3'!AQ11+'Jeudi S3'!AQ11+'Vendredi S3'!AQ11+'Samedi S3'!AQ11</f>
        <v>0</v>
      </c>
      <c r="AR11" s="10">
        <f>+'Lundi S3'!AR11+'Mardi S3'!AR11+'Mercredi S3'!AR11+'Jeudi S3'!AR11+'Vendredi S3'!AR11+'Samedi S3'!AR11</f>
        <v>0</v>
      </c>
      <c r="AS11" s="11">
        <f>+'Lundi S3'!AS11+'Mardi S3'!AS11+'Mercredi S3'!AS11+'Jeudi S3'!AS11+'Vendredi S3'!AS11+'Samedi S3'!AS11</f>
        <v>0</v>
      </c>
      <c r="AT11" s="22"/>
      <c r="AU11" s="14"/>
    </row>
    <row r="12" spans="1:47" ht="31.9" customHeight="1" x14ac:dyDescent="0.2">
      <c r="A12" s="26">
        <v>6</v>
      </c>
      <c r="B12" s="19"/>
      <c r="C12" s="9">
        <f>+'Lundi S3'!C12+'Mardi S3'!C12+'Mercredi S3'!C12+'Jeudi S3'!C12+'Vendredi S3'!C12+'Samedi S3'!C12</f>
        <v>90</v>
      </c>
      <c r="D12" s="10">
        <f>+'Lundi S3'!D12+'Mardi S3'!D12+'Mercredi S3'!D12+'Jeudi S3'!D12+'Vendredi S3'!D12+'Samedi S3'!D12</f>
        <v>18</v>
      </c>
      <c r="E12" s="10">
        <f>+'Lundi S3'!E12+'Mardi S3'!E12+'Mercredi S3'!E12+'Jeudi S3'!E12+'Vendredi S3'!E12+'Samedi S3'!E12</f>
        <v>30</v>
      </c>
      <c r="F12" s="10">
        <f>+'Lundi S3'!F12+'Mardi S3'!F12+'Mercredi S3'!F12+'Jeudi S3'!F12+'Vendredi S3'!F12+'Samedi S3'!F12</f>
        <v>12</v>
      </c>
      <c r="G12" s="11">
        <f>+'Lundi S3'!G12+'Mardi S3'!G12+'Mercredi S3'!G12+'Jeudi S3'!G12+'Vendredi S3'!G12+'Samedi S3'!G12</f>
        <v>30</v>
      </c>
      <c r="H12" s="9">
        <f>+'Lundi S3'!H12+'Mardi S3'!H12+'Mercredi S3'!H12+'Jeudi S3'!H12+'Vendredi S3'!H12+'Samedi S3'!H12</f>
        <v>18</v>
      </c>
      <c r="I12" s="10">
        <f>+'Lundi S3'!I12+'Mardi S3'!I12+'Mercredi S3'!I12+'Jeudi S3'!I12+'Vendredi S3'!I12+'Samedi S3'!I12</f>
        <v>6</v>
      </c>
      <c r="J12" s="10">
        <f>+'Lundi S3'!J12+'Mardi S3'!J12+'Mercredi S3'!J12+'Jeudi S3'!J12+'Vendredi S3'!J12+'Samedi S3'!J12</f>
        <v>6</v>
      </c>
      <c r="K12" s="10">
        <f>+'Lundi S3'!K12+'Mardi S3'!K12+'Mercredi S3'!K12+'Jeudi S3'!K12+'Vendredi S3'!K12+'Samedi S3'!K12</f>
        <v>6</v>
      </c>
      <c r="L12" s="11">
        <f>+'Lundi S3'!L12+'Mardi S3'!L12+'Mercredi S3'!L12+'Jeudi S3'!L12+'Vendredi S3'!L12+'Samedi S3'!L12</f>
        <v>6</v>
      </c>
      <c r="M12" s="9">
        <f>+'Lundi S3'!M12+'Mardi S3'!M12+'Mercredi S3'!M12+'Jeudi S3'!M12+'Vendredi S3'!M12+'Samedi S3'!M12</f>
        <v>18</v>
      </c>
      <c r="N12" s="10">
        <f>+'Lundi S3'!N12+'Mardi S3'!N12+'Mercredi S3'!N12+'Jeudi S3'!N12+'Vendredi S3'!N12+'Samedi S3'!N12</f>
        <v>6</v>
      </c>
      <c r="O12" s="10">
        <f>+'Lundi S3'!O12+'Mardi S3'!O12+'Mercredi S3'!O12+'Jeudi S3'!O12+'Vendredi S3'!O12+'Samedi S3'!O12</f>
        <v>18</v>
      </c>
      <c r="P12" s="10">
        <f>+'Lundi S3'!P12+'Mardi S3'!P12+'Mercredi S3'!P12+'Jeudi S3'!P12+'Vendredi S3'!P12+'Samedi S3'!P12</f>
        <v>0</v>
      </c>
      <c r="Q12" s="11">
        <f>+'Lundi S3'!Q12+'Mardi S3'!Q12+'Mercredi S3'!Q12+'Jeudi S3'!Q12+'Vendredi S3'!Q12+'Samedi S3'!Q12</f>
        <v>0</v>
      </c>
      <c r="R12" s="61">
        <f>+'Lundi S3'!R12+'Mardi S3'!R12+'Mercredi S3'!R12+'Jeudi S3'!R12+'Vendredi S3'!R12+'Samedi S3'!R12</f>
        <v>3</v>
      </c>
      <c r="S12" s="62">
        <f>+'Lundi S3'!S12+'Mardi S3'!S12+'Mercredi S3'!S12+'Jeudi S3'!S12+'Vendredi S3'!S12+'Samedi S3'!S12</f>
        <v>0.99999999999999989</v>
      </c>
      <c r="T12" s="62">
        <f>+'Lundi S3'!T12+'Mardi S3'!T12+'Mercredi S3'!T12+'Jeudi S3'!T12+'Vendredi S3'!T12+'Samedi S3'!T12</f>
        <v>0.6</v>
      </c>
      <c r="U12" s="62">
        <f>+'Lundi S3'!U12+'Mardi S3'!U12+'Mercredi S3'!U12+'Jeudi S3'!U12+'Vendredi S3'!U12+'Samedi S3'!U12</f>
        <v>3.6</v>
      </c>
      <c r="V12" s="63">
        <f>+'Lundi S3'!V12+'Mardi S3'!V12+'Mercredi S3'!V12+'Jeudi S3'!V12+'Vendredi S3'!V12+'Samedi S3'!V12</f>
        <v>0.9</v>
      </c>
      <c r="W12" s="9">
        <f>+'Lundi S3'!W12+'Mardi S3'!W12+'Mercredi S3'!W12+'Jeudi S3'!W12+'Vendredi S3'!W12+'Samedi S3'!W12</f>
        <v>0</v>
      </c>
      <c r="X12" s="10">
        <f>+'Lundi S3'!X12+'Mardi S3'!X12+'Mercredi S3'!X12+'Jeudi S3'!X12+'Vendredi S3'!X12+'Samedi S3'!X12</f>
        <v>0</v>
      </c>
      <c r="Y12" s="10">
        <f>+'Lundi S3'!Y12+'Mardi S3'!Y12+'Mercredi S3'!Y12+'Jeudi S3'!Y12+'Vendredi S3'!Y12+'Samedi S3'!Y12</f>
        <v>0</v>
      </c>
      <c r="Z12" s="10">
        <f>+'Lundi S3'!Z12+'Mardi S3'!Z12+'Mercredi S3'!Z12+'Jeudi S3'!Z12+'Vendredi S3'!Z12+'Samedi S3'!Z12</f>
        <v>0</v>
      </c>
      <c r="AA12" s="11">
        <f>+'Lundi S3'!AA12+'Mardi S3'!AA12+'Mercredi S3'!AA12+'Jeudi S3'!AA12+'Vendredi S3'!AA12+'Samedi S3'!AA12</f>
        <v>0</v>
      </c>
      <c r="AB12" s="9">
        <f>+'Lundi S3'!AB12+'Mardi S3'!AB12+'Mercredi S3'!AB12+'Jeudi S3'!AB12+'Vendredi S3'!AB12+'Samedi S3'!AB12</f>
        <v>0</v>
      </c>
      <c r="AC12" s="10">
        <f>+'Lundi S3'!AC12+'Mardi S3'!AC12+'Mercredi S3'!AC12+'Jeudi S3'!AC12+'Vendredi S3'!AC12+'Samedi S3'!AC12</f>
        <v>0</v>
      </c>
      <c r="AD12" s="10">
        <f>+'Lundi S3'!AD12+'Mardi S3'!AD12+'Mercredi S3'!AD12+'Jeudi S3'!AD12+'Vendredi S3'!AD12+'Samedi S3'!AD12</f>
        <v>0</v>
      </c>
      <c r="AE12" s="10">
        <f>+'Lundi S3'!AE12+'Mardi S3'!AE12+'Mercredi S3'!AE12+'Jeudi S3'!AE12+'Vendredi S3'!AE12+'Samedi S3'!AE12</f>
        <v>0</v>
      </c>
      <c r="AF12" s="11">
        <f>+'Lundi S3'!AF12+'Mardi S3'!AF12+'Mercredi S3'!AF12+'Jeudi S3'!AF12+'Vendredi S3'!AF12+'Samedi S3'!AF12</f>
        <v>0</v>
      </c>
      <c r="AG12" s="9">
        <f>+'Lundi S3'!AG12+'Mardi S3'!AG12+'Mercredi S3'!AG12+'Jeudi S3'!AG12+'Vendredi S3'!AG12+'Samedi S3'!AG12</f>
        <v>0</v>
      </c>
      <c r="AH12" s="10">
        <f>+'Lundi S3'!AH12+'Mardi S3'!AH12+'Mercredi S3'!AH12+'Jeudi S3'!AH12+'Vendredi S3'!AH12+'Samedi S3'!AH12</f>
        <v>0</v>
      </c>
      <c r="AI12" s="10">
        <f>+'Lundi S3'!AI12+'Mardi S3'!AI12+'Mercredi S3'!AI12+'Jeudi S3'!AI12+'Vendredi S3'!AI12+'Samedi S3'!AI12</f>
        <v>0</v>
      </c>
      <c r="AJ12" s="10">
        <f>+'Lundi S3'!AJ12+'Mardi S3'!AJ12+'Mercredi S3'!AJ12+'Jeudi S3'!AJ12+'Vendredi S3'!AJ12+'Samedi S3'!AJ12</f>
        <v>0</v>
      </c>
      <c r="AK12" s="11">
        <f>+'Lundi S3'!AK12+'Mardi S3'!AK12+'Mercredi S3'!AK12+'Jeudi S3'!AK12+'Vendredi S3'!AK12+'Samedi S3'!AK12</f>
        <v>0</v>
      </c>
      <c r="AL12" s="9">
        <f>+'Lundi S3'!AL12+'Mardi S3'!AL12+'Mercredi S3'!AL12+'Jeudi S3'!AL12+'Vendredi S3'!AL12+'Samedi S3'!AL12</f>
        <v>0</v>
      </c>
      <c r="AM12" s="10">
        <f>+'Lundi S3'!AM12+'Mardi S3'!AM12+'Mercredi S3'!AM12+'Jeudi S3'!AM12+'Vendredi S3'!AM12+'Samedi S3'!AM12</f>
        <v>0</v>
      </c>
      <c r="AN12" s="10">
        <f>+'Lundi S3'!AN12+'Mardi S3'!AN12+'Mercredi S3'!AN12+'Jeudi S3'!AN12+'Vendredi S3'!AN12+'Samedi S3'!AN12</f>
        <v>0</v>
      </c>
      <c r="AO12" s="10">
        <f>+'Lundi S3'!AO12+'Mardi S3'!AO12+'Mercredi S3'!AO12+'Jeudi S3'!AO12+'Vendredi S3'!AO12+'Samedi S3'!AO12</f>
        <v>0</v>
      </c>
      <c r="AP12" s="11">
        <f>+'Lundi S3'!AP12+'Mardi S3'!AP12+'Mercredi S3'!AP12+'Jeudi S3'!AP12+'Vendredi S3'!AP12+'Samedi S3'!AP12</f>
        <v>0</v>
      </c>
      <c r="AQ12" s="9">
        <f>+'Lundi S3'!AQ12+'Mardi S3'!AQ12+'Mercredi S3'!AQ12+'Jeudi S3'!AQ12+'Vendredi S3'!AQ12+'Samedi S3'!AQ12</f>
        <v>0</v>
      </c>
      <c r="AR12" s="10">
        <f>+'Lundi S3'!AR12+'Mardi S3'!AR12+'Mercredi S3'!AR12+'Jeudi S3'!AR12+'Vendredi S3'!AR12+'Samedi S3'!AR12</f>
        <v>0</v>
      </c>
      <c r="AS12" s="11">
        <f>+'Lundi S3'!AS12+'Mardi S3'!AS12+'Mercredi S3'!AS12+'Jeudi S3'!AS12+'Vendredi S3'!AS12+'Samedi S3'!AS12</f>
        <v>0</v>
      </c>
      <c r="AT12" s="22"/>
      <c r="AU12" s="14"/>
    </row>
    <row r="13" spans="1:47" ht="31.9" customHeight="1" x14ac:dyDescent="0.2">
      <c r="A13" s="26">
        <v>7</v>
      </c>
      <c r="B13" s="19"/>
      <c r="C13" s="9">
        <f>+'Lundi S3'!C13+'Mardi S3'!C13+'Mercredi S3'!C13+'Jeudi S3'!C13+'Vendredi S3'!C13+'Samedi S3'!C13</f>
        <v>90</v>
      </c>
      <c r="D13" s="10">
        <f>+'Lundi S3'!D13+'Mardi S3'!D13+'Mercredi S3'!D13+'Jeudi S3'!D13+'Vendredi S3'!D13+'Samedi S3'!D13</f>
        <v>18</v>
      </c>
      <c r="E13" s="10">
        <f>+'Lundi S3'!E13+'Mardi S3'!E13+'Mercredi S3'!E13+'Jeudi S3'!E13+'Vendredi S3'!E13+'Samedi S3'!E13</f>
        <v>30</v>
      </c>
      <c r="F13" s="10">
        <f>+'Lundi S3'!F13+'Mardi S3'!F13+'Mercredi S3'!F13+'Jeudi S3'!F13+'Vendredi S3'!F13+'Samedi S3'!F13</f>
        <v>12</v>
      </c>
      <c r="G13" s="11">
        <f>+'Lundi S3'!G13+'Mardi S3'!G13+'Mercredi S3'!G13+'Jeudi S3'!G13+'Vendredi S3'!G13+'Samedi S3'!G13</f>
        <v>30</v>
      </c>
      <c r="H13" s="9">
        <f>+'Lundi S3'!H13+'Mardi S3'!H13+'Mercredi S3'!H13+'Jeudi S3'!H13+'Vendredi S3'!H13+'Samedi S3'!H13</f>
        <v>18</v>
      </c>
      <c r="I13" s="10">
        <f>+'Lundi S3'!I13+'Mardi S3'!I13+'Mercredi S3'!I13+'Jeudi S3'!I13+'Vendredi S3'!I13+'Samedi S3'!I13</f>
        <v>6</v>
      </c>
      <c r="J13" s="10">
        <f>+'Lundi S3'!J13+'Mardi S3'!J13+'Mercredi S3'!J13+'Jeudi S3'!J13+'Vendredi S3'!J13+'Samedi S3'!J13</f>
        <v>6</v>
      </c>
      <c r="K13" s="10">
        <f>+'Lundi S3'!K13+'Mardi S3'!K13+'Mercredi S3'!K13+'Jeudi S3'!K13+'Vendredi S3'!K13+'Samedi S3'!K13</f>
        <v>6</v>
      </c>
      <c r="L13" s="11">
        <f>+'Lundi S3'!L13+'Mardi S3'!L13+'Mercredi S3'!L13+'Jeudi S3'!L13+'Vendredi S3'!L13+'Samedi S3'!L13</f>
        <v>6</v>
      </c>
      <c r="M13" s="9">
        <f>+'Lundi S3'!M13+'Mardi S3'!M13+'Mercredi S3'!M13+'Jeudi S3'!M13+'Vendredi S3'!M13+'Samedi S3'!M13</f>
        <v>18</v>
      </c>
      <c r="N13" s="10">
        <f>+'Lundi S3'!N13+'Mardi S3'!N13+'Mercredi S3'!N13+'Jeudi S3'!N13+'Vendredi S3'!N13+'Samedi S3'!N13</f>
        <v>6</v>
      </c>
      <c r="O13" s="10">
        <f>+'Lundi S3'!O13+'Mardi S3'!O13+'Mercredi S3'!O13+'Jeudi S3'!O13+'Vendredi S3'!O13+'Samedi S3'!O13</f>
        <v>18</v>
      </c>
      <c r="P13" s="10">
        <f>+'Lundi S3'!P13+'Mardi S3'!P13+'Mercredi S3'!P13+'Jeudi S3'!P13+'Vendredi S3'!P13+'Samedi S3'!P13</f>
        <v>0</v>
      </c>
      <c r="Q13" s="11">
        <f>+'Lundi S3'!Q13+'Mardi S3'!Q13+'Mercredi S3'!Q13+'Jeudi S3'!Q13+'Vendredi S3'!Q13+'Samedi S3'!Q13</f>
        <v>0</v>
      </c>
      <c r="R13" s="61">
        <f>+'Lundi S3'!R13+'Mardi S3'!R13+'Mercredi S3'!R13+'Jeudi S3'!R13+'Vendredi S3'!R13+'Samedi S3'!R13</f>
        <v>3</v>
      </c>
      <c r="S13" s="62">
        <f>+'Lundi S3'!S13+'Mardi S3'!S13+'Mercredi S3'!S13+'Jeudi S3'!S13+'Vendredi S3'!S13+'Samedi S3'!S13</f>
        <v>0.99999999999999989</v>
      </c>
      <c r="T13" s="62">
        <f>+'Lundi S3'!T13+'Mardi S3'!T13+'Mercredi S3'!T13+'Jeudi S3'!T13+'Vendredi S3'!T13+'Samedi S3'!T13</f>
        <v>0.6</v>
      </c>
      <c r="U13" s="62">
        <f>+'Lundi S3'!U13+'Mardi S3'!U13+'Mercredi S3'!U13+'Jeudi S3'!U13+'Vendredi S3'!U13+'Samedi S3'!U13</f>
        <v>3.6</v>
      </c>
      <c r="V13" s="63">
        <f>+'Lundi S3'!V13+'Mardi S3'!V13+'Mercredi S3'!V13+'Jeudi S3'!V13+'Vendredi S3'!V13+'Samedi S3'!V13</f>
        <v>0.9</v>
      </c>
      <c r="W13" s="9">
        <f>+'Lundi S3'!W13+'Mardi S3'!W13+'Mercredi S3'!W13+'Jeudi S3'!W13+'Vendredi S3'!W13+'Samedi S3'!W13</f>
        <v>0</v>
      </c>
      <c r="X13" s="10">
        <f>+'Lundi S3'!X13+'Mardi S3'!X13+'Mercredi S3'!X13+'Jeudi S3'!X13+'Vendredi S3'!X13+'Samedi S3'!X13</f>
        <v>0</v>
      </c>
      <c r="Y13" s="10">
        <f>+'Lundi S3'!Y13+'Mardi S3'!Y13+'Mercredi S3'!Y13+'Jeudi S3'!Y13+'Vendredi S3'!Y13+'Samedi S3'!Y13</f>
        <v>0</v>
      </c>
      <c r="Z13" s="10">
        <f>+'Lundi S3'!Z13+'Mardi S3'!Z13+'Mercredi S3'!Z13+'Jeudi S3'!Z13+'Vendredi S3'!Z13+'Samedi S3'!Z13</f>
        <v>0</v>
      </c>
      <c r="AA13" s="11">
        <f>+'Lundi S3'!AA13+'Mardi S3'!AA13+'Mercredi S3'!AA13+'Jeudi S3'!AA13+'Vendredi S3'!AA13+'Samedi S3'!AA13</f>
        <v>0</v>
      </c>
      <c r="AB13" s="9">
        <f>+'Lundi S3'!AB13+'Mardi S3'!AB13+'Mercredi S3'!AB13+'Jeudi S3'!AB13+'Vendredi S3'!AB13+'Samedi S3'!AB13</f>
        <v>0</v>
      </c>
      <c r="AC13" s="10">
        <f>+'Lundi S3'!AC13+'Mardi S3'!AC13+'Mercredi S3'!AC13+'Jeudi S3'!AC13+'Vendredi S3'!AC13+'Samedi S3'!AC13</f>
        <v>0</v>
      </c>
      <c r="AD13" s="10">
        <f>+'Lundi S3'!AD13+'Mardi S3'!AD13+'Mercredi S3'!AD13+'Jeudi S3'!AD13+'Vendredi S3'!AD13+'Samedi S3'!AD13</f>
        <v>0</v>
      </c>
      <c r="AE13" s="10">
        <f>+'Lundi S3'!AE13+'Mardi S3'!AE13+'Mercredi S3'!AE13+'Jeudi S3'!AE13+'Vendredi S3'!AE13+'Samedi S3'!AE13</f>
        <v>0</v>
      </c>
      <c r="AF13" s="11">
        <f>+'Lundi S3'!AF13+'Mardi S3'!AF13+'Mercredi S3'!AF13+'Jeudi S3'!AF13+'Vendredi S3'!AF13+'Samedi S3'!AF13</f>
        <v>0</v>
      </c>
      <c r="AG13" s="9">
        <f>+'Lundi S3'!AG13+'Mardi S3'!AG13+'Mercredi S3'!AG13+'Jeudi S3'!AG13+'Vendredi S3'!AG13+'Samedi S3'!AG13</f>
        <v>0</v>
      </c>
      <c r="AH13" s="10">
        <f>+'Lundi S3'!AH13+'Mardi S3'!AH13+'Mercredi S3'!AH13+'Jeudi S3'!AH13+'Vendredi S3'!AH13+'Samedi S3'!AH13</f>
        <v>0</v>
      </c>
      <c r="AI13" s="10">
        <f>+'Lundi S3'!AI13+'Mardi S3'!AI13+'Mercredi S3'!AI13+'Jeudi S3'!AI13+'Vendredi S3'!AI13+'Samedi S3'!AI13</f>
        <v>0</v>
      </c>
      <c r="AJ13" s="10">
        <f>+'Lundi S3'!AJ13+'Mardi S3'!AJ13+'Mercredi S3'!AJ13+'Jeudi S3'!AJ13+'Vendredi S3'!AJ13+'Samedi S3'!AJ13</f>
        <v>0</v>
      </c>
      <c r="AK13" s="11">
        <f>+'Lundi S3'!AK13+'Mardi S3'!AK13+'Mercredi S3'!AK13+'Jeudi S3'!AK13+'Vendredi S3'!AK13+'Samedi S3'!AK13</f>
        <v>0</v>
      </c>
      <c r="AL13" s="9">
        <f>+'Lundi S3'!AL13+'Mardi S3'!AL13+'Mercredi S3'!AL13+'Jeudi S3'!AL13+'Vendredi S3'!AL13+'Samedi S3'!AL13</f>
        <v>0</v>
      </c>
      <c r="AM13" s="10">
        <f>+'Lundi S3'!AM13+'Mardi S3'!AM13+'Mercredi S3'!AM13+'Jeudi S3'!AM13+'Vendredi S3'!AM13+'Samedi S3'!AM13</f>
        <v>0</v>
      </c>
      <c r="AN13" s="10">
        <f>+'Lundi S3'!AN13+'Mardi S3'!AN13+'Mercredi S3'!AN13+'Jeudi S3'!AN13+'Vendredi S3'!AN13+'Samedi S3'!AN13</f>
        <v>0</v>
      </c>
      <c r="AO13" s="10">
        <f>+'Lundi S3'!AO13+'Mardi S3'!AO13+'Mercredi S3'!AO13+'Jeudi S3'!AO13+'Vendredi S3'!AO13+'Samedi S3'!AO13</f>
        <v>0</v>
      </c>
      <c r="AP13" s="11">
        <f>+'Lundi S3'!AP13+'Mardi S3'!AP13+'Mercredi S3'!AP13+'Jeudi S3'!AP13+'Vendredi S3'!AP13+'Samedi S3'!AP13</f>
        <v>0</v>
      </c>
      <c r="AQ13" s="9">
        <f>+'Lundi S3'!AQ13+'Mardi S3'!AQ13+'Mercredi S3'!AQ13+'Jeudi S3'!AQ13+'Vendredi S3'!AQ13+'Samedi S3'!AQ13</f>
        <v>0</v>
      </c>
      <c r="AR13" s="10">
        <f>+'Lundi S3'!AR13+'Mardi S3'!AR13+'Mercredi S3'!AR13+'Jeudi S3'!AR13+'Vendredi S3'!AR13+'Samedi S3'!AR13</f>
        <v>0</v>
      </c>
      <c r="AS13" s="11">
        <f>+'Lundi S3'!AS13+'Mardi S3'!AS13+'Mercredi S3'!AS13+'Jeudi S3'!AS13+'Vendredi S3'!AS13+'Samedi S3'!AS13</f>
        <v>0</v>
      </c>
      <c r="AT13" s="22"/>
      <c r="AU13" s="14"/>
    </row>
    <row r="14" spans="1:47" ht="31.9" customHeight="1" x14ac:dyDescent="0.2">
      <c r="A14" s="26">
        <v>8</v>
      </c>
      <c r="B14" s="19"/>
      <c r="C14" s="9">
        <f>+'Lundi S3'!C14+'Mardi S3'!C14+'Mercredi S3'!C14+'Jeudi S3'!C14+'Vendredi S3'!C14+'Samedi S3'!C14</f>
        <v>90</v>
      </c>
      <c r="D14" s="10">
        <f>+'Lundi S3'!D14+'Mardi S3'!D14+'Mercredi S3'!D14+'Jeudi S3'!D14+'Vendredi S3'!D14+'Samedi S3'!D14</f>
        <v>18</v>
      </c>
      <c r="E14" s="10">
        <f>+'Lundi S3'!E14+'Mardi S3'!E14+'Mercredi S3'!E14+'Jeudi S3'!E14+'Vendredi S3'!E14+'Samedi S3'!E14</f>
        <v>30</v>
      </c>
      <c r="F14" s="10">
        <f>+'Lundi S3'!F14+'Mardi S3'!F14+'Mercredi S3'!F14+'Jeudi S3'!F14+'Vendredi S3'!F14+'Samedi S3'!F14</f>
        <v>12</v>
      </c>
      <c r="G14" s="11">
        <f>+'Lundi S3'!G14+'Mardi S3'!G14+'Mercredi S3'!G14+'Jeudi S3'!G14+'Vendredi S3'!G14+'Samedi S3'!G14</f>
        <v>30</v>
      </c>
      <c r="H14" s="9">
        <f>+'Lundi S3'!H14+'Mardi S3'!H14+'Mercredi S3'!H14+'Jeudi S3'!H14+'Vendredi S3'!H14+'Samedi S3'!H14</f>
        <v>18</v>
      </c>
      <c r="I14" s="10">
        <f>+'Lundi S3'!I14+'Mardi S3'!I14+'Mercredi S3'!I14+'Jeudi S3'!I14+'Vendredi S3'!I14+'Samedi S3'!I14</f>
        <v>6</v>
      </c>
      <c r="J14" s="10">
        <f>+'Lundi S3'!J14+'Mardi S3'!J14+'Mercredi S3'!J14+'Jeudi S3'!J14+'Vendredi S3'!J14+'Samedi S3'!J14</f>
        <v>6</v>
      </c>
      <c r="K14" s="10">
        <f>+'Lundi S3'!K14+'Mardi S3'!K14+'Mercredi S3'!K14+'Jeudi S3'!K14+'Vendredi S3'!K14+'Samedi S3'!K14</f>
        <v>6</v>
      </c>
      <c r="L14" s="11">
        <f>+'Lundi S3'!L14+'Mardi S3'!L14+'Mercredi S3'!L14+'Jeudi S3'!L14+'Vendredi S3'!L14+'Samedi S3'!L14</f>
        <v>6</v>
      </c>
      <c r="M14" s="9">
        <f>+'Lundi S3'!M14+'Mardi S3'!M14+'Mercredi S3'!M14+'Jeudi S3'!M14+'Vendredi S3'!M14+'Samedi S3'!M14</f>
        <v>18</v>
      </c>
      <c r="N14" s="10">
        <f>+'Lundi S3'!N14+'Mardi S3'!N14+'Mercredi S3'!N14+'Jeudi S3'!N14+'Vendredi S3'!N14+'Samedi S3'!N14</f>
        <v>6</v>
      </c>
      <c r="O14" s="10">
        <f>+'Lundi S3'!O14+'Mardi S3'!O14+'Mercredi S3'!O14+'Jeudi S3'!O14+'Vendredi S3'!O14+'Samedi S3'!O14</f>
        <v>18</v>
      </c>
      <c r="P14" s="10">
        <f>+'Lundi S3'!P14+'Mardi S3'!P14+'Mercredi S3'!P14+'Jeudi S3'!P14+'Vendredi S3'!P14+'Samedi S3'!P14</f>
        <v>0</v>
      </c>
      <c r="Q14" s="11">
        <f>+'Lundi S3'!Q14+'Mardi S3'!Q14+'Mercredi S3'!Q14+'Jeudi S3'!Q14+'Vendredi S3'!Q14+'Samedi S3'!Q14</f>
        <v>0</v>
      </c>
      <c r="R14" s="61">
        <f>+'Lundi S3'!R14+'Mardi S3'!R14+'Mercredi S3'!R14+'Jeudi S3'!R14+'Vendredi S3'!R14+'Samedi S3'!R14</f>
        <v>3</v>
      </c>
      <c r="S14" s="62">
        <f>+'Lundi S3'!S14+'Mardi S3'!S14+'Mercredi S3'!S14+'Jeudi S3'!S14+'Vendredi S3'!S14+'Samedi S3'!S14</f>
        <v>0.99999999999999989</v>
      </c>
      <c r="T14" s="62">
        <f>+'Lundi S3'!T14+'Mardi S3'!T14+'Mercredi S3'!T14+'Jeudi S3'!T14+'Vendredi S3'!T14+'Samedi S3'!T14</f>
        <v>0.6</v>
      </c>
      <c r="U14" s="62">
        <f>+'Lundi S3'!U14+'Mardi S3'!U14+'Mercredi S3'!U14+'Jeudi S3'!U14+'Vendredi S3'!U14+'Samedi S3'!U14</f>
        <v>3.6</v>
      </c>
      <c r="V14" s="63">
        <f>+'Lundi S3'!V14+'Mardi S3'!V14+'Mercredi S3'!V14+'Jeudi S3'!V14+'Vendredi S3'!V14+'Samedi S3'!V14</f>
        <v>0.9</v>
      </c>
      <c r="W14" s="9">
        <f>+'Lundi S3'!W14+'Mardi S3'!W14+'Mercredi S3'!W14+'Jeudi S3'!W14+'Vendredi S3'!W14+'Samedi S3'!W14</f>
        <v>0</v>
      </c>
      <c r="X14" s="10">
        <f>+'Lundi S3'!X14+'Mardi S3'!X14+'Mercredi S3'!X14+'Jeudi S3'!X14+'Vendredi S3'!X14+'Samedi S3'!X14</f>
        <v>0</v>
      </c>
      <c r="Y14" s="10">
        <f>+'Lundi S3'!Y14+'Mardi S3'!Y14+'Mercredi S3'!Y14+'Jeudi S3'!Y14+'Vendredi S3'!Y14+'Samedi S3'!Y14</f>
        <v>0</v>
      </c>
      <c r="Z14" s="10">
        <f>+'Lundi S3'!Z14+'Mardi S3'!Z14+'Mercredi S3'!Z14+'Jeudi S3'!Z14+'Vendredi S3'!Z14+'Samedi S3'!Z14</f>
        <v>0</v>
      </c>
      <c r="AA14" s="11">
        <f>+'Lundi S3'!AA14+'Mardi S3'!AA14+'Mercredi S3'!AA14+'Jeudi S3'!AA14+'Vendredi S3'!AA14+'Samedi S3'!AA14</f>
        <v>0</v>
      </c>
      <c r="AB14" s="9">
        <f>+'Lundi S3'!AB14+'Mardi S3'!AB14+'Mercredi S3'!AB14+'Jeudi S3'!AB14+'Vendredi S3'!AB14+'Samedi S3'!AB14</f>
        <v>0</v>
      </c>
      <c r="AC14" s="10">
        <f>+'Lundi S3'!AC14+'Mardi S3'!AC14+'Mercredi S3'!AC14+'Jeudi S3'!AC14+'Vendredi S3'!AC14+'Samedi S3'!AC14</f>
        <v>0</v>
      </c>
      <c r="AD14" s="10">
        <f>+'Lundi S3'!AD14+'Mardi S3'!AD14+'Mercredi S3'!AD14+'Jeudi S3'!AD14+'Vendredi S3'!AD14+'Samedi S3'!AD14</f>
        <v>0</v>
      </c>
      <c r="AE14" s="10">
        <f>+'Lundi S3'!AE14+'Mardi S3'!AE14+'Mercredi S3'!AE14+'Jeudi S3'!AE14+'Vendredi S3'!AE14+'Samedi S3'!AE14</f>
        <v>0</v>
      </c>
      <c r="AF14" s="11">
        <f>+'Lundi S3'!AF14+'Mardi S3'!AF14+'Mercredi S3'!AF14+'Jeudi S3'!AF14+'Vendredi S3'!AF14+'Samedi S3'!AF14</f>
        <v>0</v>
      </c>
      <c r="AG14" s="9">
        <f>+'Lundi S3'!AG14+'Mardi S3'!AG14+'Mercredi S3'!AG14+'Jeudi S3'!AG14+'Vendredi S3'!AG14+'Samedi S3'!AG14</f>
        <v>0</v>
      </c>
      <c r="AH14" s="10">
        <f>+'Lundi S3'!AH14+'Mardi S3'!AH14+'Mercredi S3'!AH14+'Jeudi S3'!AH14+'Vendredi S3'!AH14+'Samedi S3'!AH14</f>
        <v>0</v>
      </c>
      <c r="AI14" s="10">
        <f>+'Lundi S3'!AI14+'Mardi S3'!AI14+'Mercredi S3'!AI14+'Jeudi S3'!AI14+'Vendredi S3'!AI14+'Samedi S3'!AI14</f>
        <v>0</v>
      </c>
      <c r="AJ14" s="10">
        <f>+'Lundi S3'!AJ14+'Mardi S3'!AJ14+'Mercredi S3'!AJ14+'Jeudi S3'!AJ14+'Vendredi S3'!AJ14+'Samedi S3'!AJ14</f>
        <v>0</v>
      </c>
      <c r="AK14" s="11">
        <f>+'Lundi S3'!AK14+'Mardi S3'!AK14+'Mercredi S3'!AK14+'Jeudi S3'!AK14+'Vendredi S3'!AK14+'Samedi S3'!AK14</f>
        <v>0</v>
      </c>
      <c r="AL14" s="9">
        <f>+'Lundi S3'!AL14+'Mardi S3'!AL14+'Mercredi S3'!AL14+'Jeudi S3'!AL14+'Vendredi S3'!AL14+'Samedi S3'!AL14</f>
        <v>0</v>
      </c>
      <c r="AM14" s="10">
        <f>+'Lundi S3'!AM14+'Mardi S3'!AM14+'Mercredi S3'!AM14+'Jeudi S3'!AM14+'Vendredi S3'!AM14+'Samedi S3'!AM14</f>
        <v>0</v>
      </c>
      <c r="AN14" s="10">
        <f>+'Lundi S3'!AN14+'Mardi S3'!AN14+'Mercredi S3'!AN14+'Jeudi S3'!AN14+'Vendredi S3'!AN14+'Samedi S3'!AN14</f>
        <v>0</v>
      </c>
      <c r="AO14" s="10">
        <f>+'Lundi S3'!AO14+'Mardi S3'!AO14+'Mercredi S3'!AO14+'Jeudi S3'!AO14+'Vendredi S3'!AO14+'Samedi S3'!AO14</f>
        <v>0</v>
      </c>
      <c r="AP14" s="11">
        <f>+'Lundi S3'!AP14+'Mardi S3'!AP14+'Mercredi S3'!AP14+'Jeudi S3'!AP14+'Vendredi S3'!AP14+'Samedi S3'!AP14</f>
        <v>0</v>
      </c>
      <c r="AQ14" s="9">
        <f>+'Lundi S3'!AQ14+'Mardi S3'!AQ14+'Mercredi S3'!AQ14+'Jeudi S3'!AQ14+'Vendredi S3'!AQ14+'Samedi S3'!AQ14</f>
        <v>0</v>
      </c>
      <c r="AR14" s="10">
        <f>+'Lundi S3'!AR14+'Mardi S3'!AR14+'Mercredi S3'!AR14+'Jeudi S3'!AR14+'Vendredi S3'!AR14+'Samedi S3'!AR14</f>
        <v>0</v>
      </c>
      <c r="AS14" s="11">
        <f>+'Lundi S3'!AS14+'Mardi S3'!AS14+'Mercredi S3'!AS14+'Jeudi S3'!AS14+'Vendredi S3'!AS14+'Samedi S3'!AS14</f>
        <v>0</v>
      </c>
      <c r="AT14" s="22"/>
      <c r="AU14" s="14"/>
    </row>
    <row r="15" spans="1:47" ht="31.9" customHeight="1" x14ac:dyDescent="0.2">
      <c r="A15" s="26">
        <v>9</v>
      </c>
      <c r="B15" s="19"/>
      <c r="C15" s="9">
        <f>+'Lundi S3'!C15+'Mardi S3'!C15+'Mercredi S3'!C15+'Jeudi S3'!C15+'Vendredi S3'!C15+'Samedi S3'!C15</f>
        <v>90</v>
      </c>
      <c r="D15" s="10">
        <f>+'Lundi S3'!D15+'Mardi S3'!D15+'Mercredi S3'!D15+'Jeudi S3'!D15+'Vendredi S3'!D15+'Samedi S3'!D15</f>
        <v>18</v>
      </c>
      <c r="E15" s="10">
        <f>+'Lundi S3'!E15+'Mardi S3'!E15+'Mercredi S3'!E15+'Jeudi S3'!E15+'Vendredi S3'!E15+'Samedi S3'!E15</f>
        <v>30</v>
      </c>
      <c r="F15" s="10">
        <f>+'Lundi S3'!F15+'Mardi S3'!F15+'Mercredi S3'!F15+'Jeudi S3'!F15+'Vendredi S3'!F15+'Samedi S3'!F15</f>
        <v>12</v>
      </c>
      <c r="G15" s="11">
        <f>+'Lundi S3'!G15+'Mardi S3'!G15+'Mercredi S3'!G15+'Jeudi S3'!G15+'Vendredi S3'!G15+'Samedi S3'!G15</f>
        <v>30</v>
      </c>
      <c r="H15" s="9">
        <f>+'Lundi S3'!H15+'Mardi S3'!H15+'Mercredi S3'!H15+'Jeudi S3'!H15+'Vendredi S3'!H15+'Samedi S3'!H15</f>
        <v>18</v>
      </c>
      <c r="I15" s="10">
        <f>+'Lundi S3'!I15+'Mardi S3'!I15+'Mercredi S3'!I15+'Jeudi S3'!I15+'Vendredi S3'!I15+'Samedi S3'!I15</f>
        <v>6</v>
      </c>
      <c r="J15" s="10">
        <f>+'Lundi S3'!J15+'Mardi S3'!J15+'Mercredi S3'!J15+'Jeudi S3'!J15+'Vendredi S3'!J15+'Samedi S3'!J15</f>
        <v>6</v>
      </c>
      <c r="K15" s="10">
        <f>+'Lundi S3'!K15+'Mardi S3'!K15+'Mercredi S3'!K15+'Jeudi S3'!K15+'Vendredi S3'!K15+'Samedi S3'!K15</f>
        <v>6</v>
      </c>
      <c r="L15" s="11">
        <f>+'Lundi S3'!L15+'Mardi S3'!L15+'Mercredi S3'!L15+'Jeudi S3'!L15+'Vendredi S3'!L15+'Samedi S3'!L15</f>
        <v>6</v>
      </c>
      <c r="M15" s="9">
        <f>+'Lundi S3'!M15+'Mardi S3'!M15+'Mercredi S3'!M15+'Jeudi S3'!M15+'Vendredi S3'!M15+'Samedi S3'!M15</f>
        <v>18</v>
      </c>
      <c r="N15" s="10">
        <f>+'Lundi S3'!N15+'Mardi S3'!N15+'Mercredi S3'!N15+'Jeudi S3'!N15+'Vendredi S3'!N15+'Samedi S3'!N15</f>
        <v>6</v>
      </c>
      <c r="O15" s="10">
        <f>+'Lundi S3'!O15+'Mardi S3'!O15+'Mercredi S3'!O15+'Jeudi S3'!O15+'Vendredi S3'!O15+'Samedi S3'!O15</f>
        <v>18</v>
      </c>
      <c r="P15" s="10">
        <f>+'Lundi S3'!P15+'Mardi S3'!P15+'Mercredi S3'!P15+'Jeudi S3'!P15+'Vendredi S3'!P15+'Samedi S3'!P15</f>
        <v>0</v>
      </c>
      <c r="Q15" s="11">
        <f>+'Lundi S3'!Q15+'Mardi S3'!Q15+'Mercredi S3'!Q15+'Jeudi S3'!Q15+'Vendredi S3'!Q15+'Samedi S3'!Q15</f>
        <v>0</v>
      </c>
      <c r="R15" s="61">
        <f>+'Lundi S3'!R15+'Mardi S3'!R15+'Mercredi S3'!R15+'Jeudi S3'!R15+'Vendredi S3'!R15+'Samedi S3'!R15</f>
        <v>3</v>
      </c>
      <c r="S15" s="62">
        <f>+'Lundi S3'!S15+'Mardi S3'!S15+'Mercredi S3'!S15+'Jeudi S3'!S15+'Vendredi S3'!S15+'Samedi S3'!S15</f>
        <v>0.99999999999999989</v>
      </c>
      <c r="T15" s="62">
        <f>+'Lundi S3'!T15+'Mardi S3'!T15+'Mercredi S3'!T15+'Jeudi S3'!T15+'Vendredi S3'!T15+'Samedi S3'!T15</f>
        <v>0.6</v>
      </c>
      <c r="U15" s="62">
        <f>+'Lundi S3'!U15+'Mardi S3'!U15+'Mercredi S3'!U15+'Jeudi S3'!U15+'Vendredi S3'!U15+'Samedi S3'!U15</f>
        <v>3.6</v>
      </c>
      <c r="V15" s="63">
        <f>+'Lundi S3'!V15+'Mardi S3'!V15+'Mercredi S3'!V15+'Jeudi S3'!V15+'Vendredi S3'!V15+'Samedi S3'!V15</f>
        <v>0.9</v>
      </c>
      <c r="W15" s="9">
        <f>+'Lundi S3'!W15+'Mardi S3'!W15+'Mercredi S3'!W15+'Jeudi S3'!W15+'Vendredi S3'!W15+'Samedi S3'!W15</f>
        <v>0</v>
      </c>
      <c r="X15" s="10">
        <f>+'Lundi S3'!X15+'Mardi S3'!X15+'Mercredi S3'!X15+'Jeudi S3'!X15+'Vendredi S3'!X15+'Samedi S3'!X15</f>
        <v>0</v>
      </c>
      <c r="Y15" s="10">
        <f>+'Lundi S3'!Y15+'Mardi S3'!Y15+'Mercredi S3'!Y15+'Jeudi S3'!Y15+'Vendredi S3'!Y15+'Samedi S3'!Y15</f>
        <v>0</v>
      </c>
      <c r="Z15" s="10">
        <f>+'Lundi S3'!Z15+'Mardi S3'!Z15+'Mercredi S3'!Z15+'Jeudi S3'!Z15+'Vendredi S3'!Z15+'Samedi S3'!Z15</f>
        <v>0</v>
      </c>
      <c r="AA15" s="11">
        <f>+'Lundi S3'!AA15+'Mardi S3'!AA15+'Mercredi S3'!AA15+'Jeudi S3'!AA15+'Vendredi S3'!AA15+'Samedi S3'!AA15</f>
        <v>0</v>
      </c>
      <c r="AB15" s="9">
        <f>+'Lundi S3'!AB15+'Mardi S3'!AB15+'Mercredi S3'!AB15+'Jeudi S3'!AB15+'Vendredi S3'!AB15+'Samedi S3'!AB15</f>
        <v>0</v>
      </c>
      <c r="AC15" s="10">
        <f>+'Lundi S3'!AC15+'Mardi S3'!AC15+'Mercredi S3'!AC15+'Jeudi S3'!AC15+'Vendredi S3'!AC15+'Samedi S3'!AC15</f>
        <v>0</v>
      </c>
      <c r="AD15" s="10">
        <f>+'Lundi S3'!AD15+'Mardi S3'!AD15+'Mercredi S3'!AD15+'Jeudi S3'!AD15+'Vendredi S3'!AD15+'Samedi S3'!AD15</f>
        <v>0</v>
      </c>
      <c r="AE15" s="10">
        <f>+'Lundi S3'!AE15+'Mardi S3'!AE15+'Mercredi S3'!AE15+'Jeudi S3'!AE15+'Vendredi S3'!AE15+'Samedi S3'!AE15</f>
        <v>0</v>
      </c>
      <c r="AF15" s="11">
        <f>+'Lundi S3'!AF15+'Mardi S3'!AF15+'Mercredi S3'!AF15+'Jeudi S3'!AF15+'Vendredi S3'!AF15+'Samedi S3'!AF15</f>
        <v>0</v>
      </c>
      <c r="AG15" s="9">
        <f>+'Lundi S3'!AG15+'Mardi S3'!AG15+'Mercredi S3'!AG15+'Jeudi S3'!AG15+'Vendredi S3'!AG15+'Samedi S3'!AG15</f>
        <v>0</v>
      </c>
      <c r="AH15" s="10">
        <f>+'Lundi S3'!AH15+'Mardi S3'!AH15+'Mercredi S3'!AH15+'Jeudi S3'!AH15+'Vendredi S3'!AH15+'Samedi S3'!AH15</f>
        <v>0</v>
      </c>
      <c r="AI15" s="10">
        <f>+'Lundi S3'!AI15+'Mardi S3'!AI15+'Mercredi S3'!AI15+'Jeudi S3'!AI15+'Vendredi S3'!AI15+'Samedi S3'!AI15</f>
        <v>0</v>
      </c>
      <c r="AJ15" s="10">
        <f>+'Lundi S3'!AJ15+'Mardi S3'!AJ15+'Mercredi S3'!AJ15+'Jeudi S3'!AJ15+'Vendredi S3'!AJ15+'Samedi S3'!AJ15</f>
        <v>0</v>
      </c>
      <c r="AK15" s="11">
        <f>+'Lundi S3'!AK15+'Mardi S3'!AK15+'Mercredi S3'!AK15+'Jeudi S3'!AK15+'Vendredi S3'!AK15+'Samedi S3'!AK15</f>
        <v>0</v>
      </c>
      <c r="AL15" s="9">
        <f>+'Lundi S3'!AL15+'Mardi S3'!AL15+'Mercredi S3'!AL15+'Jeudi S3'!AL15+'Vendredi S3'!AL15+'Samedi S3'!AL15</f>
        <v>0</v>
      </c>
      <c r="AM15" s="10">
        <f>+'Lundi S3'!AM15+'Mardi S3'!AM15+'Mercredi S3'!AM15+'Jeudi S3'!AM15+'Vendredi S3'!AM15+'Samedi S3'!AM15</f>
        <v>0</v>
      </c>
      <c r="AN15" s="10">
        <f>+'Lundi S3'!AN15+'Mardi S3'!AN15+'Mercredi S3'!AN15+'Jeudi S3'!AN15+'Vendredi S3'!AN15+'Samedi S3'!AN15</f>
        <v>0</v>
      </c>
      <c r="AO15" s="10">
        <f>+'Lundi S3'!AO15+'Mardi S3'!AO15+'Mercredi S3'!AO15+'Jeudi S3'!AO15+'Vendredi S3'!AO15+'Samedi S3'!AO15</f>
        <v>0</v>
      </c>
      <c r="AP15" s="11">
        <f>+'Lundi S3'!AP15+'Mardi S3'!AP15+'Mercredi S3'!AP15+'Jeudi S3'!AP15+'Vendredi S3'!AP15+'Samedi S3'!AP15</f>
        <v>0</v>
      </c>
      <c r="AQ15" s="9">
        <f>+'Lundi S3'!AQ15+'Mardi S3'!AQ15+'Mercredi S3'!AQ15+'Jeudi S3'!AQ15+'Vendredi S3'!AQ15+'Samedi S3'!AQ15</f>
        <v>0</v>
      </c>
      <c r="AR15" s="10">
        <f>+'Lundi S3'!AR15+'Mardi S3'!AR15+'Mercredi S3'!AR15+'Jeudi S3'!AR15+'Vendredi S3'!AR15+'Samedi S3'!AR15</f>
        <v>0</v>
      </c>
      <c r="AS15" s="11">
        <f>+'Lundi S3'!AS15+'Mardi S3'!AS15+'Mercredi S3'!AS15+'Jeudi S3'!AS15+'Vendredi S3'!AS15+'Samedi S3'!AS15</f>
        <v>0</v>
      </c>
      <c r="AT15" s="22"/>
      <c r="AU15" s="14"/>
    </row>
    <row r="16" spans="1:47" ht="31.9" customHeight="1" x14ac:dyDescent="0.2">
      <c r="A16" s="26">
        <v>10</v>
      </c>
      <c r="B16" s="19"/>
      <c r="C16" s="9">
        <f>+'Lundi S3'!C16+'Mardi S3'!C16+'Mercredi S3'!C16+'Jeudi S3'!C16+'Vendredi S3'!C16+'Samedi S3'!C16</f>
        <v>90</v>
      </c>
      <c r="D16" s="10">
        <f>+'Lundi S3'!D16+'Mardi S3'!D16+'Mercredi S3'!D16+'Jeudi S3'!D16+'Vendredi S3'!D16+'Samedi S3'!D16</f>
        <v>18</v>
      </c>
      <c r="E16" s="10">
        <f>+'Lundi S3'!E16+'Mardi S3'!E16+'Mercredi S3'!E16+'Jeudi S3'!E16+'Vendredi S3'!E16+'Samedi S3'!E16</f>
        <v>30</v>
      </c>
      <c r="F16" s="10">
        <f>+'Lundi S3'!F16+'Mardi S3'!F16+'Mercredi S3'!F16+'Jeudi S3'!F16+'Vendredi S3'!F16+'Samedi S3'!F16</f>
        <v>12</v>
      </c>
      <c r="G16" s="11">
        <f>+'Lundi S3'!G16+'Mardi S3'!G16+'Mercredi S3'!G16+'Jeudi S3'!G16+'Vendredi S3'!G16+'Samedi S3'!G16</f>
        <v>30</v>
      </c>
      <c r="H16" s="9">
        <f>+'Lundi S3'!H16+'Mardi S3'!H16+'Mercredi S3'!H16+'Jeudi S3'!H16+'Vendredi S3'!H16+'Samedi S3'!H16</f>
        <v>18</v>
      </c>
      <c r="I16" s="10">
        <f>+'Lundi S3'!I16+'Mardi S3'!I16+'Mercredi S3'!I16+'Jeudi S3'!I16+'Vendredi S3'!I16+'Samedi S3'!I16</f>
        <v>6</v>
      </c>
      <c r="J16" s="10">
        <f>+'Lundi S3'!J16+'Mardi S3'!J16+'Mercredi S3'!J16+'Jeudi S3'!J16+'Vendredi S3'!J16+'Samedi S3'!J16</f>
        <v>6</v>
      </c>
      <c r="K16" s="10">
        <f>+'Lundi S3'!K16+'Mardi S3'!K16+'Mercredi S3'!K16+'Jeudi S3'!K16+'Vendredi S3'!K16+'Samedi S3'!K16</f>
        <v>6</v>
      </c>
      <c r="L16" s="11">
        <f>+'Lundi S3'!L16+'Mardi S3'!L16+'Mercredi S3'!L16+'Jeudi S3'!L16+'Vendredi S3'!L16+'Samedi S3'!L16</f>
        <v>6</v>
      </c>
      <c r="M16" s="9">
        <f>+'Lundi S3'!M16+'Mardi S3'!M16+'Mercredi S3'!M16+'Jeudi S3'!M16+'Vendredi S3'!M16+'Samedi S3'!M16</f>
        <v>18</v>
      </c>
      <c r="N16" s="10">
        <f>+'Lundi S3'!N16+'Mardi S3'!N16+'Mercredi S3'!N16+'Jeudi S3'!N16+'Vendredi S3'!N16+'Samedi S3'!N16</f>
        <v>6</v>
      </c>
      <c r="O16" s="10">
        <f>+'Lundi S3'!O16+'Mardi S3'!O16+'Mercredi S3'!O16+'Jeudi S3'!O16+'Vendredi S3'!O16+'Samedi S3'!O16</f>
        <v>18</v>
      </c>
      <c r="P16" s="10">
        <f>+'Lundi S3'!P16+'Mardi S3'!P16+'Mercredi S3'!P16+'Jeudi S3'!P16+'Vendredi S3'!P16+'Samedi S3'!P16</f>
        <v>0</v>
      </c>
      <c r="Q16" s="11">
        <f>+'Lundi S3'!Q16+'Mardi S3'!Q16+'Mercredi S3'!Q16+'Jeudi S3'!Q16+'Vendredi S3'!Q16+'Samedi S3'!Q16</f>
        <v>0</v>
      </c>
      <c r="R16" s="61">
        <f>+'Lundi S3'!R16+'Mardi S3'!R16+'Mercredi S3'!R16+'Jeudi S3'!R16+'Vendredi S3'!R16+'Samedi S3'!R16</f>
        <v>3</v>
      </c>
      <c r="S16" s="62">
        <f>+'Lundi S3'!S16+'Mardi S3'!S16+'Mercredi S3'!S16+'Jeudi S3'!S16+'Vendredi S3'!S16+'Samedi S3'!S16</f>
        <v>0.99999999999999989</v>
      </c>
      <c r="T16" s="62">
        <f>+'Lundi S3'!T16+'Mardi S3'!T16+'Mercredi S3'!T16+'Jeudi S3'!T16+'Vendredi S3'!T16+'Samedi S3'!T16</f>
        <v>0.6</v>
      </c>
      <c r="U16" s="62">
        <f>+'Lundi S3'!U16+'Mardi S3'!U16+'Mercredi S3'!U16+'Jeudi S3'!U16+'Vendredi S3'!U16+'Samedi S3'!U16</f>
        <v>3.6</v>
      </c>
      <c r="V16" s="63">
        <f>+'Lundi S3'!V16+'Mardi S3'!V16+'Mercredi S3'!V16+'Jeudi S3'!V16+'Vendredi S3'!V16+'Samedi S3'!V16</f>
        <v>0.9</v>
      </c>
      <c r="W16" s="9">
        <f>+'Lundi S3'!W16+'Mardi S3'!W16+'Mercredi S3'!W16+'Jeudi S3'!W16+'Vendredi S3'!W16+'Samedi S3'!W16</f>
        <v>0</v>
      </c>
      <c r="X16" s="10">
        <f>+'Lundi S3'!X16+'Mardi S3'!X16+'Mercredi S3'!X16+'Jeudi S3'!X16+'Vendredi S3'!X16+'Samedi S3'!X16</f>
        <v>0</v>
      </c>
      <c r="Y16" s="10">
        <f>+'Lundi S3'!Y16+'Mardi S3'!Y16+'Mercredi S3'!Y16+'Jeudi S3'!Y16+'Vendredi S3'!Y16+'Samedi S3'!Y16</f>
        <v>0</v>
      </c>
      <c r="Z16" s="10">
        <f>+'Lundi S3'!Z16+'Mardi S3'!Z16+'Mercredi S3'!Z16+'Jeudi S3'!Z16+'Vendredi S3'!Z16+'Samedi S3'!Z16</f>
        <v>0</v>
      </c>
      <c r="AA16" s="11">
        <f>+'Lundi S3'!AA16+'Mardi S3'!AA16+'Mercredi S3'!AA16+'Jeudi S3'!AA16+'Vendredi S3'!AA16+'Samedi S3'!AA16</f>
        <v>0</v>
      </c>
      <c r="AB16" s="9">
        <f>+'Lundi S3'!AB16+'Mardi S3'!AB16+'Mercredi S3'!AB16+'Jeudi S3'!AB16+'Vendredi S3'!AB16+'Samedi S3'!AB16</f>
        <v>0</v>
      </c>
      <c r="AC16" s="10">
        <f>+'Lundi S3'!AC16+'Mardi S3'!AC16+'Mercredi S3'!AC16+'Jeudi S3'!AC16+'Vendredi S3'!AC16+'Samedi S3'!AC16</f>
        <v>0</v>
      </c>
      <c r="AD16" s="10">
        <f>+'Lundi S3'!AD16+'Mardi S3'!AD16+'Mercredi S3'!AD16+'Jeudi S3'!AD16+'Vendredi S3'!AD16+'Samedi S3'!AD16</f>
        <v>0</v>
      </c>
      <c r="AE16" s="10">
        <f>+'Lundi S3'!AE16+'Mardi S3'!AE16+'Mercredi S3'!AE16+'Jeudi S3'!AE16+'Vendredi S3'!AE16+'Samedi S3'!AE16</f>
        <v>0</v>
      </c>
      <c r="AF16" s="11">
        <f>+'Lundi S3'!AF16+'Mardi S3'!AF16+'Mercredi S3'!AF16+'Jeudi S3'!AF16+'Vendredi S3'!AF16+'Samedi S3'!AF16</f>
        <v>0</v>
      </c>
      <c r="AG16" s="9">
        <f>+'Lundi S3'!AG16+'Mardi S3'!AG16+'Mercredi S3'!AG16+'Jeudi S3'!AG16+'Vendredi S3'!AG16+'Samedi S3'!AG16</f>
        <v>0</v>
      </c>
      <c r="AH16" s="10">
        <f>+'Lundi S3'!AH16+'Mardi S3'!AH16+'Mercredi S3'!AH16+'Jeudi S3'!AH16+'Vendredi S3'!AH16+'Samedi S3'!AH16</f>
        <v>0</v>
      </c>
      <c r="AI16" s="10">
        <f>+'Lundi S3'!AI16+'Mardi S3'!AI16+'Mercredi S3'!AI16+'Jeudi S3'!AI16+'Vendredi S3'!AI16+'Samedi S3'!AI16</f>
        <v>0</v>
      </c>
      <c r="AJ16" s="10">
        <f>+'Lundi S3'!AJ16+'Mardi S3'!AJ16+'Mercredi S3'!AJ16+'Jeudi S3'!AJ16+'Vendredi S3'!AJ16+'Samedi S3'!AJ16</f>
        <v>0</v>
      </c>
      <c r="AK16" s="11">
        <f>+'Lundi S3'!AK16+'Mardi S3'!AK16+'Mercredi S3'!AK16+'Jeudi S3'!AK16+'Vendredi S3'!AK16+'Samedi S3'!AK16</f>
        <v>0</v>
      </c>
      <c r="AL16" s="9">
        <f>+'Lundi S3'!AL16+'Mardi S3'!AL16+'Mercredi S3'!AL16+'Jeudi S3'!AL16+'Vendredi S3'!AL16+'Samedi S3'!AL16</f>
        <v>0</v>
      </c>
      <c r="AM16" s="10">
        <f>+'Lundi S3'!AM16+'Mardi S3'!AM16+'Mercredi S3'!AM16+'Jeudi S3'!AM16+'Vendredi S3'!AM16+'Samedi S3'!AM16</f>
        <v>0</v>
      </c>
      <c r="AN16" s="10">
        <f>+'Lundi S3'!AN16+'Mardi S3'!AN16+'Mercredi S3'!AN16+'Jeudi S3'!AN16+'Vendredi S3'!AN16+'Samedi S3'!AN16</f>
        <v>0</v>
      </c>
      <c r="AO16" s="10">
        <f>+'Lundi S3'!AO16+'Mardi S3'!AO16+'Mercredi S3'!AO16+'Jeudi S3'!AO16+'Vendredi S3'!AO16+'Samedi S3'!AO16</f>
        <v>0</v>
      </c>
      <c r="AP16" s="11">
        <f>+'Lundi S3'!AP16+'Mardi S3'!AP16+'Mercredi S3'!AP16+'Jeudi S3'!AP16+'Vendredi S3'!AP16+'Samedi S3'!AP16</f>
        <v>0</v>
      </c>
      <c r="AQ16" s="9">
        <f>+'Lundi S3'!AQ16+'Mardi S3'!AQ16+'Mercredi S3'!AQ16+'Jeudi S3'!AQ16+'Vendredi S3'!AQ16+'Samedi S3'!AQ16</f>
        <v>0</v>
      </c>
      <c r="AR16" s="10">
        <f>+'Lundi S3'!AR16+'Mardi S3'!AR16+'Mercredi S3'!AR16+'Jeudi S3'!AR16+'Vendredi S3'!AR16+'Samedi S3'!AR16</f>
        <v>0</v>
      </c>
      <c r="AS16" s="11">
        <f>+'Lundi S3'!AS16+'Mardi S3'!AS16+'Mercredi S3'!AS16+'Jeudi S3'!AS16+'Vendredi S3'!AS16+'Samedi S3'!AS16</f>
        <v>0</v>
      </c>
      <c r="AT16" s="22"/>
      <c r="AU16" s="14"/>
    </row>
    <row r="17" spans="1:47" ht="31.9" customHeight="1" x14ac:dyDescent="0.2">
      <c r="A17" s="26">
        <v>11</v>
      </c>
      <c r="B17" s="19"/>
      <c r="C17" s="9">
        <f>+'Lundi S3'!C17+'Mardi S3'!C17+'Mercredi S3'!C17+'Jeudi S3'!C17+'Vendredi S3'!C17+'Samedi S3'!C17</f>
        <v>90</v>
      </c>
      <c r="D17" s="10">
        <f>+'Lundi S3'!D17+'Mardi S3'!D17+'Mercredi S3'!D17+'Jeudi S3'!D17+'Vendredi S3'!D17+'Samedi S3'!D17</f>
        <v>18</v>
      </c>
      <c r="E17" s="10">
        <f>+'Lundi S3'!E17+'Mardi S3'!E17+'Mercredi S3'!E17+'Jeudi S3'!E17+'Vendredi S3'!E17+'Samedi S3'!E17</f>
        <v>30</v>
      </c>
      <c r="F17" s="10">
        <f>+'Lundi S3'!F17+'Mardi S3'!F17+'Mercredi S3'!F17+'Jeudi S3'!F17+'Vendredi S3'!F17+'Samedi S3'!F17</f>
        <v>12</v>
      </c>
      <c r="G17" s="11">
        <f>+'Lundi S3'!G17+'Mardi S3'!G17+'Mercredi S3'!G17+'Jeudi S3'!G17+'Vendredi S3'!G17+'Samedi S3'!G17</f>
        <v>30</v>
      </c>
      <c r="H17" s="9">
        <f>+'Lundi S3'!H17+'Mardi S3'!H17+'Mercredi S3'!H17+'Jeudi S3'!H17+'Vendredi S3'!H17+'Samedi S3'!H17</f>
        <v>18</v>
      </c>
      <c r="I17" s="10">
        <f>+'Lundi S3'!I17+'Mardi S3'!I17+'Mercredi S3'!I17+'Jeudi S3'!I17+'Vendredi S3'!I17+'Samedi S3'!I17</f>
        <v>6</v>
      </c>
      <c r="J17" s="10">
        <f>+'Lundi S3'!J17+'Mardi S3'!J17+'Mercredi S3'!J17+'Jeudi S3'!J17+'Vendredi S3'!J17+'Samedi S3'!J17</f>
        <v>6</v>
      </c>
      <c r="K17" s="10">
        <f>+'Lundi S3'!K17+'Mardi S3'!K17+'Mercredi S3'!K17+'Jeudi S3'!K17+'Vendredi S3'!K17+'Samedi S3'!K17</f>
        <v>6</v>
      </c>
      <c r="L17" s="11">
        <f>+'Lundi S3'!L17+'Mardi S3'!L17+'Mercredi S3'!L17+'Jeudi S3'!L17+'Vendredi S3'!L17+'Samedi S3'!L17</f>
        <v>6</v>
      </c>
      <c r="M17" s="9">
        <f>+'Lundi S3'!M17+'Mardi S3'!M17+'Mercredi S3'!M17+'Jeudi S3'!M17+'Vendredi S3'!M17+'Samedi S3'!M17</f>
        <v>18</v>
      </c>
      <c r="N17" s="10">
        <f>+'Lundi S3'!N17+'Mardi S3'!N17+'Mercredi S3'!N17+'Jeudi S3'!N17+'Vendredi S3'!N17+'Samedi S3'!N17</f>
        <v>6</v>
      </c>
      <c r="O17" s="10">
        <f>+'Lundi S3'!O17+'Mardi S3'!O17+'Mercredi S3'!O17+'Jeudi S3'!O17+'Vendredi S3'!O17+'Samedi S3'!O17</f>
        <v>18</v>
      </c>
      <c r="P17" s="10">
        <f>+'Lundi S3'!P17+'Mardi S3'!P17+'Mercredi S3'!P17+'Jeudi S3'!P17+'Vendredi S3'!P17+'Samedi S3'!P17</f>
        <v>0</v>
      </c>
      <c r="Q17" s="11">
        <f>+'Lundi S3'!Q17+'Mardi S3'!Q17+'Mercredi S3'!Q17+'Jeudi S3'!Q17+'Vendredi S3'!Q17+'Samedi S3'!Q17</f>
        <v>0</v>
      </c>
      <c r="R17" s="61">
        <f>+'Lundi S3'!R17+'Mardi S3'!R17+'Mercredi S3'!R17+'Jeudi S3'!R17+'Vendredi S3'!R17+'Samedi S3'!R17</f>
        <v>3</v>
      </c>
      <c r="S17" s="62">
        <f>+'Lundi S3'!S17+'Mardi S3'!S17+'Mercredi S3'!S17+'Jeudi S3'!S17+'Vendredi S3'!S17+'Samedi S3'!S17</f>
        <v>0.99999999999999989</v>
      </c>
      <c r="T17" s="62">
        <f>+'Lundi S3'!T17+'Mardi S3'!T17+'Mercredi S3'!T17+'Jeudi S3'!T17+'Vendredi S3'!T17+'Samedi S3'!T17</f>
        <v>0.6</v>
      </c>
      <c r="U17" s="62">
        <f>+'Lundi S3'!U17+'Mardi S3'!U17+'Mercredi S3'!U17+'Jeudi S3'!U17+'Vendredi S3'!U17+'Samedi S3'!U17</f>
        <v>3.6</v>
      </c>
      <c r="V17" s="63">
        <f>+'Lundi S3'!V17+'Mardi S3'!V17+'Mercredi S3'!V17+'Jeudi S3'!V17+'Vendredi S3'!V17+'Samedi S3'!V17</f>
        <v>0.9</v>
      </c>
      <c r="W17" s="9">
        <f>+'Lundi S3'!W17+'Mardi S3'!W17+'Mercredi S3'!W17+'Jeudi S3'!W17+'Vendredi S3'!W17+'Samedi S3'!W17</f>
        <v>0</v>
      </c>
      <c r="X17" s="10">
        <f>+'Lundi S3'!X17+'Mardi S3'!X17+'Mercredi S3'!X17+'Jeudi S3'!X17+'Vendredi S3'!X17+'Samedi S3'!X17</f>
        <v>0</v>
      </c>
      <c r="Y17" s="10">
        <f>+'Lundi S3'!Y17+'Mardi S3'!Y17+'Mercredi S3'!Y17+'Jeudi S3'!Y17+'Vendredi S3'!Y17+'Samedi S3'!Y17</f>
        <v>0</v>
      </c>
      <c r="Z17" s="10">
        <f>+'Lundi S3'!Z17+'Mardi S3'!Z17+'Mercredi S3'!Z17+'Jeudi S3'!Z17+'Vendredi S3'!Z17+'Samedi S3'!Z17</f>
        <v>0</v>
      </c>
      <c r="AA17" s="11">
        <f>+'Lundi S3'!AA17+'Mardi S3'!AA17+'Mercredi S3'!AA17+'Jeudi S3'!AA17+'Vendredi S3'!AA17+'Samedi S3'!AA17</f>
        <v>0</v>
      </c>
      <c r="AB17" s="9">
        <f>+'Lundi S3'!AB17+'Mardi S3'!AB17+'Mercredi S3'!AB17+'Jeudi S3'!AB17+'Vendredi S3'!AB17+'Samedi S3'!AB17</f>
        <v>0</v>
      </c>
      <c r="AC17" s="10">
        <f>+'Lundi S3'!AC17+'Mardi S3'!AC17+'Mercredi S3'!AC17+'Jeudi S3'!AC17+'Vendredi S3'!AC17+'Samedi S3'!AC17</f>
        <v>0</v>
      </c>
      <c r="AD17" s="10">
        <f>+'Lundi S3'!AD17+'Mardi S3'!AD17+'Mercredi S3'!AD17+'Jeudi S3'!AD17+'Vendredi S3'!AD17+'Samedi S3'!AD17</f>
        <v>0</v>
      </c>
      <c r="AE17" s="10">
        <f>+'Lundi S3'!AE17+'Mardi S3'!AE17+'Mercredi S3'!AE17+'Jeudi S3'!AE17+'Vendredi S3'!AE17+'Samedi S3'!AE17</f>
        <v>0</v>
      </c>
      <c r="AF17" s="11">
        <f>+'Lundi S3'!AF17+'Mardi S3'!AF17+'Mercredi S3'!AF17+'Jeudi S3'!AF17+'Vendredi S3'!AF17+'Samedi S3'!AF17</f>
        <v>0</v>
      </c>
      <c r="AG17" s="9">
        <f>+'Lundi S3'!AG17+'Mardi S3'!AG17+'Mercredi S3'!AG17+'Jeudi S3'!AG17+'Vendredi S3'!AG17+'Samedi S3'!AG17</f>
        <v>0</v>
      </c>
      <c r="AH17" s="10">
        <f>+'Lundi S3'!AH17+'Mardi S3'!AH17+'Mercredi S3'!AH17+'Jeudi S3'!AH17+'Vendredi S3'!AH17+'Samedi S3'!AH17</f>
        <v>0</v>
      </c>
      <c r="AI17" s="10">
        <f>+'Lundi S3'!AI17+'Mardi S3'!AI17+'Mercredi S3'!AI17+'Jeudi S3'!AI17+'Vendredi S3'!AI17+'Samedi S3'!AI17</f>
        <v>0</v>
      </c>
      <c r="AJ17" s="10">
        <f>+'Lundi S3'!AJ17+'Mardi S3'!AJ17+'Mercredi S3'!AJ17+'Jeudi S3'!AJ17+'Vendredi S3'!AJ17+'Samedi S3'!AJ17</f>
        <v>0</v>
      </c>
      <c r="AK17" s="11">
        <f>+'Lundi S3'!AK17+'Mardi S3'!AK17+'Mercredi S3'!AK17+'Jeudi S3'!AK17+'Vendredi S3'!AK17+'Samedi S3'!AK17</f>
        <v>0</v>
      </c>
      <c r="AL17" s="9">
        <f>+'Lundi S3'!AL17+'Mardi S3'!AL17+'Mercredi S3'!AL17+'Jeudi S3'!AL17+'Vendredi S3'!AL17+'Samedi S3'!AL17</f>
        <v>0</v>
      </c>
      <c r="AM17" s="10">
        <f>+'Lundi S3'!AM17+'Mardi S3'!AM17+'Mercredi S3'!AM17+'Jeudi S3'!AM17+'Vendredi S3'!AM17+'Samedi S3'!AM17</f>
        <v>0</v>
      </c>
      <c r="AN17" s="10">
        <f>+'Lundi S3'!AN17+'Mardi S3'!AN17+'Mercredi S3'!AN17+'Jeudi S3'!AN17+'Vendredi S3'!AN17+'Samedi S3'!AN17</f>
        <v>0</v>
      </c>
      <c r="AO17" s="10">
        <f>+'Lundi S3'!AO17+'Mardi S3'!AO17+'Mercredi S3'!AO17+'Jeudi S3'!AO17+'Vendredi S3'!AO17+'Samedi S3'!AO17</f>
        <v>0</v>
      </c>
      <c r="AP17" s="11">
        <f>+'Lundi S3'!AP17+'Mardi S3'!AP17+'Mercredi S3'!AP17+'Jeudi S3'!AP17+'Vendredi S3'!AP17+'Samedi S3'!AP17</f>
        <v>0</v>
      </c>
      <c r="AQ17" s="9">
        <f>+'Lundi S3'!AQ17+'Mardi S3'!AQ17+'Mercredi S3'!AQ17+'Jeudi S3'!AQ17+'Vendredi S3'!AQ17+'Samedi S3'!AQ17</f>
        <v>0</v>
      </c>
      <c r="AR17" s="10">
        <f>+'Lundi S3'!AR17+'Mardi S3'!AR17+'Mercredi S3'!AR17+'Jeudi S3'!AR17+'Vendredi S3'!AR17+'Samedi S3'!AR17</f>
        <v>0</v>
      </c>
      <c r="AS17" s="11">
        <f>+'Lundi S3'!AS17+'Mardi S3'!AS17+'Mercredi S3'!AS17+'Jeudi S3'!AS17+'Vendredi S3'!AS17+'Samedi S3'!AS17</f>
        <v>0</v>
      </c>
      <c r="AT17" s="22"/>
      <c r="AU17" s="14"/>
    </row>
    <row r="18" spans="1:47" ht="31.9" customHeight="1" x14ac:dyDescent="0.2">
      <c r="A18" s="26">
        <v>12</v>
      </c>
      <c r="B18" s="19"/>
      <c r="C18" s="9">
        <f>+'Lundi S3'!C18+'Mardi S3'!C18+'Mercredi S3'!C18+'Jeudi S3'!C18+'Vendredi S3'!C18+'Samedi S3'!C18</f>
        <v>90</v>
      </c>
      <c r="D18" s="10">
        <f>+'Lundi S3'!D18+'Mardi S3'!D18+'Mercredi S3'!D18+'Jeudi S3'!D18+'Vendredi S3'!D18+'Samedi S3'!D18</f>
        <v>18</v>
      </c>
      <c r="E18" s="10">
        <f>+'Lundi S3'!E18+'Mardi S3'!E18+'Mercredi S3'!E18+'Jeudi S3'!E18+'Vendredi S3'!E18+'Samedi S3'!E18</f>
        <v>30</v>
      </c>
      <c r="F18" s="10">
        <f>+'Lundi S3'!F18+'Mardi S3'!F18+'Mercredi S3'!F18+'Jeudi S3'!F18+'Vendredi S3'!F18+'Samedi S3'!F18</f>
        <v>12</v>
      </c>
      <c r="G18" s="11">
        <f>+'Lundi S3'!G18+'Mardi S3'!G18+'Mercredi S3'!G18+'Jeudi S3'!G18+'Vendredi S3'!G18+'Samedi S3'!G18</f>
        <v>30</v>
      </c>
      <c r="H18" s="9">
        <f>+'Lundi S3'!H18+'Mardi S3'!H18+'Mercredi S3'!H18+'Jeudi S3'!H18+'Vendredi S3'!H18+'Samedi S3'!H18</f>
        <v>18</v>
      </c>
      <c r="I18" s="10">
        <f>+'Lundi S3'!I18+'Mardi S3'!I18+'Mercredi S3'!I18+'Jeudi S3'!I18+'Vendredi S3'!I18+'Samedi S3'!I18</f>
        <v>6</v>
      </c>
      <c r="J18" s="10">
        <f>+'Lundi S3'!J18+'Mardi S3'!J18+'Mercredi S3'!J18+'Jeudi S3'!J18+'Vendredi S3'!J18+'Samedi S3'!J18</f>
        <v>6</v>
      </c>
      <c r="K18" s="10">
        <f>+'Lundi S3'!K18+'Mardi S3'!K18+'Mercredi S3'!K18+'Jeudi S3'!K18+'Vendredi S3'!K18+'Samedi S3'!K18</f>
        <v>6</v>
      </c>
      <c r="L18" s="11">
        <f>+'Lundi S3'!L18+'Mardi S3'!L18+'Mercredi S3'!L18+'Jeudi S3'!L18+'Vendredi S3'!L18+'Samedi S3'!L18</f>
        <v>6</v>
      </c>
      <c r="M18" s="9">
        <f>+'Lundi S3'!M18+'Mardi S3'!M18+'Mercredi S3'!M18+'Jeudi S3'!M18+'Vendredi S3'!M18+'Samedi S3'!M18</f>
        <v>18</v>
      </c>
      <c r="N18" s="10">
        <f>+'Lundi S3'!N18+'Mardi S3'!N18+'Mercredi S3'!N18+'Jeudi S3'!N18+'Vendredi S3'!N18+'Samedi S3'!N18</f>
        <v>6</v>
      </c>
      <c r="O18" s="10">
        <f>+'Lundi S3'!O18+'Mardi S3'!O18+'Mercredi S3'!O18+'Jeudi S3'!O18+'Vendredi S3'!O18+'Samedi S3'!O18</f>
        <v>18</v>
      </c>
      <c r="P18" s="10">
        <f>+'Lundi S3'!P18+'Mardi S3'!P18+'Mercredi S3'!P18+'Jeudi S3'!P18+'Vendredi S3'!P18+'Samedi S3'!P18</f>
        <v>0</v>
      </c>
      <c r="Q18" s="11">
        <f>+'Lundi S3'!Q18+'Mardi S3'!Q18+'Mercredi S3'!Q18+'Jeudi S3'!Q18+'Vendredi S3'!Q18+'Samedi S3'!Q18</f>
        <v>0</v>
      </c>
      <c r="R18" s="61">
        <f>+'Lundi S3'!R18+'Mardi S3'!R18+'Mercredi S3'!R18+'Jeudi S3'!R18+'Vendredi S3'!R18+'Samedi S3'!R18</f>
        <v>3</v>
      </c>
      <c r="S18" s="62">
        <f>+'Lundi S3'!S18+'Mardi S3'!S18+'Mercredi S3'!S18+'Jeudi S3'!S18+'Vendredi S3'!S18+'Samedi S3'!S18</f>
        <v>0.99999999999999989</v>
      </c>
      <c r="T18" s="62">
        <f>+'Lundi S3'!T18+'Mardi S3'!T18+'Mercredi S3'!T18+'Jeudi S3'!T18+'Vendredi S3'!T18+'Samedi S3'!T18</f>
        <v>0.6</v>
      </c>
      <c r="U18" s="62">
        <f>+'Lundi S3'!U18+'Mardi S3'!U18+'Mercredi S3'!U18+'Jeudi S3'!U18+'Vendredi S3'!U18+'Samedi S3'!U18</f>
        <v>3.6</v>
      </c>
      <c r="V18" s="63">
        <f>+'Lundi S3'!V18+'Mardi S3'!V18+'Mercredi S3'!V18+'Jeudi S3'!V18+'Vendredi S3'!V18+'Samedi S3'!V18</f>
        <v>0.9</v>
      </c>
      <c r="W18" s="9">
        <f>+'Lundi S3'!W18+'Mardi S3'!W18+'Mercredi S3'!W18+'Jeudi S3'!W18+'Vendredi S3'!W18+'Samedi S3'!W18</f>
        <v>0</v>
      </c>
      <c r="X18" s="10">
        <f>+'Lundi S3'!X18+'Mardi S3'!X18+'Mercredi S3'!X18+'Jeudi S3'!X18+'Vendredi S3'!X18+'Samedi S3'!X18</f>
        <v>0</v>
      </c>
      <c r="Y18" s="10">
        <f>+'Lundi S3'!Y18+'Mardi S3'!Y18+'Mercredi S3'!Y18+'Jeudi S3'!Y18+'Vendredi S3'!Y18+'Samedi S3'!Y18</f>
        <v>0</v>
      </c>
      <c r="Z18" s="10">
        <f>+'Lundi S3'!Z18+'Mardi S3'!Z18+'Mercredi S3'!Z18+'Jeudi S3'!Z18+'Vendredi S3'!Z18+'Samedi S3'!Z18</f>
        <v>0</v>
      </c>
      <c r="AA18" s="11">
        <f>+'Lundi S3'!AA18+'Mardi S3'!AA18+'Mercredi S3'!AA18+'Jeudi S3'!AA18+'Vendredi S3'!AA18+'Samedi S3'!AA18</f>
        <v>0</v>
      </c>
      <c r="AB18" s="9">
        <f>+'Lundi S3'!AB18+'Mardi S3'!AB18+'Mercredi S3'!AB18+'Jeudi S3'!AB18+'Vendredi S3'!AB18+'Samedi S3'!AB18</f>
        <v>0</v>
      </c>
      <c r="AC18" s="10">
        <f>+'Lundi S3'!AC18+'Mardi S3'!AC18+'Mercredi S3'!AC18+'Jeudi S3'!AC18+'Vendredi S3'!AC18+'Samedi S3'!AC18</f>
        <v>0</v>
      </c>
      <c r="AD18" s="10">
        <f>+'Lundi S3'!AD18+'Mardi S3'!AD18+'Mercredi S3'!AD18+'Jeudi S3'!AD18+'Vendredi S3'!AD18+'Samedi S3'!AD18</f>
        <v>0</v>
      </c>
      <c r="AE18" s="10">
        <f>+'Lundi S3'!AE18+'Mardi S3'!AE18+'Mercredi S3'!AE18+'Jeudi S3'!AE18+'Vendredi S3'!AE18+'Samedi S3'!AE18</f>
        <v>0</v>
      </c>
      <c r="AF18" s="11">
        <f>+'Lundi S3'!AF18+'Mardi S3'!AF18+'Mercredi S3'!AF18+'Jeudi S3'!AF18+'Vendredi S3'!AF18+'Samedi S3'!AF18</f>
        <v>0</v>
      </c>
      <c r="AG18" s="9">
        <f>+'Lundi S3'!AG18+'Mardi S3'!AG18+'Mercredi S3'!AG18+'Jeudi S3'!AG18+'Vendredi S3'!AG18+'Samedi S3'!AG18</f>
        <v>0</v>
      </c>
      <c r="AH18" s="10">
        <f>+'Lundi S3'!AH18+'Mardi S3'!AH18+'Mercredi S3'!AH18+'Jeudi S3'!AH18+'Vendredi S3'!AH18+'Samedi S3'!AH18</f>
        <v>0</v>
      </c>
      <c r="AI18" s="10">
        <f>+'Lundi S3'!AI18+'Mardi S3'!AI18+'Mercredi S3'!AI18+'Jeudi S3'!AI18+'Vendredi S3'!AI18+'Samedi S3'!AI18</f>
        <v>0</v>
      </c>
      <c r="AJ18" s="10">
        <f>+'Lundi S3'!AJ18+'Mardi S3'!AJ18+'Mercredi S3'!AJ18+'Jeudi S3'!AJ18+'Vendredi S3'!AJ18+'Samedi S3'!AJ18</f>
        <v>0</v>
      </c>
      <c r="AK18" s="11">
        <f>+'Lundi S3'!AK18+'Mardi S3'!AK18+'Mercredi S3'!AK18+'Jeudi S3'!AK18+'Vendredi S3'!AK18+'Samedi S3'!AK18</f>
        <v>0</v>
      </c>
      <c r="AL18" s="9">
        <f>+'Lundi S3'!AL18+'Mardi S3'!AL18+'Mercredi S3'!AL18+'Jeudi S3'!AL18+'Vendredi S3'!AL18+'Samedi S3'!AL18</f>
        <v>0</v>
      </c>
      <c r="AM18" s="10">
        <f>+'Lundi S3'!AM18+'Mardi S3'!AM18+'Mercredi S3'!AM18+'Jeudi S3'!AM18+'Vendredi S3'!AM18+'Samedi S3'!AM18</f>
        <v>0</v>
      </c>
      <c r="AN18" s="10">
        <f>+'Lundi S3'!AN18+'Mardi S3'!AN18+'Mercredi S3'!AN18+'Jeudi S3'!AN18+'Vendredi S3'!AN18+'Samedi S3'!AN18</f>
        <v>0</v>
      </c>
      <c r="AO18" s="10">
        <f>+'Lundi S3'!AO18+'Mardi S3'!AO18+'Mercredi S3'!AO18+'Jeudi S3'!AO18+'Vendredi S3'!AO18+'Samedi S3'!AO18</f>
        <v>0</v>
      </c>
      <c r="AP18" s="11">
        <f>+'Lundi S3'!AP18+'Mardi S3'!AP18+'Mercredi S3'!AP18+'Jeudi S3'!AP18+'Vendredi S3'!AP18+'Samedi S3'!AP18</f>
        <v>0</v>
      </c>
      <c r="AQ18" s="9">
        <f>+'Lundi S3'!AQ18+'Mardi S3'!AQ18+'Mercredi S3'!AQ18+'Jeudi S3'!AQ18+'Vendredi S3'!AQ18+'Samedi S3'!AQ18</f>
        <v>0</v>
      </c>
      <c r="AR18" s="10">
        <f>+'Lundi S3'!AR18+'Mardi S3'!AR18+'Mercredi S3'!AR18+'Jeudi S3'!AR18+'Vendredi S3'!AR18+'Samedi S3'!AR18</f>
        <v>0</v>
      </c>
      <c r="AS18" s="11">
        <f>+'Lundi S3'!AS18+'Mardi S3'!AS18+'Mercredi S3'!AS18+'Jeudi S3'!AS18+'Vendredi S3'!AS18+'Samedi S3'!AS18</f>
        <v>0</v>
      </c>
      <c r="AT18" s="22"/>
      <c r="AU18" s="14"/>
    </row>
    <row r="19" spans="1:47" ht="31.9" customHeight="1" x14ac:dyDescent="0.2">
      <c r="A19" s="26">
        <v>13</v>
      </c>
      <c r="B19" s="19"/>
      <c r="C19" s="9">
        <f>+'Lundi S3'!C19+'Mardi S3'!C19+'Mercredi S3'!C19+'Jeudi S3'!C19+'Vendredi S3'!C19+'Samedi S3'!C19</f>
        <v>90</v>
      </c>
      <c r="D19" s="10">
        <f>+'Lundi S3'!D19+'Mardi S3'!D19+'Mercredi S3'!D19+'Jeudi S3'!D19+'Vendredi S3'!D19+'Samedi S3'!D19</f>
        <v>18</v>
      </c>
      <c r="E19" s="10">
        <f>+'Lundi S3'!E19+'Mardi S3'!E19+'Mercredi S3'!E19+'Jeudi S3'!E19+'Vendredi S3'!E19+'Samedi S3'!E19</f>
        <v>30</v>
      </c>
      <c r="F19" s="10">
        <f>+'Lundi S3'!F19+'Mardi S3'!F19+'Mercredi S3'!F19+'Jeudi S3'!F19+'Vendredi S3'!F19+'Samedi S3'!F19</f>
        <v>12</v>
      </c>
      <c r="G19" s="11">
        <f>+'Lundi S3'!G19+'Mardi S3'!G19+'Mercredi S3'!G19+'Jeudi S3'!G19+'Vendredi S3'!G19+'Samedi S3'!G19</f>
        <v>30</v>
      </c>
      <c r="H19" s="9">
        <f>+'Lundi S3'!H19+'Mardi S3'!H19+'Mercredi S3'!H19+'Jeudi S3'!H19+'Vendredi S3'!H19+'Samedi S3'!H19</f>
        <v>18</v>
      </c>
      <c r="I19" s="10">
        <f>+'Lundi S3'!I19+'Mardi S3'!I19+'Mercredi S3'!I19+'Jeudi S3'!I19+'Vendredi S3'!I19+'Samedi S3'!I19</f>
        <v>6</v>
      </c>
      <c r="J19" s="10">
        <f>+'Lundi S3'!J19+'Mardi S3'!J19+'Mercredi S3'!J19+'Jeudi S3'!J19+'Vendredi S3'!J19+'Samedi S3'!J19</f>
        <v>6</v>
      </c>
      <c r="K19" s="10">
        <f>+'Lundi S3'!K19+'Mardi S3'!K19+'Mercredi S3'!K19+'Jeudi S3'!K19+'Vendredi S3'!K19+'Samedi S3'!K19</f>
        <v>6</v>
      </c>
      <c r="L19" s="11">
        <f>+'Lundi S3'!L19+'Mardi S3'!L19+'Mercredi S3'!L19+'Jeudi S3'!L19+'Vendredi S3'!L19+'Samedi S3'!L19</f>
        <v>6</v>
      </c>
      <c r="M19" s="9">
        <f>+'Lundi S3'!M19+'Mardi S3'!M19+'Mercredi S3'!M19+'Jeudi S3'!M19+'Vendredi S3'!M19+'Samedi S3'!M19</f>
        <v>18</v>
      </c>
      <c r="N19" s="10">
        <f>+'Lundi S3'!N19+'Mardi S3'!N19+'Mercredi S3'!N19+'Jeudi S3'!N19+'Vendredi S3'!N19+'Samedi S3'!N19</f>
        <v>6</v>
      </c>
      <c r="O19" s="10">
        <f>+'Lundi S3'!O19+'Mardi S3'!O19+'Mercredi S3'!O19+'Jeudi S3'!O19+'Vendredi S3'!O19+'Samedi S3'!O19</f>
        <v>18</v>
      </c>
      <c r="P19" s="10">
        <f>+'Lundi S3'!P19+'Mardi S3'!P19+'Mercredi S3'!P19+'Jeudi S3'!P19+'Vendredi S3'!P19+'Samedi S3'!P19</f>
        <v>0</v>
      </c>
      <c r="Q19" s="11">
        <f>+'Lundi S3'!Q19+'Mardi S3'!Q19+'Mercredi S3'!Q19+'Jeudi S3'!Q19+'Vendredi S3'!Q19+'Samedi S3'!Q19</f>
        <v>0</v>
      </c>
      <c r="R19" s="61">
        <f>+'Lundi S3'!R19+'Mardi S3'!R19+'Mercredi S3'!R19+'Jeudi S3'!R19+'Vendredi S3'!R19+'Samedi S3'!R19</f>
        <v>3</v>
      </c>
      <c r="S19" s="62">
        <f>+'Lundi S3'!S19+'Mardi S3'!S19+'Mercredi S3'!S19+'Jeudi S3'!S19+'Vendredi S3'!S19+'Samedi S3'!S19</f>
        <v>0.99999999999999989</v>
      </c>
      <c r="T19" s="62">
        <f>+'Lundi S3'!T19+'Mardi S3'!T19+'Mercredi S3'!T19+'Jeudi S3'!T19+'Vendredi S3'!T19+'Samedi S3'!T19</f>
        <v>0.6</v>
      </c>
      <c r="U19" s="62">
        <f>+'Lundi S3'!U19+'Mardi S3'!U19+'Mercredi S3'!U19+'Jeudi S3'!U19+'Vendredi S3'!U19+'Samedi S3'!U19</f>
        <v>3.6</v>
      </c>
      <c r="V19" s="63">
        <f>+'Lundi S3'!V19+'Mardi S3'!V19+'Mercredi S3'!V19+'Jeudi S3'!V19+'Vendredi S3'!V19+'Samedi S3'!V19</f>
        <v>0.9</v>
      </c>
      <c r="W19" s="9">
        <f>+'Lundi S3'!W19+'Mardi S3'!W19+'Mercredi S3'!W19+'Jeudi S3'!W19+'Vendredi S3'!W19+'Samedi S3'!W19</f>
        <v>0</v>
      </c>
      <c r="X19" s="10">
        <f>+'Lundi S3'!X19+'Mardi S3'!X19+'Mercredi S3'!X19+'Jeudi S3'!X19+'Vendredi S3'!X19+'Samedi S3'!X19</f>
        <v>0</v>
      </c>
      <c r="Y19" s="10">
        <f>+'Lundi S3'!Y19+'Mardi S3'!Y19+'Mercredi S3'!Y19+'Jeudi S3'!Y19+'Vendredi S3'!Y19+'Samedi S3'!Y19</f>
        <v>0</v>
      </c>
      <c r="Z19" s="10">
        <f>+'Lundi S3'!Z19+'Mardi S3'!Z19+'Mercredi S3'!Z19+'Jeudi S3'!Z19+'Vendredi S3'!Z19+'Samedi S3'!Z19</f>
        <v>0</v>
      </c>
      <c r="AA19" s="11">
        <f>+'Lundi S3'!AA19+'Mardi S3'!AA19+'Mercredi S3'!AA19+'Jeudi S3'!AA19+'Vendredi S3'!AA19+'Samedi S3'!AA19</f>
        <v>0</v>
      </c>
      <c r="AB19" s="9">
        <f>+'Lundi S3'!AB19+'Mardi S3'!AB19+'Mercredi S3'!AB19+'Jeudi S3'!AB19+'Vendredi S3'!AB19+'Samedi S3'!AB19</f>
        <v>0</v>
      </c>
      <c r="AC19" s="10">
        <f>+'Lundi S3'!AC19+'Mardi S3'!AC19+'Mercredi S3'!AC19+'Jeudi S3'!AC19+'Vendredi S3'!AC19+'Samedi S3'!AC19</f>
        <v>0</v>
      </c>
      <c r="AD19" s="10">
        <f>+'Lundi S3'!AD19+'Mardi S3'!AD19+'Mercredi S3'!AD19+'Jeudi S3'!AD19+'Vendredi S3'!AD19+'Samedi S3'!AD19</f>
        <v>0</v>
      </c>
      <c r="AE19" s="10">
        <f>+'Lundi S3'!AE19+'Mardi S3'!AE19+'Mercredi S3'!AE19+'Jeudi S3'!AE19+'Vendredi S3'!AE19+'Samedi S3'!AE19</f>
        <v>0</v>
      </c>
      <c r="AF19" s="11">
        <f>+'Lundi S3'!AF19+'Mardi S3'!AF19+'Mercredi S3'!AF19+'Jeudi S3'!AF19+'Vendredi S3'!AF19+'Samedi S3'!AF19</f>
        <v>0</v>
      </c>
      <c r="AG19" s="9">
        <f>+'Lundi S3'!AG19+'Mardi S3'!AG19+'Mercredi S3'!AG19+'Jeudi S3'!AG19+'Vendredi S3'!AG19+'Samedi S3'!AG19</f>
        <v>0</v>
      </c>
      <c r="AH19" s="10">
        <f>+'Lundi S3'!AH19+'Mardi S3'!AH19+'Mercredi S3'!AH19+'Jeudi S3'!AH19+'Vendredi S3'!AH19+'Samedi S3'!AH19</f>
        <v>0</v>
      </c>
      <c r="AI19" s="10">
        <f>+'Lundi S3'!AI19+'Mardi S3'!AI19+'Mercredi S3'!AI19+'Jeudi S3'!AI19+'Vendredi S3'!AI19+'Samedi S3'!AI19</f>
        <v>0</v>
      </c>
      <c r="AJ19" s="10">
        <f>+'Lundi S3'!AJ19+'Mardi S3'!AJ19+'Mercredi S3'!AJ19+'Jeudi S3'!AJ19+'Vendredi S3'!AJ19+'Samedi S3'!AJ19</f>
        <v>0</v>
      </c>
      <c r="AK19" s="11">
        <f>+'Lundi S3'!AK19+'Mardi S3'!AK19+'Mercredi S3'!AK19+'Jeudi S3'!AK19+'Vendredi S3'!AK19+'Samedi S3'!AK19</f>
        <v>0</v>
      </c>
      <c r="AL19" s="9">
        <f>+'Lundi S3'!AL19+'Mardi S3'!AL19+'Mercredi S3'!AL19+'Jeudi S3'!AL19+'Vendredi S3'!AL19+'Samedi S3'!AL19</f>
        <v>0</v>
      </c>
      <c r="AM19" s="10">
        <f>+'Lundi S3'!AM19+'Mardi S3'!AM19+'Mercredi S3'!AM19+'Jeudi S3'!AM19+'Vendredi S3'!AM19+'Samedi S3'!AM19</f>
        <v>0</v>
      </c>
      <c r="AN19" s="10">
        <f>+'Lundi S3'!AN19+'Mardi S3'!AN19+'Mercredi S3'!AN19+'Jeudi S3'!AN19+'Vendredi S3'!AN19+'Samedi S3'!AN19</f>
        <v>0</v>
      </c>
      <c r="AO19" s="10">
        <f>+'Lundi S3'!AO19+'Mardi S3'!AO19+'Mercredi S3'!AO19+'Jeudi S3'!AO19+'Vendredi S3'!AO19+'Samedi S3'!AO19</f>
        <v>0</v>
      </c>
      <c r="AP19" s="11">
        <f>+'Lundi S3'!AP19+'Mardi S3'!AP19+'Mercredi S3'!AP19+'Jeudi S3'!AP19+'Vendredi S3'!AP19+'Samedi S3'!AP19</f>
        <v>0</v>
      </c>
      <c r="AQ19" s="9">
        <f>+'Lundi S3'!AQ19+'Mardi S3'!AQ19+'Mercredi S3'!AQ19+'Jeudi S3'!AQ19+'Vendredi S3'!AQ19+'Samedi S3'!AQ19</f>
        <v>0</v>
      </c>
      <c r="AR19" s="10">
        <f>+'Lundi S3'!AR19+'Mardi S3'!AR19+'Mercredi S3'!AR19+'Jeudi S3'!AR19+'Vendredi S3'!AR19+'Samedi S3'!AR19</f>
        <v>0</v>
      </c>
      <c r="AS19" s="11">
        <f>+'Lundi S3'!AS19+'Mardi S3'!AS19+'Mercredi S3'!AS19+'Jeudi S3'!AS19+'Vendredi S3'!AS19+'Samedi S3'!AS19</f>
        <v>0</v>
      </c>
      <c r="AT19" s="22"/>
      <c r="AU19" s="14"/>
    </row>
    <row r="20" spans="1:47" ht="31.9" customHeight="1" x14ac:dyDescent="0.2">
      <c r="A20" s="26">
        <v>14</v>
      </c>
      <c r="B20" s="19"/>
      <c r="C20" s="9">
        <f>+'Lundi S3'!C20+'Mardi S3'!C20+'Mercredi S3'!C20+'Jeudi S3'!C20+'Vendredi S3'!C20+'Samedi S3'!C20</f>
        <v>90</v>
      </c>
      <c r="D20" s="10">
        <f>+'Lundi S3'!D20+'Mardi S3'!D20+'Mercredi S3'!D20+'Jeudi S3'!D20+'Vendredi S3'!D20+'Samedi S3'!D20</f>
        <v>18</v>
      </c>
      <c r="E20" s="10">
        <f>+'Lundi S3'!E20+'Mardi S3'!E20+'Mercredi S3'!E20+'Jeudi S3'!E20+'Vendredi S3'!E20+'Samedi S3'!E20</f>
        <v>30</v>
      </c>
      <c r="F20" s="10">
        <f>+'Lundi S3'!F20+'Mardi S3'!F20+'Mercredi S3'!F20+'Jeudi S3'!F20+'Vendredi S3'!F20+'Samedi S3'!F20</f>
        <v>12</v>
      </c>
      <c r="G20" s="11">
        <f>+'Lundi S3'!G20+'Mardi S3'!G20+'Mercredi S3'!G20+'Jeudi S3'!G20+'Vendredi S3'!G20+'Samedi S3'!G20</f>
        <v>30</v>
      </c>
      <c r="H20" s="9">
        <f>+'Lundi S3'!H20+'Mardi S3'!H20+'Mercredi S3'!H20+'Jeudi S3'!H20+'Vendredi S3'!H20+'Samedi S3'!H20</f>
        <v>18</v>
      </c>
      <c r="I20" s="10">
        <f>+'Lundi S3'!I20+'Mardi S3'!I20+'Mercredi S3'!I20+'Jeudi S3'!I20+'Vendredi S3'!I20+'Samedi S3'!I20</f>
        <v>6</v>
      </c>
      <c r="J20" s="10">
        <f>+'Lundi S3'!J20+'Mardi S3'!J20+'Mercredi S3'!J20+'Jeudi S3'!J20+'Vendredi S3'!J20+'Samedi S3'!J20</f>
        <v>6</v>
      </c>
      <c r="K20" s="10">
        <f>+'Lundi S3'!K20+'Mardi S3'!K20+'Mercredi S3'!K20+'Jeudi S3'!K20+'Vendredi S3'!K20+'Samedi S3'!K20</f>
        <v>6</v>
      </c>
      <c r="L20" s="11">
        <f>+'Lundi S3'!L20+'Mardi S3'!L20+'Mercredi S3'!L20+'Jeudi S3'!L20+'Vendredi S3'!L20+'Samedi S3'!L20</f>
        <v>6</v>
      </c>
      <c r="M20" s="9">
        <f>+'Lundi S3'!M20+'Mardi S3'!M20+'Mercredi S3'!M20+'Jeudi S3'!M20+'Vendredi S3'!M20+'Samedi S3'!M20</f>
        <v>18</v>
      </c>
      <c r="N20" s="10">
        <f>+'Lundi S3'!N20+'Mardi S3'!N20+'Mercredi S3'!N20+'Jeudi S3'!N20+'Vendredi S3'!N20+'Samedi S3'!N20</f>
        <v>6</v>
      </c>
      <c r="O20" s="10">
        <f>+'Lundi S3'!O20+'Mardi S3'!O20+'Mercredi S3'!O20+'Jeudi S3'!O20+'Vendredi S3'!O20+'Samedi S3'!O20</f>
        <v>18</v>
      </c>
      <c r="P20" s="10">
        <f>+'Lundi S3'!P20+'Mardi S3'!P20+'Mercredi S3'!P20+'Jeudi S3'!P20+'Vendredi S3'!P20+'Samedi S3'!P20</f>
        <v>0</v>
      </c>
      <c r="Q20" s="11">
        <f>+'Lundi S3'!Q20+'Mardi S3'!Q20+'Mercredi S3'!Q20+'Jeudi S3'!Q20+'Vendredi S3'!Q20+'Samedi S3'!Q20</f>
        <v>0</v>
      </c>
      <c r="R20" s="61">
        <f>+'Lundi S3'!R20+'Mardi S3'!R20+'Mercredi S3'!R20+'Jeudi S3'!R20+'Vendredi S3'!R20+'Samedi S3'!R20</f>
        <v>3</v>
      </c>
      <c r="S20" s="62">
        <f>+'Lundi S3'!S20+'Mardi S3'!S20+'Mercredi S3'!S20+'Jeudi S3'!S20+'Vendredi S3'!S20+'Samedi S3'!S20</f>
        <v>0.99999999999999989</v>
      </c>
      <c r="T20" s="62">
        <f>+'Lundi S3'!T20+'Mardi S3'!T20+'Mercredi S3'!T20+'Jeudi S3'!T20+'Vendredi S3'!T20+'Samedi S3'!T20</f>
        <v>0.6</v>
      </c>
      <c r="U20" s="62">
        <f>+'Lundi S3'!U20+'Mardi S3'!U20+'Mercredi S3'!U20+'Jeudi S3'!U20+'Vendredi S3'!U20+'Samedi S3'!U20</f>
        <v>3.6</v>
      </c>
      <c r="V20" s="63">
        <f>+'Lundi S3'!V20+'Mardi S3'!V20+'Mercredi S3'!V20+'Jeudi S3'!V20+'Vendredi S3'!V20+'Samedi S3'!V20</f>
        <v>0.9</v>
      </c>
      <c r="W20" s="9">
        <f>+'Lundi S3'!W20+'Mardi S3'!W20+'Mercredi S3'!W20+'Jeudi S3'!W20+'Vendredi S3'!W20+'Samedi S3'!W20</f>
        <v>0</v>
      </c>
      <c r="X20" s="10">
        <f>+'Lundi S3'!X20+'Mardi S3'!X20+'Mercredi S3'!X20+'Jeudi S3'!X20+'Vendredi S3'!X20+'Samedi S3'!X20</f>
        <v>0</v>
      </c>
      <c r="Y20" s="10">
        <f>+'Lundi S3'!Y20+'Mardi S3'!Y20+'Mercredi S3'!Y20+'Jeudi S3'!Y20+'Vendredi S3'!Y20+'Samedi S3'!Y20</f>
        <v>0</v>
      </c>
      <c r="Z20" s="10">
        <f>+'Lundi S3'!Z20+'Mardi S3'!Z20+'Mercredi S3'!Z20+'Jeudi S3'!Z20+'Vendredi S3'!Z20+'Samedi S3'!Z20</f>
        <v>0</v>
      </c>
      <c r="AA20" s="11">
        <f>+'Lundi S3'!AA20+'Mardi S3'!AA20+'Mercredi S3'!AA20+'Jeudi S3'!AA20+'Vendredi S3'!AA20+'Samedi S3'!AA20</f>
        <v>0</v>
      </c>
      <c r="AB20" s="9">
        <f>+'Lundi S3'!AB20+'Mardi S3'!AB20+'Mercredi S3'!AB20+'Jeudi S3'!AB20+'Vendredi S3'!AB20+'Samedi S3'!AB20</f>
        <v>0</v>
      </c>
      <c r="AC20" s="10">
        <f>+'Lundi S3'!AC20+'Mardi S3'!AC20+'Mercredi S3'!AC20+'Jeudi S3'!AC20+'Vendredi S3'!AC20+'Samedi S3'!AC20</f>
        <v>0</v>
      </c>
      <c r="AD20" s="10">
        <f>+'Lundi S3'!AD20+'Mardi S3'!AD20+'Mercredi S3'!AD20+'Jeudi S3'!AD20+'Vendredi S3'!AD20+'Samedi S3'!AD20</f>
        <v>0</v>
      </c>
      <c r="AE20" s="10">
        <f>+'Lundi S3'!AE20+'Mardi S3'!AE20+'Mercredi S3'!AE20+'Jeudi S3'!AE20+'Vendredi S3'!AE20+'Samedi S3'!AE20</f>
        <v>0</v>
      </c>
      <c r="AF20" s="11">
        <f>+'Lundi S3'!AF20+'Mardi S3'!AF20+'Mercredi S3'!AF20+'Jeudi S3'!AF20+'Vendredi S3'!AF20+'Samedi S3'!AF20</f>
        <v>0</v>
      </c>
      <c r="AG20" s="9">
        <f>+'Lundi S3'!AG20+'Mardi S3'!AG20+'Mercredi S3'!AG20+'Jeudi S3'!AG20+'Vendredi S3'!AG20+'Samedi S3'!AG20</f>
        <v>0</v>
      </c>
      <c r="AH20" s="10">
        <f>+'Lundi S3'!AH20+'Mardi S3'!AH20+'Mercredi S3'!AH20+'Jeudi S3'!AH20+'Vendredi S3'!AH20+'Samedi S3'!AH20</f>
        <v>0</v>
      </c>
      <c r="AI20" s="10">
        <f>+'Lundi S3'!AI20+'Mardi S3'!AI20+'Mercredi S3'!AI20+'Jeudi S3'!AI20+'Vendredi S3'!AI20+'Samedi S3'!AI20</f>
        <v>0</v>
      </c>
      <c r="AJ20" s="10">
        <f>+'Lundi S3'!AJ20+'Mardi S3'!AJ20+'Mercredi S3'!AJ20+'Jeudi S3'!AJ20+'Vendredi S3'!AJ20+'Samedi S3'!AJ20</f>
        <v>0</v>
      </c>
      <c r="AK20" s="11">
        <f>+'Lundi S3'!AK20+'Mardi S3'!AK20+'Mercredi S3'!AK20+'Jeudi S3'!AK20+'Vendredi S3'!AK20+'Samedi S3'!AK20</f>
        <v>0</v>
      </c>
      <c r="AL20" s="9">
        <f>+'Lundi S3'!AL20+'Mardi S3'!AL20+'Mercredi S3'!AL20+'Jeudi S3'!AL20+'Vendredi S3'!AL20+'Samedi S3'!AL20</f>
        <v>0</v>
      </c>
      <c r="AM20" s="10">
        <f>+'Lundi S3'!AM20+'Mardi S3'!AM20+'Mercredi S3'!AM20+'Jeudi S3'!AM20+'Vendredi S3'!AM20+'Samedi S3'!AM20</f>
        <v>0</v>
      </c>
      <c r="AN20" s="10">
        <f>+'Lundi S3'!AN20+'Mardi S3'!AN20+'Mercredi S3'!AN20+'Jeudi S3'!AN20+'Vendredi S3'!AN20+'Samedi S3'!AN20</f>
        <v>0</v>
      </c>
      <c r="AO20" s="10">
        <f>+'Lundi S3'!AO20+'Mardi S3'!AO20+'Mercredi S3'!AO20+'Jeudi S3'!AO20+'Vendredi S3'!AO20+'Samedi S3'!AO20</f>
        <v>0</v>
      </c>
      <c r="AP20" s="11">
        <f>+'Lundi S3'!AP20+'Mardi S3'!AP20+'Mercredi S3'!AP20+'Jeudi S3'!AP20+'Vendredi S3'!AP20+'Samedi S3'!AP20</f>
        <v>0</v>
      </c>
      <c r="AQ20" s="9">
        <f>+'Lundi S3'!AQ20+'Mardi S3'!AQ20+'Mercredi S3'!AQ20+'Jeudi S3'!AQ20+'Vendredi S3'!AQ20+'Samedi S3'!AQ20</f>
        <v>0</v>
      </c>
      <c r="AR20" s="10">
        <f>+'Lundi S3'!AR20+'Mardi S3'!AR20+'Mercredi S3'!AR20+'Jeudi S3'!AR20+'Vendredi S3'!AR20+'Samedi S3'!AR20</f>
        <v>0</v>
      </c>
      <c r="AS20" s="11">
        <f>+'Lundi S3'!AS20+'Mardi S3'!AS20+'Mercredi S3'!AS20+'Jeudi S3'!AS20+'Vendredi S3'!AS20+'Samedi S3'!AS20</f>
        <v>0</v>
      </c>
      <c r="AT20" s="22"/>
      <c r="AU20" s="14"/>
    </row>
    <row r="21" spans="1:47" ht="31.9" customHeight="1" x14ac:dyDescent="0.2">
      <c r="A21" s="26">
        <v>15</v>
      </c>
      <c r="B21" s="19"/>
      <c r="C21" s="9">
        <f>+'Lundi S3'!C21+'Mardi S3'!C21+'Mercredi S3'!C21+'Jeudi S3'!C21+'Vendredi S3'!C21+'Samedi S3'!C21</f>
        <v>90</v>
      </c>
      <c r="D21" s="10">
        <f>+'Lundi S3'!D21+'Mardi S3'!D21+'Mercredi S3'!D21+'Jeudi S3'!D21+'Vendredi S3'!D21+'Samedi S3'!D21</f>
        <v>18</v>
      </c>
      <c r="E21" s="10">
        <f>+'Lundi S3'!E21+'Mardi S3'!E21+'Mercredi S3'!E21+'Jeudi S3'!E21+'Vendredi S3'!E21+'Samedi S3'!E21</f>
        <v>30</v>
      </c>
      <c r="F21" s="10">
        <f>+'Lundi S3'!F21+'Mardi S3'!F21+'Mercredi S3'!F21+'Jeudi S3'!F21+'Vendredi S3'!F21+'Samedi S3'!F21</f>
        <v>12</v>
      </c>
      <c r="G21" s="11">
        <f>+'Lundi S3'!G21+'Mardi S3'!G21+'Mercredi S3'!G21+'Jeudi S3'!G21+'Vendredi S3'!G21+'Samedi S3'!G21</f>
        <v>30</v>
      </c>
      <c r="H21" s="9">
        <f>+'Lundi S3'!H21+'Mardi S3'!H21+'Mercredi S3'!H21+'Jeudi S3'!H21+'Vendredi S3'!H21+'Samedi S3'!H21</f>
        <v>18</v>
      </c>
      <c r="I21" s="10">
        <f>+'Lundi S3'!I21+'Mardi S3'!I21+'Mercredi S3'!I21+'Jeudi S3'!I21+'Vendredi S3'!I21+'Samedi S3'!I21</f>
        <v>6</v>
      </c>
      <c r="J21" s="10">
        <f>+'Lundi S3'!J21+'Mardi S3'!J21+'Mercredi S3'!J21+'Jeudi S3'!J21+'Vendredi S3'!J21+'Samedi S3'!J21</f>
        <v>6</v>
      </c>
      <c r="K21" s="10">
        <f>+'Lundi S3'!K21+'Mardi S3'!K21+'Mercredi S3'!K21+'Jeudi S3'!K21+'Vendredi S3'!K21+'Samedi S3'!K21</f>
        <v>6</v>
      </c>
      <c r="L21" s="11">
        <f>+'Lundi S3'!L21+'Mardi S3'!L21+'Mercredi S3'!L21+'Jeudi S3'!L21+'Vendredi S3'!L21+'Samedi S3'!L21</f>
        <v>6</v>
      </c>
      <c r="M21" s="9">
        <f>+'Lundi S3'!M21+'Mardi S3'!M21+'Mercredi S3'!M21+'Jeudi S3'!M21+'Vendredi S3'!M21+'Samedi S3'!M21</f>
        <v>18</v>
      </c>
      <c r="N21" s="10">
        <f>+'Lundi S3'!N21+'Mardi S3'!N21+'Mercredi S3'!N21+'Jeudi S3'!N21+'Vendredi S3'!N21+'Samedi S3'!N21</f>
        <v>6</v>
      </c>
      <c r="O21" s="10">
        <f>+'Lundi S3'!O21+'Mardi S3'!O21+'Mercredi S3'!O21+'Jeudi S3'!O21+'Vendredi S3'!O21+'Samedi S3'!O21</f>
        <v>18</v>
      </c>
      <c r="P21" s="10">
        <f>+'Lundi S3'!P21+'Mardi S3'!P21+'Mercredi S3'!P21+'Jeudi S3'!P21+'Vendredi S3'!P21+'Samedi S3'!P21</f>
        <v>0</v>
      </c>
      <c r="Q21" s="11">
        <f>+'Lundi S3'!Q21+'Mardi S3'!Q21+'Mercredi S3'!Q21+'Jeudi S3'!Q21+'Vendredi S3'!Q21+'Samedi S3'!Q21</f>
        <v>0</v>
      </c>
      <c r="R21" s="61">
        <f>+'Lundi S3'!R21+'Mardi S3'!R21+'Mercredi S3'!R21+'Jeudi S3'!R21+'Vendredi S3'!R21+'Samedi S3'!R21</f>
        <v>3</v>
      </c>
      <c r="S21" s="62">
        <f>+'Lundi S3'!S21+'Mardi S3'!S21+'Mercredi S3'!S21+'Jeudi S3'!S21+'Vendredi S3'!S21+'Samedi S3'!S21</f>
        <v>0.99999999999999989</v>
      </c>
      <c r="T21" s="62">
        <f>+'Lundi S3'!T21+'Mardi S3'!T21+'Mercredi S3'!T21+'Jeudi S3'!T21+'Vendredi S3'!T21+'Samedi S3'!T21</f>
        <v>0.6</v>
      </c>
      <c r="U21" s="62">
        <f>+'Lundi S3'!U21+'Mardi S3'!U21+'Mercredi S3'!U21+'Jeudi S3'!U21+'Vendredi S3'!U21+'Samedi S3'!U21</f>
        <v>3.6</v>
      </c>
      <c r="V21" s="63">
        <f>+'Lundi S3'!V21+'Mardi S3'!V21+'Mercredi S3'!V21+'Jeudi S3'!V21+'Vendredi S3'!V21+'Samedi S3'!V21</f>
        <v>0.9</v>
      </c>
      <c r="W21" s="9">
        <f>+'Lundi S3'!W21+'Mardi S3'!W21+'Mercredi S3'!W21+'Jeudi S3'!W21+'Vendredi S3'!W21+'Samedi S3'!W21</f>
        <v>0</v>
      </c>
      <c r="X21" s="10">
        <f>+'Lundi S3'!X21+'Mardi S3'!X21+'Mercredi S3'!X21+'Jeudi S3'!X21+'Vendredi S3'!X21+'Samedi S3'!X21</f>
        <v>0</v>
      </c>
      <c r="Y21" s="10">
        <f>+'Lundi S3'!Y21+'Mardi S3'!Y21+'Mercredi S3'!Y21+'Jeudi S3'!Y21+'Vendredi S3'!Y21+'Samedi S3'!Y21</f>
        <v>0</v>
      </c>
      <c r="Z21" s="10">
        <f>+'Lundi S3'!Z21+'Mardi S3'!Z21+'Mercredi S3'!Z21+'Jeudi S3'!Z21+'Vendredi S3'!Z21+'Samedi S3'!Z21</f>
        <v>0</v>
      </c>
      <c r="AA21" s="11">
        <f>+'Lundi S3'!AA21+'Mardi S3'!AA21+'Mercredi S3'!AA21+'Jeudi S3'!AA21+'Vendredi S3'!AA21+'Samedi S3'!AA21</f>
        <v>0</v>
      </c>
      <c r="AB21" s="9">
        <f>+'Lundi S3'!AB21+'Mardi S3'!AB21+'Mercredi S3'!AB21+'Jeudi S3'!AB21+'Vendredi S3'!AB21+'Samedi S3'!AB21</f>
        <v>0</v>
      </c>
      <c r="AC21" s="10">
        <f>+'Lundi S3'!AC21+'Mardi S3'!AC21+'Mercredi S3'!AC21+'Jeudi S3'!AC21+'Vendredi S3'!AC21+'Samedi S3'!AC21</f>
        <v>0</v>
      </c>
      <c r="AD21" s="10">
        <f>+'Lundi S3'!AD21+'Mardi S3'!AD21+'Mercredi S3'!AD21+'Jeudi S3'!AD21+'Vendredi S3'!AD21+'Samedi S3'!AD21</f>
        <v>0</v>
      </c>
      <c r="AE21" s="10">
        <f>+'Lundi S3'!AE21+'Mardi S3'!AE21+'Mercredi S3'!AE21+'Jeudi S3'!AE21+'Vendredi S3'!AE21+'Samedi S3'!AE21</f>
        <v>0</v>
      </c>
      <c r="AF21" s="11">
        <f>+'Lundi S3'!AF21+'Mardi S3'!AF21+'Mercredi S3'!AF21+'Jeudi S3'!AF21+'Vendredi S3'!AF21+'Samedi S3'!AF21</f>
        <v>0</v>
      </c>
      <c r="AG21" s="9">
        <f>+'Lundi S3'!AG21+'Mardi S3'!AG21+'Mercredi S3'!AG21+'Jeudi S3'!AG21+'Vendredi S3'!AG21+'Samedi S3'!AG21</f>
        <v>0</v>
      </c>
      <c r="AH21" s="10">
        <f>+'Lundi S3'!AH21+'Mardi S3'!AH21+'Mercredi S3'!AH21+'Jeudi S3'!AH21+'Vendredi S3'!AH21+'Samedi S3'!AH21</f>
        <v>0</v>
      </c>
      <c r="AI21" s="10">
        <f>+'Lundi S3'!AI21+'Mardi S3'!AI21+'Mercredi S3'!AI21+'Jeudi S3'!AI21+'Vendredi S3'!AI21+'Samedi S3'!AI21</f>
        <v>0</v>
      </c>
      <c r="AJ21" s="10">
        <f>+'Lundi S3'!AJ21+'Mardi S3'!AJ21+'Mercredi S3'!AJ21+'Jeudi S3'!AJ21+'Vendredi S3'!AJ21+'Samedi S3'!AJ21</f>
        <v>0</v>
      </c>
      <c r="AK21" s="11">
        <f>+'Lundi S3'!AK21+'Mardi S3'!AK21+'Mercredi S3'!AK21+'Jeudi S3'!AK21+'Vendredi S3'!AK21+'Samedi S3'!AK21</f>
        <v>0</v>
      </c>
      <c r="AL21" s="9">
        <f>+'Lundi S3'!AL21+'Mardi S3'!AL21+'Mercredi S3'!AL21+'Jeudi S3'!AL21+'Vendredi S3'!AL21+'Samedi S3'!AL21</f>
        <v>0</v>
      </c>
      <c r="AM21" s="10">
        <f>+'Lundi S3'!AM21+'Mardi S3'!AM21+'Mercredi S3'!AM21+'Jeudi S3'!AM21+'Vendredi S3'!AM21+'Samedi S3'!AM21</f>
        <v>0</v>
      </c>
      <c r="AN21" s="10">
        <f>+'Lundi S3'!AN21+'Mardi S3'!AN21+'Mercredi S3'!AN21+'Jeudi S3'!AN21+'Vendredi S3'!AN21+'Samedi S3'!AN21</f>
        <v>0</v>
      </c>
      <c r="AO21" s="10">
        <f>+'Lundi S3'!AO21+'Mardi S3'!AO21+'Mercredi S3'!AO21+'Jeudi S3'!AO21+'Vendredi S3'!AO21+'Samedi S3'!AO21</f>
        <v>0</v>
      </c>
      <c r="AP21" s="11">
        <f>+'Lundi S3'!AP21+'Mardi S3'!AP21+'Mercredi S3'!AP21+'Jeudi S3'!AP21+'Vendredi S3'!AP21+'Samedi S3'!AP21</f>
        <v>0</v>
      </c>
      <c r="AQ21" s="9">
        <f>+'Lundi S3'!AQ21+'Mardi S3'!AQ21+'Mercredi S3'!AQ21+'Jeudi S3'!AQ21+'Vendredi S3'!AQ21+'Samedi S3'!AQ21</f>
        <v>0</v>
      </c>
      <c r="AR21" s="10">
        <f>+'Lundi S3'!AR21+'Mardi S3'!AR21+'Mercredi S3'!AR21+'Jeudi S3'!AR21+'Vendredi S3'!AR21+'Samedi S3'!AR21</f>
        <v>0</v>
      </c>
      <c r="AS21" s="11">
        <f>+'Lundi S3'!AS21+'Mardi S3'!AS21+'Mercredi S3'!AS21+'Jeudi S3'!AS21+'Vendredi S3'!AS21+'Samedi S3'!AS21</f>
        <v>0</v>
      </c>
      <c r="AT21" s="22"/>
      <c r="AU21" s="14"/>
    </row>
    <row r="22" spans="1:47" ht="31.9" customHeight="1" x14ac:dyDescent="0.2">
      <c r="A22" s="26">
        <v>16</v>
      </c>
      <c r="B22" s="19"/>
      <c r="C22" s="9">
        <f>+'Lundi S3'!C22+'Mardi S3'!C22+'Mercredi S3'!C22+'Jeudi S3'!C22+'Vendredi S3'!C22+'Samedi S3'!C22</f>
        <v>90</v>
      </c>
      <c r="D22" s="10">
        <f>+'Lundi S3'!D22+'Mardi S3'!D22+'Mercredi S3'!D22+'Jeudi S3'!D22+'Vendredi S3'!D22+'Samedi S3'!D22</f>
        <v>18</v>
      </c>
      <c r="E22" s="10">
        <f>+'Lundi S3'!E22+'Mardi S3'!E22+'Mercredi S3'!E22+'Jeudi S3'!E22+'Vendredi S3'!E22+'Samedi S3'!E22</f>
        <v>30</v>
      </c>
      <c r="F22" s="10">
        <f>+'Lundi S3'!F22+'Mardi S3'!F22+'Mercredi S3'!F22+'Jeudi S3'!F22+'Vendredi S3'!F22+'Samedi S3'!F22</f>
        <v>12</v>
      </c>
      <c r="G22" s="11">
        <f>+'Lundi S3'!G22+'Mardi S3'!G22+'Mercredi S3'!G22+'Jeudi S3'!G22+'Vendredi S3'!G22+'Samedi S3'!G22</f>
        <v>30</v>
      </c>
      <c r="H22" s="9">
        <f>+'Lundi S3'!H22+'Mardi S3'!H22+'Mercredi S3'!H22+'Jeudi S3'!H22+'Vendredi S3'!H22+'Samedi S3'!H22</f>
        <v>18</v>
      </c>
      <c r="I22" s="10">
        <f>+'Lundi S3'!I22+'Mardi S3'!I22+'Mercredi S3'!I22+'Jeudi S3'!I22+'Vendredi S3'!I22+'Samedi S3'!I22</f>
        <v>6</v>
      </c>
      <c r="J22" s="10">
        <f>+'Lundi S3'!J22+'Mardi S3'!J22+'Mercredi S3'!J22+'Jeudi S3'!J22+'Vendredi S3'!J22+'Samedi S3'!J22</f>
        <v>6</v>
      </c>
      <c r="K22" s="10">
        <f>+'Lundi S3'!K22+'Mardi S3'!K22+'Mercredi S3'!K22+'Jeudi S3'!K22+'Vendredi S3'!K22+'Samedi S3'!K22</f>
        <v>6</v>
      </c>
      <c r="L22" s="11">
        <f>+'Lundi S3'!L22+'Mardi S3'!L22+'Mercredi S3'!L22+'Jeudi S3'!L22+'Vendredi S3'!L22+'Samedi S3'!L22</f>
        <v>6</v>
      </c>
      <c r="M22" s="9">
        <f>+'Lundi S3'!M22+'Mardi S3'!M22+'Mercredi S3'!M22+'Jeudi S3'!M22+'Vendredi S3'!M22+'Samedi S3'!M22</f>
        <v>18</v>
      </c>
      <c r="N22" s="10">
        <f>+'Lundi S3'!N22+'Mardi S3'!N22+'Mercredi S3'!N22+'Jeudi S3'!N22+'Vendredi S3'!N22+'Samedi S3'!N22</f>
        <v>6</v>
      </c>
      <c r="O22" s="10">
        <f>+'Lundi S3'!O22+'Mardi S3'!O22+'Mercredi S3'!O22+'Jeudi S3'!O22+'Vendredi S3'!O22+'Samedi S3'!O22</f>
        <v>18</v>
      </c>
      <c r="P22" s="10">
        <f>+'Lundi S3'!P22+'Mardi S3'!P22+'Mercredi S3'!P22+'Jeudi S3'!P22+'Vendredi S3'!P22+'Samedi S3'!P22</f>
        <v>0</v>
      </c>
      <c r="Q22" s="11">
        <f>+'Lundi S3'!Q22+'Mardi S3'!Q22+'Mercredi S3'!Q22+'Jeudi S3'!Q22+'Vendredi S3'!Q22+'Samedi S3'!Q22</f>
        <v>0</v>
      </c>
      <c r="R22" s="61">
        <f>+'Lundi S3'!R22+'Mardi S3'!R22+'Mercredi S3'!R22+'Jeudi S3'!R22+'Vendredi S3'!R22+'Samedi S3'!R22</f>
        <v>3</v>
      </c>
      <c r="S22" s="62">
        <f>+'Lundi S3'!S22+'Mardi S3'!S22+'Mercredi S3'!S22+'Jeudi S3'!S22+'Vendredi S3'!S22+'Samedi S3'!S22</f>
        <v>0.99999999999999989</v>
      </c>
      <c r="T22" s="62">
        <f>+'Lundi S3'!T22+'Mardi S3'!T22+'Mercredi S3'!T22+'Jeudi S3'!T22+'Vendredi S3'!T22+'Samedi S3'!T22</f>
        <v>0.6</v>
      </c>
      <c r="U22" s="62">
        <f>+'Lundi S3'!U22+'Mardi S3'!U22+'Mercredi S3'!U22+'Jeudi S3'!U22+'Vendredi S3'!U22+'Samedi S3'!U22</f>
        <v>3.6</v>
      </c>
      <c r="V22" s="63">
        <f>+'Lundi S3'!V22+'Mardi S3'!V22+'Mercredi S3'!V22+'Jeudi S3'!V22+'Vendredi S3'!V22+'Samedi S3'!V22</f>
        <v>0.9</v>
      </c>
      <c r="W22" s="9">
        <f>+'Lundi S3'!W22+'Mardi S3'!W22+'Mercredi S3'!W22+'Jeudi S3'!W22+'Vendredi S3'!W22+'Samedi S3'!W22</f>
        <v>0</v>
      </c>
      <c r="X22" s="10">
        <f>+'Lundi S3'!X22+'Mardi S3'!X22+'Mercredi S3'!X22+'Jeudi S3'!X22+'Vendredi S3'!X22+'Samedi S3'!X22</f>
        <v>0</v>
      </c>
      <c r="Y22" s="10">
        <f>+'Lundi S3'!Y22+'Mardi S3'!Y22+'Mercredi S3'!Y22+'Jeudi S3'!Y22+'Vendredi S3'!Y22+'Samedi S3'!Y22</f>
        <v>0</v>
      </c>
      <c r="Z22" s="10">
        <f>+'Lundi S3'!Z22+'Mardi S3'!Z22+'Mercredi S3'!Z22+'Jeudi S3'!Z22+'Vendredi S3'!Z22+'Samedi S3'!Z22</f>
        <v>0</v>
      </c>
      <c r="AA22" s="11">
        <f>+'Lundi S3'!AA22+'Mardi S3'!AA22+'Mercredi S3'!AA22+'Jeudi S3'!AA22+'Vendredi S3'!AA22+'Samedi S3'!AA22</f>
        <v>0</v>
      </c>
      <c r="AB22" s="9">
        <f>+'Lundi S3'!AB22+'Mardi S3'!AB22+'Mercredi S3'!AB22+'Jeudi S3'!AB22+'Vendredi S3'!AB22+'Samedi S3'!AB22</f>
        <v>0</v>
      </c>
      <c r="AC22" s="10">
        <f>+'Lundi S3'!AC22+'Mardi S3'!AC22+'Mercredi S3'!AC22+'Jeudi S3'!AC22+'Vendredi S3'!AC22+'Samedi S3'!AC22</f>
        <v>0</v>
      </c>
      <c r="AD22" s="10">
        <f>+'Lundi S3'!AD22+'Mardi S3'!AD22+'Mercredi S3'!AD22+'Jeudi S3'!AD22+'Vendredi S3'!AD22+'Samedi S3'!AD22</f>
        <v>0</v>
      </c>
      <c r="AE22" s="10">
        <f>+'Lundi S3'!AE22+'Mardi S3'!AE22+'Mercredi S3'!AE22+'Jeudi S3'!AE22+'Vendredi S3'!AE22+'Samedi S3'!AE22</f>
        <v>0</v>
      </c>
      <c r="AF22" s="11">
        <f>+'Lundi S3'!AF22+'Mardi S3'!AF22+'Mercredi S3'!AF22+'Jeudi S3'!AF22+'Vendredi S3'!AF22+'Samedi S3'!AF22</f>
        <v>0</v>
      </c>
      <c r="AG22" s="9">
        <f>+'Lundi S3'!AG22+'Mardi S3'!AG22+'Mercredi S3'!AG22+'Jeudi S3'!AG22+'Vendredi S3'!AG22+'Samedi S3'!AG22</f>
        <v>0</v>
      </c>
      <c r="AH22" s="10">
        <f>+'Lundi S3'!AH22+'Mardi S3'!AH22+'Mercredi S3'!AH22+'Jeudi S3'!AH22+'Vendredi S3'!AH22+'Samedi S3'!AH22</f>
        <v>0</v>
      </c>
      <c r="AI22" s="10">
        <f>+'Lundi S3'!AI22+'Mardi S3'!AI22+'Mercredi S3'!AI22+'Jeudi S3'!AI22+'Vendredi S3'!AI22+'Samedi S3'!AI22</f>
        <v>0</v>
      </c>
      <c r="AJ22" s="10">
        <f>+'Lundi S3'!AJ22+'Mardi S3'!AJ22+'Mercredi S3'!AJ22+'Jeudi S3'!AJ22+'Vendredi S3'!AJ22+'Samedi S3'!AJ22</f>
        <v>0</v>
      </c>
      <c r="AK22" s="11">
        <f>+'Lundi S3'!AK22+'Mardi S3'!AK22+'Mercredi S3'!AK22+'Jeudi S3'!AK22+'Vendredi S3'!AK22+'Samedi S3'!AK22</f>
        <v>0</v>
      </c>
      <c r="AL22" s="9">
        <f>+'Lundi S3'!AL22+'Mardi S3'!AL22+'Mercredi S3'!AL22+'Jeudi S3'!AL22+'Vendredi S3'!AL22+'Samedi S3'!AL22</f>
        <v>0</v>
      </c>
      <c r="AM22" s="10">
        <f>+'Lundi S3'!AM22+'Mardi S3'!AM22+'Mercredi S3'!AM22+'Jeudi S3'!AM22+'Vendredi S3'!AM22+'Samedi S3'!AM22</f>
        <v>0</v>
      </c>
      <c r="AN22" s="10">
        <f>+'Lundi S3'!AN22+'Mardi S3'!AN22+'Mercredi S3'!AN22+'Jeudi S3'!AN22+'Vendredi S3'!AN22+'Samedi S3'!AN22</f>
        <v>0</v>
      </c>
      <c r="AO22" s="10">
        <f>+'Lundi S3'!AO22+'Mardi S3'!AO22+'Mercredi S3'!AO22+'Jeudi S3'!AO22+'Vendredi S3'!AO22+'Samedi S3'!AO22</f>
        <v>0</v>
      </c>
      <c r="AP22" s="11">
        <f>+'Lundi S3'!AP22+'Mardi S3'!AP22+'Mercredi S3'!AP22+'Jeudi S3'!AP22+'Vendredi S3'!AP22+'Samedi S3'!AP22</f>
        <v>0</v>
      </c>
      <c r="AQ22" s="9">
        <f>+'Lundi S3'!AQ22+'Mardi S3'!AQ22+'Mercredi S3'!AQ22+'Jeudi S3'!AQ22+'Vendredi S3'!AQ22+'Samedi S3'!AQ22</f>
        <v>0</v>
      </c>
      <c r="AR22" s="10">
        <f>+'Lundi S3'!AR22+'Mardi S3'!AR22+'Mercredi S3'!AR22+'Jeudi S3'!AR22+'Vendredi S3'!AR22+'Samedi S3'!AR22</f>
        <v>0</v>
      </c>
      <c r="AS22" s="11">
        <f>+'Lundi S3'!AS22+'Mardi S3'!AS22+'Mercredi S3'!AS22+'Jeudi S3'!AS22+'Vendredi S3'!AS22+'Samedi S3'!AS22</f>
        <v>0</v>
      </c>
      <c r="AT22" s="22"/>
      <c r="AU22" s="14"/>
    </row>
    <row r="23" spans="1:47" ht="31.9" customHeight="1" x14ac:dyDescent="0.2">
      <c r="A23" s="26">
        <v>17</v>
      </c>
      <c r="B23" s="19"/>
      <c r="C23" s="9">
        <f>+'Lundi S3'!C23+'Mardi S3'!C23+'Mercredi S3'!C23+'Jeudi S3'!C23+'Vendredi S3'!C23+'Samedi S3'!C23</f>
        <v>90</v>
      </c>
      <c r="D23" s="10">
        <f>+'Lundi S3'!D23+'Mardi S3'!D23+'Mercredi S3'!D23+'Jeudi S3'!D23+'Vendredi S3'!D23+'Samedi S3'!D23</f>
        <v>18</v>
      </c>
      <c r="E23" s="10">
        <f>+'Lundi S3'!E23+'Mardi S3'!E23+'Mercredi S3'!E23+'Jeudi S3'!E23+'Vendredi S3'!E23+'Samedi S3'!E23</f>
        <v>30</v>
      </c>
      <c r="F23" s="10">
        <f>+'Lundi S3'!F23+'Mardi S3'!F23+'Mercredi S3'!F23+'Jeudi S3'!F23+'Vendredi S3'!F23+'Samedi S3'!F23</f>
        <v>12</v>
      </c>
      <c r="G23" s="11">
        <f>+'Lundi S3'!G23+'Mardi S3'!G23+'Mercredi S3'!G23+'Jeudi S3'!G23+'Vendredi S3'!G23+'Samedi S3'!G23</f>
        <v>30</v>
      </c>
      <c r="H23" s="9">
        <f>+'Lundi S3'!H23+'Mardi S3'!H23+'Mercredi S3'!H23+'Jeudi S3'!H23+'Vendredi S3'!H23+'Samedi S3'!H23</f>
        <v>18</v>
      </c>
      <c r="I23" s="10">
        <f>+'Lundi S3'!I23+'Mardi S3'!I23+'Mercredi S3'!I23+'Jeudi S3'!I23+'Vendredi S3'!I23+'Samedi S3'!I23</f>
        <v>6</v>
      </c>
      <c r="J23" s="10">
        <f>+'Lundi S3'!J23+'Mardi S3'!J23+'Mercredi S3'!J23+'Jeudi S3'!J23+'Vendredi S3'!J23+'Samedi S3'!J23</f>
        <v>6</v>
      </c>
      <c r="K23" s="10">
        <f>+'Lundi S3'!K23+'Mardi S3'!K23+'Mercredi S3'!K23+'Jeudi S3'!K23+'Vendredi S3'!K23+'Samedi S3'!K23</f>
        <v>6</v>
      </c>
      <c r="L23" s="11">
        <f>+'Lundi S3'!L23+'Mardi S3'!L23+'Mercredi S3'!L23+'Jeudi S3'!L23+'Vendredi S3'!L23+'Samedi S3'!L23</f>
        <v>6</v>
      </c>
      <c r="M23" s="9">
        <f>+'Lundi S3'!M23+'Mardi S3'!M23+'Mercredi S3'!M23+'Jeudi S3'!M23+'Vendredi S3'!M23+'Samedi S3'!M23</f>
        <v>18</v>
      </c>
      <c r="N23" s="10">
        <f>+'Lundi S3'!N23+'Mardi S3'!N23+'Mercredi S3'!N23+'Jeudi S3'!N23+'Vendredi S3'!N23+'Samedi S3'!N23</f>
        <v>6</v>
      </c>
      <c r="O23" s="10">
        <f>+'Lundi S3'!O23+'Mardi S3'!O23+'Mercredi S3'!O23+'Jeudi S3'!O23+'Vendredi S3'!O23+'Samedi S3'!O23</f>
        <v>18</v>
      </c>
      <c r="P23" s="10">
        <f>+'Lundi S3'!P23+'Mardi S3'!P23+'Mercredi S3'!P23+'Jeudi S3'!P23+'Vendredi S3'!P23+'Samedi S3'!P23</f>
        <v>0</v>
      </c>
      <c r="Q23" s="11">
        <f>+'Lundi S3'!Q23+'Mardi S3'!Q23+'Mercredi S3'!Q23+'Jeudi S3'!Q23+'Vendredi S3'!Q23+'Samedi S3'!Q23</f>
        <v>0</v>
      </c>
      <c r="R23" s="61">
        <f>+'Lundi S3'!R23+'Mardi S3'!R23+'Mercredi S3'!R23+'Jeudi S3'!R23+'Vendredi S3'!R23+'Samedi S3'!R23</f>
        <v>3</v>
      </c>
      <c r="S23" s="62">
        <f>+'Lundi S3'!S23+'Mardi S3'!S23+'Mercredi S3'!S23+'Jeudi S3'!S23+'Vendredi S3'!S23+'Samedi S3'!S23</f>
        <v>0.99999999999999989</v>
      </c>
      <c r="T23" s="62">
        <f>+'Lundi S3'!T23+'Mardi S3'!T23+'Mercredi S3'!T23+'Jeudi S3'!T23+'Vendredi S3'!T23+'Samedi S3'!T23</f>
        <v>0.6</v>
      </c>
      <c r="U23" s="62">
        <f>+'Lundi S3'!U23+'Mardi S3'!U23+'Mercredi S3'!U23+'Jeudi S3'!U23+'Vendredi S3'!U23+'Samedi S3'!U23</f>
        <v>3.6</v>
      </c>
      <c r="V23" s="63">
        <f>+'Lundi S3'!V23+'Mardi S3'!V23+'Mercredi S3'!V23+'Jeudi S3'!V23+'Vendredi S3'!V23+'Samedi S3'!V23</f>
        <v>0.9</v>
      </c>
      <c r="W23" s="9">
        <f>+'Lundi S3'!W23+'Mardi S3'!W23+'Mercredi S3'!W23+'Jeudi S3'!W23+'Vendredi S3'!W23+'Samedi S3'!W23</f>
        <v>0</v>
      </c>
      <c r="X23" s="10">
        <f>+'Lundi S3'!X23+'Mardi S3'!X23+'Mercredi S3'!X23+'Jeudi S3'!X23+'Vendredi S3'!X23+'Samedi S3'!X23</f>
        <v>0</v>
      </c>
      <c r="Y23" s="10">
        <f>+'Lundi S3'!Y23+'Mardi S3'!Y23+'Mercredi S3'!Y23+'Jeudi S3'!Y23+'Vendredi S3'!Y23+'Samedi S3'!Y23</f>
        <v>0</v>
      </c>
      <c r="Z23" s="10">
        <f>+'Lundi S3'!Z23+'Mardi S3'!Z23+'Mercredi S3'!Z23+'Jeudi S3'!Z23+'Vendredi S3'!Z23+'Samedi S3'!Z23</f>
        <v>0</v>
      </c>
      <c r="AA23" s="11">
        <f>+'Lundi S3'!AA23+'Mardi S3'!AA23+'Mercredi S3'!AA23+'Jeudi S3'!AA23+'Vendredi S3'!AA23+'Samedi S3'!AA23</f>
        <v>0</v>
      </c>
      <c r="AB23" s="9">
        <f>+'Lundi S3'!AB23+'Mardi S3'!AB23+'Mercredi S3'!AB23+'Jeudi S3'!AB23+'Vendredi S3'!AB23+'Samedi S3'!AB23</f>
        <v>0</v>
      </c>
      <c r="AC23" s="10">
        <f>+'Lundi S3'!AC23+'Mardi S3'!AC23+'Mercredi S3'!AC23+'Jeudi S3'!AC23+'Vendredi S3'!AC23+'Samedi S3'!AC23</f>
        <v>0</v>
      </c>
      <c r="AD23" s="10">
        <f>+'Lundi S3'!AD23+'Mardi S3'!AD23+'Mercredi S3'!AD23+'Jeudi S3'!AD23+'Vendredi S3'!AD23+'Samedi S3'!AD23</f>
        <v>0</v>
      </c>
      <c r="AE23" s="10">
        <f>+'Lundi S3'!AE23+'Mardi S3'!AE23+'Mercredi S3'!AE23+'Jeudi S3'!AE23+'Vendredi S3'!AE23+'Samedi S3'!AE23</f>
        <v>0</v>
      </c>
      <c r="AF23" s="11">
        <f>+'Lundi S3'!AF23+'Mardi S3'!AF23+'Mercredi S3'!AF23+'Jeudi S3'!AF23+'Vendredi S3'!AF23+'Samedi S3'!AF23</f>
        <v>0</v>
      </c>
      <c r="AG23" s="9">
        <f>+'Lundi S3'!AG23+'Mardi S3'!AG23+'Mercredi S3'!AG23+'Jeudi S3'!AG23+'Vendredi S3'!AG23+'Samedi S3'!AG23</f>
        <v>0</v>
      </c>
      <c r="AH23" s="10">
        <f>+'Lundi S3'!AH23+'Mardi S3'!AH23+'Mercredi S3'!AH23+'Jeudi S3'!AH23+'Vendredi S3'!AH23+'Samedi S3'!AH23</f>
        <v>0</v>
      </c>
      <c r="AI23" s="10">
        <f>+'Lundi S3'!AI23+'Mardi S3'!AI23+'Mercredi S3'!AI23+'Jeudi S3'!AI23+'Vendredi S3'!AI23+'Samedi S3'!AI23</f>
        <v>0</v>
      </c>
      <c r="AJ23" s="10">
        <f>+'Lundi S3'!AJ23+'Mardi S3'!AJ23+'Mercredi S3'!AJ23+'Jeudi S3'!AJ23+'Vendredi S3'!AJ23+'Samedi S3'!AJ23</f>
        <v>0</v>
      </c>
      <c r="AK23" s="11">
        <f>+'Lundi S3'!AK23+'Mardi S3'!AK23+'Mercredi S3'!AK23+'Jeudi S3'!AK23+'Vendredi S3'!AK23+'Samedi S3'!AK23</f>
        <v>0</v>
      </c>
      <c r="AL23" s="9">
        <f>+'Lundi S3'!AL23+'Mardi S3'!AL23+'Mercredi S3'!AL23+'Jeudi S3'!AL23+'Vendredi S3'!AL23+'Samedi S3'!AL23</f>
        <v>0</v>
      </c>
      <c r="AM23" s="10">
        <f>+'Lundi S3'!AM23+'Mardi S3'!AM23+'Mercredi S3'!AM23+'Jeudi S3'!AM23+'Vendredi S3'!AM23+'Samedi S3'!AM23</f>
        <v>0</v>
      </c>
      <c r="AN23" s="10">
        <f>+'Lundi S3'!AN23+'Mardi S3'!AN23+'Mercredi S3'!AN23+'Jeudi S3'!AN23+'Vendredi S3'!AN23+'Samedi S3'!AN23</f>
        <v>0</v>
      </c>
      <c r="AO23" s="10">
        <f>+'Lundi S3'!AO23+'Mardi S3'!AO23+'Mercredi S3'!AO23+'Jeudi S3'!AO23+'Vendredi S3'!AO23+'Samedi S3'!AO23</f>
        <v>0</v>
      </c>
      <c r="AP23" s="11">
        <f>+'Lundi S3'!AP23+'Mardi S3'!AP23+'Mercredi S3'!AP23+'Jeudi S3'!AP23+'Vendredi S3'!AP23+'Samedi S3'!AP23</f>
        <v>0</v>
      </c>
      <c r="AQ23" s="9">
        <f>+'Lundi S3'!AQ23+'Mardi S3'!AQ23+'Mercredi S3'!AQ23+'Jeudi S3'!AQ23+'Vendredi S3'!AQ23+'Samedi S3'!AQ23</f>
        <v>0</v>
      </c>
      <c r="AR23" s="10">
        <f>+'Lundi S3'!AR23+'Mardi S3'!AR23+'Mercredi S3'!AR23+'Jeudi S3'!AR23+'Vendredi S3'!AR23+'Samedi S3'!AR23</f>
        <v>0</v>
      </c>
      <c r="AS23" s="11">
        <f>+'Lundi S3'!AS23+'Mardi S3'!AS23+'Mercredi S3'!AS23+'Jeudi S3'!AS23+'Vendredi S3'!AS23+'Samedi S3'!AS23</f>
        <v>0</v>
      </c>
      <c r="AT23" s="22"/>
      <c r="AU23" s="14"/>
    </row>
    <row r="24" spans="1:47" ht="31.9" customHeight="1" x14ac:dyDescent="0.2">
      <c r="A24" s="26">
        <v>18</v>
      </c>
      <c r="B24" s="19"/>
      <c r="C24" s="9">
        <f>+'Lundi S3'!C24+'Mardi S3'!C24+'Mercredi S3'!C24+'Jeudi S3'!C24+'Vendredi S3'!C24+'Samedi S3'!C24</f>
        <v>90</v>
      </c>
      <c r="D24" s="10">
        <f>+'Lundi S3'!D24+'Mardi S3'!D24+'Mercredi S3'!D24+'Jeudi S3'!D24+'Vendredi S3'!D24+'Samedi S3'!D24</f>
        <v>18</v>
      </c>
      <c r="E24" s="10">
        <f>+'Lundi S3'!E24+'Mardi S3'!E24+'Mercredi S3'!E24+'Jeudi S3'!E24+'Vendredi S3'!E24+'Samedi S3'!E24</f>
        <v>30</v>
      </c>
      <c r="F24" s="10">
        <f>+'Lundi S3'!F24+'Mardi S3'!F24+'Mercredi S3'!F24+'Jeudi S3'!F24+'Vendredi S3'!F24+'Samedi S3'!F24</f>
        <v>12</v>
      </c>
      <c r="G24" s="11">
        <f>+'Lundi S3'!G24+'Mardi S3'!G24+'Mercredi S3'!G24+'Jeudi S3'!G24+'Vendredi S3'!G24+'Samedi S3'!G24</f>
        <v>30</v>
      </c>
      <c r="H24" s="9">
        <f>+'Lundi S3'!H24+'Mardi S3'!H24+'Mercredi S3'!H24+'Jeudi S3'!H24+'Vendredi S3'!H24+'Samedi S3'!H24</f>
        <v>18</v>
      </c>
      <c r="I24" s="10">
        <f>+'Lundi S3'!I24+'Mardi S3'!I24+'Mercredi S3'!I24+'Jeudi S3'!I24+'Vendredi S3'!I24+'Samedi S3'!I24</f>
        <v>6</v>
      </c>
      <c r="J24" s="10">
        <f>+'Lundi S3'!J24+'Mardi S3'!J24+'Mercredi S3'!J24+'Jeudi S3'!J24+'Vendredi S3'!J24+'Samedi S3'!J24</f>
        <v>6</v>
      </c>
      <c r="K24" s="10">
        <f>+'Lundi S3'!K24+'Mardi S3'!K24+'Mercredi S3'!K24+'Jeudi S3'!K24+'Vendredi S3'!K24+'Samedi S3'!K24</f>
        <v>6</v>
      </c>
      <c r="L24" s="11">
        <f>+'Lundi S3'!L24+'Mardi S3'!L24+'Mercredi S3'!L24+'Jeudi S3'!L24+'Vendredi S3'!L24+'Samedi S3'!L24</f>
        <v>6</v>
      </c>
      <c r="M24" s="9">
        <f>+'Lundi S3'!M24+'Mardi S3'!M24+'Mercredi S3'!M24+'Jeudi S3'!M24+'Vendredi S3'!M24+'Samedi S3'!M24</f>
        <v>18</v>
      </c>
      <c r="N24" s="10">
        <f>+'Lundi S3'!N24+'Mardi S3'!N24+'Mercredi S3'!N24+'Jeudi S3'!N24+'Vendredi S3'!N24+'Samedi S3'!N24</f>
        <v>6</v>
      </c>
      <c r="O24" s="10">
        <f>+'Lundi S3'!O24+'Mardi S3'!O24+'Mercredi S3'!O24+'Jeudi S3'!O24+'Vendredi S3'!O24+'Samedi S3'!O24</f>
        <v>18</v>
      </c>
      <c r="P24" s="10">
        <f>+'Lundi S3'!P24+'Mardi S3'!P24+'Mercredi S3'!P24+'Jeudi S3'!P24+'Vendredi S3'!P24+'Samedi S3'!P24</f>
        <v>0</v>
      </c>
      <c r="Q24" s="11">
        <f>+'Lundi S3'!Q24+'Mardi S3'!Q24+'Mercredi S3'!Q24+'Jeudi S3'!Q24+'Vendredi S3'!Q24+'Samedi S3'!Q24</f>
        <v>0</v>
      </c>
      <c r="R24" s="61">
        <f>+'Lundi S3'!R24+'Mardi S3'!R24+'Mercredi S3'!R24+'Jeudi S3'!R24+'Vendredi S3'!R24+'Samedi S3'!R24</f>
        <v>3</v>
      </c>
      <c r="S24" s="62">
        <f>+'Lundi S3'!S24+'Mardi S3'!S24+'Mercredi S3'!S24+'Jeudi S3'!S24+'Vendredi S3'!S24+'Samedi S3'!S24</f>
        <v>0.99999999999999989</v>
      </c>
      <c r="T24" s="62">
        <f>+'Lundi S3'!T24+'Mardi S3'!T24+'Mercredi S3'!T24+'Jeudi S3'!T24+'Vendredi S3'!T24+'Samedi S3'!T24</f>
        <v>0.6</v>
      </c>
      <c r="U24" s="62">
        <f>+'Lundi S3'!U24+'Mardi S3'!U24+'Mercredi S3'!U24+'Jeudi S3'!U24+'Vendredi S3'!U24+'Samedi S3'!U24</f>
        <v>3.6</v>
      </c>
      <c r="V24" s="63">
        <f>+'Lundi S3'!V24+'Mardi S3'!V24+'Mercredi S3'!V24+'Jeudi S3'!V24+'Vendredi S3'!V24+'Samedi S3'!V24</f>
        <v>0.9</v>
      </c>
      <c r="W24" s="9">
        <f>+'Lundi S3'!W24+'Mardi S3'!W24+'Mercredi S3'!W24+'Jeudi S3'!W24+'Vendredi S3'!W24+'Samedi S3'!W24</f>
        <v>0</v>
      </c>
      <c r="X24" s="10">
        <f>+'Lundi S3'!X24+'Mardi S3'!X24+'Mercredi S3'!X24+'Jeudi S3'!X24+'Vendredi S3'!X24+'Samedi S3'!X24</f>
        <v>0</v>
      </c>
      <c r="Y24" s="10">
        <f>+'Lundi S3'!Y24+'Mardi S3'!Y24+'Mercredi S3'!Y24+'Jeudi S3'!Y24+'Vendredi S3'!Y24+'Samedi S3'!Y24</f>
        <v>0</v>
      </c>
      <c r="Z24" s="10">
        <f>+'Lundi S3'!Z24+'Mardi S3'!Z24+'Mercredi S3'!Z24+'Jeudi S3'!Z24+'Vendredi S3'!Z24+'Samedi S3'!Z24</f>
        <v>0</v>
      </c>
      <c r="AA24" s="11">
        <f>+'Lundi S3'!AA24+'Mardi S3'!AA24+'Mercredi S3'!AA24+'Jeudi S3'!AA24+'Vendredi S3'!AA24+'Samedi S3'!AA24</f>
        <v>0</v>
      </c>
      <c r="AB24" s="9">
        <f>+'Lundi S3'!AB24+'Mardi S3'!AB24+'Mercredi S3'!AB24+'Jeudi S3'!AB24+'Vendredi S3'!AB24+'Samedi S3'!AB24</f>
        <v>0</v>
      </c>
      <c r="AC24" s="10">
        <f>+'Lundi S3'!AC24+'Mardi S3'!AC24+'Mercredi S3'!AC24+'Jeudi S3'!AC24+'Vendredi S3'!AC24+'Samedi S3'!AC24</f>
        <v>0</v>
      </c>
      <c r="AD24" s="10">
        <f>+'Lundi S3'!AD24+'Mardi S3'!AD24+'Mercredi S3'!AD24+'Jeudi S3'!AD24+'Vendredi S3'!AD24+'Samedi S3'!AD24</f>
        <v>0</v>
      </c>
      <c r="AE24" s="10">
        <f>+'Lundi S3'!AE24+'Mardi S3'!AE24+'Mercredi S3'!AE24+'Jeudi S3'!AE24+'Vendredi S3'!AE24+'Samedi S3'!AE24</f>
        <v>0</v>
      </c>
      <c r="AF24" s="11">
        <f>+'Lundi S3'!AF24+'Mardi S3'!AF24+'Mercredi S3'!AF24+'Jeudi S3'!AF24+'Vendredi S3'!AF24+'Samedi S3'!AF24</f>
        <v>0</v>
      </c>
      <c r="AG24" s="9">
        <f>+'Lundi S3'!AG24+'Mardi S3'!AG24+'Mercredi S3'!AG24+'Jeudi S3'!AG24+'Vendredi S3'!AG24+'Samedi S3'!AG24</f>
        <v>0</v>
      </c>
      <c r="AH24" s="10">
        <f>+'Lundi S3'!AH24+'Mardi S3'!AH24+'Mercredi S3'!AH24+'Jeudi S3'!AH24+'Vendredi S3'!AH24+'Samedi S3'!AH24</f>
        <v>0</v>
      </c>
      <c r="AI24" s="10">
        <f>+'Lundi S3'!AI24+'Mardi S3'!AI24+'Mercredi S3'!AI24+'Jeudi S3'!AI24+'Vendredi S3'!AI24+'Samedi S3'!AI24</f>
        <v>0</v>
      </c>
      <c r="AJ24" s="10">
        <f>+'Lundi S3'!AJ24+'Mardi S3'!AJ24+'Mercredi S3'!AJ24+'Jeudi S3'!AJ24+'Vendredi S3'!AJ24+'Samedi S3'!AJ24</f>
        <v>0</v>
      </c>
      <c r="AK24" s="11">
        <f>+'Lundi S3'!AK24+'Mardi S3'!AK24+'Mercredi S3'!AK24+'Jeudi S3'!AK24+'Vendredi S3'!AK24+'Samedi S3'!AK24</f>
        <v>0</v>
      </c>
      <c r="AL24" s="9">
        <f>+'Lundi S3'!AL24+'Mardi S3'!AL24+'Mercredi S3'!AL24+'Jeudi S3'!AL24+'Vendredi S3'!AL24+'Samedi S3'!AL24</f>
        <v>0</v>
      </c>
      <c r="AM24" s="10">
        <f>+'Lundi S3'!AM24+'Mardi S3'!AM24+'Mercredi S3'!AM24+'Jeudi S3'!AM24+'Vendredi S3'!AM24+'Samedi S3'!AM24</f>
        <v>0</v>
      </c>
      <c r="AN24" s="10">
        <f>+'Lundi S3'!AN24+'Mardi S3'!AN24+'Mercredi S3'!AN24+'Jeudi S3'!AN24+'Vendredi S3'!AN24+'Samedi S3'!AN24</f>
        <v>0</v>
      </c>
      <c r="AO24" s="10">
        <f>+'Lundi S3'!AO24+'Mardi S3'!AO24+'Mercredi S3'!AO24+'Jeudi S3'!AO24+'Vendredi S3'!AO24+'Samedi S3'!AO24</f>
        <v>0</v>
      </c>
      <c r="AP24" s="11">
        <f>+'Lundi S3'!AP24+'Mardi S3'!AP24+'Mercredi S3'!AP24+'Jeudi S3'!AP24+'Vendredi S3'!AP24+'Samedi S3'!AP24</f>
        <v>0</v>
      </c>
      <c r="AQ24" s="9">
        <f>+'Lundi S3'!AQ24+'Mardi S3'!AQ24+'Mercredi S3'!AQ24+'Jeudi S3'!AQ24+'Vendredi S3'!AQ24+'Samedi S3'!AQ24</f>
        <v>0</v>
      </c>
      <c r="AR24" s="10">
        <f>+'Lundi S3'!AR24+'Mardi S3'!AR24+'Mercredi S3'!AR24+'Jeudi S3'!AR24+'Vendredi S3'!AR24+'Samedi S3'!AR24</f>
        <v>0</v>
      </c>
      <c r="AS24" s="11">
        <f>+'Lundi S3'!AS24+'Mardi S3'!AS24+'Mercredi S3'!AS24+'Jeudi S3'!AS24+'Vendredi S3'!AS24+'Samedi S3'!AS24</f>
        <v>0</v>
      </c>
      <c r="AT24" s="22"/>
      <c r="AU24" s="14"/>
    </row>
    <row r="25" spans="1:47" ht="31.9" customHeight="1" x14ac:dyDescent="0.2">
      <c r="A25" s="26">
        <v>19</v>
      </c>
      <c r="B25" s="19"/>
      <c r="C25" s="9">
        <f>+'Lundi S3'!C25+'Mardi S3'!C25+'Mercredi S3'!C25+'Jeudi S3'!C25+'Vendredi S3'!C25+'Samedi S3'!C25</f>
        <v>90</v>
      </c>
      <c r="D25" s="10">
        <f>+'Lundi S3'!D25+'Mardi S3'!D25+'Mercredi S3'!D25+'Jeudi S3'!D25+'Vendredi S3'!D25+'Samedi S3'!D25</f>
        <v>18</v>
      </c>
      <c r="E25" s="10">
        <f>+'Lundi S3'!E25+'Mardi S3'!E25+'Mercredi S3'!E25+'Jeudi S3'!E25+'Vendredi S3'!E25+'Samedi S3'!E25</f>
        <v>30</v>
      </c>
      <c r="F25" s="10">
        <f>+'Lundi S3'!F25+'Mardi S3'!F25+'Mercredi S3'!F25+'Jeudi S3'!F25+'Vendredi S3'!F25+'Samedi S3'!F25</f>
        <v>12</v>
      </c>
      <c r="G25" s="11">
        <f>+'Lundi S3'!G25+'Mardi S3'!G25+'Mercredi S3'!G25+'Jeudi S3'!G25+'Vendredi S3'!G25+'Samedi S3'!G25</f>
        <v>30</v>
      </c>
      <c r="H25" s="9">
        <f>+'Lundi S3'!H25+'Mardi S3'!H25+'Mercredi S3'!H25+'Jeudi S3'!H25+'Vendredi S3'!H25+'Samedi S3'!H25</f>
        <v>18</v>
      </c>
      <c r="I25" s="10">
        <f>+'Lundi S3'!I25+'Mardi S3'!I25+'Mercredi S3'!I25+'Jeudi S3'!I25+'Vendredi S3'!I25+'Samedi S3'!I25</f>
        <v>6</v>
      </c>
      <c r="J25" s="10">
        <f>+'Lundi S3'!J25+'Mardi S3'!J25+'Mercredi S3'!J25+'Jeudi S3'!J25+'Vendredi S3'!J25+'Samedi S3'!J25</f>
        <v>6</v>
      </c>
      <c r="K25" s="10">
        <f>+'Lundi S3'!K25+'Mardi S3'!K25+'Mercredi S3'!K25+'Jeudi S3'!K25+'Vendredi S3'!K25+'Samedi S3'!K25</f>
        <v>6</v>
      </c>
      <c r="L25" s="11">
        <f>+'Lundi S3'!L25+'Mardi S3'!L25+'Mercredi S3'!L25+'Jeudi S3'!L25+'Vendredi S3'!L25+'Samedi S3'!L25</f>
        <v>6</v>
      </c>
      <c r="M25" s="9">
        <f>+'Lundi S3'!M25+'Mardi S3'!M25+'Mercredi S3'!M25+'Jeudi S3'!M25+'Vendredi S3'!M25+'Samedi S3'!M25</f>
        <v>18</v>
      </c>
      <c r="N25" s="10">
        <f>+'Lundi S3'!N25+'Mardi S3'!N25+'Mercredi S3'!N25+'Jeudi S3'!N25+'Vendredi S3'!N25+'Samedi S3'!N25</f>
        <v>6</v>
      </c>
      <c r="O25" s="10">
        <f>+'Lundi S3'!O25+'Mardi S3'!O25+'Mercredi S3'!O25+'Jeudi S3'!O25+'Vendredi S3'!O25+'Samedi S3'!O25</f>
        <v>18</v>
      </c>
      <c r="P25" s="10">
        <f>+'Lundi S3'!P25+'Mardi S3'!P25+'Mercredi S3'!P25+'Jeudi S3'!P25+'Vendredi S3'!P25+'Samedi S3'!P25</f>
        <v>0</v>
      </c>
      <c r="Q25" s="11">
        <f>+'Lundi S3'!Q25+'Mardi S3'!Q25+'Mercredi S3'!Q25+'Jeudi S3'!Q25+'Vendredi S3'!Q25+'Samedi S3'!Q25</f>
        <v>0</v>
      </c>
      <c r="R25" s="61">
        <f>+'Lundi S3'!R25+'Mardi S3'!R25+'Mercredi S3'!R25+'Jeudi S3'!R25+'Vendredi S3'!R25+'Samedi S3'!R25</f>
        <v>3</v>
      </c>
      <c r="S25" s="62">
        <f>+'Lundi S3'!S25+'Mardi S3'!S25+'Mercredi S3'!S25+'Jeudi S3'!S25+'Vendredi S3'!S25+'Samedi S3'!S25</f>
        <v>0.99999999999999989</v>
      </c>
      <c r="T25" s="62">
        <f>+'Lundi S3'!T25+'Mardi S3'!T25+'Mercredi S3'!T25+'Jeudi S3'!T25+'Vendredi S3'!T25+'Samedi S3'!T25</f>
        <v>0.6</v>
      </c>
      <c r="U25" s="62">
        <f>+'Lundi S3'!U25+'Mardi S3'!U25+'Mercredi S3'!U25+'Jeudi S3'!U25+'Vendredi S3'!U25+'Samedi S3'!U25</f>
        <v>3.6</v>
      </c>
      <c r="V25" s="63">
        <f>+'Lundi S3'!V25+'Mardi S3'!V25+'Mercredi S3'!V25+'Jeudi S3'!V25+'Vendredi S3'!V25+'Samedi S3'!V25</f>
        <v>0.9</v>
      </c>
      <c r="W25" s="9">
        <f>+'Lundi S3'!W25+'Mardi S3'!W25+'Mercredi S3'!W25+'Jeudi S3'!W25+'Vendredi S3'!W25+'Samedi S3'!W25</f>
        <v>0</v>
      </c>
      <c r="X25" s="10">
        <f>+'Lundi S3'!X25+'Mardi S3'!X25+'Mercredi S3'!X25+'Jeudi S3'!X25+'Vendredi S3'!X25+'Samedi S3'!X25</f>
        <v>0</v>
      </c>
      <c r="Y25" s="10">
        <f>+'Lundi S3'!Y25+'Mardi S3'!Y25+'Mercredi S3'!Y25+'Jeudi S3'!Y25+'Vendredi S3'!Y25+'Samedi S3'!Y25</f>
        <v>0</v>
      </c>
      <c r="Z25" s="10">
        <f>+'Lundi S3'!Z25+'Mardi S3'!Z25+'Mercredi S3'!Z25+'Jeudi S3'!Z25+'Vendredi S3'!Z25+'Samedi S3'!Z25</f>
        <v>0</v>
      </c>
      <c r="AA25" s="11">
        <f>+'Lundi S3'!AA25+'Mardi S3'!AA25+'Mercredi S3'!AA25+'Jeudi S3'!AA25+'Vendredi S3'!AA25+'Samedi S3'!AA25</f>
        <v>0</v>
      </c>
      <c r="AB25" s="9">
        <f>+'Lundi S3'!AB25+'Mardi S3'!AB25+'Mercredi S3'!AB25+'Jeudi S3'!AB25+'Vendredi S3'!AB25+'Samedi S3'!AB25</f>
        <v>0</v>
      </c>
      <c r="AC25" s="10">
        <f>+'Lundi S3'!AC25+'Mardi S3'!AC25+'Mercredi S3'!AC25+'Jeudi S3'!AC25+'Vendredi S3'!AC25+'Samedi S3'!AC25</f>
        <v>0</v>
      </c>
      <c r="AD25" s="10">
        <f>+'Lundi S3'!AD25+'Mardi S3'!AD25+'Mercredi S3'!AD25+'Jeudi S3'!AD25+'Vendredi S3'!AD25+'Samedi S3'!AD25</f>
        <v>0</v>
      </c>
      <c r="AE25" s="10">
        <f>+'Lundi S3'!AE25+'Mardi S3'!AE25+'Mercredi S3'!AE25+'Jeudi S3'!AE25+'Vendredi S3'!AE25+'Samedi S3'!AE25</f>
        <v>0</v>
      </c>
      <c r="AF25" s="11">
        <f>+'Lundi S3'!AF25+'Mardi S3'!AF25+'Mercredi S3'!AF25+'Jeudi S3'!AF25+'Vendredi S3'!AF25+'Samedi S3'!AF25</f>
        <v>0</v>
      </c>
      <c r="AG25" s="9">
        <f>+'Lundi S3'!AG25+'Mardi S3'!AG25+'Mercredi S3'!AG25+'Jeudi S3'!AG25+'Vendredi S3'!AG25+'Samedi S3'!AG25</f>
        <v>0</v>
      </c>
      <c r="AH25" s="10">
        <f>+'Lundi S3'!AH25+'Mardi S3'!AH25+'Mercredi S3'!AH25+'Jeudi S3'!AH25+'Vendredi S3'!AH25+'Samedi S3'!AH25</f>
        <v>0</v>
      </c>
      <c r="AI25" s="10">
        <f>+'Lundi S3'!AI25+'Mardi S3'!AI25+'Mercredi S3'!AI25+'Jeudi S3'!AI25+'Vendredi S3'!AI25+'Samedi S3'!AI25</f>
        <v>0</v>
      </c>
      <c r="AJ25" s="10">
        <f>+'Lundi S3'!AJ25+'Mardi S3'!AJ25+'Mercredi S3'!AJ25+'Jeudi S3'!AJ25+'Vendredi S3'!AJ25+'Samedi S3'!AJ25</f>
        <v>0</v>
      </c>
      <c r="AK25" s="11">
        <f>+'Lundi S3'!AK25+'Mardi S3'!AK25+'Mercredi S3'!AK25+'Jeudi S3'!AK25+'Vendredi S3'!AK25+'Samedi S3'!AK25</f>
        <v>0</v>
      </c>
      <c r="AL25" s="9">
        <f>+'Lundi S3'!AL25+'Mardi S3'!AL25+'Mercredi S3'!AL25+'Jeudi S3'!AL25+'Vendredi S3'!AL25+'Samedi S3'!AL25</f>
        <v>0</v>
      </c>
      <c r="AM25" s="10">
        <f>+'Lundi S3'!AM25+'Mardi S3'!AM25+'Mercredi S3'!AM25+'Jeudi S3'!AM25+'Vendredi S3'!AM25+'Samedi S3'!AM25</f>
        <v>0</v>
      </c>
      <c r="AN25" s="10">
        <f>+'Lundi S3'!AN25+'Mardi S3'!AN25+'Mercredi S3'!AN25+'Jeudi S3'!AN25+'Vendredi S3'!AN25+'Samedi S3'!AN25</f>
        <v>0</v>
      </c>
      <c r="AO25" s="10">
        <f>+'Lundi S3'!AO25+'Mardi S3'!AO25+'Mercredi S3'!AO25+'Jeudi S3'!AO25+'Vendredi S3'!AO25+'Samedi S3'!AO25</f>
        <v>0</v>
      </c>
      <c r="AP25" s="11">
        <f>+'Lundi S3'!AP25+'Mardi S3'!AP25+'Mercredi S3'!AP25+'Jeudi S3'!AP25+'Vendredi S3'!AP25+'Samedi S3'!AP25</f>
        <v>0</v>
      </c>
      <c r="AQ25" s="9">
        <f>+'Lundi S3'!AQ25+'Mardi S3'!AQ25+'Mercredi S3'!AQ25+'Jeudi S3'!AQ25+'Vendredi S3'!AQ25+'Samedi S3'!AQ25</f>
        <v>0</v>
      </c>
      <c r="AR25" s="10">
        <f>+'Lundi S3'!AR25+'Mardi S3'!AR25+'Mercredi S3'!AR25+'Jeudi S3'!AR25+'Vendredi S3'!AR25+'Samedi S3'!AR25</f>
        <v>0</v>
      </c>
      <c r="AS25" s="11">
        <f>+'Lundi S3'!AS25+'Mardi S3'!AS25+'Mercredi S3'!AS25+'Jeudi S3'!AS25+'Vendredi S3'!AS25+'Samedi S3'!AS25</f>
        <v>0</v>
      </c>
      <c r="AT25" s="22"/>
      <c r="AU25" s="14"/>
    </row>
    <row r="26" spans="1:47" ht="31.9" customHeight="1" x14ac:dyDescent="0.2">
      <c r="A26" s="26">
        <v>20</v>
      </c>
      <c r="B26" s="19"/>
      <c r="C26" s="9">
        <f>+'Lundi S3'!C26+'Mardi S3'!C26+'Mercredi S3'!C26+'Jeudi S3'!C26+'Vendredi S3'!C26+'Samedi S3'!C26</f>
        <v>90</v>
      </c>
      <c r="D26" s="10">
        <f>+'Lundi S3'!D26+'Mardi S3'!D26+'Mercredi S3'!D26+'Jeudi S3'!D26+'Vendredi S3'!D26+'Samedi S3'!D26</f>
        <v>18</v>
      </c>
      <c r="E26" s="10">
        <f>+'Lundi S3'!E26+'Mardi S3'!E26+'Mercredi S3'!E26+'Jeudi S3'!E26+'Vendredi S3'!E26+'Samedi S3'!E26</f>
        <v>30</v>
      </c>
      <c r="F26" s="10">
        <f>+'Lundi S3'!F26+'Mardi S3'!F26+'Mercredi S3'!F26+'Jeudi S3'!F26+'Vendredi S3'!F26+'Samedi S3'!F26</f>
        <v>12</v>
      </c>
      <c r="G26" s="11">
        <f>+'Lundi S3'!G26+'Mardi S3'!G26+'Mercredi S3'!G26+'Jeudi S3'!G26+'Vendredi S3'!G26+'Samedi S3'!G26</f>
        <v>30</v>
      </c>
      <c r="H26" s="9">
        <f>+'Lundi S3'!H26+'Mardi S3'!H26+'Mercredi S3'!H26+'Jeudi S3'!H26+'Vendredi S3'!H26+'Samedi S3'!H26</f>
        <v>18</v>
      </c>
      <c r="I26" s="10">
        <f>+'Lundi S3'!I26+'Mardi S3'!I26+'Mercredi S3'!I26+'Jeudi S3'!I26+'Vendredi S3'!I26+'Samedi S3'!I26</f>
        <v>6</v>
      </c>
      <c r="J26" s="10">
        <f>+'Lundi S3'!J26+'Mardi S3'!J26+'Mercredi S3'!J26+'Jeudi S3'!J26+'Vendredi S3'!J26+'Samedi S3'!J26</f>
        <v>6</v>
      </c>
      <c r="K26" s="10">
        <f>+'Lundi S3'!K26+'Mardi S3'!K26+'Mercredi S3'!K26+'Jeudi S3'!K26+'Vendredi S3'!K26+'Samedi S3'!K26</f>
        <v>6</v>
      </c>
      <c r="L26" s="11">
        <f>+'Lundi S3'!L26+'Mardi S3'!L26+'Mercredi S3'!L26+'Jeudi S3'!L26+'Vendredi S3'!L26+'Samedi S3'!L26</f>
        <v>6</v>
      </c>
      <c r="M26" s="9">
        <f>+'Lundi S3'!M26+'Mardi S3'!M26+'Mercredi S3'!M26+'Jeudi S3'!M26+'Vendredi S3'!M26+'Samedi S3'!M26</f>
        <v>18</v>
      </c>
      <c r="N26" s="10">
        <f>+'Lundi S3'!N26+'Mardi S3'!N26+'Mercredi S3'!N26+'Jeudi S3'!N26+'Vendredi S3'!N26+'Samedi S3'!N26</f>
        <v>6</v>
      </c>
      <c r="O26" s="10">
        <f>+'Lundi S3'!O26+'Mardi S3'!O26+'Mercredi S3'!O26+'Jeudi S3'!O26+'Vendredi S3'!O26+'Samedi S3'!O26</f>
        <v>18</v>
      </c>
      <c r="P26" s="10">
        <f>+'Lundi S3'!P26+'Mardi S3'!P26+'Mercredi S3'!P26+'Jeudi S3'!P26+'Vendredi S3'!P26+'Samedi S3'!P26</f>
        <v>0</v>
      </c>
      <c r="Q26" s="11">
        <f>+'Lundi S3'!Q26+'Mardi S3'!Q26+'Mercredi S3'!Q26+'Jeudi S3'!Q26+'Vendredi S3'!Q26+'Samedi S3'!Q26</f>
        <v>0</v>
      </c>
      <c r="R26" s="61">
        <f>+'Lundi S3'!R26+'Mardi S3'!R26+'Mercredi S3'!R26+'Jeudi S3'!R26+'Vendredi S3'!R26+'Samedi S3'!R26</f>
        <v>3</v>
      </c>
      <c r="S26" s="62">
        <f>+'Lundi S3'!S26+'Mardi S3'!S26+'Mercredi S3'!S26+'Jeudi S3'!S26+'Vendredi S3'!S26+'Samedi S3'!S26</f>
        <v>0.99999999999999989</v>
      </c>
      <c r="T26" s="62">
        <f>+'Lundi S3'!T26+'Mardi S3'!T26+'Mercredi S3'!T26+'Jeudi S3'!T26+'Vendredi S3'!T26+'Samedi S3'!T26</f>
        <v>0.6</v>
      </c>
      <c r="U26" s="62">
        <f>+'Lundi S3'!U26+'Mardi S3'!U26+'Mercredi S3'!U26+'Jeudi S3'!U26+'Vendredi S3'!U26+'Samedi S3'!U26</f>
        <v>3.6</v>
      </c>
      <c r="V26" s="63">
        <f>+'Lundi S3'!V26+'Mardi S3'!V26+'Mercredi S3'!V26+'Jeudi S3'!V26+'Vendredi S3'!V26+'Samedi S3'!V26</f>
        <v>0.9</v>
      </c>
      <c r="W26" s="9">
        <f>+'Lundi S3'!W26+'Mardi S3'!W26+'Mercredi S3'!W26+'Jeudi S3'!W26+'Vendredi S3'!W26+'Samedi S3'!W26</f>
        <v>0</v>
      </c>
      <c r="X26" s="10">
        <f>+'Lundi S3'!X26+'Mardi S3'!X26+'Mercredi S3'!X26+'Jeudi S3'!X26+'Vendredi S3'!X26+'Samedi S3'!X26</f>
        <v>0</v>
      </c>
      <c r="Y26" s="10">
        <f>+'Lundi S3'!Y26+'Mardi S3'!Y26+'Mercredi S3'!Y26+'Jeudi S3'!Y26+'Vendredi S3'!Y26+'Samedi S3'!Y26</f>
        <v>0</v>
      </c>
      <c r="Z26" s="10">
        <f>+'Lundi S3'!Z26+'Mardi S3'!Z26+'Mercredi S3'!Z26+'Jeudi S3'!Z26+'Vendredi S3'!Z26+'Samedi S3'!Z26</f>
        <v>0</v>
      </c>
      <c r="AA26" s="11">
        <f>+'Lundi S3'!AA26+'Mardi S3'!AA26+'Mercredi S3'!AA26+'Jeudi S3'!AA26+'Vendredi S3'!AA26+'Samedi S3'!AA26</f>
        <v>0</v>
      </c>
      <c r="AB26" s="9">
        <f>+'Lundi S3'!AB26+'Mardi S3'!AB26+'Mercredi S3'!AB26+'Jeudi S3'!AB26+'Vendredi S3'!AB26+'Samedi S3'!AB26</f>
        <v>0</v>
      </c>
      <c r="AC26" s="10">
        <f>+'Lundi S3'!AC26+'Mardi S3'!AC26+'Mercredi S3'!AC26+'Jeudi S3'!AC26+'Vendredi S3'!AC26+'Samedi S3'!AC26</f>
        <v>0</v>
      </c>
      <c r="AD26" s="10">
        <f>+'Lundi S3'!AD26+'Mardi S3'!AD26+'Mercredi S3'!AD26+'Jeudi S3'!AD26+'Vendredi S3'!AD26+'Samedi S3'!AD26</f>
        <v>0</v>
      </c>
      <c r="AE26" s="10">
        <f>+'Lundi S3'!AE26+'Mardi S3'!AE26+'Mercredi S3'!AE26+'Jeudi S3'!AE26+'Vendredi S3'!AE26+'Samedi S3'!AE26</f>
        <v>0</v>
      </c>
      <c r="AF26" s="11">
        <f>+'Lundi S3'!AF26+'Mardi S3'!AF26+'Mercredi S3'!AF26+'Jeudi S3'!AF26+'Vendredi S3'!AF26+'Samedi S3'!AF26</f>
        <v>0</v>
      </c>
      <c r="AG26" s="9">
        <f>+'Lundi S3'!AG26+'Mardi S3'!AG26+'Mercredi S3'!AG26+'Jeudi S3'!AG26+'Vendredi S3'!AG26+'Samedi S3'!AG26</f>
        <v>0</v>
      </c>
      <c r="AH26" s="10">
        <f>+'Lundi S3'!AH26+'Mardi S3'!AH26+'Mercredi S3'!AH26+'Jeudi S3'!AH26+'Vendredi S3'!AH26+'Samedi S3'!AH26</f>
        <v>0</v>
      </c>
      <c r="AI26" s="10">
        <f>+'Lundi S3'!AI26+'Mardi S3'!AI26+'Mercredi S3'!AI26+'Jeudi S3'!AI26+'Vendredi S3'!AI26+'Samedi S3'!AI26</f>
        <v>0</v>
      </c>
      <c r="AJ26" s="10">
        <f>+'Lundi S3'!AJ26+'Mardi S3'!AJ26+'Mercredi S3'!AJ26+'Jeudi S3'!AJ26+'Vendredi S3'!AJ26+'Samedi S3'!AJ26</f>
        <v>0</v>
      </c>
      <c r="AK26" s="11">
        <f>+'Lundi S3'!AK26+'Mardi S3'!AK26+'Mercredi S3'!AK26+'Jeudi S3'!AK26+'Vendredi S3'!AK26+'Samedi S3'!AK26</f>
        <v>0</v>
      </c>
      <c r="AL26" s="9">
        <f>+'Lundi S3'!AL26+'Mardi S3'!AL26+'Mercredi S3'!AL26+'Jeudi S3'!AL26+'Vendredi S3'!AL26+'Samedi S3'!AL26</f>
        <v>0</v>
      </c>
      <c r="AM26" s="10">
        <f>+'Lundi S3'!AM26+'Mardi S3'!AM26+'Mercredi S3'!AM26+'Jeudi S3'!AM26+'Vendredi S3'!AM26+'Samedi S3'!AM26</f>
        <v>0</v>
      </c>
      <c r="AN26" s="10">
        <f>+'Lundi S3'!AN26+'Mardi S3'!AN26+'Mercredi S3'!AN26+'Jeudi S3'!AN26+'Vendredi S3'!AN26+'Samedi S3'!AN26</f>
        <v>0</v>
      </c>
      <c r="AO26" s="10">
        <f>+'Lundi S3'!AO26+'Mardi S3'!AO26+'Mercredi S3'!AO26+'Jeudi S3'!AO26+'Vendredi S3'!AO26+'Samedi S3'!AO26</f>
        <v>0</v>
      </c>
      <c r="AP26" s="11">
        <f>+'Lundi S3'!AP26+'Mardi S3'!AP26+'Mercredi S3'!AP26+'Jeudi S3'!AP26+'Vendredi S3'!AP26+'Samedi S3'!AP26</f>
        <v>0</v>
      </c>
      <c r="AQ26" s="9">
        <f>+'Lundi S3'!AQ26+'Mardi S3'!AQ26+'Mercredi S3'!AQ26+'Jeudi S3'!AQ26+'Vendredi S3'!AQ26+'Samedi S3'!AQ26</f>
        <v>0</v>
      </c>
      <c r="AR26" s="10">
        <f>+'Lundi S3'!AR26+'Mardi S3'!AR26+'Mercredi S3'!AR26+'Jeudi S3'!AR26+'Vendredi S3'!AR26+'Samedi S3'!AR26</f>
        <v>0</v>
      </c>
      <c r="AS26" s="11">
        <f>+'Lundi S3'!AS26+'Mardi S3'!AS26+'Mercredi S3'!AS26+'Jeudi S3'!AS26+'Vendredi S3'!AS26+'Samedi S3'!AS26</f>
        <v>0</v>
      </c>
      <c r="AT26" s="22"/>
      <c r="AU26" s="14"/>
    </row>
    <row r="27" spans="1:47" ht="31.9" customHeight="1" x14ac:dyDescent="0.2">
      <c r="A27" s="26">
        <v>21</v>
      </c>
      <c r="B27" s="19"/>
      <c r="C27" s="9">
        <f>+'Lundi S3'!C27+'Mardi S3'!C27+'Mercredi S3'!C27+'Jeudi S3'!C27+'Vendredi S3'!C27+'Samedi S3'!C27</f>
        <v>90</v>
      </c>
      <c r="D27" s="10">
        <f>+'Lundi S3'!D27+'Mardi S3'!D27+'Mercredi S3'!D27+'Jeudi S3'!D27+'Vendredi S3'!D27+'Samedi S3'!D27</f>
        <v>18</v>
      </c>
      <c r="E27" s="10">
        <f>+'Lundi S3'!E27+'Mardi S3'!E27+'Mercredi S3'!E27+'Jeudi S3'!E27+'Vendredi S3'!E27+'Samedi S3'!E27</f>
        <v>30</v>
      </c>
      <c r="F27" s="10">
        <f>+'Lundi S3'!F27+'Mardi S3'!F27+'Mercredi S3'!F27+'Jeudi S3'!F27+'Vendredi S3'!F27+'Samedi S3'!F27</f>
        <v>12</v>
      </c>
      <c r="G27" s="11">
        <f>+'Lundi S3'!G27+'Mardi S3'!G27+'Mercredi S3'!G27+'Jeudi S3'!G27+'Vendredi S3'!G27+'Samedi S3'!G27</f>
        <v>30</v>
      </c>
      <c r="H27" s="9">
        <f>+'Lundi S3'!H27+'Mardi S3'!H27+'Mercredi S3'!H27+'Jeudi S3'!H27+'Vendredi S3'!H27+'Samedi S3'!H27</f>
        <v>18</v>
      </c>
      <c r="I27" s="10">
        <f>+'Lundi S3'!I27+'Mardi S3'!I27+'Mercredi S3'!I27+'Jeudi S3'!I27+'Vendredi S3'!I27+'Samedi S3'!I27</f>
        <v>6</v>
      </c>
      <c r="J27" s="10">
        <f>+'Lundi S3'!J27+'Mardi S3'!J27+'Mercredi S3'!J27+'Jeudi S3'!J27+'Vendredi S3'!J27+'Samedi S3'!J27</f>
        <v>6</v>
      </c>
      <c r="K27" s="10">
        <f>+'Lundi S3'!K27+'Mardi S3'!K27+'Mercredi S3'!K27+'Jeudi S3'!K27+'Vendredi S3'!K27+'Samedi S3'!K27</f>
        <v>6</v>
      </c>
      <c r="L27" s="11">
        <f>+'Lundi S3'!L27+'Mardi S3'!L27+'Mercredi S3'!L27+'Jeudi S3'!L27+'Vendredi S3'!L27+'Samedi S3'!L27</f>
        <v>6</v>
      </c>
      <c r="M27" s="9">
        <f>+'Lundi S3'!M27+'Mardi S3'!M27+'Mercredi S3'!M27+'Jeudi S3'!M27+'Vendredi S3'!M27+'Samedi S3'!M27</f>
        <v>18</v>
      </c>
      <c r="N27" s="10">
        <f>+'Lundi S3'!N27+'Mardi S3'!N27+'Mercredi S3'!N27+'Jeudi S3'!N27+'Vendredi S3'!N27+'Samedi S3'!N27</f>
        <v>6</v>
      </c>
      <c r="O27" s="10">
        <f>+'Lundi S3'!O27+'Mardi S3'!O27+'Mercredi S3'!O27+'Jeudi S3'!O27+'Vendredi S3'!O27+'Samedi S3'!O27</f>
        <v>18</v>
      </c>
      <c r="P27" s="10">
        <f>+'Lundi S3'!P27+'Mardi S3'!P27+'Mercredi S3'!P27+'Jeudi S3'!P27+'Vendredi S3'!P27+'Samedi S3'!P27</f>
        <v>0</v>
      </c>
      <c r="Q27" s="11">
        <f>+'Lundi S3'!Q27+'Mardi S3'!Q27+'Mercredi S3'!Q27+'Jeudi S3'!Q27+'Vendredi S3'!Q27+'Samedi S3'!Q27</f>
        <v>0</v>
      </c>
      <c r="R27" s="61">
        <f>+'Lundi S3'!R27+'Mardi S3'!R27+'Mercredi S3'!R27+'Jeudi S3'!R27+'Vendredi S3'!R27+'Samedi S3'!R27</f>
        <v>3</v>
      </c>
      <c r="S27" s="62">
        <f>+'Lundi S3'!S27+'Mardi S3'!S27+'Mercredi S3'!S27+'Jeudi S3'!S27+'Vendredi S3'!S27+'Samedi S3'!S27</f>
        <v>0.99999999999999989</v>
      </c>
      <c r="T27" s="62">
        <f>+'Lundi S3'!T27+'Mardi S3'!T27+'Mercredi S3'!T27+'Jeudi S3'!T27+'Vendredi S3'!T27+'Samedi S3'!T27</f>
        <v>0.6</v>
      </c>
      <c r="U27" s="62">
        <f>+'Lundi S3'!U27+'Mardi S3'!U27+'Mercredi S3'!U27+'Jeudi S3'!U27+'Vendredi S3'!U27+'Samedi S3'!U27</f>
        <v>3.6</v>
      </c>
      <c r="V27" s="63">
        <f>+'Lundi S3'!V27+'Mardi S3'!V27+'Mercredi S3'!V27+'Jeudi S3'!V27+'Vendredi S3'!V27+'Samedi S3'!V27</f>
        <v>0.9</v>
      </c>
      <c r="W27" s="9">
        <f>+'Lundi S3'!W27+'Mardi S3'!W27+'Mercredi S3'!W27+'Jeudi S3'!W27+'Vendredi S3'!W27+'Samedi S3'!W27</f>
        <v>0</v>
      </c>
      <c r="X27" s="10">
        <f>+'Lundi S3'!X27+'Mardi S3'!X27+'Mercredi S3'!X27+'Jeudi S3'!X27+'Vendredi S3'!X27+'Samedi S3'!X27</f>
        <v>0</v>
      </c>
      <c r="Y27" s="10">
        <f>+'Lundi S3'!Y27+'Mardi S3'!Y27+'Mercredi S3'!Y27+'Jeudi S3'!Y27+'Vendredi S3'!Y27+'Samedi S3'!Y27</f>
        <v>0</v>
      </c>
      <c r="Z27" s="10">
        <f>+'Lundi S3'!Z27+'Mardi S3'!Z27+'Mercredi S3'!Z27+'Jeudi S3'!Z27+'Vendredi S3'!Z27+'Samedi S3'!Z27</f>
        <v>0</v>
      </c>
      <c r="AA27" s="11">
        <f>+'Lundi S3'!AA27+'Mardi S3'!AA27+'Mercredi S3'!AA27+'Jeudi S3'!AA27+'Vendredi S3'!AA27+'Samedi S3'!AA27</f>
        <v>0</v>
      </c>
      <c r="AB27" s="9">
        <f>+'Lundi S3'!AB27+'Mardi S3'!AB27+'Mercredi S3'!AB27+'Jeudi S3'!AB27+'Vendredi S3'!AB27+'Samedi S3'!AB27</f>
        <v>0</v>
      </c>
      <c r="AC27" s="10">
        <f>+'Lundi S3'!AC27+'Mardi S3'!AC27+'Mercredi S3'!AC27+'Jeudi S3'!AC27+'Vendredi S3'!AC27+'Samedi S3'!AC27</f>
        <v>0</v>
      </c>
      <c r="AD27" s="10">
        <f>+'Lundi S3'!AD27+'Mardi S3'!AD27+'Mercredi S3'!AD27+'Jeudi S3'!AD27+'Vendredi S3'!AD27+'Samedi S3'!AD27</f>
        <v>0</v>
      </c>
      <c r="AE27" s="10">
        <f>+'Lundi S3'!AE27+'Mardi S3'!AE27+'Mercredi S3'!AE27+'Jeudi S3'!AE27+'Vendredi S3'!AE27+'Samedi S3'!AE27</f>
        <v>0</v>
      </c>
      <c r="AF27" s="11">
        <f>+'Lundi S3'!AF27+'Mardi S3'!AF27+'Mercredi S3'!AF27+'Jeudi S3'!AF27+'Vendredi S3'!AF27+'Samedi S3'!AF27</f>
        <v>0</v>
      </c>
      <c r="AG27" s="9">
        <f>+'Lundi S3'!AG27+'Mardi S3'!AG27+'Mercredi S3'!AG27+'Jeudi S3'!AG27+'Vendredi S3'!AG27+'Samedi S3'!AG27</f>
        <v>0</v>
      </c>
      <c r="AH27" s="10">
        <f>+'Lundi S3'!AH27+'Mardi S3'!AH27+'Mercredi S3'!AH27+'Jeudi S3'!AH27+'Vendredi S3'!AH27+'Samedi S3'!AH27</f>
        <v>0</v>
      </c>
      <c r="AI27" s="10">
        <f>+'Lundi S3'!AI27+'Mardi S3'!AI27+'Mercredi S3'!AI27+'Jeudi S3'!AI27+'Vendredi S3'!AI27+'Samedi S3'!AI27</f>
        <v>0</v>
      </c>
      <c r="AJ27" s="10">
        <f>+'Lundi S3'!AJ27+'Mardi S3'!AJ27+'Mercredi S3'!AJ27+'Jeudi S3'!AJ27+'Vendredi S3'!AJ27+'Samedi S3'!AJ27</f>
        <v>0</v>
      </c>
      <c r="AK27" s="11">
        <f>+'Lundi S3'!AK27+'Mardi S3'!AK27+'Mercredi S3'!AK27+'Jeudi S3'!AK27+'Vendredi S3'!AK27+'Samedi S3'!AK27</f>
        <v>0</v>
      </c>
      <c r="AL27" s="9">
        <f>+'Lundi S3'!AL27+'Mardi S3'!AL27+'Mercredi S3'!AL27+'Jeudi S3'!AL27+'Vendredi S3'!AL27+'Samedi S3'!AL27</f>
        <v>0</v>
      </c>
      <c r="AM27" s="10">
        <f>+'Lundi S3'!AM27+'Mardi S3'!AM27+'Mercredi S3'!AM27+'Jeudi S3'!AM27+'Vendredi S3'!AM27+'Samedi S3'!AM27</f>
        <v>0</v>
      </c>
      <c r="AN27" s="10">
        <f>+'Lundi S3'!AN27+'Mardi S3'!AN27+'Mercredi S3'!AN27+'Jeudi S3'!AN27+'Vendredi S3'!AN27+'Samedi S3'!AN27</f>
        <v>0</v>
      </c>
      <c r="AO27" s="10">
        <f>+'Lundi S3'!AO27+'Mardi S3'!AO27+'Mercredi S3'!AO27+'Jeudi S3'!AO27+'Vendredi S3'!AO27+'Samedi S3'!AO27</f>
        <v>0</v>
      </c>
      <c r="AP27" s="11">
        <f>+'Lundi S3'!AP27+'Mardi S3'!AP27+'Mercredi S3'!AP27+'Jeudi S3'!AP27+'Vendredi S3'!AP27+'Samedi S3'!AP27</f>
        <v>0</v>
      </c>
      <c r="AQ27" s="9">
        <f>+'Lundi S3'!AQ27+'Mardi S3'!AQ27+'Mercredi S3'!AQ27+'Jeudi S3'!AQ27+'Vendredi S3'!AQ27+'Samedi S3'!AQ27</f>
        <v>0</v>
      </c>
      <c r="AR27" s="10">
        <f>+'Lundi S3'!AR27+'Mardi S3'!AR27+'Mercredi S3'!AR27+'Jeudi S3'!AR27+'Vendredi S3'!AR27+'Samedi S3'!AR27</f>
        <v>0</v>
      </c>
      <c r="AS27" s="11">
        <f>+'Lundi S3'!AS27+'Mardi S3'!AS27+'Mercredi S3'!AS27+'Jeudi S3'!AS27+'Vendredi S3'!AS27+'Samedi S3'!AS27</f>
        <v>0</v>
      </c>
      <c r="AT27" s="22"/>
      <c r="AU27" s="14"/>
    </row>
    <row r="28" spans="1:47" ht="31.9" customHeight="1" x14ac:dyDescent="0.2">
      <c r="A28" s="26">
        <v>22</v>
      </c>
      <c r="B28" s="19"/>
      <c r="C28" s="9">
        <f>+'Lundi S3'!C28+'Mardi S3'!C28+'Mercredi S3'!C28+'Jeudi S3'!C28+'Vendredi S3'!C28+'Samedi S3'!C28</f>
        <v>90</v>
      </c>
      <c r="D28" s="10">
        <f>+'Lundi S3'!D28+'Mardi S3'!D28+'Mercredi S3'!D28+'Jeudi S3'!D28+'Vendredi S3'!D28+'Samedi S3'!D28</f>
        <v>18</v>
      </c>
      <c r="E28" s="10">
        <f>+'Lundi S3'!E28+'Mardi S3'!E28+'Mercredi S3'!E28+'Jeudi S3'!E28+'Vendredi S3'!E28+'Samedi S3'!E28</f>
        <v>30</v>
      </c>
      <c r="F28" s="10">
        <f>+'Lundi S3'!F28+'Mardi S3'!F28+'Mercredi S3'!F28+'Jeudi S3'!F28+'Vendredi S3'!F28+'Samedi S3'!F28</f>
        <v>12</v>
      </c>
      <c r="G28" s="11">
        <f>+'Lundi S3'!G28+'Mardi S3'!G28+'Mercredi S3'!G28+'Jeudi S3'!G28+'Vendredi S3'!G28+'Samedi S3'!G28</f>
        <v>30</v>
      </c>
      <c r="H28" s="9">
        <f>+'Lundi S3'!H28+'Mardi S3'!H28+'Mercredi S3'!H28+'Jeudi S3'!H28+'Vendredi S3'!H28+'Samedi S3'!H28</f>
        <v>18</v>
      </c>
      <c r="I28" s="10">
        <f>+'Lundi S3'!I28+'Mardi S3'!I28+'Mercredi S3'!I28+'Jeudi S3'!I28+'Vendredi S3'!I28+'Samedi S3'!I28</f>
        <v>6</v>
      </c>
      <c r="J28" s="10">
        <f>+'Lundi S3'!J28+'Mardi S3'!J28+'Mercredi S3'!J28+'Jeudi S3'!J28+'Vendredi S3'!J28+'Samedi S3'!J28</f>
        <v>6</v>
      </c>
      <c r="K28" s="10">
        <f>+'Lundi S3'!K28+'Mardi S3'!K28+'Mercredi S3'!K28+'Jeudi S3'!K28+'Vendredi S3'!K28+'Samedi S3'!K28</f>
        <v>6</v>
      </c>
      <c r="L28" s="11">
        <f>+'Lundi S3'!L28+'Mardi S3'!L28+'Mercredi S3'!L28+'Jeudi S3'!L28+'Vendredi S3'!L28+'Samedi S3'!L28</f>
        <v>6</v>
      </c>
      <c r="M28" s="9">
        <f>+'Lundi S3'!M28+'Mardi S3'!M28+'Mercredi S3'!M28+'Jeudi S3'!M28+'Vendredi S3'!M28+'Samedi S3'!M28</f>
        <v>18</v>
      </c>
      <c r="N28" s="10">
        <f>+'Lundi S3'!N28+'Mardi S3'!N28+'Mercredi S3'!N28+'Jeudi S3'!N28+'Vendredi S3'!N28+'Samedi S3'!N28</f>
        <v>6</v>
      </c>
      <c r="O28" s="10">
        <f>+'Lundi S3'!O28+'Mardi S3'!O28+'Mercredi S3'!O28+'Jeudi S3'!O28+'Vendredi S3'!O28+'Samedi S3'!O28</f>
        <v>18</v>
      </c>
      <c r="P28" s="10">
        <f>+'Lundi S3'!P28+'Mardi S3'!P28+'Mercredi S3'!P28+'Jeudi S3'!P28+'Vendredi S3'!P28+'Samedi S3'!P28</f>
        <v>0</v>
      </c>
      <c r="Q28" s="11">
        <f>+'Lundi S3'!Q28+'Mardi S3'!Q28+'Mercredi S3'!Q28+'Jeudi S3'!Q28+'Vendredi S3'!Q28+'Samedi S3'!Q28</f>
        <v>0</v>
      </c>
      <c r="R28" s="61">
        <f>+'Lundi S3'!R28+'Mardi S3'!R28+'Mercredi S3'!R28+'Jeudi S3'!R28+'Vendredi S3'!R28+'Samedi S3'!R28</f>
        <v>3</v>
      </c>
      <c r="S28" s="62">
        <f>+'Lundi S3'!S28+'Mardi S3'!S28+'Mercredi S3'!S28+'Jeudi S3'!S28+'Vendredi S3'!S28+'Samedi S3'!S28</f>
        <v>0.99999999999999989</v>
      </c>
      <c r="T28" s="62">
        <f>+'Lundi S3'!T28+'Mardi S3'!T28+'Mercredi S3'!T28+'Jeudi S3'!T28+'Vendredi S3'!T28+'Samedi S3'!T28</f>
        <v>0.6</v>
      </c>
      <c r="U28" s="62">
        <f>+'Lundi S3'!U28+'Mardi S3'!U28+'Mercredi S3'!U28+'Jeudi S3'!U28+'Vendredi S3'!U28+'Samedi S3'!U28</f>
        <v>3.6</v>
      </c>
      <c r="V28" s="63">
        <f>+'Lundi S3'!V28+'Mardi S3'!V28+'Mercredi S3'!V28+'Jeudi S3'!V28+'Vendredi S3'!V28+'Samedi S3'!V28</f>
        <v>0.9</v>
      </c>
      <c r="W28" s="9">
        <f>+'Lundi S3'!W28+'Mardi S3'!W28+'Mercredi S3'!W28+'Jeudi S3'!W28+'Vendredi S3'!W28+'Samedi S3'!W28</f>
        <v>0</v>
      </c>
      <c r="X28" s="10">
        <f>+'Lundi S3'!X28+'Mardi S3'!X28+'Mercredi S3'!X28+'Jeudi S3'!X28+'Vendredi S3'!X28+'Samedi S3'!X28</f>
        <v>0</v>
      </c>
      <c r="Y28" s="10">
        <f>+'Lundi S3'!Y28+'Mardi S3'!Y28+'Mercredi S3'!Y28+'Jeudi S3'!Y28+'Vendredi S3'!Y28+'Samedi S3'!Y28</f>
        <v>0</v>
      </c>
      <c r="Z28" s="10">
        <f>+'Lundi S3'!Z28+'Mardi S3'!Z28+'Mercredi S3'!Z28+'Jeudi S3'!Z28+'Vendredi S3'!Z28+'Samedi S3'!Z28</f>
        <v>0</v>
      </c>
      <c r="AA28" s="11">
        <f>+'Lundi S3'!AA28+'Mardi S3'!AA28+'Mercredi S3'!AA28+'Jeudi S3'!AA28+'Vendredi S3'!AA28+'Samedi S3'!AA28</f>
        <v>0</v>
      </c>
      <c r="AB28" s="9">
        <f>+'Lundi S3'!AB28+'Mardi S3'!AB28+'Mercredi S3'!AB28+'Jeudi S3'!AB28+'Vendredi S3'!AB28+'Samedi S3'!AB28</f>
        <v>0</v>
      </c>
      <c r="AC28" s="10">
        <f>+'Lundi S3'!AC28+'Mardi S3'!AC28+'Mercredi S3'!AC28+'Jeudi S3'!AC28+'Vendredi S3'!AC28+'Samedi S3'!AC28</f>
        <v>0</v>
      </c>
      <c r="AD28" s="10">
        <f>+'Lundi S3'!AD28+'Mardi S3'!AD28+'Mercredi S3'!AD28+'Jeudi S3'!AD28+'Vendredi S3'!AD28+'Samedi S3'!AD28</f>
        <v>0</v>
      </c>
      <c r="AE28" s="10">
        <f>+'Lundi S3'!AE28+'Mardi S3'!AE28+'Mercredi S3'!AE28+'Jeudi S3'!AE28+'Vendredi S3'!AE28+'Samedi S3'!AE28</f>
        <v>0</v>
      </c>
      <c r="AF28" s="11">
        <f>+'Lundi S3'!AF28+'Mardi S3'!AF28+'Mercredi S3'!AF28+'Jeudi S3'!AF28+'Vendredi S3'!AF28+'Samedi S3'!AF28</f>
        <v>0</v>
      </c>
      <c r="AG28" s="9">
        <f>+'Lundi S3'!AG28+'Mardi S3'!AG28+'Mercredi S3'!AG28+'Jeudi S3'!AG28+'Vendredi S3'!AG28+'Samedi S3'!AG28</f>
        <v>0</v>
      </c>
      <c r="AH28" s="10">
        <f>+'Lundi S3'!AH28+'Mardi S3'!AH28+'Mercredi S3'!AH28+'Jeudi S3'!AH28+'Vendredi S3'!AH28+'Samedi S3'!AH28</f>
        <v>0</v>
      </c>
      <c r="AI28" s="10">
        <f>+'Lundi S3'!AI28+'Mardi S3'!AI28+'Mercredi S3'!AI28+'Jeudi S3'!AI28+'Vendredi S3'!AI28+'Samedi S3'!AI28</f>
        <v>0</v>
      </c>
      <c r="AJ28" s="10">
        <f>+'Lundi S3'!AJ28+'Mardi S3'!AJ28+'Mercredi S3'!AJ28+'Jeudi S3'!AJ28+'Vendredi S3'!AJ28+'Samedi S3'!AJ28</f>
        <v>0</v>
      </c>
      <c r="AK28" s="11">
        <f>+'Lundi S3'!AK28+'Mardi S3'!AK28+'Mercredi S3'!AK28+'Jeudi S3'!AK28+'Vendredi S3'!AK28+'Samedi S3'!AK28</f>
        <v>0</v>
      </c>
      <c r="AL28" s="9">
        <f>+'Lundi S3'!AL28+'Mardi S3'!AL28+'Mercredi S3'!AL28+'Jeudi S3'!AL28+'Vendredi S3'!AL28+'Samedi S3'!AL28</f>
        <v>0</v>
      </c>
      <c r="AM28" s="10">
        <f>+'Lundi S3'!AM28+'Mardi S3'!AM28+'Mercredi S3'!AM28+'Jeudi S3'!AM28+'Vendredi S3'!AM28+'Samedi S3'!AM28</f>
        <v>0</v>
      </c>
      <c r="AN28" s="10">
        <f>+'Lundi S3'!AN28+'Mardi S3'!AN28+'Mercredi S3'!AN28+'Jeudi S3'!AN28+'Vendredi S3'!AN28+'Samedi S3'!AN28</f>
        <v>0</v>
      </c>
      <c r="AO28" s="10">
        <f>+'Lundi S3'!AO28+'Mardi S3'!AO28+'Mercredi S3'!AO28+'Jeudi S3'!AO28+'Vendredi S3'!AO28+'Samedi S3'!AO28</f>
        <v>0</v>
      </c>
      <c r="AP28" s="11">
        <f>+'Lundi S3'!AP28+'Mardi S3'!AP28+'Mercredi S3'!AP28+'Jeudi S3'!AP28+'Vendredi S3'!AP28+'Samedi S3'!AP28</f>
        <v>0</v>
      </c>
      <c r="AQ28" s="9">
        <f>+'Lundi S3'!AQ28+'Mardi S3'!AQ28+'Mercredi S3'!AQ28+'Jeudi S3'!AQ28+'Vendredi S3'!AQ28+'Samedi S3'!AQ28</f>
        <v>0</v>
      </c>
      <c r="AR28" s="10">
        <f>+'Lundi S3'!AR28+'Mardi S3'!AR28+'Mercredi S3'!AR28+'Jeudi S3'!AR28+'Vendredi S3'!AR28+'Samedi S3'!AR28</f>
        <v>0</v>
      </c>
      <c r="AS28" s="11">
        <f>+'Lundi S3'!AS28+'Mardi S3'!AS28+'Mercredi S3'!AS28+'Jeudi S3'!AS28+'Vendredi S3'!AS28+'Samedi S3'!AS28</f>
        <v>0</v>
      </c>
      <c r="AT28" s="22"/>
      <c r="AU28" s="14"/>
    </row>
    <row r="29" spans="1:47" ht="31.9" customHeight="1" x14ac:dyDescent="0.2">
      <c r="A29" s="26">
        <v>23</v>
      </c>
      <c r="B29" s="19"/>
      <c r="C29" s="9">
        <f>+'Lundi S3'!C29+'Mardi S3'!C29+'Mercredi S3'!C29+'Jeudi S3'!C29+'Vendredi S3'!C29+'Samedi S3'!C29</f>
        <v>90</v>
      </c>
      <c r="D29" s="10">
        <f>+'Lundi S3'!D29+'Mardi S3'!D29+'Mercredi S3'!D29+'Jeudi S3'!D29+'Vendredi S3'!D29+'Samedi S3'!D29</f>
        <v>18</v>
      </c>
      <c r="E29" s="10">
        <f>+'Lundi S3'!E29+'Mardi S3'!E29+'Mercredi S3'!E29+'Jeudi S3'!E29+'Vendredi S3'!E29+'Samedi S3'!E29</f>
        <v>30</v>
      </c>
      <c r="F29" s="10">
        <f>+'Lundi S3'!F29+'Mardi S3'!F29+'Mercredi S3'!F29+'Jeudi S3'!F29+'Vendredi S3'!F29+'Samedi S3'!F29</f>
        <v>12</v>
      </c>
      <c r="G29" s="11">
        <f>+'Lundi S3'!G29+'Mardi S3'!G29+'Mercredi S3'!G29+'Jeudi S3'!G29+'Vendredi S3'!G29+'Samedi S3'!G29</f>
        <v>30</v>
      </c>
      <c r="H29" s="9">
        <f>+'Lundi S3'!H29+'Mardi S3'!H29+'Mercredi S3'!H29+'Jeudi S3'!H29+'Vendredi S3'!H29+'Samedi S3'!H29</f>
        <v>18</v>
      </c>
      <c r="I29" s="10">
        <f>+'Lundi S3'!I29+'Mardi S3'!I29+'Mercredi S3'!I29+'Jeudi S3'!I29+'Vendredi S3'!I29+'Samedi S3'!I29</f>
        <v>6</v>
      </c>
      <c r="J29" s="10">
        <f>+'Lundi S3'!J29+'Mardi S3'!J29+'Mercredi S3'!J29+'Jeudi S3'!J29+'Vendredi S3'!J29+'Samedi S3'!J29</f>
        <v>6</v>
      </c>
      <c r="K29" s="10">
        <f>+'Lundi S3'!K29+'Mardi S3'!K29+'Mercredi S3'!K29+'Jeudi S3'!K29+'Vendredi S3'!K29+'Samedi S3'!K29</f>
        <v>6</v>
      </c>
      <c r="L29" s="11">
        <f>+'Lundi S3'!L29+'Mardi S3'!L29+'Mercredi S3'!L29+'Jeudi S3'!L29+'Vendredi S3'!L29+'Samedi S3'!L29</f>
        <v>6</v>
      </c>
      <c r="M29" s="9">
        <f>+'Lundi S3'!M29+'Mardi S3'!M29+'Mercredi S3'!M29+'Jeudi S3'!M29+'Vendredi S3'!M29+'Samedi S3'!M29</f>
        <v>18</v>
      </c>
      <c r="N29" s="10">
        <f>+'Lundi S3'!N29+'Mardi S3'!N29+'Mercredi S3'!N29+'Jeudi S3'!N29+'Vendredi S3'!N29+'Samedi S3'!N29</f>
        <v>6</v>
      </c>
      <c r="O29" s="10">
        <f>+'Lundi S3'!O29+'Mardi S3'!O29+'Mercredi S3'!O29+'Jeudi S3'!O29+'Vendredi S3'!O29+'Samedi S3'!O29</f>
        <v>18</v>
      </c>
      <c r="P29" s="10">
        <f>+'Lundi S3'!P29+'Mardi S3'!P29+'Mercredi S3'!P29+'Jeudi S3'!P29+'Vendredi S3'!P29+'Samedi S3'!P29</f>
        <v>0</v>
      </c>
      <c r="Q29" s="11">
        <f>+'Lundi S3'!Q29+'Mardi S3'!Q29+'Mercredi S3'!Q29+'Jeudi S3'!Q29+'Vendredi S3'!Q29+'Samedi S3'!Q29</f>
        <v>0</v>
      </c>
      <c r="R29" s="61">
        <f>+'Lundi S3'!R29+'Mardi S3'!R29+'Mercredi S3'!R29+'Jeudi S3'!R29+'Vendredi S3'!R29+'Samedi S3'!R29</f>
        <v>3</v>
      </c>
      <c r="S29" s="62">
        <f>+'Lundi S3'!S29+'Mardi S3'!S29+'Mercredi S3'!S29+'Jeudi S3'!S29+'Vendredi S3'!S29+'Samedi S3'!S29</f>
        <v>0.99999999999999989</v>
      </c>
      <c r="T29" s="62">
        <f>+'Lundi S3'!T29+'Mardi S3'!T29+'Mercredi S3'!T29+'Jeudi S3'!T29+'Vendredi S3'!T29+'Samedi S3'!T29</f>
        <v>0.6</v>
      </c>
      <c r="U29" s="62">
        <f>+'Lundi S3'!U29+'Mardi S3'!U29+'Mercredi S3'!U29+'Jeudi S3'!U29+'Vendredi S3'!U29+'Samedi S3'!U29</f>
        <v>3.6</v>
      </c>
      <c r="V29" s="63">
        <f>+'Lundi S3'!V29+'Mardi S3'!V29+'Mercredi S3'!V29+'Jeudi S3'!V29+'Vendredi S3'!V29+'Samedi S3'!V29</f>
        <v>0.9</v>
      </c>
      <c r="W29" s="9">
        <f>+'Lundi S3'!W29+'Mardi S3'!W29+'Mercredi S3'!W29+'Jeudi S3'!W29+'Vendredi S3'!W29+'Samedi S3'!W29</f>
        <v>0</v>
      </c>
      <c r="X29" s="10">
        <f>+'Lundi S3'!X29+'Mardi S3'!X29+'Mercredi S3'!X29+'Jeudi S3'!X29+'Vendredi S3'!X29+'Samedi S3'!X29</f>
        <v>0</v>
      </c>
      <c r="Y29" s="10">
        <f>+'Lundi S3'!Y29+'Mardi S3'!Y29+'Mercredi S3'!Y29+'Jeudi S3'!Y29+'Vendredi S3'!Y29+'Samedi S3'!Y29</f>
        <v>0</v>
      </c>
      <c r="Z29" s="10">
        <f>+'Lundi S3'!Z29+'Mardi S3'!Z29+'Mercredi S3'!Z29+'Jeudi S3'!Z29+'Vendredi S3'!Z29+'Samedi S3'!Z29</f>
        <v>0</v>
      </c>
      <c r="AA29" s="11">
        <f>+'Lundi S3'!AA29+'Mardi S3'!AA29+'Mercredi S3'!AA29+'Jeudi S3'!AA29+'Vendredi S3'!AA29+'Samedi S3'!AA29</f>
        <v>0</v>
      </c>
      <c r="AB29" s="9">
        <f>+'Lundi S3'!AB29+'Mardi S3'!AB29+'Mercredi S3'!AB29+'Jeudi S3'!AB29+'Vendredi S3'!AB29+'Samedi S3'!AB29</f>
        <v>0</v>
      </c>
      <c r="AC29" s="10">
        <f>+'Lundi S3'!AC29+'Mardi S3'!AC29+'Mercredi S3'!AC29+'Jeudi S3'!AC29+'Vendredi S3'!AC29+'Samedi S3'!AC29</f>
        <v>0</v>
      </c>
      <c r="AD29" s="10">
        <f>+'Lundi S3'!AD29+'Mardi S3'!AD29+'Mercredi S3'!AD29+'Jeudi S3'!AD29+'Vendredi S3'!AD29+'Samedi S3'!AD29</f>
        <v>0</v>
      </c>
      <c r="AE29" s="10">
        <f>+'Lundi S3'!AE29+'Mardi S3'!AE29+'Mercredi S3'!AE29+'Jeudi S3'!AE29+'Vendredi S3'!AE29+'Samedi S3'!AE29</f>
        <v>0</v>
      </c>
      <c r="AF29" s="11">
        <f>+'Lundi S3'!AF29+'Mardi S3'!AF29+'Mercredi S3'!AF29+'Jeudi S3'!AF29+'Vendredi S3'!AF29+'Samedi S3'!AF29</f>
        <v>0</v>
      </c>
      <c r="AG29" s="9">
        <f>+'Lundi S3'!AG29+'Mardi S3'!AG29+'Mercredi S3'!AG29+'Jeudi S3'!AG29+'Vendredi S3'!AG29+'Samedi S3'!AG29</f>
        <v>0</v>
      </c>
      <c r="AH29" s="10">
        <f>+'Lundi S3'!AH29+'Mardi S3'!AH29+'Mercredi S3'!AH29+'Jeudi S3'!AH29+'Vendredi S3'!AH29+'Samedi S3'!AH29</f>
        <v>0</v>
      </c>
      <c r="AI29" s="10">
        <f>+'Lundi S3'!AI29+'Mardi S3'!AI29+'Mercredi S3'!AI29+'Jeudi S3'!AI29+'Vendredi S3'!AI29+'Samedi S3'!AI29</f>
        <v>0</v>
      </c>
      <c r="AJ29" s="10">
        <f>+'Lundi S3'!AJ29+'Mardi S3'!AJ29+'Mercredi S3'!AJ29+'Jeudi S3'!AJ29+'Vendredi S3'!AJ29+'Samedi S3'!AJ29</f>
        <v>0</v>
      </c>
      <c r="AK29" s="11">
        <f>+'Lundi S3'!AK29+'Mardi S3'!AK29+'Mercredi S3'!AK29+'Jeudi S3'!AK29+'Vendredi S3'!AK29+'Samedi S3'!AK29</f>
        <v>0</v>
      </c>
      <c r="AL29" s="9">
        <f>+'Lundi S3'!AL29+'Mardi S3'!AL29+'Mercredi S3'!AL29+'Jeudi S3'!AL29+'Vendredi S3'!AL29+'Samedi S3'!AL29</f>
        <v>0</v>
      </c>
      <c r="AM29" s="10">
        <f>+'Lundi S3'!AM29+'Mardi S3'!AM29+'Mercredi S3'!AM29+'Jeudi S3'!AM29+'Vendredi S3'!AM29+'Samedi S3'!AM29</f>
        <v>0</v>
      </c>
      <c r="AN29" s="10">
        <f>+'Lundi S3'!AN29+'Mardi S3'!AN29+'Mercredi S3'!AN29+'Jeudi S3'!AN29+'Vendredi S3'!AN29+'Samedi S3'!AN29</f>
        <v>0</v>
      </c>
      <c r="AO29" s="10">
        <f>+'Lundi S3'!AO29+'Mardi S3'!AO29+'Mercredi S3'!AO29+'Jeudi S3'!AO29+'Vendredi S3'!AO29+'Samedi S3'!AO29</f>
        <v>0</v>
      </c>
      <c r="AP29" s="11">
        <f>+'Lundi S3'!AP29+'Mardi S3'!AP29+'Mercredi S3'!AP29+'Jeudi S3'!AP29+'Vendredi S3'!AP29+'Samedi S3'!AP29</f>
        <v>0</v>
      </c>
      <c r="AQ29" s="9">
        <f>+'Lundi S3'!AQ29+'Mardi S3'!AQ29+'Mercredi S3'!AQ29+'Jeudi S3'!AQ29+'Vendredi S3'!AQ29+'Samedi S3'!AQ29</f>
        <v>0</v>
      </c>
      <c r="AR29" s="10">
        <f>+'Lundi S3'!AR29+'Mardi S3'!AR29+'Mercredi S3'!AR29+'Jeudi S3'!AR29+'Vendredi S3'!AR29+'Samedi S3'!AR29</f>
        <v>0</v>
      </c>
      <c r="AS29" s="11">
        <f>+'Lundi S3'!AS29+'Mardi S3'!AS29+'Mercredi S3'!AS29+'Jeudi S3'!AS29+'Vendredi S3'!AS29+'Samedi S3'!AS29</f>
        <v>0</v>
      </c>
      <c r="AT29" s="22"/>
      <c r="AU29" s="14"/>
    </row>
    <row r="30" spans="1:47" ht="31.9" customHeight="1" x14ac:dyDescent="0.2">
      <c r="A30" s="26">
        <v>24</v>
      </c>
      <c r="B30" s="19"/>
      <c r="C30" s="9">
        <f>+'Lundi S3'!C30+'Mardi S3'!C30+'Mercredi S3'!C30+'Jeudi S3'!C30+'Vendredi S3'!C30+'Samedi S3'!C30</f>
        <v>90</v>
      </c>
      <c r="D30" s="10">
        <f>+'Lundi S3'!D30+'Mardi S3'!D30+'Mercredi S3'!D30+'Jeudi S3'!D30+'Vendredi S3'!D30+'Samedi S3'!D30</f>
        <v>18</v>
      </c>
      <c r="E30" s="10">
        <f>+'Lundi S3'!E30+'Mardi S3'!E30+'Mercredi S3'!E30+'Jeudi S3'!E30+'Vendredi S3'!E30+'Samedi S3'!E30</f>
        <v>30</v>
      </c>
      <c r="F30" s="10">
        <f>+'Lundi S3'!F30+'Mardi S3'!F30+'Mercredi S3'!F30+'Jeudi S3'!F30+'Vendredi S3'!F30+'Samedi S3'!F30</f>
        <v>12</v>
      </c>
      <c r="G30" s="11">
        <f>+'Lundi S3'!G30+'Mardi S3'!G30+'Mercredi S3'!G30+'Jeudi S3'!G30+'Vendredi S3'!G30+'Samedi S3'!G30</f>
        <v>30</v>
      </c>
      <c r="H30" s="9">
        <f>+'Lundi S3'!H30+'Mardi S3'!H30+'Mercredi S3'!H30+'Jeudi S3'!H30+'Vendredi S3'!H30+'Samedi S3'!H30</f>
        <v>18</v>
      </c>
      <c r="I30" s="10">
        <f>+'Lundi S3'!I30+'Mardi S3'!I30+'Mercredi S3'!I30+'Jeudi S3'!I30+'Vendredi S3'!I30+'Samedi S3'!I30</f>
        <v>6</v>
      </c>
      <c r="J30" s="10">
        <f>+'Lundi S3'!J30+'Mardi S3'!J30+'Mercredi S3'!J30+'Jeudi S3'!J30+'Vendredi S3'!J30+'Samedi S3'!J30</f>
        <v>6</v>
      </c>
      <c r="K30" s="10">
        <f>+'Lundi S3'!K30+'Mardi S3'!K30+'Mercredi S3'!K30+'Jeudi S3'!K30+'Vendredi S3'!K30+'Samedi S3'!K30</f>
        <v>6</v>
      </c>
      <c r="L30" s="11">
        <f>+'Lundi S3'!L30+'Mardi S3'!L30+'Mercredi S3'!L30+'Jeudi S3'!L30+'Vendredi S3'!L30+'Samedi S3'!L30</f>
        <v>6</v>
      </c>
      <c r="M30" s="9">
        <f>+'Lundi S3'!M30+'Mardi S3'!M30+'Mercredi S3'!M30+'Jeudi S3'!M30+'Vendredi S3'!M30+'Samedi S3'!M30</f>
        <v>18</v>
      </c>
      <c r="N30" s="10">
        <f>+'Lundi S3'!N30+'Mardi S3'!N30+'Mercredi S3'!N30+'Jeudi S3'!N30+'Vendredi S3'!N30+'Samedi S3'!N30</f>
        <v>6</v>
      </c>
      <c r="O30" s="10">
        <f>+'Lundi S3'!O30+'Mardi S3'!O30+'Mercredi S3'!O30+'Jeudi S3'!O30+'Vendredi S3'!O30+'Samedi S3'!O30</f>
        <v>18</v>
      </c>
      <c r="P30" s="10">
        <f>+'Lundi S3'!P30+'Mardi S3'!P30+'Mercredi S3'!P30+'Jeudi S3'!P30+'Vendredi S3'!P30+'Samedi S3'!P30</f>
        <v>0</v>
      </c>
      <c r="Q30" s="11">
        <f>+'Lundi S3'!Q30+'Mardi S3'!Q30+'Mercredi S3'!Q30+'Jeudi S3'!Q30+'Vendredi S3'!Q30+'Samedi S3'!Q30</f>
        <v>0</v>
      </c>
      <c r="R30" s="61">
        <f>+'Lundi S3'!R30+'Mardi S3'!R30+'Mercredi S3'!R30+'Jeudi S3'!R30+'Vendredi S3'!R30+'Samedi S3'!R30</f>
        <v>3</v>
      </c>
      <c r="S30" s="62">
        <f>+'Lundi S3'!S30+'Mardi S3'!S30+'Mercredi S3'!S30+'Jeudi S3'!S30+'Vendredi S3'!S30+'Samedi S3'!S30</f>
        <v>0.99999999999999989</v>
      </c>
      <c r="T30" s="62">
        <f>+'Lundi S3'!T30+'Mardi S3'!T30+'Mercredi S3'!T30+'Jeudi S3'!T30+'Vendredi S3'!T30+'Samedi S3'!T30</f>
        <v>0.6</v>
      </c>
      <c r="U30" s="62">
        <f>+'Lundi S3'!U30+'Mardi S3'!U30+'Mercredi S3'!U30+'Jeudi S3'!U30+'Vendredi S3'!U30+'Samedi S3'!U30</f>
        <v>3.6</v>
      </c>
      <c r="V30" s="63">
        <f>+'Lundi S3'!V30+'Mardi S3'!V30+'Mercredi S3'!V30+'Jeudi S3'!V30+'Vendredi S3'!V30+'Samedi S3'!V30</f>
        <v>0.9</v>
      </c>
      <c r="W30" s="9">
        <f>+'Lundi S3'!W30+'Mardi S3'!W30+'Mercredi S3'!W30+'Jeudi S3'!W30+'Vendredi S3'!W30+'Samedi S3'!W30</f>
        <v>0</v>
      </c>
      <c r="X30" s="10">
        <f>+'Lundi S3'!X30+'Mardi S3'!X30+'Mercredi S3'!X30+'Jeudi S3'!X30+'Vendredi S3'!X30+'Samedi S3'!X30</f>
        <v>0</v>
      </c>
      <c r="Y30" s="10">
        <f>+'Lundi S3'!Y30+'Mardi S3'!Y30+'Mercredi S3'!Y30+'Jeudi S3'!Y30+'Vendredi S3'!Y30+'Samedi S3'!Y30</f>
        <v>0</v>
      </c>
      <c r="Z30" s="10">
        <f>+'Lundi S3'!Z30+'Mardi S3'!Z30+'Mercredi S3'!Z30+'Jeudi S3'!Z30+'Vendredi S3'!Z30+'Samedi S3'!Z30</f>
        <v>0</v>
      </c>
      <c r="AA30" s="11">
        <f>+'Lundi S3'!AA30+'Mardi S3'!AA30+'Mercredi S3'!AA30+'Jeudi S3'!AA30+'Vendredi S3'!AA30+'Samedi S3'!AA30</f>
        <v>0</v>
      </c>
      <c r="AB30" s="9">
        <f>+'Lundi S3'!AB30+'Mardi S3'!AB30+'Mercredi S3'!AB30+'Jeudi S3'!AB30+'Vendredi S3'!AB30+'Samedi S3'!AB30</f>
        <v>0</v>
      </c>
      <c r="AC30" s="10">
        <f>+'Lundi S3'!AC30+'Mardi S3'!AC30+'Mercredi S3'!AC30+'Jeudi S3'!AC30+'Vendredi S3'!AC30+'Samedi S3'!AC30</f>
        <v>0</v>
      </c>
      <c r="AD30" s="10">
        <f>+'Lundi S3'!AD30+'Mardi S3'!AD30+'Mercredi S3'!AD30+'Jeudi S3'!AD30+'Vendredi S3'!AD30+'Samedi S3'!AD30</f>
        <v>0</v>
      </c>
      <c r="AE30" s="10">
        <f>+'Lundi S3'!AE30+'Mardi S3'!AE30+'Mercredi S3'!AE30+'Jeudi S3'!AE30+'Vendredi S3'!AE30+'Samedi S3'!AE30</f>
        <v>0</v>
      </c>
      <c r="AF30" s="11">
        <f>+'Lundi S3'!AF30+'Mardi S3'!AF30+'Mercredi S3'!AF30+'Jeudi S3'!AF30+'Vendredi S3'!AF30+'Samedi S3'!AF30</f>
        <v>0</v>
      </c>
      <c r="AG30" s="9">
        <f>+'Lundi S3'!AG30+'Mardi S3'!AG30+'Mercredi S3'!AG30+'Jeudi S3'!AG30+'Vendredi S3'!AG30+'Samedi S3'!AG30</f>
        <v>0</v>
      </c>
      <c r="AH30" s="10">
        <f>+'Lundi S3'!AH30+'Mardi S3'!AH30+'Mercredi S3'!AH30+'Jeudi S3'!AH30+'Vendredi S3'!AH30+'Samedi S3'!AH30</f>
        <v>0</v>
      </c>
      <c r="AI30" s="10">
        <f>+'Lundi S3'!AI30+'Mardi S3'!AI30+'Mercredi S3'!AI30+'Jeudi S3'!AI30+'Vendredi S3'!AI30+'Samedi S3'!AI30</f>
        <v>0</v>
      </c>
      <c r="AJ30" s="10">
        <f>+'Lundi S3'!AJ30+'Mardi S3'!AJ30+'Mercredi S3'!AJ30+'Jeudi S3'!AJ30+'Vendredi S3'!AJ30+'Samedi S3'!AJ30</f>
        <v>0</v>
      </c>
      <c r="AK30" s="11">
        <f>+'Lundi S3'!AK30+'Mardi S3'!AK30+'Mercredi S3'!AK30+'Jeudi S3'!AK30+'Vendredi S3'!AK30+'Samedi S3'!AK30</f>
        <v>0</v>
      </c>
      <c r="AL30" s="9">
        <f>+'Lundi S3'!AL30+'Mardi S3'!AL30+'Mercredi S3'!AL30+'Jeudi S3'!AL30+'Vendredi S3'!AL30+'Samedi S3'!AL30</f>
        <v>0</v>
      </c>
      <c r="AM30" s="10">
        <f>+'Lundi S3'!AM30+'Mardi S3'!AM30+'Mercredi S3'!AM30+'Jeudi S3'!AM30+'Vendredi S3'!AM30+'Samedi S3'!AM30</f>
        <v>0</v>
      </c>
      <c r="AN30" s="10">
        <f>+'Lundi S3'!AN30+'Mardi S3'!AN30+'Mercredi S3'!AN30+'Jeudi S3'!AN30+'Vendredi S3'!AN30+'Samedi S3'!AN30</f>
        <v>0</v>
      </c>
      <c r="AO30" s="10">
        <f>+'Lundi S3'!AO30+'Mardi S3'!AO30+'Mercredi S3'!AO30+'Jeudi S3'!AO30+'Vendredi S3'!AO30+'Samedi S3'!AO30</f>
        <v>0</v>
      </c>
      <c r="AP30" s="11">
        <f>+'Lundi S3'!AP30+'Mardi S3'!AP30+'Mercredi S3'!AP30+'Jeudi S3'!AP30+'Vendredi S3'!AP30+'Samedi S3'!AP30</f>
        <v>0</v>
      </c>
      <c r="AQ30" s="9">
        <f>+'Lundi S3'!AQ30+'Mardi S3'!AQ30+'Mercredi S3'!AQ30+'Jeudi S3'!AQ30+'Vendredi S3'!AQ30+'Samedi S3'!AQ30</f>
        <v>0</v>
      </c>
      <c r="AR30" s="10">
        <f>+'Lundi S3'!AR30+'Mardi S3'!AR30+'Mercredi S3'!AR30+'Jeudi S3'!AR30+'Vendredi S3'!AR30+'Samedi S3'!AR30</f>
        <v>0</v>
      </c>
      <c r="AS30" s="11">
        <f>+'Lundi S3'!AS30+'Mardi S3'!AS30+'Mercredi S3'!AS30+'Jeudi S3'!AS30+'Vendredi S3'!AS30+'Samedi S3'!AS30</f>
        <v>0</v>
      </c>
      <c r="AT30" s="22"/>
      <c r="AU30" s="14"/>
    </row>
    <row r="31" spans="1:47" ht="31.9" customHeight="1" x14ac:dyDescent="0.2">
      <c r="A31" s="26">
        <v>25</v>
      </c>
      <c r="B31" s="19"/>
      <c r="C31" s="9">
        <f>+'Lundi S3'!C31+'Mardi S3'!C31+'Mercredi S3'!C31+'Jeudi S3'!C31+'Vendredi S3'!C31+'Samedi S3'!C31</f>
        <v>90</v>
      </c>
      <c r="D31" s="10">
        <f>+'Lundi S3'!D31+'Mardi S3'!D31+'Mercredi S3'!D31+'Jeudi S3'!D31+'Vendredi S3'!D31+'Samedi S3'!D31</f>
        <v>18</v>
      </c>
      <c r="E31" s="10">
        <f>+'Lundi S3'!E31+'Mardi S3'!E31+'Mercredi S3'!E31+'Jeudi S3'!E31+'Vendredi S3'!E31+'Samedi S3'!E31</f>
        <v>30</v>
      </c>
      <c r="F31" s="10">
        <f>+'Lundi S3'!F31+'Mardi S3'!F31+'Mercredi S3'!F31+'Jeudi S3'!F31+'Vendredi S3'!F31+'Samedi S3'!F31</f>
        <v>12</v>
      </c>
      <c r="G31" s="11">
        <f>+'Lundi S3'!G31+'Mardi S3'!G31+'Mercredi S3'!G31+'Jeudi S3'!G31+'Vendredi S3'!G31+'Samedi S3'!G31</f>
        <v>30</v>
      </c>
      <c r="H31" s="9">
        <f>+'Lundi S3'!H31+'Mardi S3'!H31+'Mercredi S3'!H31+'Jeudi S3'!H31+'Vendredi S3'!H31+'Samedi S3'!H31</f>
        <v>18</v>
      </c>
      <c r="I31" s="10">
        <f>+'Lundi S3'!I31+'Mardi S3'!I31+'Mercredi S3'!I31+'Jeudi S3'!I31+'Vendredi S3'!I31+'Samedi S3'!I31</f>
        <v>6</v>
      </c>
      <c r="J31" s="10">
        <f>+'Lundi S3'!J31+'Mardi S3'!J31+'Mercredi S3'!J31+'Jeudi S3'!J31+'Vendredi S3'!J31+'Samedi S3'!J31</f>
        <v>6</v>
      </c>
      <c r="K31" s="10">
        <f>+'Lundi S3'!K31+'Mardi S3'!K31+'Mercredi S3'!K31+'Jeudi S3'!K31+'Vendredi S3'!K31+'Samedi S3'!K31</f>
        <v>6</v>
      </c>
      <c r="L31" s="11">
        <f>+'Lundi S3'!L31+'Mardi S3'!L31+'Mercredi S3'!L31+'Jeudi S3'!L31+'Vendredi S3'!L31+'Samedi S3'!L31</f>
        <v>6</v>
      </c>
      <c r="M31" s="9">
        <f>+'Lundi S3'!M31+'Mardi S3'!M31+'Mercredi S3'!M31+'Jeudi S3'!M31+'Vendredi S3'!M31+'Samedi S3'!M31</f>
        <v>18</v>
      </c>
      <c r="N31" s="10">
        <f>+'Lundi S3'!N31+'Mardi S3'!N31+'Mercredi S3'!N31+'Jeudi S3'!N31+'Vendredi S3'!N31+'Samedi S3'!N31</f>
        <v>6</v>
      </c>
      <c r="O31" s="10">
        <f>+'Lundi S3'!O31+'Mardi S3'!O31+'Mercredi S3'!O31+'Jeudi S3'!O31+'Vendredi S3'!O31+'Samedi S3'!O31</f>
        <v>18</v>
      </c>
      <c r="P31" s="10">
        <f>+'Lundi S3'!P31+'Mardi S3'!P31+'Mercredi S3'!P31+'Jeudi S3'!P31+'Vendredi S3'!P31+'Samedi S3'!P31</f>
        <v>0</v>
      </c>
      <c r="Q31" s="11">
        <f>+'Lundi S3'!Q31+'Mardi S3'!Q31+'Mercredi S3'!Q31+'Jeudi S3'!Q31+'Vendredi S3'!Q31+'Samedi S3'!Q31</f>
        <v>0</v>
      </c>
      <c r="R31" s="61">
        <f>+'Lundi S3'!R31+'Mardi S3'!R31+'Mercredi S3'!R31+'Jeudi S3'!R31+'Vendredi S3'!R31+'Samedi S3'!R31</f>
        <v>3</v>
      </c>
      <c r="S31" s="62">
        <f>+'Lundi S3'!S31+'Mardi S3'!S31+'Mercredi S3'!S31+'Jeudi S3'!S31+'Vendredi S3'!S31+'Samedi S3'!S31</f>
        <v>0.99999999999999989</v>
      </c>
      <c r="T31" s="62">
        <f>+'Lundi S3'!T31+'Mardi S3'!T31+'Mercredi S3'!T31+'Jeudi S3'!T31+'Vendredi S3'!T31+'Samedi S3'!T31</f>
        <v>0.6</v>
      </c>
      <c r="U31" s="62">
        <f>+'Lundi S3'!U31+'Mardi S3'!U31+'Mercredi S3'!U31+'Jeudi S3'!U31+'Vendredi S3'!U31+'Samedi S3'!U31</f>
        <v>3.6</v>
      </c>
      <c r="V31" s="63">
        <f>+'Lundi S3'!V31+'Mardi S3'!V31+'Mercredi S3'!V31+'Jeudi S3'!V31+'Vendredi S3'!V31+'Samedi S3'!V31</f>
        <v>0.9</v>
      </c>
      <c r="W31" s="9">
        <f>+'Lundi S3'!W31+'Mardi S3'!W31+'Mercredi S3'!W31+'Jeudi S3'!W31+'Vendredi S3'!W31+'Samedi S3'!W31</f>
        <v>0</v>
      </c>
      <c r="X31" s="10">
        <f>+'Lundi S3'!X31+'Mardi S3'!X31+'Mercredi S3'!X31+'Jeudi S3'!X31+'Vendredi S3'!X31+'Samedi S3'!X31</f>
        <v>0</v>
      </c>
      <c r="Y31" s="10">
        <f>+'Lundi S3'!Y31+'Mardi S3'!Y31+'Mercredi S3'!Y31+'Jeudi S3'!Y31+'Vendredi S3'!Y31+'Samedi S3'!Y31</f>
        <v>0</v>
      </c>
      <c r="Z31" s="10">
        <f>+'Lundi S3'!Z31+'Mardi S3'!Z31+'Mercredi S3'!Z31+'Jeudi S3'!Z31+'Vendredi S3'!Z31+'Samedi S3'!Z31</f>
        <v>0</v>
      </c>
      <c r="AA31" s="11">
        <f>+'Lundi S3'!AA31+'Mardi S3'!AA31+'Mercredi S3'!AA31+'Jeudi S3'!AA31+'Vendredi S3'!AA31+'Samedi S3'!AA31</f>
        <v>0</v>
      </c>
      <c r="AB31" s="9">
        <f>+'Lundi S3'!AB31+'Mardi S3'!AB31+'Mercredi S3'!AB31+'Jeudi S3'!AB31+'Vendredi S3'!AB31+'Samedi S3'!AB31</f>
        <v>0</v>
      </c>
      <c r="AC31" s="10">
        <f>+'Lundi S3'!AC31+'Mardi S3'!AC31+'Mercredi S3'!AC31+'Jeudi S3'!AC31+'Vendredi S3'!AC31+'Samedi S3'!AC31</f>
        <v>0</v>
      </c>
      <c r="AD31" s="10">
        <f>+'Lundi S3'!AD31+'Mardi S3'!AD31+'Mercredi S3'!AD31+'Jeudi S3'!AD31+'Vendredi S3'!AD31+'Samedi S3'!AD31</f>
        <v>0</v>
      </c>
      <c r="AE31" s="10">
        <f>+'Lundi S3'!AE31+'Mardi S3'!AE31+'Mercredi S3'!AE31+'Jeudi S3'!AE31+'Vendredi S3'!AE31+'Samedi S3'!AE31</f>
        <v>0</v>
      </c>
      <c r="AF31" s="11">
        <f>+'Lundi S3'!AF31+'Mardi S3'!AF31+'Mercredi S3'!AF31+'Jeudi S3'!AF31+'Vendredi S3'!AF31+'Samedi S3'!AF31</f>
        <v>0</v>
      </c>
      <c r="AG31" s="9">
        <f>+'Lundi S3'!AG31+'Mardi S3'!AG31+'Mercredi S3'!AG31+'Jeudi S3'!AG31+'Vendredi S3'!AG31+'Samedi S3'!AG31</f>
        <v>0</v>
      </c>
      <c r="AH31" s="10">
        <f>+'Lundi S3'!AH31+'Mardi S3'!AH31+'Mercredi S3'!AH31+'Jeudi S3'!AH31+'Vendredi S3'!AH31+'Samedi S3'!AH31</f>
        <v>0</v>
      </c>
      <c r="AI31" s="10">
        <f>+'Lundi S3'!AI31+'Mardi S3'!AI31+'Mercredi S3'!AI31+'Jeudi S3'!AI31+'Vendredi S3'!AI31+'Samedi S3'!AI31</f>
        <v>0</v>
      </c>
      <c r="AJ31" s="10">
        <f>+'Lundi S3'!AJ31+'Mardi S3'!AJ31+'Mercredi S3'!AJ31+'Jeudi S3'!AJ31+'Vendredi S3'!AJ31+'Samedi S3'!AJ31</f>
        <v>0</v>
      </c>
      <c r="AK31" s="11">
        <f>+'Lundi S3'!AK31+'Mardi S3'!AK31+'Mercredi S3'!AK31+'Jeudi S3'!AK31+'Vendredi S3'!AK31+'Samedi S3'!AK31</f>
        <v>0</v>
      </c>
      <c r="AL31" s="9">
        <f>+'Lundi S3'!AL31+'Mardi S3'!AL31+'Mercredi S3'!AL31+'Jeudi S3'!AL31+'Vendredi S3'!AL31+'Samedi S3'!AL31</f>
        <v>0</v>
      </c>
      <c r="AM31" s="10">
        <f>+'Lundi S3'!AM31+'Mardi S3'!AM31+'Mercredi S3'!AM31+'Jeudi S3'!AM31+'Vendredi S3'!AM31+'Samedi S3'!AM31</f>
        <v>0</v>
      </c>
      <c r="AN31" s="10">
        <f>+'Lundi S3'!AN31+'Mardi S3'!AN31+'Mercredi S3'!AN31+'Jeudi S3'!AN31+'Vendredi S3'!AN31+'Samedi S3'!AN31</f>
        <v>0</v>
      </c>
      <c r="AO31" s="10">
        <f>+'Lundi S3'!AO31+'Mardi S3'!AO31+'Mercredi S3'!AO31+'Jeudi S3'!AO31+'Vendredi S3'!AO31+'Samedi S3'!AO31</f>
        <v>0</v>
      </c>
      <c r="AP31" s="11">
        <f>+'Lundi S3'!AP31+'Mardi S3'!AP31+'Mercredi S3'!AP31+'Jeudi S3'!AP31+'Vendredi S3'!AP31+'Samedi S3'!AP31</f>
        <v>0</v>
      </c>
      <c r="AQ31" s="9">
        <f>+'Lundi S3'!AQ31+'Mardi S3'!AQ31+'Mercredi S3'!AQ31+'Jeudi S3'!AQ31+'Vendredi S3'!AQ31+'Samedi S3'!AQ31</f>
        <v>0</v>
      </c>
      <c r="AR31" s="10">
        <f>+'Lundi S3'!AR31+'Mardi S3'!AR31+'Mercredi S3'!AR31+'Jeudi S3'!AR31+'Vendredi S3'!AR31+'Samedi S3'!AR31</f>
        <v>0</v>
      </c>
      <c r="AS31" s="11">
        <f>+'Lundi S3'!AS31+'Mardi S3'!AS31+'Mercredi S3'!AS31+'Jeudi S3'!AS31+'Vendredi S3'!AS31+'Samedi S3'!AS31</f>
        <v>0</v>
      </c>
      <c r="AT31" s="22"/>
      <c r="AU31" s="14"/>
    </row>
    <row r="32" spans="1:47" ht="31.9" customHeight="1" x14ac:dyDescent="0.2">
      <c r="A32" s="26">
        <v>26</v>
      </c>
      <c r="B32" s="19"/>
      <c r="C32" s="9">
        <f>+'Lundi S3'!C32+'Mardi S3'!C32+'Mercredi S3'!C32+'Jeudi S3'!C32+'Vendredi S3'!C32+'Samedi S3'!C32</f>
        <v>90</v>
      </c>
      <c r="D32" s="10">
        <f>+'Lundi S3'!D32+'Mardi S3'!D32+'Mercredi S3'!D32+'Jeudi S3'!D32+'Vendredi S3'!D32+'Samedi S3'!D32</f>
        <v>18</v>
      </c>
      <c r="E32" s="10">
        <f>+'Lundi S3'!E32+'Mardi S3'!E32+'Mercredi S3'!E32+'Jeudi S3'!E32+'Vendredi S3'!E32+'Samedi S3'!E32</f>
        <v>30</v>
      </c>
      <c r="F32" s="10">
        <f>+'Lundi S3'!F32+'Mardi S3'!F32+'Mercredi S3'!F32+'Jeudi S3'!F32+'Vendredi S3'!F32+'Samedi S3'!F32</f>
        <v>12</v>
      </c>
      <c r="G32" s="11">
        <f>+'Lundi S3'!G32+'Mardi S3'!G32+'Mercredi S3'!G32+'Jeudi S3'!G32+'Vendredi S3'!G32+'Samedi S3'!G32</f>
        <v>30</v>
      </c>
      <c r="H32" s="9">
        <f>+'Lundi S3'!H32+'Mardi S3'!H32+'Mercredi S3'!H32+'Jeudi S3'!H32+'Vendredi S3'!H32+'Samedi S3'!H32</f>
        <v>18</v>
      </c>
      <c r="I32" s="10">
        <f>+'Lundi S3'!I32+'Mardi S3'!I32+'Mercredi S3'!I32+'Jeudi S3'!I32+'Vendredi S3'!I32+'Samedi S3'!I32</f>
        <v>6</v>
      </c>
      <c r="J32" s="10">
        <f>+'Lundi S3'!J32+'Mardi S3'!J32+'Mercredi S3'!J32+'Jeudi S3'!J32+'Vendredi S3'!J32+'Samedi S3'!J32</f>
        <v>6</v>
      </c>
      <c r="K32" s="10">
        <f>+'Lundi S3'!K32+'Mardi S3'!K32+'Mercredi S3'!K32+'Jeudi S3'!K32+'Vendredi S3'!K32+'Samedi S3'!K32</f>
        <v>6</v>
      </c>
      <c r="L32" s="11">
        <f>+'Lundi S3'!L32+'Mardi S3'!L32+'Mercredi S3'!L32+'Jeudi S3'!L32+'Vendredi S3'!L32+'Samedi S3'!L32</f>
        <v>6</v>
      </c>
      <c r="M32" s="9">
        <f>+'Lundi S3'!M32+'Mardi S3'!M32+'Mercredi S3'!M32+'Jeudi S3'!M32+'Vendredi S3'!M32+'Samedi S3'!M32</f>
        <v>18</v>
      </c>
      <c r="N32" s="10">
        <f>+'Lundi S3'!N32+'Mardi S3'!N32+'Mercredi S3'!N32+'Jeudi S3'!N32+'Vendredi S3'!N32+'Samedi S3'!N32</f>
        <v>6</v>
      </c>
      <c r="O32" s="10">
        <f>+'Lundi S3'!O32+'Mardi S3'!O32+'Mercredi S3'!O32+'Jeudi S3'!O32+'Vendredi S3'!O32+'Samedi S3'!O32</f>
        <v>18</v>
      </c>
      <c r="P32" s="10">
        <f>+'Lundi S3'!P32+'Mardi S3'!P32+'Mercredi S3'!P32+'Jeudi S3'!P32+'Vendredi S3'!P32+'Samedi S3'!P32</f>
        <v>0</v>
      </c>
      <c r="Q32" s="11">
        <f>+'Lundi S3'!Q32+'Mardi S3'!Q32+'Mercredi S3'!Q32+'Jeudi S3'!Q32+'Vendredi S3'!Q32+'Samedi S3'!Q32</f>
        <v>0</v>
      </c>
      <c r="R32" s="61">
        <f>+'Lundi S3'!R32+'Mardi S3'!R32+'Mercredi S3'!R32+'Jeudi S3'!R32+'Vendredi S3'!R32+'Samedi S3'!R32</f>
        <v>3</v>
      </c>
      <c r="S32" s="62">
        <f>+'Lundi S3'!S32+'Mardi S3'!S32+'Mercredi S3'!S32+'Jeudi S3'!S32+'Vendredi S3'!S32+'Samedi S3'!S32</f>
        <v>0.99999999999999989</v>
      </c>
      <c r="T32" s="62">
        <f>+'Lundi S3'!T32+'Mardi S3'!T32+'Mercredi S3'!T32+'Jeudi S3'!T32+'Vendredi S3'!T32+'Samedi S3'!T32</f>
        <v>0.6</v>
      </c>
      <c r="U32" s="62">
        <f>+'Lundi S3'!U32+'Mardi S3'!U32+'Mercredi S3'!U32+'Jeudi S3'!U32+'Vendredi S3'!U32+'Samedi S3'!U32</f>
        <v>3.6</v>
      </c>
      <c r="V32" s="63">
        <f>+'Lundi S3'!V32+'Mardi S3'!V32+'Mercredi S3'!V32+'Jeudi S3'!V32+'Vendredi S3'!V32+'Samedi S3'!V32</f>
        <v>0.9</v>
      </c>
      <c r="W32" s="9">
        <f>+'Lundi S3'!W32+'Mardi S3'!W32+'Mercredi S3'!W32+'Jeudi S3'!W32+'Vendredi S3'!W32+'Samedi S3'!W32</f>
        <v>0</v>
      </c>
      <c r="X32" s="10">
        <f>+'Lundi S3'!X32+'Mardi S3'!X32+'Mercredi S3'!X32+'Jeudi S3'!X32+'Vendredi S3'!X32+'Samedi S3'!X32</f>
        <v>0</v>
      </c>
      <c r="Y32" s="10">
        <f>+'Lundi S3'!Y32+'Mardi S3'!Y32+'Mercredi S3'!Y32+'Jeudi S3'!Y32+'Vendredi S3'!Y32+'Samedi S3'!Y32</f>
        <v>0</v>
      </c>
      <c r="Z32" s="10">
        <f>+'Lundi S3'!Z32+'Mardi S3'!Z32+'Mercredi S3'!Z32+'Jeudi S3'!Z32+'Vendredi S3'!Z32+'Samedi S3'!Z32</f>
        <v>0</v>
      </c>
      <c r="AA32" s="11">
        <f>+'Lundi S3'!AA32+'Mardi S3'!AA32+'Mercredi S3'!AA32+'Jeudi S3'!AA32+'Vendredi S3'!AA32+'Samedi S3'!AA32</f>
        <v>0</v>
      </c>
      <c r="AB32" s="9">
        <f>+'Lundi S3'!AB32+'Mardi S3'!AB32+'Mercredi S3'!AB32+'Jeudi S3'!AB32+'Vendredi S3'!AB32+'Samedi S3'!AB32</f>
        <v>0</v>
      </c>
      <c r="AC32" s="10">
        <f>+'Lundi S3'!AC32+'Mardi S3'!AC32+'Mercredi S3'!AC32+'Jeudi S3'!AC32+'Vendredi S3'!AC32+'Samedi S3'!AC32</f>
        <v>0</v>
      </c>
      <c r="AD32" s="10">
        <f>+'Lundi S3'!AD32+'Mardi S3'!AD32+'Mercredi S3'!AD32+'Jeudi S3'!AD32+'Vendredi S3'!AD32+'Samedi S3'!AD32</f>
        <v>0</v>
      </c>
      <c r="AE32" s="10">
        <f>+'Lundi S3'!AE32+'Mardi S3'!AE32+'Mercredi S3'!AE32+'Jeudi S3'!AE32+'Vendredi S3'!AE32+'Samedi S3'!AE32</f>
        <v>0</v>
      </c>
      <c r="AF32" s="11">
        <f>+'Lundi S3'!AF32+'Mardi S3'!AF32+'Mercredi S3'!AF32+'Jeudi S3'!AF32+'Vendredi S3'!AF32+'Samedi S3'!AF32</f>
        <v>0</v>
      </c>
      <c r="AG32" s="9">
        <f>+'Lundi S3'!AG32+'Mardi S3'!AG32+'Mercredi S3'!AG32+'Jeudi S3'!AG32+'Vendredi S3'!AG32+'Samedi S3'!AG32</f>
        <v>0</v>
      </c>
      <c r="AH32" s="10">
        <f>+'Lundi S3'!AH32+'Mardi S3'!AH32+'Mercredi S3'!AH32+'Jeudi S3'!AH32+'Vendredi S3'!AH32+'Samedi S3'!AH32</f>
        <v>0</v>
      </c>
      <c r="AI32" s="10">
        <f>+'Lundi S3'!AI32+'Mardi S3'!AI32+'Mercredi S3'!AI32+'Jeudi S3'!AI32+'Vendredi S3'!AI32+'Samedi S3'!AI32</f>
        <v>0</v>
      </c>
      <c r="AJ32" s="10">
        <f>+'Lundi S3'!AJ32+'Mardi S3'!AJ32+'Mercredi S3'!AJ32+'Jeudi S3'!AJ32+'Vendredi S3'!AJ32+'Samedi S3'!AJ32</f>
        <v>0</v>
      </c>
      <c r="AK32" s="11">
        <f>+'Lundi S3'!AK32+'Mardi S3'!AK32+'Mercredi S3'!AK32+'Jeudi S3'!AK32+'Vendredi S3'!AK32+'Samedi S3'!AK32</f>
        <v>0</v>
      </c>
      <c r="AL32" s="9">
        <f>+'Lundi S3'!AL32+'Mardi S3'!AL32+'Mercredi S3'!AL32+'Jeudi S3'!AL32+'Vendredi S3'!AL32+'Samedi S3'!AL32</f>
        <v>0</v>
      </c>
      <c r="AM32" s="10">
        <f>+'Lundi S3'!AM32+'Mardi S3'!AM32+'Mercredi S3'!AM32+'Jeudi S3'!AM32+'Vendredi S3'!AM32+'Samedi S3'!AM32</f>
        <v>0</v>
      </c>
      <c r="AN32" s="10">
        <f>+'Lundi S3'!AN32+'Mardi S3'!AN32+'Mercredi S3'!AN32+'Jeudi S3'!AN32+'Vendredi S3'!AN32+'Samedi S3'!AN32</f>
        <v>0</v>
      </c>
      <c r="AO32" s="10">
        <f>+'Lundi S3'!AO32+'Mardi S3'!AO32+'Mercredi S3'!AO32+'Jeudi S3'!AO32+'Vendredi S3'!AO32+'Samedi S3'!AO32</f>
        <v>0</v>
      </c>
      <c r="AP32" s="11">
        <f>+'Lundi S3'!AP32+'Mardi S3'!AP32+'Mercredi S3'!AP32+'Jeudi S3'!AP32+'Vendredi S3'!AP32+'Samedi S3'!AP32</f>
        <v>0</v>
      </c>
      <c r="AQ32" s="9">
        <f>+'Lundi S3'!AQ32+'Mardi S3'!AQ32+'Mercredi S3'!AQ32+'Jeudi S3'!AQ32+'Vendredi S3'!AQ32+'Samedi S3'!AQ32</f>
        <v>0</v>
      </c>
      <c r="AR32" s="10">
        <f>+'Lundi S3'!AR32+'Mardi S3'!AR32+'Mercredi S3'!AR32+'Jeudi S3'!AR32+'Vendredi S3'!AR32+'Samedi S3'!AR32</f>
        <v>0</v>
      </c>
      <c r="AS32" s="11">
        <f>+'Lundi S3'!AS32+'Mardi S3'!AS32+'Mercredi S3'!AS32+'Jeudi S3'!AS32+'Vendredi S3'!AS32+'Samedi S3'!AS32</f>
        <v>0</v>
      </c>
      <c r="AT32" s="22"/>
      <c r="AU32" s="14"/>
    </row>
    <row r="33" spans="1:47" ht="31.9" customHeight="1" x14ac:dyDescent="0.2">
      <c r="A33" s="26">
        <v>27</v>
      </c>
      <c r="B33" s="19"/>
      <c r="C33" s="9">
        <f>+'Lundi S3'!C33+'Mardi S3'!C33+'Mercredi S3'!C33+'Jeudi S3'!C33+'Vendredi S3'!C33+'Samedi S3'!C33</f>
        <v>90</v>
      </c>
      <c r="D33" s="10">
        <f>+'Lundi S3'!D33+'Mardi S3'!D33+'Mercredi S3'!D33+'Jeudi S3'!D33+'Vendredi S3'!D33+'Samedi S3'!D33</f>
        <v>18</v>
      </c>
      <c r="E33" s="10">
        <f>+'Lundi S3'!E33+'Mardi S3'!E33+'Mercredi S3'!E33+'Jeudi S3'!E33+'Vendredi S3'!E33+'Samedi S3'!E33</f>
        <v>30</v>
      </c>
      <c r="F33" s="10">
        <f>+'Lundi S3'!F33+'Mardi S3'!F33+'Mercredi S3'!F33+'Jeudi S3'!F33+'Vendredi S3'!F33+'Samedi S3'!F33</f>
        <v>12</v>
      </c>
      <c r="G33" s="11">
        <f>+'Lundi S3'!G33+'Mardi S3'!G33+'Mercredi S3'!G33+'Jeudi S3'!G33+'Vendredi S3'!G33+'Samedi S3'!G33</f>
        <v>30</v>
      </c>
      <c r="H33" s="9">
        <f>+'Lundi S3'!H33+'Mardi S3'!H33+'Mercredi S3'!H33+'Jeudi S3'!H33+'Vendredi S3'!H33+'Samedi S3'!H33</f>
        <v>18</v>
      </c>
      <c r="I33" s="10">
        <f>+'Lundi S3'!I33+'Mardi S3'!I33+'Mercredi S3'!I33+'Jeudi S3'!I33+'Vendredi S3'!I33+'Samedi S3'!I33</f>
        <v>6</v>
      </c>
      <c r="J33" s="10">
        <f>+'Lundi S3'!J33+'Mardi S3'!J33+'Mercredi S3'!J33+'Jeudi S3'!J33+'Vendredi S3'!J33+'Samedi S3'!J33</f>
        <v>6</v>
      </c>
      <c r="K33" s="10">
        <f>+'Lundi S3'!K33+'Mardi S3'!K33+'Mercredi S3'!K33+'Jeudi S3'!K33+'Vendredi S3'!K33+'Samedi S3'!K33</f>
        <v>6</v>
      </c>
      <c r="L33" s="11">
        <f>+'Lundi S3'!L33+'Mardi S3'!L33+'Mercredi S3'!L33+'Jeudi S3'!L33+'Vendredi S3'!L33+'Samedi S3'!L33</f>
        <v>6</v>
      </c>
      <c r="M33" s="9">
        <f>+'Lundi S3'!M33+'Mardi S3'!M33+'Mercredi S3'!M33+'Jeudi S3'!M33+'Vendredi S3'!M33+'Samedi S3'!M33</f>
        <v>18</v>
      </c>
      <c r="N33" s="10">
        <f>+'Lundi S3'!N33+'Mardi S3'!N33+'Mercredi S3'!N33+'Jeudi S3'!N33+'Vendredi S3'!N33+'Samedi S3'!N33</f>
        <v>6</v>
      </c>
      <c r="O33" s="10">
        <f>+'Lundi S3'!O33+'Mardi S3'!O33+'Mercredi S3'!O33+'Jeudi S3'!O33+'Vendredi S3'!O33+'Samedi S3'!O33</f>
        <v>18</v>
      </c>
      <c r="P33" s="10">
        <f>+'Lundi S3'!P33+'Mardi S3'!P33+'Mercredi S3'!P33+'Jeudi S3'!P33+'Vendredi S3'!P33+'Samedi S3'!P33</f>
        <v>0</v>
      </c>
      <c r="Q33" s="11">
        <f>+'Lundi S3'!Q33+'Mardi S3'!Q33+'Mercredi S3'!Q33+'Jeudi S3'!Q33+'Vendredi S3'!Q33+'Samedi S3'!Q33</f>
        <v>0</v>
      </c>
      <c r="R33" s="61">
        <f>+'Lundi S3'!R33+'Mardi S3'!R33+'Mercredi S3'!R33+'Jeudi S3'!R33+'Vendredi S3'!R33+'Samedi S3'!R33</f>
        <v>3</v>
      </c>
      <c r="S33" s="62">
        <f>+'Lundi S3'!S33+'Mardi S3'!S33+'Mercredi S3'!S33+'Jeudi S3'!S33+'Vendredi S3'!S33+'Samedi S3'!S33</f>
        <v>0.99999999999999989</v>
      </c>
      <c r="T33" s="62">
        <f>+'Lundi S3'!T33+'Mardi S3'!T33+'Mercredi S3'!T33+'Jeudi S3'!T33+'Vendredi S3'!T33+'Samedi S3'!T33</f>
        <v>0.6</v>
      </c>
      <c r="U33" s="62">
        <f>+'Lundi S3'!U33+'Mardi S3'!U33+'Mercredi S3'!U33+'Jeudi S3'!U33+'Vendredi S3'!U33+'Samedi S3'!U33</f>
        <v>3.6</v>
      </c>
      <c r="V33" s="63">
        <f>+'Lundi S3'!V33+'Mardi S3'!V33+'Mercredi S3'!V33+'Jeudi S3'!V33+'Vendredi S3'!V33+'Samedi S3'!V33</f>
        <v>0.9</v>
      </c>
      <c r="W33" s="9">
        <f>+'Lundi S3'!W33+'Mardi S3'!W33+'Mercredi S3'!W33+'Jeudi S3'!W33+'Vendredi S3'!W33+'Samedi S3'!W33</f>
        <v>0</v>
      </c>
      <c r="X33" s="10">
        <f>+'Lundi S3'!X33+'Mardi S3'!X33+'Mercredi S3'!X33+'Jeudi S3'!X33+'Vendredi S3'!X33+'Samedi S3'!X33</f>
        <v>0</v>
      </c>
      <c r="Y33" s="10">
        <f>+'Lundi S3'!Y33+'Mardi S3'!Y33+'Mercredi S3'!Y33+'Jeudi S3'!Y33+'Vendredi S3'!Y33+'Samedi S3'!Y33</f>
        <v>0</v>
      </c>
      <c r="Z33" s="10">
        <f>+'Lundi S3'!Z33+'Mardi S3'!Z33+'Mercredi S3'!Z33+'Jeudi S3'!Z33+'Vendredi S3'!Z33+'Samedi S3'!Z33</f>
        <v>0</v>
      </c>
      <c r="AA33" s="11">
        <f>+'Lundi S3'!AA33+'Mardi S3'!AA33+'Mercredi S3'!AA33+'Jeudi S3'!AA33+'Vendredi S3'!AA33+'Samedi S3'!AA33</f>
        <v>0</v>
      </c>
      <c r="AB33" s="9">
        <f>+'Lundi S3'!AB33+'Mardi S3'!AB33+'Mercredi S3'!AB33+'Jeudi S3'!AB33+'Vendredi S3'!AB33+'Samedi S3'!AB33</f>
        <v>0</v>
      </c>
      <c r="AC33" s="10">
        <f>+'Lundi S3'!AC33+'Mardi S3'!AC33+'Mercredi S3'!AC33+'Jeudi S3'!AC33+'Vendredi S3'!AC33+'Samedi S3'!AC33</f>
        <v>0</v>
      </c>
      <c r="AD33" s="10">
        <f>+'Lundi S3'!AD33+'Mardi S3'!AD33+'Mercredi S3'!AD33+'Jeudi S3'!AD33+'Vendredi S3'!AD33+'Samedi S3'!AD33</f>
        <v>0</v>
      </c>
      <c r="AE33" s="10">
        <f>+'Lundi S3'!AE33+'Mardi S3'!AE33+'Mercredi S3'!AE33+'Jeudi S3'!AE33+'Vendredi S3'!AE33+'Samedi S3'!AE33</f>
        <v>0</v>
      </c>
      <c r="AF33" s="11">
        <f>+'Lundi S3'!AF33+'Mardi S3'!AF33+'Mercredi S3'!AF33+'Jeudi S3'!AF33+'Vendredi S3'!AF33+'Samedi S3'!AF33</f>
        <v>0</v>
      </c>
      <c r="AG33" s="9">
        <f>+'Lundi S3'!AG33+'Mardi S3'!AG33+'Mercredi S3'!AG33+'Jeudi S3'!AG33+'Vendredi S3'!AG33+'Samedi S3'!AG33</f>
        <v>0</v>
      </c>
      <c r="AH33" s="10">
        <f>+'Lundi S3'!AH33+'Mardi S3'!AH33+'Mercredi S3'!AH33+'Jeudi S3'!AH33+'Vendredi S3'!AH33+'Samedi S3'!AH33</f>
        <v>0</v>
      </c>
      <c r="AI33" s="10">
        <f>+'Lundi S3'!AI33+'Mardi S3'!AI33+'Mercredi S3'!AI33+'Jeudi S3'!AI33+'Vendredi S3'!AI33+'Samedi S3'!AI33</f>
        <v>0</v>
      </c>
      <c r="AJ33" s="10">
        <f>+'Lundi S3'!AJ33+'Mardi S3'!AJ33+'Mercredi S3'!AJ33+'Jeudi S3'!AJ33+'Vendredi S3'!AJ33+'Samedi S3'!AJ33</f>
        <v>0</v>
      </c>
      <c r="AK33" s="11">
        <f>+'Lundi S3'!AK33+'Mardi S3'!AK33+'Mercredi S3'!AK33+'Jeudi S3'!AK33+'Vendredi S3'!AK33+'Samedi S3'!AK33</f>
        <v>0</v>
      </c>
      <c r="AL33" s="9">
        <f>+'Lundi S3'!AL33+'Mardi S3'!AL33+'Mercredi S3'!AL33+'Jeudi S3'!AL33+'Vendredi S3'!AL33+'Samedi S3'!AL33</f>
        <v>0</v>
      </c>
      <c r="AM33" s="10">
        <f>+'Lundi S3'!AM33+'Mardi S3'!AM33+'Mercredi S3'!AM33+'Jeudi S3'!AM33+'Vendredi S3'!AM33+'Samedi S3'!AM33</f>
        <v>0</v>
      </c>
      <c r="AN33" s="10">
        <f>+'Lundi S3'!AN33+'Mardi S3'!AN33+'Mercredi S3'!AN33+'Jeudi S3'!AN33+'Vendredi S3'!AN33+'Samedi S3'!AN33</f>
        <v>0</v>
      </c>
      <c r="AO33" s="10">
        <f>+'Lundi S3'!AO33+'Mardi S3'!AO33+'Mercredi S3'!AO33+'Jeudi S3'!AO33+'Vendredi S3'!AO33+'Samedi S3'!AO33</f>
        <v>0</v>
      </c>
      <c r="AP33" s="11">
        <f>+'Lundi S3'!AP33+'Mardi S3'!AP33+'Mercredi S3'!AP33+'Jeudi S3'!AP33+'Vendredi S3'!AP33+'Samedi S3'!AP33</f>
        <v>0</v>
      </c>
      <c r="AQ33" s="9">
        <f>+'Lundi S3'!AQ33+'Mardi S3'!AQ33+'Mercredi S3'!AQ33+'Jeudi S3'!AQ33+'Vendredi S3'!AQ33+'Samedi S3'!AQ33</f>
        <v>0</v>
      </c>
      <c r="AR33" s="10">
        <f>+'Lundi S3'!AR33+'Mardi S3'!AR33+'Mercredi S3'!AR33+'Jeudi S3'!AR33+'Vendredi S3'!AR33+'Samedi S3'!AR33</f>
        <v>0</v>
      </c>
      <c r="AS33" s="11">
        <f>+'Lundi S3'!AS33+'Mardi S3'!AS33+'Mercredi S3'!AS33+'Jeudi S3'!AS33+'Vendredi S3'!AS33+'Samedi S3'!AS33</f>
        <v>0</v>
      </c>
      <c r="AT33" s="23"/>
      <c r="AU33" s="14"/>
    </row>
    <row r="34" spans="1:47" ht="31.9" customHeight="1" x14ac:dyDescent="0.2">
      <c r="A34" s="26">
        <v>28</v>
      </c>
      <c r="B34" s="19"/>
      <c r="C34" s="9">
        <f>+'Lundi S3'!C34+'Mardi S3'!C34+'Mercredi S3'!C34+'Jeudi S3'!C34+'Vendredi S3'!C34+'Samedi S3'!C34</f>
        <v>90</v>
      </c>
      <c r="D34" s="10">
        <f>+'Lundi S3'!D34+'Mardi S3'!D34+'Mercredi S3'!D34+'Jeudi S3'!D34+'Vendredi S3'!D34+'Samedi S3'!D34</f>
        <v>18</v>
      </c>
      <c r="E34" s="10">
        <f>+'Lundi S3'!E34+'Mardi S3'!E34+'Mercredi S3'!E34+'Jeudi S3'!E34+'Vendredi S3'!E34+'Samedi S3'!E34</f>
        <v>30</v>
      </c>
      <c r="F34" s="10">
        <f>+'Lundi S3'!F34+'Mardi S3'!F34+'Mercredi S3'!F34+'Jeudi S3'!F34+'Vendredi S3'!F34+'Samedi S3'!F34</f>
        <v>12</v>
      </c>
      <c r="G34" s="11">
        <f>+'Lundi S3'!G34+'Mardi S3'!G34+'Mercredi S3'!G34+'Jeudi S3'!G34+'Vendredi S3'!G34+'Samedi S3'!G34</f>
        <v>30</v>
      </c>
      <c r="H34" s="9">
        <f>+'Lundi S3'!H34+'Mardi S3'!H34+'Mercredi S3'!H34+'Jeudi S3'!H34+'Vendredi S3'!H34+'Samedi S3'!H34</f>
        <v>18</v>
      </c>
      <c r="I34" s="10">
        <f>+'Lundi S3'!I34+'Mardi S3'!I34+'Mercredi S3'!I34+'Jeudi S3'!I34+'Vendredi S3'!I34+'Samedi S3'!I34</f>
        <v>6</v>
      </c>
      <c r="J34" s="10">
        <f>+'Lundi S3'!J34+'Mardi S3'!J34+'Mercredi S3'!J34+'Jeudi S3'!J34+'Vendredi S3'!J34+'Samedi S3'!J34</f>
        <v>6</v>
      </c>
      <c r="K34" s="10">
        <f>+'Lundi S3'!K34+'Mardi S3'!K34+'Mercredi S3'!K34+'Jeudi S3'!K34+'Vendredi S3'!K34+'Samedi S3'!K34</f>
        <v>6</v>
      </c>
      <c r="L34" s="11">
        <f>+'Lundi S3'!L34+'Mardi S3'!L34+'Mercredi S3'!L34+'Jeudi S3'!L34+'Vendredi S3'!L34+'Samedi S3'!L34</f>
        <v>6</v>
      </c>
      <c r="M34" s="9">
        <f>+'Lundi S3'!M34+'Mardi S3'!M34+'Mercredi S3'!M34+'Jeudi S3'!M34+'Vendredi S3'!M34+'Samedi S3'!M34</f>
        <v>18</v>
      </c>
      <c r="N34" s="10">
        <f>+'Lundi S3'!N34+'Mardi S3'!N34+'Mercredi S3'!N34+'Jeudi S3'!N34+'Vendredi S3'!N34+'Samedi S3'!N34</f>
        <v>6</v>
      </c>
      <c r="O34" s="10">
        <f>+'Lundi S3'!O34+'Mardi S3'!O34+'Mercredi S3'!O34+'Jeudi S3'!O34+'Vendredi S3'!O34+'Samedi S3'!O34</f>
        <v>18</v>
      </c>
      <c r="P34" s="10">
        <f>+'Lundi S3'!P34+'Mardi S3'!P34+'Mercredi S3'!P34+'Jeudi S3'!P34+'Vendredi S3'!P34+'Samedi S3'!P34</f>
        <v>0</v>
      </c>
      <c r="Q34" s="11">
        <f>+'Lundi S3'!Q34+'Mardi S3'!Q34+'Mercredi S3'!Q34+'Jeudi S3'!Q34+'Vendredi S3'!Q34+'Samedi S3'!Q34</f>
        <v>0</v>
      </c>
      <c r="R34" s="61">
        <f>+'Lundi S3'!R34+'Mardi S3'!R34+'Mercredi S3'!R34+'Jeudi S3'!R34+'Vendredi S3'!R34+'Samedi S3'!R34</f>
        <v>3</v>
      </c>
      <c r="S34" s="62">
        <f>+'Lundi S3'!S34+'Mardi S3'!S34+'Mercredi S3'!S34+'Jeudi S3'!S34+'Vendredi S3'!S34+'Samedi S3'!S34</f>
        <v>0.99999999999999989</v>
      </c>
      <c r="T34" s="62">
        <f>+'Lundi S3'!T34+'Mardi S3'!T34+'Mercredi S3'!T34+'Jeudi S3'!T34+'Vendredi S3'!T34+'Samedi S3'!T34</f>
        <v>0.6</v>
      </c>
      <c r="U34" s="62">
        <f>+'Lundi S3'!U34+'Mardi S3'!U34+'Mercredi S3'!U34+'Jeudi S3'!U34+'Vendredi S3'!U34+'Samedi S3'!U34</f>
        <v>3.6</v>
      </c>
      <c r="V34" s="63">
        <f>+'Lundi S3'!V34+'Mardi S3'!V34+'Mercredi S3'!V34+'Jeudi S3'!V34+'Vendredi S3'!V34+'Samedi S3'!V34</f>
        <v>0.9</v>
      </c>
      <c r="W34" s="9">
        <f>+'Lundi S3'!W34+'Mardi S3'!W34+'Mercredi S3'!W34+'Jeudi S3'!W34+'Vendredi S3'!W34+'Samedi S3'!W34</f>
        <v>0</v>
      </c>
      <c r="X34" s="10">
        <f>+'Lundi S3'!X34+'Mardi S3'!X34+'Mercredi S3'!X34+'Jeudi S3'!X34+'Vendredi S3'!X34+'Samedi S3'!X34</f>
        <v>0</v>
      </c>
      <c r="Y34" s="10">
        <f>+'Lundi S3'!Y34+'Mardi S3'!Y34+'Mercredi S3'!Y34+'Jeudi S3'!Y34+'Vendredi S3'!Y34+'Samedi S3'!Y34</f>
        <v>0</v>
      </c>
      <c r="Z34" s="10">
        <f>+'Lundi S3'!Z34+'Mardi S3'!Z34+'Mercredi S3'!Z34+'Jeudi S3'!Z34+'Vendredi S3'!Z34+'Samedi S3'!Z34</f>
        <v>0</v>
      </c>
      <c r="AA34" s="11">
        <f>+'Lundi S3'!AA34+'Mardi S3'!AA34+'Mercredi S3'!AA34+'Jeudi S3'!AA34+'Vendredi S3'!AA34+'Samedi S3'!AA34</f>
        <v>0</v>
      </c>
      <c r="AB34" s="9">
        <f>+'Lundi S3'!AB34+'Mardi S3'!AB34+'Mercredi S3'!AB34+'Jeudi S3'!AB34+'Vendredi S3'!AB34+'Samedi S3'!AB34</f>
        <v>0</v>
      </c>
      <c r="AC34" s="10">
        <f>+'Lundi S3'!AC34+'Mardi S3'!AC34+'Mercredi S3'!AC34+'Jeudi S3'!AC34+'Vendredi S3'!AC34+'Samedi S3'!AC34</f>
        <v>0</v>
      </c>
      <c r="AD34" s="10">
        <f>+'Lundi S3'!AD34+'Mardi S3'!AD34+'Mercredi S3'!AD34+'Jeudi S3'!AD34+'Vendredi S3'!AD34+'Samedi S3'!AD34</f>
        <v>0</v>
      </c>
      <c r="AE34" s="10">
        <f>+'Lundi S3'!AE34+'Mardi S3'!AE34+'Mercredi S3'!AE34+'Jeudi S3'!AE34+'Vendredi S3'!AE34+'Samedi S3'!AE34</f>
        <v>0</v>
      </c>
      <c r="AF34" s="11">
        <f>+'Lundi S3'!AF34+'Mardi S3'!AF34+'Mercredi S3'!AF34+'Jeudi S3'!AF34+'Vendredi S3'!AF34+'Samedi S3'!AF34</f>
        <v>0</v>
      </c>
      <c r="AG34" s="9">
        <f>+'Lundi S3'!AG34+'Mardi S3'!AG34+'Mercredi S3'!AG34+'Jeudi S3'!AG34+'Vendredi S3'!AG34+'Samedi S3'!AG34</f>
        <v>0</v>
      </c>
      <c r="AH34" s="10">
        <f>+'Lundi S3'!AH34+'Mardi S3'!AH34+'Mercredi S3'!AH34+'Jeudi S3'!AH34+'Vendredi S3'!AH34+'Samedi S3'!AH34</f>
        <v>0</v>
      </c>
      <c r="AI34" s="10">
        <f>+'Lundi S3'!AI34+'Mardi S3'!AI34+'Mercredi S3'!AI34+'Jeudi S3'!AI34+'Vendredi S3'!AI34+'Samedi S3'!AI34</f>
        <v>0</v>
      </c>
      <c r="AJ34" s="10">
        <f>+'Lundi S3'!AJ34+'Mardi S3'!AJ34+'Mercredi S3'!AJ34+'Jeudi S3'!AJ34+'Vendredi S3'!AJ34+'Samedi S3'!AJ34</f>
        <v>0</v>
      </c>
      <c r="AK34" s="11">
        <f>+'Lundi S3'!AK34+'Mardi S3'!AK34+'Mercredi S3'!AK34+'Jeudi S3'!AK34+'Vendredi S3'!AK34+'Samedi S3'!AK34</f>
        <v>0</v>
      </c>
      <c r="AL34" s="9">
        <f>+'Lundi S3'!AL34+'Mardi S3'!AL34+'Mercredi S3'!AL34+'Jeudi S3'!AL34+'Vendredi S3'!AL34+'Samedi S3'!AL34</f>
        <v>0</v>
      </c>
      <c r="AM34" s="10">
        <f>+'Lundi S3'!AM34+'Mardi S3'!AM34+'Mercredi S3'!AM34+'Jeudi S3'!AM34+'Vendredi S3'!AM34+'Samedi S3'!AM34</f>
        <v>0</v>
      </c>
      <c r="AN34" s="10">
        <f>+'Lundi S3'!AN34+'Mardi S3'!AN34+'Mercredi S3'!AN34+'Jeudi S3'!AN34+'Vendredi S3'!AN34+'Samedi S3'!AN34</f>
        <v>0</v>
      </c>
      <c r="AO34" s="10">
        <f>+'Lundi S3'!AO34+'Mardi S3'!AO34+'Mercredi S3'!AO34+'Jeudi S3'!AO34+'Vendredi S3'!AO34+'Samedi S3'!AO34</f>
        <v>0</v>
      </c>
      <c r="AP34" s="11">
        <f>+'Lundi S3'!AP34+'Mardi S3'!AP34+'Mercredi S3'!AP34+'Jeudi S3'!AP34+'Vendredi S3'!AP34+'Samedi S3'!AP34</f>
        <v>0</v>
      </c>
      <c r="AQ34" s="9">
        <f>+'Lundi S3'!AQ34+'Mardi S3'!AQ34+'Mercredi S3'!AQ34+'Jeudi S3'!AQ34+'Vendredi S3'!AQ34+'Samedi S3'!AQ34</f>
        <v>0</v>
      </c>
      <c r="AR34" s="10">
        <f>+'Lundi S3'!AR34+'Mardi S3'!AR34+'Mercredi S3'!AR34+'Jeudi S3'!AR34+'Vendredi S3'!AR34+'Samedi S3'!AR34</f>
        <v>0</v>
      </c>
      <c r="AS34" s="11">
        <f>+'Lundi S3'!AS34+'Mardi S3'!AS34+'Mercredi S3'!AS34+'Jeudi S3'!AS34+'Vendredi S3'!AS34+'Samedi S3'!AS34</f>
        <v>0</v>
      </c>
      <c r="AT34" s="24"/>
      <c r="AU34" s="13"/>
    </row>
    <row r="35" spans="1:47" ht="31.9" customHeight="1" x14ac:dyDescent="0.2">
      <c r="A35" s="26">
        <v>29</v>
      </c>
      <c r="B35" s="19"/>
      <c r="C35" s="9">
        <f>+'Lundi S3'!C35+'Mardi S3'!C35+'Mercredi S3'!C35+'Jeudi S3'!C35+'Vendredi S3'!C35+'Samedi S3'!C35</f>
        <v>90</v>
      </c>
      <c r="D35" s="10">
        <f>+'Lundi S3'!D35+'Mardi S3'!D35+'Mercredi S3'!D35+'Jeudi S3'!D35+'Vendredi S3'!D35+'Samedi S3'!D35</f>
        <v>18</v>
      </c>
      <c r="E35" s="10">
        <f>+'Lundi S3'!E35+'Mardi S3'!E35+'Mercredi S3'!E35+'Jeudi S3'!E35+'Vendredi S3'!E35+'Samedi S3'!E35</f>
        <v>30</v>
      </c>
      <c r="F35" s="10">
        <f>+'Lundi S3'!F35+'Mardi S3'!F35+'Mercredi S3'!F35+'Jeudi S3'!F35+'Vendredi S3'!F35+'Samedi S3'!F35</f>
        <v>12</v>
      </c>
      <c r="G35" s="11">
        <f>+'Lundi S3'!G35+'Mardi S3'!G35+'Mercredi S3'!G35+'Jeudi S3'!G35+'Vendredi S3'!G35+'Samedi S3'!G35</f>
        <v>30</v>
      </c>
      <c r="H35" s="9">
        <f>+'Lundi S3'!H35+'Mardi S3'!H35+'Mercredi S3'!H35+'Jeudi S3'!H35+'Vendredi S3'!H35+'Samedi S3'!H35</f>
        <v>18</v>
      </c>
      <c r="I35" s="10">
        <f>+'Lundi S3'!I35+'Mardi S3'!I35+'Mercredi S3'!I35+'Jeudi S3'!I35+'Vendredi S3'!I35+'Samedi S3'!I35</f>
        <v>6</v>
      </c>
      <c r="J35" s="10">
        <f>+'Lundi S3'!J35+'Mardi S3'!J35+'Mercredi S3'!J35+'Jeudi S3'!J35+'Vendredi S3'!J35+'Samedi S3'!J35</f>
        <v>6</v>
      </c>
      <c r="K35" s="10">
        <f>+'Lundi S3'!K35+'Mardi S3'!K35+'Mercredi S3'!K35+'Jeudi S3'!K35+'Vendredi S3'!K35+'Samedi S3'!K35</f>
        <v>6</v>
      </c>
      <c r="L35" s="11">
        <f>+'Lundi S3'!L35+'Mardi S3'!L35+'Mercredi S3'!L35+'Jeudi S3'!L35+'Vendredi S3'!L35+'Samedi S3'!L35</f>
        <v>6</v>
      </c>
      <c r="M35" s="9">
        <f>+'Lundi S3'!M35+'Mardi S3'!M35+'Mercredi S3'!M35+'Jeudi S3'!M35+'Vendredi S3'!M35+'Samedi S3'!M35</f>
        <v>18</v>
      </c>
      <c r="N35" s="10">
        <f>+'Lundi S3'!N35+'Mardi S3'!N35+'Mercredi S3'!N35+'Jeudi S3'!N35+'Vendredi S3'!N35+'Samedi S3'!N35</f>
        <v>6</v>
      </c>
      <c r="O35" s="10">
        <f>+'Lundi S3'!O35+'Mardi S3'!O35+'Mercredi S3'!O35+'Jeudi S3'!O35+'Vendredi S3'!O35+'Samedi S3'!O35</f>
        <v>18</v>
      </c>
      <c r="P35" s="10">
        <f>+'Lundi S3'!P35+'Mardi S3'!P35+'Mercredi S3'!P35+'Jeudi S3'!P35+'Vendredi S3'!P35+'Samedi S3'!P35</f>
        <v>0</v>
      </c>
      <c r="Q35" s="11">
        <f>+'Lundi S3'!Q35+'Mardi S3'!Q35+'Mercredi S3'!Q35+'Jeudi S3'!Q35+'Vendredi S3'!Q35+'Samedi S3'!Q35</f>
        <v>0</v>
      </c>
      <c r="R35" s="61">
        <f>+'Lundi S3'!R35+'Mardi S3'!R35+'Mercredi S3'!R35+'Jeudi S3'!R35+'Vendredi S3'!R35+'Samedi S3'!R35</f>
        <v>3</v>
      </c>
      <c r="S35" s="62">
        <f>+'Lundi S3'!S35+'Mardi S3'!S35+'Mercredi S3'!S35+'Jeudi S3'!S35+'Vendredi S3'!S35+'Samedi S3'!S35</f>
        <v>0.99999999999999989</v>
      </c>
      <c r="T35" s="62">
        <f>+'Lundi S3'!T35+'Mardi S3'!T35+'Mercredi S3'!T35+'Jeudi S3'!T35+'Vendredi S3'!T35+'Samedi S3'!T35</f>
        <v>0.6</v>
      </c>
      <c r="U35" s="62">
        <f>+'Lundi S3'!U35+'Mardi S3'!U35+'Mercredi S3'!U35+'Jeudi S3'!U35+'Vendredi S3'!U35+'Samedi S3'!U35</f>
        <v>3.6</v>
      </c>
      <c r="V35" s="63">
        <f>+'Lundi S3'!V35+'Mardi S3'!V35+'Mercredi S3'!V35+'Jeudi S3'!V35+'Vendredi S3'!V35+'Samedi S3'!V35</f>
        <v>0.9</v>
      </c>
      <c r="W35" s="9">
        <f>+'Lundi S3'!W35+'Mardi S3'!W35+'Mercredi S3'!W35+'Jeudi S3'!W35+'Vendredi S3'!W35+'Samedi S3'!W35</f>
        <v>0</v>
      </c>
      <c r="X35" s="10">
        <f>+'Lundi S3'!X35+'Mardi S3'!X35+'Mercredi S3'!X35+'Jeudi S3'!X35+'Vendredi S3'!X35+'Samedi S3'!X35</f>
        <v>0</v>
      </c>
      <c r="Y35" s="10">
        <f>+'Lundi S3'!Y35+'Mardi S3'!Y35+'Mercredi S3'!Y35+'Jeudi S3'!Y35+'Vendredi S3'!Y35+'Samedi S3'!Y35</f>
        <v>0</v>
      </c>
      <c r="Z35" s="10">
        <f>+'Lundi S3'!Z35+'Mardi S3'!Z35+'Mercredi S3'!Z35+'Jeudi S3'!Z35+'Vendredi S3'!Z35+'Samedi S3'!Z35</f>
        <v>0</v>
      </c>
      <c r="AA35" s="11">
        <f>+'Lundi S3'!AA35+'Mardi S3'!AA35+'Mercredi S3'!AA35+'Jeudi S3'!AA35+'Vendredi S3'!AA35+'Samedi S3'!AA35</f>
        <v>0</v>
      </c>
      <c r="AB35" s="9">
        <f>+'Lundi S3'!AB35+'Mardi S3'!AB35+'Mercredi S3'!AB35+'Jeudi S3'!AB35+'Vendredi S3'!AB35+'Samedi S3'!AB35</f>
        <v>0</v>
      </c>
      <c r="AC35" s="10">
        <f>+'Lundi S3'!AC35+'Mardi S3'!AC35+'Mercredi S3'!AC35+'Jeudi S3'!AC35+'Vendredi S3'!AC35+'Samedi S3'!AC35</f>
        <v>0</v>
      </c>
      <c r="AD35" s="10">
        <f>+'Lundi S3'!AD35+'Mardi S3'!AD35+'Mercredi S3'!AD35+'Jeudi S3'!AD35+'Vendredi S3'!AD35+'Samedi S3'!AD35</f>
        <v>0</v>
      </c>
      <c r="AE35" s="10">
        <f>+'Lundi S3'!AE35+'Mardi S3'!AE35+'Mercredi S3'!AE35+'Jeudi S3'!AE35+'Vendredi S3'!AE35+'Samedi S3'!AE35</f>
        <v>0</v>
      </c>
      <c r="AF35" s="11">
        <f>+'Lundi S3'!AF35+'Mardi S3'!AF35+'Mercredi S3'!AF35+'Jeudi S3'!AF35+'Vendredi S3'!AF35+'Samedi S3'!AF35</f>
        <v>0</v>
      </c>
      <c r="AG35" s="9">
        <f>+'Lundi S3'!AG35+'Mardi S3'!AG35+'Mercredi S3'!AG35+'Jeudi S3'!AG35+'Vendredi S3'!AG35+'Samedi S3'!AG35</f>
        <v>0</v>
      </c>
      <c r="AH35" s="10">
        <f>+'Lundi S3'!AH35+'Mardi S3'!AH35+'Mercredi S3'!AH35+'Jeudi S3'!AH35+'Vendredi S3'!AH35+'Samedi S3'!AH35</f>
        <v>0</v>
      </c>
      <c r="AI35" s="10">
        <f>+'Lundi S3'!AI35+'Mardi S3'!AI35+'Mercredi S3'!AI35+'Jeudi S3'!AI35+'Vendredi S3'!AI35+'Samedi S3'!AI35</f>
        <v>0</v>
      </c>
      <c r="AJ35" s="10">
        <f>+'Lundi S3'!AJ35+'Mardi S3'!AJ35+'Mercredi S3'!AJ35+'Jeudi S3'!AJ35+'Vendredi S3'!AJ35+'Samedi S3'!AJ35</f>
        <v>0</v>
      </c>
      <c r="AK35" s="11">
        <f>+'Lundi S3'!AK35+'Mardi S3'!AK35+'Mercredi S3'!AK35+'Jeudi S3'!AK35+'Vendredi S3'!AK35+'Samedi S3'!AK35</f>
        <v>0</v>
      </c>
      <c r="AL35" s="9">
        <f>+'Lundi S3'!AL35+'Mardi S3'!AL35+'Mercredi S3'!AL35+'Jeudi S3'!AL35+'Vendredi S3'!AL35+'Samedi S3'!AL35</f>
        <v>0</v>
      </c>
      <c r="AM35" s="10">
        <f>+'Lundi S3'!AM35+'Mardi S3'!AM35+'Mercredi S3'!AM35+'Jeudi S3'!AM35+'Vendredi S3'!AM35+'Samedi S3'!AM35</f>
        <v>0</v>
      </c>
      <c r="AN35" s="10">
        <f>+'Lundi S3'!AN35+'Mardi S3'!AN35+'Mercredi S3'!AN35+'Jeudi S3'!AN35+'Vendredi S3'!AN35+'Samedi S3'!AN35</f>
        <v>0</v>
      </c>
      <c r="AO35" s="10">
        <f>+'Lundi S3'!AO35+'Mardi S3'!AO35+'Mercredi S3'!AO35+'Jeudi S3'!AO35+'Vendredi S3'!AO35+'Samedi S3'!AO35</f>
        <v>0</v>
      </c>
      <c r="AP35" s="11">
        <f>+'Lundi S3'!AP35+'Mardi S3'!AP35+'Mercredi S3'!AP35+'Jeudi S3'!AP35+'Vendredi S3'!AP35+'Samedi S3'!AP35</f>
        <v>0</v>
      </c>
      <c r="AQ35" s="9">
        <f>+'Lundi S3'!AQ35+'Mardi S3'!AQ35+'Mercredi S3'!AQ35+'Jeudi S3'!AQ35+'Vendredi S3'!AQ35+'Samedi S3'!AQ35</f>
        <v>0</v>
      </c>
      <c r="AR35" s="10">
        <f>+'Lundi S3'!AR35+'Mardi S3'!AR35+'Mercredi S3'!AR35+'Jeudi S3'!AR35+'Vendredi S3'!AR35+'Samedi S3'!AR35</f>
        <v>0</v>
      </c>
      <c r="AS35" s="11">
        <f>+'Lundi S3'!AS35+'Mardi S3'!AS35+'Mercredi S3'!AS35+'Jeudi S3'!AS35+'Vendredi S3'!AS35+'Samedi S3'!AS35</f>
        <v>0</v>
      </c>
      <c r="AT35" s="24"/>
      <c r="AU35" s="12"/>
    </row>
    <row r="36" spans="1:47" ht="31.9" customHeight="1" thickBot="1" x14ac:dyDescent="0.25">
      <c r="A36" s="27">
        <v>30</v>
      </c>
      <c r="B36" s="28"/>
      <c r="C36" s="29">
        <f>+'Lundi S3'!C36+'Mardi S3'!C36+'Mercredi S3'!C36+'Jeudi S3'!C36+'Vendredi S3'!C36+'Samedi S3'!C36</f>
        <v>90</v>
      </c>
      <c r="D36" s="30">
        <f>+'Lundi S3'!D36+'Mardi S3'!D36+'Mercredi S3'!D36+'Jeudi S3'!D36+'Vendredi S3'!D36+'Samedi S3'!D36</f>
        <v>18</v>
      </c>
      <c r="E36" s="30">
        <f>+'Lundi S3'!E36+'Mardi S3'!E36+'Mercredi S3'!E36+'Jeudi S3'!E36+'Vendredi S3'!E36+'Samedi S3'!E36</f>
        <v>30</v>
      </c>
      <c r="F36" s="30">
        <f>+'Lundi S3'!F36+'Mardi S3'!F36+'Mercredi S3'!F36+'Jeudi S3'!F36+'Vendredi S3'!F36+'Samedi S3'!F36</f>
        <v>12</v>
      </c>
      <c r="G36" s="31">
        <f>+'Lundi S3'!G36+'Mardi S3'!G36+'Mercredi S3'!G36+'Jeudi S3'!G36+'Vendredi S3'!G36+'Samedi S3'!G36</f>
        <v>30</v>
      </c>
      <c r="H36" s="29">
        <f>+'Lundi S3'!H36+'Mardi S3'!H36+'Mercredi S3'!H36+'Jeudi S3'!H36+'Vendredi S3'!H36+'Samedi S3'!H36</f>
        <v>18</v>
      </c>
      <c r="I36" s="30">
        <f>+'Lundi S3'!I36+'Mardi S3'!I36+'Mercredi S3'!I36+'Jeudi S3'!I36+'Vendredi S3'!I36+'Samedi S3'!I36</f>
        <v>6</v>
      </c>
      <c r="J36" s="30">
        <f>+'Lundi S3'!J36+'Mardi S3'!J36+'Mercredi S3'!J36+'Jeudi S3'!J36+'Vendredi S3'!J36+'Samedi S3'!J36</f>
        <v>6</v>
      </c>
      <c r="K36" s="30">
        <f>+'Lundi S3'!K36+'Mardi S3'!K36+'Mercredi S3'!K36+'Jeudi S3'!K36+'Vendredi S3'!K36+'Samedi S3'!K36</f>
        <v>6</v>
      </c>
      <c r="L36" s="31">
        <f>+'Lundi S3'!L36+'Mardi S3'!L36+'Mercredi S3'!L36+'Jeudi S3'!L36+'Vendredi S3'!L36+'Samedi S3'!L36</f>
        <v>6</v>
      </c>
      <c r="M36" s="29">
        <f>+'Lundi S3'!M36+'Mardi S3'!M36+'Mercredi S3'!M36+'Jeudi S3'!M36+'Vendredi S3'!M36+'Samedi S3'!M36</f>
        <v>18</v>
      </c>
      <c r="N36" s="30">
        <f>+'Lundi S3'!N36+'Mardi S3'!N36+'Mercredi S3'!N36+'Jeudi S3'!N36+'Vendredi S3'!N36+'Samedi S3'!N36</f>
        <v>6</v>
      </c>
      <c r="O36" s="30">
        <f>+'Lundi S3'!O36+'Mardi S3'!O36+'Mercredi S3'!O36+'Jeudi S3'!O36+'Vendredi S3'!O36+'Samedi S3'!O36</f>
        <v>18</v>
      </c>
      <c r="P36" s="30">
        <f>+'Lundi S3'!P36+'Mardi S3'!P36+'Mercredi S3'!P36+'Jeudi S3'!P36+'Vendredi S3'!P36+'Samedi S3'!P36</f>
        <v>0</v>
      </c>
      <c r="Q36" s="31">
        <f>+'Lundi S3'!Q36+'Mardi S3'!Q36+'Mercredi S3'!Q36+'Jeudi S3'!Q36+'Vendredi S3'!Q36+'Samedi S3'!Q36</f>
        <v>0</v>
      </c>
      <c r="R36" s="64">
        <f>+'Lundi S3'!R36+'Mardi S3'!R36+'Mercredi S3'!R36+'Jeudi S3'!R36+'Vendredi S3'!R36+'Samedi S3'!R36</f>
        <v>3</v>
      </c>
      <c r="S36" s="65">
        <f>+'Lundi S3'!S36+'Mardi S3'!S36+'Mercredi S3'!S36+'Jeudi S3'!S36+'Vendredi S3'!S36+'Samedi S3'!S36</f>
        <v>0.99999999999999989</v>
      </c>
      <c r="T36" s="65">
        <f>+'Lundi S3'!T36+'Mardi S3'!T36+'Mercredi S3'!T36+'Jeudi S3'!T36+'Vendredi S3'!T36+'Samedi S3'!T36</f>
        <v>0.6</v>
      </c>
      <c r="U36" s="65">
        <f>+'Lundi S3'!U36+'Mardi S3'!U36+'Mercredi S3'!U36+'Jeudi S3'!U36+'Vendredi S3'!U36+'Samedi S3'!U36</f>
        <v>3.6</v>
      </c>
      <c r="V36" s="66">
        <f>+'Lundi S3'!V36+'Mardi S3'!V36+'Mercredi S3'!V36+'Jeudi S3'!V36+'Vendredi S3'!V36+'Samedi S3'!V36</f>
        <v>0.9</v>
      </c>
      <c r="W36" s="29">
        <f>+'Lundi S3'!W36+'Mardi S3'!W36+'Mercredi S3'!W36+'Jeudi S3'!W36+'Vendredi S3'!W36+'Samedi S3'!W36</f>
        <v>0</v>
      </c>
      <c r="X36" s="30">
        <f>+'Lundi S3'!X36+'Mardi S3'!X36+'Mercredi S3'!X36+'Jeudi S3'!X36+'Vendredi S3'!X36+'Samedi S3'!X36</f>
        <v>0</v>
      </c>
      <c r="Y36" s="30">
        <f>+'Lundi S3'!Y36+'Mardi S3'!Y36+'Mercredi S3'!Y36+'Jeudi S3'!Y36+'Vendredi S3'!Y36+'Samedi S3'!Y36</f>
        <v>0</v>
      </c>
      <c r="Z36" s="30">
        <f>+'Lundi S3'!Z36+'Mardi S3'!Z36+'Mercredi S3'!Z36+'Jeudi S3'!Z36+'Vendredi S3'!Z36+'Samedi S3'!Z36</f>
        <v>0</v>
      </c>
      <c r="AA36" s="31">
        <f>+'Lundi S3'!AA36+'Mardi S3'!AA36+'Mercredi S3'!AA36+'Jeudi S3'!AA36+'Vendredi S3'!AA36+'Samedi S3'!AA36</f>
        <v>0</v>
      </c>
      <c r="AB36" s="29">
        <f>+'Lundi S3'!AB36+'Mardi S3'!AB36+'Mercredi S3'!AB36+'Jeudi S3'!AB36+'Vendredi S3'!AB36+'Samedi S3'!AB36</f>
        <v>0</v>
      </c>
      <c r="AC36" s="30">
        <f>+'Lundi S3'!AC36+'Mardi S3'!AC36+'Mercredi S3'!AC36+'Jeudi S3'!AC36+'Vendredi S3'!AC36+'Samedi S3'!AC36</f>
        <v>0</v>
      </c>
      <c r="AD36" s="30">
        <f>+'Lundi S3'!AD36+'Mardi S3'!AD36+'Mercredi S3'!AD36+'Jeudi S3'!AD36+'Vendredi S3'!AD36+'Samedi S3'!AD36</f>
        <v>0</v>
      </c>
      <c r="AE36" s="30">
        <f>+'Lundi S3'!AE36+'Mardi S3'!AE36+'Mercredi S3'!AE36+'Jeudi S3'!AE36+'Vendredi S3'!AE36+'Samedi S3'!AE36</f>
        <v>0</v>
      </c>
      <c r="AF36" s="31">
        <f>+'Lundi S3'!AF36+'Mardi S3'!AF36+'Mercredi S3'!AF36+'Jeudi S3'!AF36+'Vendredi S3'!AF36+'Samedi S3'!AF36</f>
        <v>0</v>
      </c>
      <c r="AG36" s="29">
        <f>+'Lundi S3'!AG36+'Mardi S3'!AG36+'Mercredi S3'!AG36+'Jeudi S3'!AG36+'Vendredi S3'!AG36+'Samedi S3'!AG36</f>
        <v>0</v>
      </c>
      <c r="AH36" s="30">
        <f>+'Lundi S3'!AH36+'Mardi S3'!AH36+'Mercredi S3'!AH36+'Jeudi S3'!AH36+'Vendredi S3'!AH36+'Samedi S3'!AH36</f>
        <v>0</v>
      </c>
      <c r="AI36" s="30">
        <f>+'Lundi S3'!AI36+'Mardi S3'!AI36+'Mercredi S3'!AI36+'Jeudi S3'!AI36+'Vendredi S3'!AI36+'Samedi S3'!AI36</f>
        <v>0</v>
      </c>
      <c r="AJ36" s="30">
        <f>+'Lundi S3'!AJ36+'Mardi S3'!AJ36+'Mercredi S3'!AJ36+'Jeudi S3'!AJ36+'Vendredi S3'!AJ36+'Samedi S3'!AJ36</f>
        <v>0</v>
      </c>
      <c r="AK36" s="31">
        <f>+'Lundi S3'!AK36+'Mardi S3'!AK36+'Mercredi S3'!AK36+'Jeudi S3'!AK36+'Vendredi S3'!AK36+'Samedi S3'!AK36</f>
        <v>0</v>
      </c>
      <c r="AL36" s="29">
        <f>+'Lundi S3'!AL36+'Mardi S3'!AL36+'Mercredi S3'!AL36+'Jeudi S3'!AL36+'Vendredi S3'!AL36+'Samedi S3'!AL36</f>
        <v>0</v>
      </c>
      <c r="AM36" s="30">
        <f>+'Lundi S3'!AM36+'Mardi S3'!AM36+'Mercredi S3'!AM36+'Jeudi S3'!AM36+'Vendredi S3'!AM36+'Samedi S3'!AM36</f>
        <v>0</v>
      </c>
      <c r="AN36" s="30">
        <f>+'Lundi S3'!AN36+'Mardi S3'!AN36+'Mercredi S3'!AN36+'Jeudi S3'!AN36+'Vendredi S3'!AN36+'Samedi S3'!AN36</f>
        <v>0</v>
      </c>
      <c r="AO36" s="30">
        <f>+'Lundi S3'!AO36+'Mardi S3'!AO36+'Mercredi S3'!AO36+'Jeudi S3'!AO36+'Vendredi S3'!AO36+'Samedi S3'!AO36</f>
        <v>0</v>
      </c>
      <c r="AP36" s="31">
        <f>+'Lundi S3'!AP36+'Mardi S3'!AP36+'Mercredi S3'!AP36+'Jeudi S3'!AP36+'Vendredi S3'!AP36+'Samedi S3'!AP36</f>
        <v>0</v>
      </c>
      <c r="AQ36" s="29">
        <f>+'Lundi S3'!AQ36+'Mardi S3'!AQ36+'Mercredi S3'!AQ36+'Jeudi S3'!AQ36+'Vendredi S3'!AQ36+'Samedi S3'!AQ36</f>
        <v>0</v>
      </c>
      <c r="AR36" s="30">
        <f>+'Lundi S3'!AR36+'Mardi S3'!AR36+'Mercredi S3'!AR36+'Jeudi S3'!AR36+'Vendredi S3'!AR36+'Samedi S3'!AR36</f>
        <v>0</v>
      </c>
      <c r="AS36" s="31">
        <f>+'Lundi S3'!AS36+'Mardi S3'!AS36+'Mercredi S3'!AS36+'Jeudi S3'!AS36+'Vendredi S3'!AS36+'Samedi S3'!AS36</f>
        <v>0</v>
      </c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2700</v>
      </c>
      <c r="D37" s="40">
        <f t="shared" ref="D37:AS37" si="0">SUM(D7:D36)</f>
        <v>540</v>
      </c>
      <c r="E37" s="40">
        <f t="shared" si="0"/>
        <v>900</v>
      </c>
      <c r="F37" s="40">
        <f t="shared" si="0"/>
        <v>360</v>
      </c>
      <c r="G37" s="41">
        <f t="shared" si="0"/>
        <v>900</v>
      </c>
      <c r="H37" s="39">
        <f t="shared" si="0"/>
        <v>540</v>
      </c>
      <c r="I37" s="40">
        <f t="shared" si="0"/>
        <v>180</v>
      </c>
      <c r="J37" s="40">
        <f t="shared" si="0"/>
        <v>180</v>
      </c>
      <c r="K37" s="40">
        <f t="shared" si="0"/>
        <v>180</v>
      </c>
      <c r="L37" s="41">
        <f t="shared" si="0"/>
        <v>180</v>
      </c>
      <c r="M37" s="39">
        <f t="shared" si="0"/>
        <v>540</v>
      </c>
      <c r="N37" s="40">
        <f t="shared" si="0"/>
        <v>180</v>
      </c>
      <c r="O37" s="40">
        <f t="shared" si="0"/>
        <v>540</v>
      </c>
      <c r="P37" s="40">
        <f t="shared" si="0"/>
        <v>0</v>
      </c>
      <c r="Q37" s="41">
        <f t="shared" si="0"/>
        <v>0</v>
      </c>
      <c r="R37" s="39">
        <f>SUM(R7:R36)</f>
        <v>90</v>
      </c>
      <c r="S37" s="40">
        <f t="shared" si="0"/>
        <v>29.999999999999996</v>
      </c>
      <c r="T37" s="40">
        <f t="shared" si="0"/>
        <v>18</v>
      </c>
      <c r="U37" s="40">
        <f t="shared" si="0"/>
        <v>107.99999999999994</v>
      </c>
      <c r="V37" s="41">
        <f t="shared" si="0"/>
        <v>26.999999999999986</v>
      </c>
      <c r="W37" s="39">
        <f t="shared" si="0"/>
        <v>6</v>
      </c>
      <c r="X37" s="40">
        <f t="shared" si="0"/>
        <v>6</v>
      </c>
      <c r="Y37" s="40">
        <f t="shared" si="0"/>
        <v>6</v>
      </c>
      <c r="Z37" s="40">
        <f t="shared" si="0"/>
        <v>6</v>
      </c>
      <c r="AA37" s="41">
        <f t="shared" si="0"/>
        <v>6</v>
      </c>
      <c r="AB37" s="39">
        <f t="shared" si="0"/>
        <v>6</v>
      </c>
      <c r="AC37" s="40">
        <f t="shared" si="0"/>
        <v>6</v>
      </c>
      <c r="AD37" s="40">
        <f t="shared" si="0"/>
        <v>6</v>
      </c>
      <c r="AE37" s="40">
        <f t="shared" si="0"/>
        <v>6</v>
      </c>
      <c r="AF37" s="41">
        <f t="shared" si="0"/>
        <v>6</v>
      </c>
      <c r="AG37" s="39">
        <f t="shared" si="0"/>
        <v>6</v>
      </c>
      <c r="AH37" s="40">
        <f t="shared" si="0"/>
        <v>6</v>
      </c>
      <c r="AI37" s="40">
        <f t="shared" si="0"/>
        <v>6</v>
      </c>
      <c r="AJ37" s="40">
        <f t="shared" si="0"/>
        <v>6</v>
      </c>
      <c r="AK37" s="41">
        <f t="shared" si="0"/>
        <v>6</v>
      </c>
      <c r="AL37" s="39">
        <f t="shared" si="0"/>
        <v>6</v>
      </c>
      <c r="AM37" s="40">
        <f t="shared" si="0"/>
        <v>6</v>
      </c>
      <c r="AN37" s="40">
        <f t="shared" si="0"/>
        <v>6</v>
      </c>
      <c r="AO37" s="40">
        <f t="shared" si="0"/>
        <v>6</v>
      </c>
      <c r="AP37" s="41">
        <f t="shared" si="0"/>
        <v>6</v>
      </c>
      <c r="AQ37" s="39">
        <f t="shared" si="0"/>
        <v>6</v>
      </c>
      <c r="AR37" s="40">
        <f t="shared" si="0"/>
        <v>6</v>
      </c>
      <c r="AS37" s="41">
        <f t="shared" si="0"/>
        <v>6</v>
      </c>
      <c r="AT37" s="25">
        <f t="shared" ref="AT37:AU37" si="1">SUM(AT7:AT36)</f>
        <v>0</v>
      </c>
      <c r="AU37" s="2">
        <f t="shared" si="1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00B9-4B27-4C9F-B384-D94DC87C7411}">
  <dimension ref="A2:AU37"/>
  <sheetViews>
    <sheetView zoomScale="56" zoomScaleNormal="56" workbookViewId="0">
      <pane xSplit="2" ySplit="6" topLeftCell="C7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5648-0F5D-4A01-9E24-5FF36A20F85C}">
  <dimension ref="A2:AU37"/>
  <sheetViews>
    <sheetView zoomScale="56" zoomScaleNormal="56" workbookViewId="0">
      <pane xSplit="2" ySplit="6" topLeftCell="C7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D717-E723-49D5-937A-9A1A279DB3D1}">
  <dimension ref="A2:AU37"/>
  <sheetViews>
    <sheetView zoomScale="56" zoomScaleNormal="56" workbookViewId="0">
      <pane xSplit="2" ySplit="6" topLeftCell="C7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38DD-96BC-402F-A1E8-B6033CE07B61}">
  <dimension ref="A2:AU37"/>
  <sheetViews>
    <sheetView zoomScale="56" zoomScaleNormal="56" workbookViewId="0">
      <pane xSplit="2" ySplit="6" topLeftCell="C7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C5DD-3465-4611-858B-A9E5B1C2DCF6}">
  <dimension ref="A2:AU37"/>
  <sheetViews>
    <sheetView zoomScale="56" zoomScaleNormal="56" workbookViewId="0">
      <pane xSplit="2" ySplit="6" topLeftCell="C7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0F9F-D90B-4FB7-AB3E-AAC6B11477E0}">
  <dimension ref="A2:AU37"/>
  <sheetViews>
    <sheetView zoomScale="56" zoomScaleNormal="56" workbookViewId="0">
      <pane xSplit="2" ySplit="6" topLeftCell="C29" activePane="bottomRight" state="frozen"/>
      <selection activeCell="Z30" sqref="Z30"/>
      <selection pane="topRight" activeCell="Z30" sqref="Z30"/>
      <selection pane="bottomLeft" activeCell="Z30" sqref="Z30"/>
      <selection pane="bottomRight" activeCell="Z30" sqref="Z30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8DD8-EEDB-4467-9AB3-012CCFBF59DF}">
  <dimension ref="A2:AU37"/>
  <sheetViews>
    <sheetView zoomScale="56" zoomScaleNormal="56" workbookViewId="0">
      <pane xSplit="2" ySplit="6" topLeftCell="R34" activePane="bottomRight" state="frozen"/>
      <selection activeCell="Z30" sqref="Z30"/>
      <selection pane="topRight" activeCell="Z30" sqref="Z30"/>
      <selection pane="bottomLeft" activeCell="Z30" sqref="Z30"/>
      <selection pane="bottomRight" activeCell="Z30" sqref="Z30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+'Lundi S4'!C7+'Mardi S4'!C7+'Mercredi S4'!C7+'Jeudi S4'!C7+'Vendredi S4'!C7+'Samedi S4'!C7</f>
        <v>90</v>
      </c>
      <c r="D7" s="7">
        <f>+'Lundi S4'!D7+'Mardi S4'!D7+'Mercredi S4'!D7+'Jeudi S4'!D7+'Vendredi S4'!D7+'Samedi S4'!D7</f>
        <v>18</v>
      </c>
      <c r="E7" s="7">
        <f>+'Lundi S4'!E7+'Mardi S4'!E7+'Mercredi S4'!E7+'Jeudi S4'!E7+'Vendredi S4'!E7+'Samedi S4'!E7</f>
        <v>30</v>
      </c>
      <c r="F7" s="7">
        <f>+'Lundi S4'!F7+'Mardi S4'!F7+'Mercredi S4'!F7+'Jeudi S4'!F7+'Vendredi S4'!F7+'Samedi S4'!F7</f>
        <v>12</v>
      </c>
      <c r="G7" s="8">
        <f>+'Lundi S4'!G7+'Mardi S4'!G7+'Mercredi S4'!G7+'Jeudi S4'!G7+'Vendredi S4'!G7+'Samedi S4'!G7</f>
        <v>30</v>
      </c>
      <c r="H7" s="6">
        <f>+'Lundi S4'!H7+'Mardi S4'!H7+'Mercredi S4'!H7+'Jeudi S4'!H7+'Vendredi S4'!H7+'Samedi S4'!H7</f>
        <v>18</v>
      </c>
      <c r="I7" s="7">
        <f>+'Lundi S4'!I7+'Mardi S4'!I7+'Mercredi S4'!I7+'Jeudi S4'!I7+'Vendredi S4'!I7+'Samedi S4'!I7</f>
        <v>6</v>
      </c>
      <c r="J7" s="7">
        <f>+'Lundi S4'!J7+'Mardi S4'!J7+'Mercredi S4'!J7+'Jeudi S4'!J7+'Vendredi S4'!J7+'Samedi S4'!J7</f>
        <v>6</v>
      </c>
      <c r="K7" s="7">
        <f>+'Lundi S4'!K7+'Mardi S4'!K7+'Mercredi S4'!K7+'Jeudi S4'!K7+'Vendredi S4'!K7+'Samedi S4'!K7</f>
        <v>6</v>
      </c>
      <c r="L7" s="8">
        <f>+'Lundi S4'!L7+'Mardi S4'!L7+'Mercredi S4'!L7+'Jeudi S4'!L7+'Vendredi S4'!L7+'Samedi S4'!L7</f>
        <v>6</v>
      </c>
      <c r="M7" s="6">
        <f>+'Lundi S4'!M7+'Mardi S4'!M7+'Mercredi S4'!M7+'Jeudi S4'!M7+'Vendredi S4'!M7+'Samedi S4'!M7</f>
        <v>18</v>
      </c>
      <c r="N7" s="7">
        <f>+'Lundi S4'!N7+'Mardi S4'!N7+'Mercredi S4'!N7+'Jeudi S4'!N7+'Vendredi S4'!N7+'Samedi S4'!N7</f>
        <v>6</v>
      </c>
      <c r="O7" s="7">
        <f>+'Lundi S4'!O7+'Mardi S4'!O7+'Mercredi S4'!O7+'Jeudi S4'!O7+'Vendredi S4'!O7+'Samedi S4'!O7</f>
        <v>18</v>
      </c>
      <c r="P7" s="7">
        <f>+'Lundi S4'!P7+'Mardi S4'!P7+'Mercredi S4'!P7+'Jeudi S4'!P7+'Vendredi S4'!P7+'Samedi S4'!P7</f>
        <v>0</v>
      </c>
      <c r="Q7" s="8">
        <f>+'Lundi S4'!Q7+'Mardi S4'!Q7+'Mercredi S4'!Q7+'Jeudi S4'!Q7+'Vendredi S4'!Q7+'Samedi S4'!Q7</f>
        <v>0</v>
      </c>
      <c r="R7" s="58">
        <f>+'Lundi S4'!R7+'Mardi S4'!R7+'Mercredi S4'!R7+'Jeudi S4'!R7+'Vendredi S4'!R7+'Samedi S4'!R7</f>
        <v>3</v>
      </c>
      <c r="S7" s="59">
        <f>+'Lundi S4'!S7+'Mardi S4'!S7+'Mercredi S4'!S7+'Jeudi S4'!S7+'Vendredi S4'!S7+'Samedi S4'!S7</f>
        <v>0.99999999999999989</v>
      </c>
      <c r="T7" s="59">
        <f>+'Lundi S4'!T7+'Mardi S4'!T7+'Mercredi S4'!T7+'Jeudi S4'!T7+'Vendredi S4'!T7+'Samedi S4'!T7</f>
        <v>0.6</v>
      </c>
      <c r="U7" s="59">
        <f>+'Lundi S4'!U7+'Mardi S4'!U7+'Mercredi S4'!U7+'Jeudi S4'!U7+'Vendredi S4'!U7+'Samedi S4'!U7</f>
        <v>3.6</v>
      </c>
      <c r="V7" s="60">
        <f>+'Lundi S4'!V7+'Mardi S4'!V7+'Mercredi S4'!V7+'Jeudi S4'!V7+'Vendredi S4'!V7+'Samedi S4'!V7</f>
        <v>0.9</v>
      </c>
      <c r="W7" s="6">
        <f>+'Lundi S4'!W7+'Mardi S4'!W7+'Mercredi S4'!W7+'Jeudi S4'!W7+'Vendredi S4'!W7+'Samedi S4'!W7</f>
        <v>6</v>
      </c>
      <c r="X7" s="7">
        <f>+'Lundi S4'!X7+'Mardi S4'!X7+'Mercredi S4'!X7+'Jeudi S4'!X7+'Vendredi S4'!X7+'Samedi S4'!X7</f>
        <v>6</v>
      </c>
      <c r="Y7" s="7">
        <f>+'Lundi S4'!Y7+'Mardi S4'!Y7+'Mercredi S4'!Y7+'Jeudi S4'!Y7+'Vendredi S4'!Y7+'Samedi S4'!Y7</f>
        <v>6</v>
      </c>
      <c r="Z7" s="7">
        <f>+'Lundi S4'!Z7+'Mardi S4'!Z7+'Mercredi S4'!Z7+'Jeudi S4'!Z7+'Vendredi S4'!Z7+'Samedi S4'!Z7</f>
        <v>6</v>
      </c>
      <c r="AA7" s="8">
        <f>+'Lundi S4'!AA7+'Mardi S4'!AA7+'Mercredi S4'!AA7+'Jeudi S4'!AA7+'Vendredi S4'!AA7+'Samedi S4'!AA7</f>
        <v>6</v>
      </c>
      <c r="AB7" s="6">
        <f>+'Lundi S4'!AB7+'Mardi S4'!AB7+'Mercredi S4'!AB7+'Jeudi S4'!AB7+'Vendredi S4'!AB7+'Samedi S4'!AB7</f>
        <v>6</v>
      </c>
      <c r="AC7" s="7">
        <f>+'Lundi S4'!AC7+'Mardi S4'!AC7+'Mercredi S4'!AC7+'Jeudi S4'!AC7+'Vendredi S4'!AC7+'Samedi S4'!AC7</f>
        <v>6</v>
      </c>
      <c r="AD7" s="7">
        <f>+'Lundi S4'!AD7+'Mardi S4'!AD7+'Mercredi S4'!AD7+'Jeudi S4'!AD7+'Vendredi S4'!AD7+'Samedi S4'!AD7</f>
        <v>6</v>
      </c>
      <c r="AE7" s="7">
        <f>+'Lundi S4'!AE7+'Mardi S4'!AE7+'Mercredi S4'!AE7+'Jeudi S4'!AE7+'Vendredi S4'!AE7+'Samedi S4'!AE7</f>
        <v>6</v>
      </c>
      <c r="AF7" s="8">
        <f>+'Lundi S4'!AF7+'Mardi S4'!AF7+'Mercredi S4'!AF7+'Jeudi S4'!AF7+'Vendredi S4'!AF7+'Samedi S4'!AF7</f>
        <v>6</v>
      </c>
      <c r="AG7" s="6">
        <f>+'Lundi S4'!AG7+'Mardi S4'!AG7+'Mercredi S4'!AG7+'Jeudi S4'!AG7+'Vendredi S4'!AG7+'Samedi S4'!AG7</f>
        <v>6</v>
      </c>
      <c r="AH7" s="7">
        <f>+'Lundi S4'!AH7+'Mardi S4'!AH7+'Mercredi S4'!AH7+'Jeudi S4'!AH7+'Vendredi S4'!AH7+'Samedi S4'!AH7</f>
        <v>6</v>
      </c>
      <c r="AI7" s="7">
        <f>+'Lundi S4'!AI7+'Mardi S4'!AI7+'Mercredi S4'!AI7+'Jeudi S4'!AI7+'Vendredi S4'!AI7+'Samedi S4'!AI7</f>
        <v>6</v>
      </c>
      <c r="AJ7" s="7">
        <f>+'Lundi S4'!AJ7+'Mardi S4'!AJ7+'Mercredi S4'!AJ7+'Jeudi S4'!AJ7+'Vendredi S4'!AJ7+'Samedi S4'!AJ7</f>
        <v>6</v>
      </c>
      <c r="AK7" s="8">
        <f>+'Lundi S4'!AK7+'Mardi S4'!AK7+'Mercredi S4'!AK7+'Jeudi S4'!AK7+'Vendredi S4'!AK7+'Samedi S4'!AK7</f>
        <v>6</v>
      </c>
      <c r="AL7" s="6">
        <f>+'Lundi S4'!AL7+'Mardi S4'!AL7+'Mercredi S4'!AL7+'Jeudi S4'!AL7+'Vendredi S4'!AL7+'Samedi S4'!AL7</f>
        <v>6</v>
      </c>
      <c r="AM7" s="7">
        <f>+'Lundi S4'!AM7+'Mardi S4'!AM7+'Mercredi S4'!AM7+'Jeudi S4'!AM7+'Vendredi S4'!AM7+'Samedi S4'!AM7</f>
        <v>6</v>
      </c>
      <c r="AN7" s="7">
        <f>+'Lundi S4'!AN7+'Mardi S4'!AN7+'Mercredi S4'!AN7+'Jeudi S4'!AN7+'Vendredi S4'!AN7+'Samedi S4'!AN7</f>
        <v>6</v>
      </c>
      <c r="AO7" s="7">
        <f>+'Lundi S4'!AO7+'Mardi S4'!AO7+'Mercredi S4'!AO7+'Jeudi S4'!AO7+'Vendredi S4'!AO7+'Samedi S4'!AO7</f>
        <v>6</v>
      </c>
      <c r="AP7" s="8">
        <f>+'Lundi S4'!AP7+'Mardi S4'!AP7+'Mercredi S4'!AP7+'Jeudi S4'!AP7+'Vendredi S4'!AP7+'Samedi S4'!AP7</f>
        <v>6</v>
      </c>
      <c r="AQ7" s="6">
        <f>+'Lundi S4'!AQ7+'Mardi S4'!AQ7+'Mercredi S4'!AQ7+'Jeudi S4'!AQ7+'Vendredi S4'!AQ7+'Samedi S4'!AQ7</f>
        <v>6</v>
      </c>
      <c r="AR7" s="7">
        <f>+'Lundi S4'!AR7+'Mardi S4'!AR7+'Mercredi S4'!AR7+'Jeudi S4'!AR7+'Vendredi S4'!AR7+'Samedi S4'!AR7</f>
        <v>6</v>
      </c>
      <c r="AS7" s="8">
        <f>+'Lundi S4'!AS7+'Mardi S4'!AS7+'Mercredi S4'!AS7+'Jeudi S4'!AS7+'Vendredi S4'!AS7+'Samedi S4'!AS7</f>
        <v>6</v>
      </c>
      <c r="AT7" s="20"/>
      <c r="AU7" s="15"/>
    </row>
    <row r="8" spans="1:47" ht="31.9" customHeight="1" x14ac:dyDescent="0.2">
      <c r="A8" s="26">
        <v>2</v>
      </c>
      <c r="B8" s="19"/>
      <c r="C8" s="9">
        <f>+'Lundi S4'!C8+'Mardi S4'!C8+'Mercredi S4'!C8+'Jeudi S4'!C8+'Vendredi S4'!C8+'Samedi S4'!C8</f>
        <v>90</v>
      </c>
      <c r="D8" s="10">
        <f>+'Lundi S4'!D8+'Mardi S4'!D8+'Mercredi S4'!D8+'Jeudi S4'!D8+'Vendredi S4'!D8+'Samedi S4'!D8</f>
        <v>18</v>
      </c>
      <c r="E8" s="10">
        <f>+'Lundi S4'!E8+'Mardi S4'!E8+'Mercredi S4'!E8+'Jeudi S4'!E8+'Vendredi S4'!E8+'Samedi S4'!E8</f>
        <v>30</v>
      </c>
      <c r="F8" s="10">
        <f>+'Lundi S4'!F8+'Mardi S4'!F8+'Mercredi S4'!F8+'Jeudi S4'!F8+'Vendredi S4'!F8+'Samedi S4'!F8</f>
        <v>12</v>
      </c>
      <c r="G8" s="11">
        <f>+'Lundi S4'!G8+'Mardi S4'!G8+'Mercredi S4'!G8+'Jeudi S4'!G8+'Vendredi S4'!G8+'Samedi S4'!G8</f>
        <v>30</v>
      </c>
      <c r="H8" s="9">
        <f>+'Lundi S4'!H8+'Mardi S4'!H8+'Mercredi S4'!H8+'Jeudi S4'!H8+'Vendredi S4'!H8+'Samedi S4'!H8</f>
        <v>18</v>
      </c>
      <c r="I8" s="10">
        <f>+'Lundi S4'!I8+'Mardi S4'!I8+'Mercredi S4'!I8+'Jeudi S4'!I8+'Vendredi S4'!I8+'Samedi S4'!I8</f>
        <v>6</v>
      </c>
      <c r="J8" s="10">
        <f>+'Lundi S4'!J8+'Mardi S4'!J8+'Mercredi S4'!J8+'Jeudi S4'!J8+'Vendredi S4'!J8+'Samedi S4'!J8</f>
        <v>6</v>
      </c>
      <c r="K8" s="10">
        <f>+'Lundi S4'!K8+'Mardi S4'!K8+'Mercredi S4'!K8+'Jeudi S4'!K8+'Vendredi S4'!K8+'Samedi S4'!K8</f>
        <v>6</v>
      </c>
      <c r="L8" s="11">
        <f>+'Lundi S4'!L8+'Mardi S4'!L8+'Mercredi S4'!L8+'Jeudi S4'!L8+'Vendredi S4'!L8+'Samedi S4'!L8</f>
        <v>6</v>
      </c>
      <c r="M8" s="9">
        <f>+'Lundi S4'!M8+'Mardi S4'!M8+'Mercredi S4'!M8+'Jeudi S4'!M8+'Vendredi S4'!M8+'Samedi S4'!M8</f>
        <v>18</v>
      </c>
      <c r="N8" s="10">
        <f>+'Lundi S4'!N8+'Mardi S4'!N8+'Mercredi S4'!N8+'Jeudi S4'!N8+'Vendredi S4'!N8+'Samedi S4'!N8</f>
        <v>6</v>
      </c>
      <c r="O8" s="10">
        <f>+'Lundi S4'!O8+'Mardi S4'!O8+'Mercredi S4'!O8+'Jeudi S4'!O8+'Vendredi S4'!O8+'Samedi S4'!O8</f>
        <v>18</v>
      </c>
      <c r="P8" s="10">
        <f>+'Lundi S4'!P8+'Mardi S4'!P8+'Mercredi S4'!P8+'Jeudi S4'!P8+'Vendredi S4'!P8+'Samedi S4'!P8</f>
        <v>0</v>
      </c>
      <c r="Q8" s="11">
        <f>+'Lundi S4'!Q8+'Mardi S4'!Q8+'Mercredi S4'!Q8+'Jeudi S4'!Q8+'Vendredi S4'!Q8+'Samedi S4'!Q8</f>
        <v>0</v>
      </c>
      <c r="R8" s="61">
        <f>+'Lundi S4'!R8+'Mardi S4'!R8+'Mercredi S4'!R8+'Jeudi S4'!R8+'Vendredi S4'!R8+'Samedi S4'!R8</f>
        <v>3</v>
      </c>
      <c r="S8" s="62">
        <f>+'Lundi S4'!S8+'Mardi S4'!S8+'Mercredi S4'!S8+'Jeudi S4'!S8+'Vendredi S4'!S8+'Samedi S4'!S8</f>
        <v>0.99999999999999989</v>
      </c>
      <c r="T8" s="62">
        <f>+'Lundi S4'!T8+'Mardi S4'!T8+'Mercredi S4'!T8+'Jeudi S4'!T8+'Vendredi S4'!T8+'Samedi S4'!T8</f>
        <v>0.6</v>
      </c>
      <c r="U8" s="62">
        <f>+'Lundi S4'!U8+'Mardi S4'!U8+'Mercredi S4'!U8+'Jeudi S4'!U8+'Vendredi S4'!U8+'Samedi S4'!U8</f>
        <v>3.6</v>
      </c>
      <c r="V8" s="63">
        <f>+'Lundi S4'!V8+'Mardi S4'!V8+'Mercredi S4'!V8+'Jeudi S4'!V8+'Vendredi S4'!V8+'Samedi S4'!V8</f>
        <v>0.9</v>
      </c>
      <c r="W8" s="9">
        <f>+'Lundi S4'!W8+'Mardi S4'!W8+'Mercredi S4'!W8+'Jeudi S4'!W8+'Vendredi S4'!W8+'Samedi S4'!W8</f>
        <v>0</v>
      </c>
      <c r="X8" s="10">
        <f>+'Lundi S4'!X8+'Mardi S4'!X8+'Mercredi S4'!X8+'Jeudi S4'!X8+'Vendredi S4'!X8+'Samedi S4'!X8</f>
        <v>0</v>
      </c>
      <c r="Y8" s="10">
        <f>+'Lundi S4'!Y8+'Mardi S4'!Y8+'Mercredi S4'!Y8+'Jeudi S4'!Y8+'Vendredi S4'!Y8+'Samedi S4'!Y8</f>
        <v>0</v>
      </c>
      <c r="Z8" s="10">
        <f>+'Lundi S4'!Z8+'Mardi S4'!Z8+'Mercredi S4'!Z8+'Jeudi S4'!Z8+'Vendredi S4'!Z8+'Samedi S4'!Z8</f>
        <v>0</v>
      </c>
      <c r="AA8" s="11">
        <f>+'Lundi S4'!AA8+'Mardi S4'!AA8+'Mercredi S4'!AA8+'Jeudi S4'!AA8+'Vendredi S4'!AA8+'Samedi S4'!AA8</f>
        <v>0</v>
      </c>
      <c r="AB8" s="9">
        <f>+'Lundi S4'!AB8+'Mardi S4'!AB8+'Mercredi S4'!AB8+'Jeudi S4'!AB8+'Vendredi S4'!AB8+'Samedi S4'!AB8</f>
        <v>0</v>
      </c>
      <c r="AC8" s="10">
        <f>+'Lundi S4'!AC8+'Mardi S4'!AC8+'Mercredi S4'!AC8+'Jeudi S4'!AC8+'Vendredi S4'!AC8+'Samedi S4'!AC8</f>
        <v>0</v>
      </c>
      <c r="AD8" s="10">
        <f>+'Lundi S4'!AD8+'Mardi S4'!AD8+'Mercredi S4'!AD8+'Jeudi S4'!AD8+'Vendredi S4'!AD8+'Samedi S4'!AD8</f>
        <v>0</v>
      </c>
      <c r="AE8" s="10">
        <f>+'Lundi S4'!AE8+'Mardi S4'!AE8+'Mercredi S4'!AE8+'Jeudi S4'!AE8+'Vendredi S4'!AE8+'Samedi S4'!AE8</f>
        <v>0</v>
      </c>
      <c r="AF8" s="11">
        <f>+'Lundi S4'!AF8+'Mardi S4'!AF8+'Mercredi S4'!AF8+'Jeudi S4'!AF8+'Vendredi S4'!AF8+'Samedi S4'!AF8</f>
        <v>0</v>
      </c>
      <c r="AG8" s="9">
        <f>+'Lundi S4'!AG8+'Mardi S4'!AG8+'Mercredi S4'!AG8+'Jeudi S4'!AG8+'Vendredi S4'!AG8+'Samedi S4'!AG8</f>
        <v>0</v>
      </c>
      <c r="AH8" s="10">
        <f>+'Lundi S4'!AH8+'Mardi S4'!AH8+'Mercredi S4'!AH8+'Jeudi S4'!AH8+'Vendredi S4'!AH8+'Samedi S4'!AH8</f>
        <v>0</v>
      </c>
      <c r="AI8" s="10">
        <f>+'Lundi S4'!AI8+'Mardi S4'!AI8+'Mercredi S4'!AI8+'Jeudi S4'!AI8+'Vendredi S4'!AI8+'Samedi S4'!AI8</f>
        <v>0</v>
      </c>
      <c r="AJ8" s="10">
        <f>+'Lundi S4'!AJ8+'Mardi S4'!AJ8+'Mercredi S4'!AJ8+'Jeudi S4'!AJ8+'Vendredi S4'!AJ8+'Samedi S4'!AJ8</f>
        <v>0</v>
      </c>
      <c r="AK8" s="11">
        <f>+'Lundi S4'!AK8+'Mardi S4'!AK8+'Mercredi S4'!AK8+'Jeudi S4'!AK8+'Vendredi S4'!AK8+'Samedi S4'!AK8</f>
        <v>0</v>
      </c>
      <c r="AL8" s="9">
        <f>+'Lundi S4'!AL8+'Mardi S4'!AL8+'Mercredi S4'!AL8+'Jeudi S4'!AL8+'Vendredi S4'!AL8+'Samedi S4'!AL8</f>
        <v>0</v>
      </c>
      <c r="AM8" s="10">
        <f>+'Lundi S4'!AM8+'Mardi S4'!AM8+'Mercredi S4'!AM8+'Jeudi S4'!AM8+'Vendredi S4'!AM8+'Samedi S4'!AM8</f>
        <v>0</v>
      </c>
      <c r="AN8" s="10">
        <f>+'Lundi S4'!AN8+'Mardi S4'!AN8+'Mercredi S4'!AN8+'Jeudi S4'!AN8+'Vendredi S4'!AN8+'Samedi S4'!AN8</f>
        <v>0</v>
      </c>
      <c r="AO8" s="10">
        <f>+'Lundi S4'!AO8+'Mardi S4'!AO8+'Mercredi S4'!AO8+'Jeudi S4'!AO8+'Vendredi S4'!AO8+'Samedi S4'!AO8</f>
        <v>0</v>
      </c>
      <c r="AP8" s="11">
        <f>+'Lundi S4'!AP8+'Mardi S4'!AP8+'Mercredi S4'!AP8+'Jeudi S4'!AP8+'Vendredi S4'!AP8+'Samedi S4'!AP8</f>
        <v>0</v>
      </c>
      <c r="AQ8" s="9">
        <f>+'Lundi S4'!AQ8+'Mardi S4'!AQ8+'Mercredi S4'!AQ8+'Jeudi S4'!AQ8+'Vendredi S4'!AQ8+'Samedi S4'!AQ8</f>
        <v>0</v>
      </c>
      <c r="AR8" s="10">
        <f>+'Lundi S4'!AR8+'Mardi S4'!AR8+'Mercredi S4'!AR8+'Jeudi S4'!AR8+'Vendredi S4'!AR8+'Samedi S4'!AR8</f>
        <v>0</v>
      </c>
      <c r="AS8" s="11">
        <f>+'Lundi S4'!AS8+'Mardi S4'!AS8+'Mercredi S4'!AS8+'Jeudi S4'!AS8+'Vendredi S4'!AS8+'Samedi S4'!AS8</f>
        <v>0</v>
      </c>
      <c r="AT8" s="21"/>
      <c r="AU8" s="14"/>
    </row>
    <row r="9" spans="1:47" ht="31.9" customHeight="1" x14ac:dyDescent="0.2">
      <c r="A9" s="26">
        <v>3</v>
      </c>
      <c r="B9" s="19"/>
      <c r="C9" s="9">
        <f>+'Lundi S4'!C9+'Mardi S4'!C9+'Mercredi S4'!C9+'Jeudi S4'!C9+'Vendredi S4'!C9+'Samedi S4'!C9</f>
        <v>90</v>
      </c>
      <c r="D9" s="10">
        <f>+'Lundi S4'!D9+'Mardi S4'!D9+'Mercredi S4'!D9+'Jeudi S4'!D9+'Vendredi S4'!D9+'Samedi S4'!D9</f>
        <v>18</v>
      </c>
      <c r="E9" s="10">
        <f>+'Lundi S4'!E9+'Mardi S4'!E9+'Mercredi S4'!E9+'Jeudi S4'!E9+'Vendredi S4'!E9+'Samedi S4'!E9</f>
        <v>30</v>
      </c>
      <c r="F9" s="10">
        <f>+'Lundi S4'!F9+'Mardi S4'!F9+'Mercredi S4'!F9+'Jeudi S4'!F9+'Vendredi S4'!F9+'Samedi S4'!F9</f>
        <v>12</v>
      </c>
      <c r="G9" s="11">
        <f>+'Lundi S4'!G9+'Mardi S4'!G9+'Mercredi S4'!G9+'Jeudi S4'!G9+'Vendredi S4'!G9+'Samedi S4'!G9</f>
        <v>30</v>
      </c>
      <c r="H9" s="9">
        <f>+'Lundi S4'!H9+'Mardi S4'!H9+'Mercredi S4'!H9+'Jeudi S4'!H9+'Vendredi S4'!H9+'Samedi S4'!H9</f>
        <v>18</v>
      </c>
      <c r="I9" s="10">
        <f>+'Lundi S4'!I9+'Mardi S4'!I9+'Mercredi S4'!I9+'Jeudi S4'!I9+'Vendredi S4'!I9+'Samedi S4'!I9</f>
        <v>6</v>
      </c>
      <c r="J9" s="10">
        <f>+'Lundi S4'!J9+'Mardi S4'!J9+'Mercredi S4'!J9+'Jeudi S4'!J9+'Vendredi S4'!J9+'Samedi S4'!J9</f>
        <v>6</v>
      </c>
      <c r="K9" s="10">
        <f>+'Lundi S4'!K9+'Mardi S4'!K9+'Mercredi S4'!K9+'Jeudi S4'!K9+'Vendredi S4'!K9+'Samedi S4'!K9</f>
        <v>6</v>
      </c>
      <c r="L9" s="11">
        <f>+'Lundi S4'!L9+'Mardi S4'!L9+'Mercredi S4'!L9+'Jeudi S4'!L9+'Vendredi S4'!L9+'Samedi S4'!L9</f>
        <v>6</v>
      </c>
      <c r="M9" s="9">
        <f>+'Lundi S4'!M9+'Mardi S4'!M9+'Mercredi S4'!M9+'Jeudi S4'!M9+'Vendredi S4'!M9+'Samedi S4'!M9</f>
        <v>18</v>
      </c>
      <c r="N9" s="10">
        <f>+'Lundi S4'!N9+'Mardi S4'!N9+'Mercredi S4'!N9+'Jeudi S4'!N9+'Vendredi S4'!N9+'Samedi S4'!N9</f>
        <v>6</v>
      </c>
      <c r="O9" s="10">
        <f>+'Lundi S4'!O9+'Mardi S4'!O9+'Mercredi S4'!O9+'Jeudi S4'!O9+'Vendredi S4'!O9+'Samedi S4'!O9</f>
        <v>18</v>
      </c>
      <c r="P9" s="10">
        <f>+'Lundi S4'!P9+'Mardi S4'!P9+'Mercredi S4'!P9+'Jeudi S4'!P9+'Vendredi S4'!P9+'Samedi S4'!P9</f>
        <v>0</v>
      </c>
      <c r="Q9" s="11">
        <f>+'Lundi S4'!Q9+'Mardi S4'!Q9+'Mercredi S4'!Q9+'Jeudi S4'!Q9+'Vendredi S4'!Q9+'Samedi S4'!Q9</f>
        <v>0</v>
      </c>
      <c r="R9" s="61">
        <f>+'Lundi S4'!R9+'Mardi S4'!R9+'Mercredi S4'!R9+'Jeudi S4'!R9+'Vendredi S4'!R9+'Samedi S4'!R9</f>
        <v>3</v>
      </c>
      <c r="S9" s="62">
        <f>+'Lundi S4'!S9+'Mardi S4'!S9+'Mercredi S4'!S9+'Jeudi S4'!S9+'Vendredi S4'!S9+'Samedi S4'!S9</f>
        <v>0.99999999999999989</v>
      </c>
      <c r="T9" s="62">
        <f>+'Lundi S4'!T9+'Mardi S4'!T9+'Mercredi S4'!T9+'Jeudi S4'!T9+'Vendredi S4'!T9+'Samedi S4'!T9</f>
        <v>0.6</v>
      </c>
      <c r="U9" s="62">
        <f>+'Lundi S4'!U9+'Mardi S4'!U9+'Mercredi S4'!U9+'Jeudi S4'!U9+'Vendredi S4'!U9+'Samedi S4'!U9</f>
        <v>3.6</v>
      </c>
      <c r="V9" s="63">
        <f>+'Lundi S4'!V9+'Mardi S4'!V9+'Mercredi S4'!V9+'Jeudi S4'!V9+'Vendredi S4'!V9+'Samedi S4'!V9</f>
        <v>0.9</v>
      </c>
      <c r="W9" s="9">
        <f>+'Lundi S4'!W9+'Mardi S4'!W9+'Mercredi S4'!W9+'Jeudi S4'!W9+'Vendredi S4'!W9+'Samedi S4'!W9</f>
        <v>0</v>
      </c>
      <c r="X9" s="10">
        <f>+'Lundi S4'!X9+'Mardi S4'!X9+'Mercredi S4'!X9+'Jeudi S4'!X9+'Vendredi S4'!X9+'Samedi S4'!X9</f>
        <v>0</v>
      </c>
      <c r="Y9" s="10">
        <f>+'Lundi S4'!Y9+'Mardi S4'!Y9+'Mercredi S4'!Y9+'Jeudi S4'!Y9+'Vendredi S4'!Y9+'Samedi S4'!Y9</f>
        <v>0</v>
      </c>
      <c r="Z9" s="10">
        <f>+'Lundi S4'!Z9+'Mardi S4'!Z9+'Mercredi S4'!Z9+'Jeudi S4'!Z9+'Vendredi S4'!Z9+'Samedi S4'!Z9</f>
        <v>0</v>
      </c>
      <c r="AA9" s="11">
        <f>+'Lundi S4'!AA9+'Mardi S4'!AA9+'Mercredi S4'!AA9+'Jeudi S4'!AA9+'Vendredi S4'!AA9+'Samedi S4'!AA9</f>
        <v>0</v>
      </c>
      <c r="AB9" s="9">
        <f>+'Lundi S4'!AB9+'Mardi S4'!AB9+'Mercredi S4'!AB9+'Jeudi S4'!AB9+'Vendredi S4'!AB9+'Samedi S4'!AB9</f>
        <v>0</v>
      </c>
      <c r="AC9" s="10">
        <f>+'Lundi S4'!AC9+'Mardi S4'!AC9+'Mercredi S4'!AC9+'Jeudi S4'!AC9+'Vendredi S4'!AC9+'Samedi S4'!AC9</f>
        <v>0</v>
      </c>
      <c r="AD9" s="10">
        <f>+'Lundi S4'!AD9+'Mardi S4'!AD9+'Mercredi S4'!AD9+'Jeudi S4'!AD9+'Vendredi S4'!AD9+'Samedi S4'!AD9</f>
        <v>0</v>
      </c>
      <c r="AE9" s="10">
        <f>+'Lundi S4'!AE9+'Mardi S4'!AE9+'Mercredi S4'!AE9+'Jeudi S4'!AE9+'Vendredi S4'!AE9+'Samedi S4'!AE9</f>
        <v>0</v>
      </c>
      <c r="AF9" s="11">
        <f>+'Lundi S4'!AF9+'Mardi S4'!AF9+'Mercredi S4'!AF9+'Jeudi S4'!AF9+'Vendredi S4'!AF9+'Samedi S4'!AF9</f>
        <v>0</v>
      </c>
      <c r="AG9" s="9">
        <f>+'Lundi S4'!AG9+'Mardi S4'!AG9+'Mercredi S4'!AG9+'Jeudi S4'!AG9+'Vendredi S4'!AG9+'Samedi S4'!AG9</f>
        <v>0</v>
      </c>
      <c r="AH9" s="10">
        <f>+'Lundi S4'!AH9+'Mardi S4'!AH9+'Mercredi S4'!AH9+'Jeudi S4'!AH9+'Vendredi S4'!AH9+'Samedi S4'!AH9</f>
        <v>0</v>
      </c>
      <c r="AI9" s="10">
        <f>+'Lundi S4'!AI9+'Mardi S4'!AI9+'Mercredi S4'!AI9+'Jeudi S4'!AI9+'Vendredi S4'!AI9+'Samedi S4'!AI9</f>
        <v>0</v>
      </c>
      <c r="AJ9" s="10">
        <f>+'Lundi S4'!AJ9+'Mardi S4'!AJ9+'Mercredi S4'!AJ9+'Jeudi S4'!AJ9+'Vendredi S4'!AJ9+'Samedi S4'!AJ9</f>
        <v>0</v>
      </c>
      <c r="AK9" s="11">
        <f>+'Lundi S4'!AK9+'Mardi S4'!AK9+'Mercredi S4'!AK9+'Jeudi S4'!AK9+'Vendredi S4'!AK9+'Samedi S4'!AK9</f>
        <v>0</v>
      </c>
      <c r="AL9" s="9">
        <f>+'Lundi S4'!AL9+'Mardi S4'!AL9+'Mercredi S4'!AL9+'Jeudi S4'!AL9+'Vendredi S4'!AL9+'Samedi S4'!AL9</f>
        <v>0</v>
      </c>
      <c r="AM9" s="10">
        <f>+'Lundi S4'!AM9+'Mardi S4'!AM9+'Mercredi S4'!AM9+'Jeudi S4'!AM9+'Vendredi S4'!AM9+'Samedi S4'!AM9</f>
        <v>0</v>
      </c>
      <c r="AN9" s="10">
        <f>+'Lundi S4'!AN9+'Mardi S4'!AN9+'Mercredi S4'!AN9+'Jeudi S4'!AN9+'Vendredi S4'!AN9+'Samedi S4'!AN9</f>
        <v>0</v>
      </c>
      <c r="AO9" s="10">
        <f>+'Lundi S4'!AO9+'Mardi S4'!AO9+'Mercredi S4'!AO9+'Jeudi S4'!AO9+'Vendredi S4'!AO9+'Samedi S4'!AO9</f>
        <v>0</v>
      </c>
      <c r="AP9" s="11">
        <f>+'Lundi S4'!AP9+'Mardi S4'!AP9+'Mercredi S4'!AP9+'Jeudi S4'!AP9+'Vendredi S4'!AP9+'Samedi S4'!AP9</f>
        <v>0</v>
      </c>
      <c r="AQ9" s="9">
        <f>+'Lundi S4'!AQ9+'Mardi S4'!AQ9+'Mercredi S4'!AQ9+'Jeudi S4'!AQ9+'Vendredi S4'!AQ9+'Samedi S4'!AQ9</f>
        <v>0</v>
      </c>
      <c r="AR9" s="10">
        <f>+'Lundi S4'!AR9+'Mardi S4'!AR9+'Mercredi S4'!AR9+'Jeudi S4'!AR9+'Vendredi S4'!AR9+'Samedi S4'!AR9</f>
        <v>0</v>
      </c>
      <c r="AS9" s="11">
        <f>+'Lundi S4'!AS9+'Mardi S4'!AS9+'Mercredi S4'!AS9+'Jeudi S4'!AS9+'Vendredi S4'!AS9+'Samedi S4'!AS9</f>
        <v>0</v>
      </c>
      <c r="AT9" s="22"/>
      <c r="AU9" s="14"/>
    </row>
    <row r="10" spans="1:47" ht="31.9" customHeight="1" x14ac:dyDescent="0.2">
      <c r="A10" s="26">
        <v>4</v>
      </c>
      <c r="B10" s="19"/>
      <c r="C10" s="9">
        <f>+'Lundi S4'!C10+'Mardi S4'!C10+'Mercredi S4'!C10+'Jeudi S4'!C10+'Vendredi S4'!C10+'Samedi S4'!C10</f>
        <v>90</v>
      </c>
      <c r="D10" s="10">
        <f>+'Lundi S4'!D10+'Mardi S4'!D10+'Mercredi S4'!D10+'Jeudi S4'!D10+'Vendredi S4'!D10+'Samedi S4'!D10</f>
        <v>18</v>
      </c>
      <c r="E10" s="10">
        <f>+'Lundi S4'!E10+'Mardi S4'!E10+'Mercredi S4'!E10+'Jeudi S4'!E10+'Vendredi S4'!E10+'Samedi S4'!E10</f>
        <v>30</v>
      </c>
      <c r="F10" s="10">
        <f>+'Lundi S4'!F10+'Mardi S4'!F10+'Mercredi S4'!F10+'Jeudi S4'!F10+'Vendredi S4'!F10+'Samedi S4'!F10</f>
        <v>12</v>
      </c>
      <c r="G10" s="11">
        <f>+'Lundi S4'!G10+'Mardi S4'!G10+'Mercredi S4'!G10+'Jeudi S4'!G10+'Vendredi S4'!G10+'Samedi S4'!G10</f>
        <v>30</v>
      </c>
      <c r="H10" s="9">
        <f>+'Lundi S4'!H10+'Mardi S4'!H10+'Mercredi S4'!H10+'Jeudi S4'!H10+'Vendredi S4'!H10+'Samedi S4'!H10</f>
        <v>18</v>
      </c>
      <c r="I10" s="10">
        <f>+'Lundi S4'!I10+'Mardi S4'!I10+'Mercredi S4'!I10+'Jeudi S4'!I10+'Vendredi S4'!I10+'Samedi S4'!I10</f>
        <v>6</v>
      </c>
      <c r="J10" s="10">
        <f>+'Lundi S4'!J10+'Mardi S4'!J10+'Mercredi S4'!J10+'Jeudi S4'!J10+'Vendredi S4'!J10+'Samedi S4'!J10</f>
        <v>6</v>
      </c>
      <c r="K10" s="10">
        <f>+'Lundi S4'!K10+'Mardi S4'!K10+'Mercredi S4'!K10+'Jeudi S4'!K10+'Vendredi S4'!K10+'Samedi S4'!K10</f>
        <v>6</v>
      </c>
      <c r="L10" s="11">
        <f>+'Lundi S4'!L10+'Mardi S4'!L10+'Mercredi S4'!L10+'Jeudi S4'!L10+'Vendredi S4'!L10+'Samedi S4'!L10</f>
        <v>6</v>
      </c>
      <c r="M10" s="9">
        <f>+'Lundi S4'!M10+'Mardi S4'!M10+'Mercredi S4'!M10+'Jeudi S4'!M10+'Vendredi S4'!M10+'Samedi S4'!M10</f>
        <v>18</v>
      </c>
      <c r="N10" s="10">
        <f>+'Lundi S4'!N10+'Mardi S4'!N10+'Mercredi S4'!N10+'Jeudi S4'!N10+'Vendredi S4'!N10+'Samedi S4'!N10</f>
        <v>6</v>
      </c>
      <c r="O10" s="10">
        <f>+'Lundi S4'!O10+'Mardi S4'!O10+'Mercredi S4'!O10+'Jeudi S4'!O10+'Vendredi S4'!O10+'Samedi S4'!O10</f>
        <v>18</v>
      </c>
      <c r="P10" s="10">
        <f>+'Lundi S4'!P10+'Mardi S4'!P10+'Mercredi S4'!P10+'Jeudi S4'!P10+'Vendredi S4'!P10+'Samedi S4'!P10</f>
        <v>0</v>
      </c>
      <c r="Q10" s="11">
        <f>+'Lundi S4'!Q10+'Mardi S4'!Q10+'Mercredi S4'!Q10+'Jeudi S4'!Q10+'Vendredi S4'!Q10+'Samedi S4'!Q10</f>
        <v>0</v>
      </c>
      <c r="R10" s="61">
        <f>+'Lundi S4'!R10+'Mardi S4'!R10+'Mercredi S4'!R10+'Jeudi S4'!R10+'Vendredi S4'!R10+'Samedi S4'!R10</f>
        <v>3</v>
      </c>
      <c r="S10" s="62">
        <f>+'Lundi S4'!S10+'Mardi S4'!S10+'Mercredi S4'!S10+'Jeudi S4'!S10+'Vendredi S4'!S10+'Samedi S4'!S10</f>
        <v>0.99999999999999989</v>
      </c>
      <c r="T10" s="62">
        <f>+'Lundi S4'!T10+'Mardi S4'!T10+'Mercredi S4'!T10+'Jeudi S4'!T10+'Vendredi S4'!T10+'Samedi S4'!T10</f>
        <v>0.6</v>
      </c>
      <c r="U10" s="62">
        <f>+'Lundi S4'!U10+'Mardi S4'!U10+'Mercredi S4'!U10+'Jeudi S4'!U10+'Vendredi S4'!U10+'Samedi S4'!U10</f>
        <v>3.6</v>
      </c>
      <c r="V10" s="63">
        <f>+'Lundi S4'!V10+'Mardi S4'!V10+'Mercredi S4'!V10+'Jeudi S4'!V10+'Vendredi S4'!V10+'Samedi S4'!V10</f>
        <v>0.9</v>
      </c>
      <c r="W10" s="9">
        <f>+'Lundi S4'!W10+'Mardi S4'!W10+'Mercredi S4'!W10+'Jeudi S4'!W10+'Vendredi S4'!W10+'Samedi S4'!W10</f>
        <v>0</v>
      </c>
      <c r="X10" s="10">
        <f>+'Lundi S4'!X10+'Mardi S4'!X10+'Mercredi S4'!X10+'Jeudi S4'!X10+'Vendredi S4'!X10+'Samedi S4'!X10</f>
        <v>0</v>
      </c>
      <c r="Y10" s="10">
        <f>+'Lundi S4'!Y10+'Mardi S4'!Y10+'Mercredi S4'!Y10+'Jeudi S4'!Y10+'Vendredi S4'!Y10+'Samedi S4'!Y10</f>
        <v>0</v>
      </c>
      <c r="Z10" s="10">
        <f>+'Lundi S4'!Z10+'Mardi S4'!Z10+'Mercredi S4'!Z10+'Jeudi S4'!Z10+'Vendredi S4'!Z10+'Samedi S4'!Z10</f>
        <v>0</v>
      </c>
      <c r="AA10" s="11">
        <f>+'Lundi S4'!AA10+'Mardi S4'!AA10+'Mercredi S4'!AA10+'Jeudi S4'!AA10+'Vendredi S4'!AA10+'Samedi S4'!AA10</f>
        <v>0</v>
      </c>
      <c r="AB10" s="9">
        <f>+'Lundi S4'!AB10+'Mardi S4'!AB10+'Mercredi S4'!AB10+'Jeudi S4'!AB10+'Vendredi S4'!AB10+'Samedi S4'!AB10</f>
        <v>0</v>
      </c>
      <c r="AC10" s="10">
        <f>+'Lundi S4'!AC10+'Mardi S4'!AC10+'Mercredi S4'!AC10+'Jeudi S4'!AC10+'Vendredi S4'!AC10+'Samedi S4'!AC10</f>
        <v>0</v>
      </c>
      <c r="AD10" s="10">
        <f>+'Lundi S4'!AD10+'Mardi S4'!AD10+'Mercredi S4'!AD10+'Jeudi S4'!AD10+'Vendredi S4'!AD10+'Samedi S4'!AD10</f>
        <v>0</v>
      </c>
      <c r="AE10" s="10">
        <f>+'Lundi S4'!AE10+'Mardi S4'!AE10+'Mercredi S4'!AE10+'Jeudi S4'!AE10+'Vendredi S4'!AE10+'Samedi S4'!AE10</f>
        <v>0</v>
      </c>
      <c r="AF10" s="11">
        <f>+'Lundi S4'!AF10+'Mardi S4'!AF10+'Mercredi S4'!AF10+'Jeudi S4'!AF10+'Vendredi S4'!AF10+'Samedi S4'!AF10</f>
        <v>0</v>
      </c>
      <c r="AG10" s="9">
        <f>+'Lundi S4'!AG10+'Mardi S4'!AG10+'Mercredi S4'!AG10+'Jeudi S4'!AG10+'Vendredi S4'!AG10+'Samedi S4'!AG10</f>
        <v>0</v>
      </c>
      <c r="AH10" s="10">
        <f>+'Lundi S4'!AH10+'Mardi S4'!AH10+'Mercredi S4'!AH10+'Jeudi S4'!AH10+'Vendredi S4'!AH10+'Samedi S4'!AH10</f>
        <v>0</v>
      </c>
      <c r="AI10" s="10">
        <f>+'Lundi S4'!AI10+'Mardi S4'!AI10+'Mercredi S4'!AI10+'Jeudi S4'!AI10+'Vendredi S4'!AI10+'Samedi S4'!AI10</f>
        <v>0</v>
      </c>
      <c r="AJ10" s="10">
        <f>+'Lundi S4'!AJ10+'Mardi S4'!AJ10+'Mercredi S4'!AJ10+'Jeudi S4'!AJ10+'Vendredi S4'!AJ10+'Samedi S4'!AJ10</f>
        <v>0</v>
      </c>
      <c r="AK10" s="11">
        <f>+'Lundi S4'!AK10+'Mardi S4'!AK10+'Mercredi S4'!AK10+'Jeudi S4'!AK10+'Vendredi S4'!AK10+'Samedi S4'!AK10</f>
        <v>0</v>
      </c>
      <c r="AL10" s="9">
        <f>+'Lundi S4'!AL10+'Mardi S4'!AL10+'Mercredi S4'!AL10+'Jeudi S4'!AL10+'Vendredi S4'!AL10+'Samedi S4'!AL10</f>
        <v>0</v>
      </c>
      <c r="AM10" s="10">
        <f>+'Lundi S4'!AM10+'Mardi S4'!AM10+'Mercredi S4'!AM10+'Jeudi S4'!AM10+'Vendredi S4'!AM10+'Samedi S4'!AM10</f>
        <v>0</v>
      </c>
      <c r="AN10" s="10">
        <f>+'Lundi S4'!AN10+'Mardi S4'!AN10+'Mercredi S4'!AN10+'Jeudi S4'!AN10+'Vendredi S4'!AN10+'Samedi S4'!AN10</f>
        <v>0</v>
      </c>
      <c r="AO10" s="10">
        <f>+'Lundi S4'!AO10+'Mardi S4'!AO10+'Mercredi S4'!AO10+'Jeudi S4'!AO10+'Vendredi S4'!AO10+'Samedi S4'!AO10</f>
        <v>0</v>
      </c>
      <c r="AP10" s="11">
        <f>+'Lundi S4'!AP10+'Mardi S4'!AP10+'Mercredi S4'!AP10+'Jeudi S4'!AP10+'Vendredi S4'!AP10+'Samedi S4'!AP10</f>
        <v>0</v>
      </c>
      <c r="AQ10" s="9">
        <f>+'Lundi S4'!AQ10+'Mardi S4'!AQ10+'Mercredi S4'!AQ10+'Jeudi S4'!AQ10+'Vendredi S4'!AQ10+'Samedi S4'!AQ10</f>
        <v>0</v>
      </c>
      <c r="AR10" s="10">
        <f>+'Lundi S4'!AR10+'Mardi S4'!AR10+'Mercredi S4'!AR10+'Jeudi S4'!AR10+'Vendredi S4'!AR10+'Samedi S4'!AR10</f>
        <v>0</v>
      </c>
      <c r="AS10" s="11">
        <f>+'Lundi S4'!AS10+'Mardi S4'!AS10+'Mercredi S4'!AS10+'Jeudi S4'!AS10+'Vendredi S4'!AS10+'Samedi S4'!AS10</f>
        <v>0</v>
      </c>
      <c r="AT10" s="22"/>
      <c r="AU10" s="14"/>
    </row>
    <row r="11" spans="1:47" ht="31.9" customHeight="1" x14ac:dyDescent="0.2">
      <c r="A11" s="26">
        <v>5</v>
      </c>
      <c r="B11" s="19"/>
      <c r="C11" s="9">
        <f>+'Lundi S4'!C11+'Mardi S4'!C11+'Mercredi S4'!C11+'Jeudi S4'!C11+'Vendredi S4'!C11+'Samedi S4'!C11</f>
        <v>90</v>
      </c>
      <c r="D11" s="10">
        <f>+'Lundi S4'!D11+'Mardi S4'!D11+'Mercredi S4'!D11+'Jeudi S4'!D11+'Vendredi S4'!D11+'Samedi S4'!D11</f>
        <v>18</v>
      </c>
      <c r="E11" s="10">
        <f>+'Lundi S4'!E11+'Mardi S4'!E11+'Mercredi S4'!E11+'Jeudi S4'!E11+'Vendredi S4'!E11+'Samedi S4'!E11</f>
        <v>30</v>
      </c>
      <c r="F11" s="10">
        <f>+'Lundi S4'!F11+'Mardi S4'!F11+'Mercredi S4'!F11+'Jeudi S4'!F11+'Vendredi S4'!F11+'Samedi S4'!F11</f>
        <v>12</v>
      </c>
      <c r="G11" s="11">
        <f>+'Lundi S4'!G11+'Mardi S4'!G11+'Mercredi S4'!G11+'Jeudi S4'!G11+'Vendredi S4'!G11+'Samedi S4'!G11</f>
        <v>30</v>
      </c>
      <c r="H11" s="9">
        <f>+'Lundi S4'!H11+'Mardi S4'!H11+'Mercredi S4'!H11+'Jeudi S4'!H11+'Vendredi S4'!H11+'Samedi S4'!H11</f>
        <v>18</v>
      </c>
      <c r="I11" s="10">
        <f>+'Lundi S4'!I11+'Mardi S4'!I11+'Mercredi S4'!I11+'Jeudi S4'!I11+'Vendredi S4'!I11+'Samedi S4'!I11</f>
        <v>6</v>
      </c>
      <c r="J11" s="10">
        <f>+'Lundi S4'!J11+'Mardi S4'!J11+'Mercredi S4'!J11+'Jeudi S4'!J11+'Vendredi S4'!J11+'Samedi S4'!J11</f>
        <v>6</v>
      </c>
      <c r="K11" s="10">
        <f>+'Lundi S4'!K11+'Mardi S4'!K11+'Mercredi S4'!K11+'Jeudi S4'!K11+'Vendredi S4'!K11+'Samedi S4'!K11</f>
        <v>6</v>
      </c>
      <c r="L11" s="11">
        <f>+'Lundi S4'!L11+'Mardi S4'!L11+'Mercredi S4'!L11+'Jeudi S4'!L11+'Vendredi S4'!L11+'Samedi S4'!L11</f>
        <v>6</v>
      </c>
      <c r="M11" s="9">
        <f>+'Lundi S4'!M11+'Mardi S4'!M11+'Mercredi S4'!M11+'Jeudi S4'!M11+'Vendredi S4'!M11+'Samedi S4'!M11</f>
        <v>18</v>
      </c>
      <c r="N11" s="10">
        <f>+'Lundi S4'!N11+'Mardi S4'!N11+'Mercredi S4'!N11+'Jeudi S4'!N11+'Vendredi S4'!N11+'Samedi S4'!N11</f>
        <v>6</v>
      </c>
      <c r="O11" s="10">
        <f>+'Lundi S4'!O11+'Mardi S4'!O11+'Mercredi S4'!O11+'Jeudi S4'!O11+'Vendredi S4'!O11+'Samedi S4'!O11</f>
        <v>18</v>
      </c>
      <c r="P11" s="10">
        <f>+'Lundi S4'!P11+'Mardi S4'!P11+'Mercredi S4'!P11+'Jeudi S4'!P11+'Vendredi S4'!P11+'Samedi S4'!P11</f>
        <v>0</v>
      </c>
      <c r="Q11" s="11">
        <f>+'Lundi S4'!Q11+'Mardi S4'!Q11+'Mercredi S4'!Q11+'Jeudi S4'!Q11+'Vendredi S4'!Q11+'Samedi S4'!Q11</f>
        <v>0</v>
      </c>
      <c r="R11" s="61">
        <f>+'Lundi S4'!R11+'Mardi S4'!R11+'Mercredi S4'!R11+'Jeudi S4'!R11+'Vendredi S4'!R11+'Samedi S4'!R11</f>
        <v>3</v>
      </c>
      <c r="S11" s="62">
        <f>+'Lundi S4'!S11+'Mardi S4'!S11+'Mercredi S4'!S11+'Jeudi S4'!S11+'Vendredi S4'!S11+'Samedi S4'!S11</f>
        <v>0.99999999999999989</v>
      </c>
      <c r="T11" s="62">
        <f>+'Lundi S4'!T11+'Mardi S4'!T11+'Mercredi S4'!T11+'Jeudi S4'!T11+'Vendredi S4'!T11+'Samedi S4'!T11</f>
        <v>0.6</v>
      </c>
      <c r="U11" s="62">
        <f>+'Lundi S4'!U11+'Mardi S4'!U11+'Mercredi S4'!U11+'Jeudi S4'!U11+'Vendredi S4'!U11+'Samedi S4'!U11</f>
        <v>3.6</v>
      </c>
      <c r="V11" s="63">
        <f>+'Lundi S4'!V11+'Mardi S4'!V11+'Mercredi S4'!V11+'Jeudi S4'!V11+'Vendredi S4'!V11+'Samedi S4'!V11</f>
        <v>0.9</v>
      </c>
      <c r="W11" s="9">
        <f>+'Lundi S4'!W11+'Mardi S4'!W11+'Mercredi S4'!W11+'Jeudi S4'!W11+'Vendredi S4'!W11+'Samedi S4'!W11</f>
        <v>0</v>
      </c>
      <c r="X11" s="10">
        <f>+'Lundi S4'!X11+'Mardi S4'!X11+'Mercredi S4'!X11+'Jeudi S4'!X11+'Vendredi S4'!X11+'Samedi S4'!X11</f>
        <v>0</v>
      </c>
      <c r="Y11" s="10">
        <f>+'Lundi S4'!Y11+'Mardi S4'!Y11+'Mercredi S4'!Y11+'Jeudi S4'!Y11+'Vendredi S4'!Y11+'Samedi S4'!Y11</f>
        <v>0</v>
      </c>
      <c r="Z11" s="10">
        <f>+'Lundi S4'!Z11+'Mardi S4'!Z11+'Mercredi S4'!Z11+'Jeudi S4'!Z11+'Vendredi S4'!Z11+'Samedi S4'!Z11</f>
        <v>0</v>
      </c>
      <c r="AA11" s="11">
        <f>+'Lundi S4'!AA11+'Mardi S4'!AA11+'Mercredi S4'!AA11+'Jeudi S4'!AA11+'Vendredi S4'!AA11+'Samedi S4'!AA11</f>
        <v>0</v>
      </c>
      <c r="AB11" s="9">
        <f>+'Lundi S4'!AB11+'Mardi S4'!AB11+'Mercredi S4'!AB11+'Jeudi S4'!AB11+'Vendredi S4'!AB11+'Samedi S4'!AB11</f>
        <v>0</v>
      </c>
      <c r="AC11" s="10">
        <f>+'Lundi S4'!AC11+'Mardi S4'!AC11+'Mercredi S4'!AC11+'Jeudi S4'!AC11+'Vendredi S4'!AC11+'Samedi S4'!AC11</f>
        <v>0</v>
      </c>
      <c r="AD11" s="10">
        <f>+'Lundi S4'!AD11+'Mardi S4'!AD11+'Mercredi S4'!AD11+'Jeudi S4'!AD11+'Vendredi S4'!AD11+'Samedi S4'!AD11</f>
        <v>0</v>
      </c>
      <c r="AE11" s="10">
        <f>+'Lundi S4'!AE11+'Mardi S4'!AE11+'Mercredi S4'!AE11+'Jeudi S4'!AE11+'Vendredi S4'!AE11+'Samedi S4'!AE11</f>
        <v>0</v>
      </c>
      <c r="AF11" s="11">
        <f>+'Lundi S4'!AF11+'Mardi S4'!AF11+'Mercredi S4'!AF11+'Jeudi S4'!AF11+'Vendredi S4'!AF11+'Samedi S4'!AF11</f>
        <v>0</v>
      </c>
      <c r="AG11" s="9">
        <f>+'Lundi S4'!AG11+'Mardi S4'!AG11+'Mercredi S4'!AG11+'Jeudi S4'!AG11+'Vendredi S4'!AG11+'Samedi S4'!AG11</f>
        <v>0</v>
      </c>
      <c r="AH11" s="10">
        <f>+'Lundi S4'!AH11+'Mardi S4'!AH11+'Mercredi S4'!AH11+'Jeudi S4'!AH11+'Vendredi S4'!AH11+'Samedi S4'!AH11</f>
        <v>0</v>
      </c>
      <c r="AI11" s="10">
        <f>+'Lundi S4'!AI11+'Mardi S4'!AI11+'Mercredi S4'!AI11+'Jeudi S4'!AI11+'Vendredi S4'!AI11+'Samedi S4'!AI11</f>
        <v>0</v>
      </c>
      <c r="AJ11" s="10">
        <f>+'Lundi S4'!AJ11+'Mardi S4'!AJ11+'Mercredi S4'!AJ11+'Jeudi S4'!AJ11+'Vendredi S4'!AJ11+'Samedi S4'!AJ11</f>
        <v>0</v>
      </c>
      <c r="AK11" s="11">
        <f>+'Lundi S4'!AK11+'Mardi S4'!AK11+'Mercredi S4'!AK11+'Jeudi S4'!AK11+'Vendredi S4'!AK11+'Samedi S4'!AK11</f>
        <v>0</v>
      </c>
      <c r="AL11" s="9">
        <f>+'Lundi S4'!AL11+'Mardi S4'!AL11+'Mercredi S4'!AL11+'Jeudi S4'!AL11+'Vendredi S4'!AL11+'Samedi S4'!AL11</f>
        <v>0</v>
      </c>
      <c r="AM11" s="10">
        <f>+'Lundi S4'!AM11+'Mardi S4'!AM11+'Mercredi S4'!AM11+'Jeudi S4'!AM11+'Vendredi S4'!AM11+'Samedi S4'!AM11</f>
        <v>0</v>
      </c>
      <c r="AN11" s="10">
        <f>+'Lundi S4'!AN11+'Mardi S4'!AN11+'Mercredi S4'!AN11+'Jeudi S4'!AN11+'Vendredi S4'!AN11+'Samedi S4'!AN11</f>
        <v>0</v>
      </c>
      <c r="AO11" s="10">
        <f>+'Lundi S4'!AO11+'Mardi S4'!AO11+'Mercredi S4'!AO11+'Jeudi S4'!AO11+'Vendredi S4'!AO11+'Samedi S4'!AO11</f>
        <v>0</v>
      </c>
      <c r="AP11" s="11">
        <f>+'Lundi S4'!AP11+'Mardi S4'!AP11+'Mercredi S4'!AP11+'Jeudi S4'!AP11+'Vendredi S4'!AP11+'Samedi S4'!AP11</f>
        <v>0</v>
      </c>
      <c r="AQ11" s="9">
        <f>+'Lundi S4'!AQ11+'Mardi S4'!AQ11+'Mercredi S4'!AQ11+'Jeudi S4'!AQ11+'Vendredi S4'!AQ11+'Samedi S4'!AQ11</f>
        <v>0</v>
      </c>
      <c r="AR11" s="10">
        <f>+'Lundi S4'!AR11+'Mardi S4'!AR11+'Mercredi S4'!AR11+'Jeudi S4'!AR11+'Vendredi S4'!AR11+'Samedi S4'!AR11</f>
        <v>0</v>
      </c>
      <c r="AS11" s="11">
        <f>+'Lundi S4'!AS11+'Mardi S4'!AS11+'Mercredi S4'!AS11+'Jeudi S4'!AS11+'Vendredi S4'!AS11+'Samedi S4'!AS11</f>
        <v>0</v>
      </c>
      <c r="AT11" s="22"/>
      <c r="AU11" s="14"/>
    </row>
    <row r="12" spans="1:47" ht="31.9" customHeight="1" x14ac:dyDescent="0.2">
      <c r="A12" s="26">
        <v>6</v>
      </c>
      <c r="B12" s="19"/>
      <c r="C12" s="9">
        <f>+'Lundi S4'!C12+'Mardi S4'!C12+'Mercredi S4'!C12+'Jeudi S4'!C12+'Vendredi S4'!C12+'Samedi S4'!C12</f>
        <v>90</v>
      </c>
      <c r="D12" s="10">
        <f>+'Lundi S4'!D12+'Mardi S4'!D12+'Mercredi S4'!D12+'Jeudi S4'!D12+'Vendredi S4'!D12+'Samedi S4'!D12</f>
        <v>18</v>
      </c>
      <c r="E12" s="10">
        <f>+'Lundi S4'!E12+'Mardi S4'!E12+'Mercredi S4'!E12+'Jeudi S4'!E12+'Vendredi S4'!E12+'Samedi S4'!E12</f>
        <v>30</v>
      </c>
      <c r="F12" s="10">
        <f>+'Lundi S4'!F12+'Mardi S4'!F12+'Mercredi S4'!F12+'Jeudi S4'!F12+'Vendredi S4'!F12+'Samedi S4'!F12</f>
        <v>12</v>
      </c>
      <c r="G12" s="11">
        <f>+'Lundi S4'!G12+'Mardi S4'!G12+'Mercredi S4'!G12+'Jeudi S4'!G12+'Vendredi S4'!G12+'Samedi S4'!G12</f>
        <v>30</v>
      </c>
      <c r="H12" s="9">
        <f>+'Lundi S4'!H12+'Mardi S4'!H12+'Mercredi S4'!H12+'Jeudi S4'!H12+'Vendredi S4'!H12+'Samedi S4'!H12</f>
        <v>18</v>
      </c>
      <c r="I12" s="10">
        <f>+'Lundi S4'!I12+'Mardi S4'!I12+'Mercredi S4'!I12+'Jeudi S4'!I12+'Vendredi S4'!I12+'Samedi S4'!I12</f>
        <v>6</v>
      </c>
      <c r="J12" s="10">
        <f>+'Lundi S4'!J12+'Mardi S4'!J12+'Mercredi S4'!J12+'Jeudi S4'!J12+'Vendredi S4'!J12+'Samedi S4'!J12</f>
        <v>6</v>
      </c>
      <c r="K12" s="10">
        <f>+'Lundi S4'!K12+'Mardi S4'!K12+'Mercredi S4'!K12+'Jeudi S4'!K12+'Vendredi S4'!K12+'Samedi S4'!K12</f>
        <v>6</v>
      </c>
      <c r="L12" s="11">
        <f>+'Lundi S4'!L12+'Mardi S4'!L12+'Mercredi S4'!L12+'Jeudi S4'!L12+'Vendredi S4'!L12+'Samedi S4'!L12</f>
        <v>6</v>
      </c>
      <c r="M12" s="9">
        <f>+'Lundi S4'!M12+'Mardi S4'!M12+'Mercredi S4'!M12+'Jeudi S4'!M12+'Vendredi S4'!M12+'Samedi S4'!M12</f>
        <v>18</v>
      </c>
      <c r="N12" s="10">
        <f>+'Lundi S4'!N12+'Mardi S4'!N12+'Mercredi S4'!N12+'Jeudi S4'!N12+'Vendredi S4'!N12+'Samedi S4'!N12</f>
        <v>6</v>
      </c>
      <c r="O12" s="10">
        <f>+'Lundi S4'!O12+'Mardi S4'!O12+'Mercredi S4'!O12+'Jeudi S4'!O12+'Vendredi S4'!O12+'Samedi S4'!O12</f>
        <v>18</v>
      </c>
      <c r="P12" s="10">
        <f>+'Lundi S4'!P12+'Mardi S4'!P12+'Mercredi S4'!P12+'Jeudi S4'!P12+'Vendredi S4'!P12+'Samedi S4'!P12</f>
        <v>0</v>
      </c>
      <c r="Q12" s="11">
        <f>+'Lundi S4'!Q12+'Mardi S4'!Q12+'Mercredi S4'!Q12+'Jeudi S4'!Q12+'Vendredi S4'!Q12+'Samedi S4'!Q12</f>
        <v>0</v>
      </c>
      <c r="R12" s="61">
        <f>+'Lundi S4'!R12+'Mardi S4'!R12+'Mercredi S4'!R12+'Jeudi S4'!R12+'Vendredi S4'!R12+'Samedi S4'!R12</f>
        <v>3</v>
      </c>
      <c r="S12" s="62">
        <f>+'Lundi S4'!S12+'Mardi S4'!S12+'Mercredi S4'!S12+'Jeudi S4'!S12+'Vendredi S4'!S12+'Samedi S4'!S12</f>
        <v>0.99999999999999989</v>
      </c>
      <c r="T12" s="62">
        <f>+'Lundi S4'!T12+'Mardi S4'!T12+'Mercredi S4'!T12+'Jeudi S4'!T12+'Vendredi S4'!T12+'Samedi S4'!T12</f>
        <v>0.6</v>
      </c>
      <c r="U12" s="62">
        <f>+'Lundi S4'!U12+'Mardi S4'!U12+'Mercredi S4'!U12+'Jeudi S4'!U12+'Vendredi S4'!U12+'Samedi S4'!U12</f>
        <v>3.6</v>
      </c>
      <c r="V12" s="63">
        <f>+'Lundi S4'!V12+'Mardi S4'!V12+'Mercredi S4'!V12+'Jeudi S4'!V12+'Vendredi S4'!V12+'Samedi S4'!V12</f>
        <v>0.9</v>
      </c>
      <c r="W12" s="9">
        <f>+'Lundi S4'!W12+'Mardi S4'!W12+'Mercredi S4'!W12+'Jeudi S4'!W12+'Vendredi S4'!W12+'Samedi S4'!W12</f>
        <v>0</v>
      </c>
      <c r="X12" s="10">
        <f>+'Lundi S4'!X12+'Mardi S4'!X12+'Mercredi S4'!X12+'Jeudi S4'!X12+'Vendredi S4'!X12+'Samedi S4'!X12</f>
        <v>0</v>
      </c>
      <c r="Y12" s="10">
        <f>+'Lundi S4'!Y12+'Mardi S4'!Y12+'Mercredi S4'!Y12+'Jeudi S4'!Y12+'Vendredi S4'!Y12+'Samedi S4'!Y12</f>
        <v>0</v>
      </c>
      <c r="Z12" s="10">
        <f>+'Lundi S4'!Z12+'Mardi S4'!Z12+'Mercredi S4'!Z12+'Jeudi S4'!Z12+'Vendredi S4'!Z12+'Samedi S4'!Z12</f>
        <v>0</v>
      </c>
      <c r="AA12" s="11">
        <f>+'Lundi S4'!AA12+'Mardi S4'!AA12+'Mercredi S4'!AA12+'Jeudi S4'!AA12+'Vendredi S4'!AA12+'Samedi S4'!AA12</f>
        <v>0</v>
      </c>
      <c r="AB12" s="9">
        <f>+'Lundi S4'!AB12+'Mardi S4'!AB12+'Mercredi S4'!AB12+'Jeudi S4'!AB12+'Vendredi S4'!AB12+'Samedi S4'!AB12</f>
        <v>0</v>
      </c>
      <c r="AC12" s="10">
        <f>+'Lundi S4'!AC12+'Mardi S4'!AC12+'Mercredi S4'!AC12+'Jeudi S4'!AC12+'Vendredi S4'!AC12+'Samedi S4'!AC12</f>
        <v>0</v>
      </c>
      <c r="AD12" s="10">
        <f>+'Lundi S4'!AD12+'Mardi S4'!AD12+'Mercredi S4'!AD12+'Jeudi S4'!AD12+'Vendredi S4'!AD12+'Samedi S4'!AD12</f>
        <v>0</v>
      </c>
      <c r="AE12" s="10">
        <f>+'Lundi S4'!AE12+'Mardi S4'!AE12+'Mercredi S4'!AE12+'Jeudi S4'!AE12+'Vendredi S4'!AE12+'Samedi S4'!AE12</f>
        <v>0</v>
      </c>
      <c r="AF12" s="11">
        <f>+'Lundi S4'!AF12+'Mardi S4'!AF12+'Mercredi S4'!AF12+'Jeudi S4'!AF12+'Vendredi S4'!AF12+'Samedi S4'!AF12</f>
        <v>0</v>
      </c>
      <c r="AG12" s="9">
        <f>+'Lundi S4'!AG12+'Mardi S4'!AG12+'Mercredi S4'!AG12+'Jeudi S4'!AG12+'Vendredi S4'!AG12+'Samedi S4'!AG12</f>
        <v>0</v>
      </c>
      <c r="AH12" s="10">
        <f>+'Lundi S4'!AH12+'Mardi S4'!AH12+'Mercredi S4'!AH12+'Jeudi S4'!AH12+'Vendredi S4'!AH12+'Samedi S4'!AH12</f>
        <v>0</v>
      </c>
      <c r="AI12" s="10">
        <f>+'Lundi S4'!AI12+'Mardi S4'!AI12+'Mercredi S4'!AI12+'Jeudi S4'!AI12+'Vendredi S4'!AI12+'Samedi S4'!AI12</f>
        <v>0</v>
      </c>
      <c r="AJ12" s="10">
        <f>+'Lundi S4'!AJ12+'Mardi S4'!AJ12+'Mercredi S4'!AJ12+'Jeudi S4'!AJ12+'Vendredi S4'!AJ12+'Samedi S4'!AJ12</f>
        <v>0</v>
      </c>
      <c r="AK12" s="11">
        <f>+'Lundi S4'!AK12+'Mardi S4'!AK12+'Mercredi S4'!AK12+'Jeudi S4'!AK12+'Vendredi S4'!AK12+'Samedi S4'!AK12</f>
        <v>0</v>
      </c>
      <c r="AL12" s="9">
        <f>+'Lundi S4'!AL12+'Mardi S4'!AL12+'Mercredi S4'!AL12+'Jeudi S4'!AL12+'Vendredi S4'!AL12+'Samedi S4'!AL12</f>
        <v>0</v>
      </c>
      <c r="AM12" s="10">
        <f>+'Lundi S4'!AM12+'Mardi S4'!AM12+'Mercredi S4'!AM12+'Jeudi S4'!AM12+'Vendredi S4'!AM12+'Samedi S4'!AM12</f>
        <v>0</v>
      </c>
      <c r="AN12" s="10">
        <f>+'Lundi S4'!AN12+'Mardi S4'!AN12+'Mercredi S4'!AN12+'Jeudi S4'!AN12+'Vendredi S4'!AN12+'Samedi S4'!AN12</f>
        <v>0</v>
      </c>
      <c r="AO12" s="10">
        <f>+'Lundi S4'!AO12+'Mardi S4'!AO12+'Mercredi S4'!AO12+'Jeudi S4'!AO12+'Vendredi S4'!AO12+'Samedi S4'!AO12</f>
        <v>0</v>
      </c>
      <c r="AP12" s="11">
        <f>+'Lundi S4'!AP12+'Mardi S4'!AP12+'Mercredi S4'!AP12+'Jeudi S4'!AP12+'Vendredi S4'!AP12+'Samedi S4'!AP12</f>
        <v>0</v>
      </c>
      <c r="AQ12" s="9">
        <f>+'Lundi S4'!AQ12+'Mardi S4'!AQ12+'Mercredi S4'!AQ12+'Jeudi S4'!AQ12+'Vendredi S4'!AQ12+'Samedi S4'!AQ12</f>
        <v>0</v>
      </c>
      <c r="AR12" s="10">
        <f>+'Lundi S4'!AR12+'Mardi S4'!AR12+'Mercredi S4'!AR12+'Jeudi S4'!AR12+'Vendredi S4'!AR12+'Samedi S4'!AR12</f>
        <v>0</v>
      </c>
      <c r="AS12" s="11">
        <f>+'Lundi S4'!AS12+'Mardi S4'!AS12+'Mercredi S4'!AS12+'Jeudi S4'!AS12+'Vendredi S4'!AS12+'Samedi S4'!AS12</f>
        <v>0</v>
      </c>
      <c r="AT12" s="22"/>
      <c r="AU12" s="14"/>
    </row>
    <row r="13" spans="1:47" ht="31.9" customHeight="1" x14ac:dyDescent="0.2">
      <c r="A13" s="26">
        <v>7</v>
      </c>
      <c r="B13" s="19"/>
      <c r="C13" s="9">
        <f>+'Lundi S4'!C13+'Mardi S4'!C13+'Mercredi S4'!C13+'Jeudi S4'!C13+'Vendredi S4'!C13+'Samedi S4'!C13</f>
        <v>90</v>
      </c>
      <c r="D13" s="10">
        <f>+'Lundi S4'!D13+'Mardi S4'!D13+'Mercredi S4'!D13+'Jeudi S4'!D13+'Vendredi S4'!D13+'Samedi S4'!D13</f>
        <v>18</v>
      </c>
      <c r="E13" s="10">
        <f>+'Lundi S4'!E13+'Mardi S4'!E13+'Mercredi S4'!E13+'Jeudi S4'!E13+'Vendredi S4'!E13+'Samedi S4'!E13</f>
        <v>30</v>
      </c>
      <c r="F13" s="10">
        <f>+'Lundi S4'!F13+'Mardi S4'!F13+'Mercredi S4'!F13+'Jeudi S4'!F13+'Vendredi S4'!F13+'Samedi S4'!F13</f>
        <v>12</v>
      </c>
      <c r="G13" s="11">
        <f>+'Lundi S4'!G13+'Mardi S4'!G13+'Mercredi S4'!G13+'Jeudi S4'!G13+'Vendredi S4'!G13+'Samedi S4'!G13</f>
        <v>30</v>
      </c>
      <c r="H13" s="9">
        <f>+'Lundi S4'!H13+'Mardi S4'!H13+'Mercredi S4'!H13+'Jeudi S4'!H13+'Vendredi S4'!H13+'Samedi S4'!H13</f>
        <v>18</v>
      </c>
      <c r="I13" s="10">
        <f>+'Lundi S4'!I13+'Mardi S4'!I13+'Mercredi S4'!I13+'Jeudi S4'!I13+'Vendredi S4'!I13+'Samedi S4'!I13</f>
        <v>6</v>
      </c>
      <c r="J13" s="10">
        <f>+'Lundi S4'!J13+'Mardi S4'!J13+'Mercredi S4'!J13+'Jeudi S4'!J13+'Vendredi S4'!J13+'Samedi S4'!J13</f>
        <v>6</v>
      </c>
      <c r="K13" s="10">
        <f>+'Lundi S4'!K13+'Mardi S4'!K13+'Mercredi S4'!K13+'Jeudi S4'!K13+'Vendredi S4'!K13+'Samedi S4'!K13</f>
        <v>6</v>
      </c>
      <c r="L13" s="11">
        <f>+'Lundi S4'!L13+'Mardi S4'!L13+'Mercredi S4'!L13+'Jeudi S4'!L13+'Vendredi S4'!L13+'Samedi S4'!L13</f>
        <v>6</v>
      </c>
      <c r="M13" s="9">
        <f>+'Lundi S4'!M13+'Mardi S4'!M13+'Mercredi S4'!M13+'Jeudi S4'!M13+'Vendredi S4'!M13+'Samedi S4'!M13</f>
        <v>18</v>
      </c>
      <c r="N13" s="10">
        <f>+'Lundi S4'!N13+'Mardi S4'!N13+'Mercredi S4'!N13+'Jeudi S4'!N13+'Vendredi S4'!N13+'Samedi S4'!N13</f>
        <v>6</v>
      </c>
      <c r="O13" s="10">
        <f>+'Lundi S4'!O13+'Mardi S4'!O13+'Mercredi S4'!O13+'Jeudi S4'!O13+'Vendredi S4'!O13+'Samedi S4'!O13</f>
        <v>18</v>
      </c>
      <c r="P13" s="10">
        <f>+'Lundi S4'!P13+'Mardi S4'!P13+'Mercredi S4'!P13+'Jeudi S4'!P13+'Vendredi S4'!P13+'Samedi S4'!P13</f>
        <v>0</v>
      </c>
      <c r="Q13" s="11">
        <f>+'Lundi S4'!Q13+'Mardi S4'!Q13+'Mercredi S4'!Q13+'Jeudi S4'!Q13+'Vendredi S4'!Q13+'Samedi S4'!Q13</f>
        <v>0</v>
      </c>
      <c r="R13" s="61">
        <f>+'Lundi S4'!R13+'Mardi S4'!R13+'Mercredi S4'!R13+'Jeudi S4'!R13+'Vendredi S4'!R13+'Samedi S4'!R13</f>
        <v>3</v>
      </c>
      <c r="S13" s="62">
        <f>+'Lundi S4'!S13+'Mardi S4'!S13+'Mercredi S4'!S13+'Jeudi S4'!S13+'Vendredi S4'!S13+'Samedi S4'!S13</f>
        <v>0.99999999999999989</v>
      </c>
      <c r="T13" s="62">
        <f>+'Lundi S4'!T13+'Mardi S4'!T13+'Mercredi S4'!T13+'Jeudi S4'!T13+'Vendredi S4'!T13+'Samedi S4'!T13</f>
        <v>0.6</v>
      </c>
      <c r="U13" s="62">
        <f>+'Lundi S4'!U13+'Mardi S4'!U13+'Mercredi S4'!U13+'Jeudi S4'!U13+'Vendredi S4'!U13+'Samedi S4'!U13</f>
        <v>3.6</v>
      </c>
      <c r="V13" s="63">
        <f>+'Lundi S4'!V13+'Mardi S4'!V13+'Mercredi S4'!V13+'Jeudi S4'!V13+'Vendredi S4'!V13+'Samedi S4'!V13</f>
        <v>0.9</v>
      </c>
      <c r="W13" s="9">
        <f>+'Lundi S4'!W13+'Mardi S4'!W13+'Mercredi S4'!W13+'Jeudi S4'!W13+'Vendredi S4'!W13+'Samedi S4'!W13</f>
        <v>0</v>
      </c>
      <c r="X13" s="10">
        <f>+'Lundi S4'!X13+'Mardi S4'!X13+'Mercredi S4'!X13+'Jeudi S4'!X13+'Vendredi S4'!X13+'Samedi S4'!X13</f>
        <v>0</v>
      </c>
      <c r="Y13" s="10">
        <f>+'Lundi S4'!Y13+'Mardi S4'!Y13+'Mercredi S4'!Y13+'Jeudi S4'!Y13+'Vendredi S4'!Y13+'Samedi S4'!Y13</f>
        <v>0</v>
      </c>
      <c r="Z13" s="10">
        <f>+'Lundi S4'!Z13+'Mardi S4'!Z13+'Mercredi S4'!Z13+'Jeudi S4'!Z13+'Vendredi S4'!Z13+'Samedi S4'!Z13</f>
        <v>0</v>
      </c>
      <c r="AA13" s="11">
        <f>+'Lundi S4'!AA13+'Mardi S4'!AA13+'Mercredi S4'!AA13+'Jeudi S4'!AA13+'Vendredi S4'!AA13+'Samedi S4'!AA13</f>
        <v>0</v>
      </c>
      <c r="AB13" s="9">
        <f>+'Lundi S4'!AB13+'Mardi S4'!AB13+'Mercredi S4'!AB13+'Jeudi S4'!AB13+'Vendredi S4'!AB13+'Samedi S4'!AB13</f>
        <v>0</v>
      </c>
      <c r="AC13" s="10">
        <f>+'Lundi S4'!AC13+'Mardi S4'!AC13+'Mercredi S4'!AC13+'Jeudi S4'!AC13+'Vendredi S4'!AC13+'Samedi S4'!AC13</f>
        <v>0</v>
      </c>
      <c r="AD13" s="10">
        <f>+'Lundi S4'!AD13+'Mardi S4'!AD13+'Mercredi S4'!AD13+'Jeudi S4'!AD13+'Vendredi S4'!AD13+'Samedi S4'!AD13</f>
        <v>0</v>
      </c>
      <c r="AE13" s="10">
        <f>+'Lundi S4'!AE13+'Mardi S4'!AE13+'Mercredi S4'!AE13+'Jeudi S4'!AE13+'Vendredi S4'!AE13+'Samedi S4'!AE13</f>
        <v>0</v>
      </c>
      <c r="AF13" s="11">
        <f>+'Lundi S4'!AF13+'Mardi S4'!AF13+'Mercredi S4'!AF13+'Jeudi S4'!AF13+'Vendredi S4'!AF13+'Samedi S4'!AF13</f>
        <v>0</v>
      </c>
      <c r="AG13" s="9">
        <f>+'Lundi S4'!AG13+'Mardi S4'!AG13+'Mercredi S4'!AG13+'Jeudi S4'!AG13+'Vendredi S4'!AG13+'Samedi S4'!AG13</f>
        <v>0</v>
      </c>
      <c r="AH13" s="10">
        <f>+'Lundi S4'!AH13+'Mardi S4'!AH13+'Mercredi S4'!AH13+'Jeudi S4'!AH13+'Vendredi S4'!AH13+'Samedi S4'!AH13</f>
        <v>0</v>
      </c>
      <c r="AI13" s="10">
        <f>+'Lundi S4'!AI13+'Mardi S4'!AI13+'Mercredi S4'!AI13+'Jeudi S4'!AI13+'Vendredi S4'!AI13+'Samedi S4'!AI13</f>
        <v>0</v>
      </c>
      <c r="AJ13" s="10">
        <f>+'Lundi S4'!AJ13+'Mardi S4'!AJ13+'Mercredi S4'!AJ13+'Jeudi S4'!AJ13+'Vendredi S4'!AJ13+'Samedi S4'!AJ13</f>
        <v>0</v>
      </c>
      <c r="AK13" s="11">
        <f>+'Lundi S4'!AK13+'Mardi S4'!AK13+'Mercredi S4'!AK13+'Jeudi S4'!AK13+'Vendredi S4'!AK13+'Samedi S4'!AK13</f>
        <v>0</v>
      </c>
      <c r="AL13" s="9">
        <f>+'Lundi S4'!AL13+'Mardi S4'!AL13+'Mercredi S4'!AL13+'Jeudi S4'!AL13+'Vendredi S4'!AL13+'Samedi S4'!AL13</f>
        <v>0</v>
      </c>
      <c r="AM13" s="10">
        <f>+'Lundi S4'!AM13+'Mardi S4'!AM13+'Mercredi S4'!AM13+'Jeudi S4'!AM13+'Vendredi S4'!AM13+'Samedi S4'!AM13</f>
        <v>0</v>
      </c>
      <c r="AN13" s="10">
        <f>+'Lundi S4'!AN13+'Mardi S4'!AN13+'Mercredi S4'!AN13+'Jeudi S4'!AN13+'Vendredi S4'!AN13+'Samedi S4'!AN13</f>
        <v>0</v>
      </c>
      <c r="AO13" s="10">
        <f>+'Lundi S4'!AO13+'Mardi S4'!AO13+'Mercredi S4'!AO13+'Jeudi S4'!AO13+'Vendredi S4'!AO13+'Samedi S4'!AO13</f>
        <v>0</v>
      </c>
      <c r="AP13" s="11">
        <f>+'Lundi S4'!AP13+'Mardi S4'!AP13+'Mercredi S4'!AP13+'Jeudi S4'!AP13+'Vendredi S4'!AP13+'Samedi S4'!AP13</f>
        <v>0</v>
      </c>
      <c r="AQ13" s="9">
        <f>+'Lundi S4'!AQ13+'Mardi S4'!AQ13+'Mercredi S4'!AQ13+'Jeudi S4'!AQ13+'Vendredi S4'!AQ13+'Samedi S4'!AQ13</f>
        <v>0</v>
      </c>
      <c r="AR13" s="10">
        <f>+'Lundi S4'!AR13+'Mardi S4'!AR13+'Mercredi S4'!AR13+'Jeudi S4'!AR13+'Vendredi S4'!AR13+'Samedi S4'!AR13</f>
        <v>0</v>
      </c>
      <c r="AS13" s="11">
        <f>+'Lundi S4'!AS13+'Mardi S4'!AS13+'Mercredi S4'!AS13+'Jeudi S4'!AS13+'Vendredi S4'!AS13+'Samedi S4'!AS13</f>
        <v>0</v>
      </c>
      <c r="AT13" s="22"/>
      <c r="AU13" s="14"/>
    </row>
    <row r="14" spans="1:47" ht="31.9" customHeight="1" x14ac:dyDescent="0.2">
      <c r="A14" s="26">
        <v>8</v>
      </c>
      <c r="B14" s="19"/>
      <c r="C14" s="9">
        <f>+'Lundi S4'!C14+'Mardi S4'!C14+'Mercredi S4'!C14+'Jeudi S4'!C14+'Vendredi S4'!C14+'Samedi S4'!C14</f>
        <v>90</v>
      </c>
      <c r="D14" s="10">
        <f>+'Lundi S4'!D14+'Mardi S4'!D14+'Mercredi S4'!D14+'Jeudi S4'!D14+'Vendredi S4'!D14+'Samedi S4'!D14</f>
        <v>18</v>
      </c>
      <c r="E14" s="10">
        <f>+'Lundi S4'!E14+'Mardi S4'!E14+'Mercredi S4'!E14+'Jeudi S4'!E14+'Vendredi S4'!E14+'Samedi S4'!E14</f>
        <v>30</v>
      </c>
      <c r="F14" s="10">
        <f>+'Lundi S4'!F14+'Mardi S4'!F14+'Mercredi S4'!F14+'Jeudi S4'!F14+'Vendredi S4'!F14+'Samedi S4'!F14</f>
        <v>12</v>
      </c>
      <c r="G14" s="11">
        <f>+'Lundi S4'!G14+'Mardi S4'!G14+'Mercredi S4'!G14+'Jeudi S4'!G14+'Vendredi S4'!G14+'Samedi S4'!G14</f>
        <v>30</v>
      </c>
      <c r="H14" s="9">
        <f>+'Lundi S4'!H14+'Mardi S4'!H14+'Mercredi S4'!H14+'Jeudi S4'!H14+'Vendredi S4'!H14+'Samedi S4'!H14</f>
        <v>18</v>
      </c>
      <c r="I14" s="10">
        <f>+'Lundi S4'!I14+'Mardi S4'!I14+'Mercredi S4'!I14+'Jeudi S4'!I14+'Vendredi S4'!I14+'Samedi S4'!I14</f>
        <v>6</v>
      </c>
      <c r="J14" s="10">
        <f>+'Lundi S4'!J14+'Mardi S4'!J14+'Mercredi S4'!J14+'Jeudi S4'!J14+'Vendredi S4'!J14+'Samedi S4'!J14</f>
        <v>6</v>
      </c>
      <c r="K14" s="10">
        <f>+'Lundi S4'!K14+'Mardi S4'!K14+'Mercredi S4'!K14+'Jeudi S4'!K14+'Vendredi S4'!K14+'Samedi S4'!K14</f>
        <v>6</v>
      </c>
      <c r="L14" s="11">
        <f>+'Lundi S4'!L14+'Mardi S4'!L14+'Mercredi S4'!L14+'Jeudi S4'!L14+'Vendredi S4'!L14+'Samedi S4'!L14</f>
        <v>6</v>
      </c>
      <c r="M14" s="9">
        <f>+'Lundi S4'!M14+'Mardi S4'!M14+'Mercredi S4'!M14+'Jeudi S4'!M14+'Vendredi S4'!M14+'Samedi S4'!M14</f>
        <v>18</v>
      </c>
      <c r="N14" s="10">
        <f>+'Lundi S4'!N14+'Mardi S4'!N14+'Mercredi S4'!N14+'Jeudi S4'!N14+'Vendredi S4'!N14+'Samedi S4'!N14</f>
        <v>6</v>
      </c>
      <c r="O14" s="10">
        <f>+'Lundi S4'!O14+'Mardi S4'!O14+'Mercredi S4'!O14+'Jeudi S4'!O14+'Vendredi S4'!O14+'Samedi S4'!O14</f>
        <v>18</v>
      </c>
      <c r="P14" s="10">
        <f>+'Lundi S4'!P14+'Mardi S4'!P14+'Mercredi S4'!P14+'Jeudi S4'!P14+'Vendredi S4'!P14+'Samedi S4'!P14</f>
        <v>0</v>
      </c>
      <c r="Q14" s="11">
        <f>+'Lundi S4'!Q14+'Mardi S4'!Q14+'Mercredi S4'!Q14+'Jeudi S4'!Q14+'Vendredi S4'!Q14+'Samedi S4'!Q14</f>
        <v>0</v>
      </c>
      <c r="R14" s="61">
        <f>+'Lundi S4'!R14+'Mardi S4'!R14+'Mercredi S4'!R14+'Jeudi S4'!R14+'Vendredi S4'!R14+'Samedi S4'!R14</f>
        <v>3</v>
      </c>
      <c r="S14" s="62">
        <f>+'Lundi S4'!S14+'Mardi S4'!S14+'Mercredi S4'!S14+'Jeudi S4'!S14+'Vendredi S4'!S14+'Samedi S4'!S14</f>
        <v>0.99999999999999989</v>
      </c>
      <c r="T14" s="62">
        <f>+'Lundi S4'!T14+'Mardi S4'!T14+'Mercredi S4'!T14+'Jeudi S4'!T14+'Vendredi S4'!T14+'Samedi S4'!T14</f>
        <v>0.6</v>
      </c>
      <c r="U14" s="62">
        <f>+'Lundi S4'!U14+'Mardi S4'!U14+'Mercredi S4'!U14+'Jeudi S4'!U14+'Vendredi S4'!U14+'Samedi S4'!U14</f>
        <v>3.6</v>
      </c>
      <c r="V14" s="63">
        <f>+'Lundi S4'!V14+'Mardi S4'!V14+'Mercredi S4'!V14+'Jeudi S4'!V14+'Vendredi S4'!V14+'Samedi S4'!V14</f>
        <v>0.9</v>
      </c>
      <c r="W14" s="9">
        <f>+'Lundi S4'!W14+'Mardi S4'!W14+'Mercredi S4'!W14+'Jeudi S4'!W14+'Vendredi S4'!W14+'Samedi S4'!W14</f>
        <v>0</v>
      </c>
      <c r="X14" s="10">
        <f>+'Lundi S4'!X14+'Mardi S4'!X14+'Mercredi S4'!X14+'Jeudi S4'!X14+'Vendredi S4'!X14+'Samedi S4'!X14</f>
        <v>0</v>
      </c>
      <c r="Y14" s="10">
        <f>+'Lundi S4'!Y14+'Mardi S4'!Y14+'Mercredi S4'!Y14+'Jeudi S4'!Y14+'Vendredi S4'!Y14+'Samedi S4'!Y14</f>
        <v>0</v>
      </c>
      <c r="Z14" s="10">
        <f>+'Lundi S4'!Z14+'Mardi S4'!Z14+'Mercredi S4'!Z14+'Jeudi S4'!Z14+'Vendredi S4'!Z14+'Samedi S4'!Z14</f>
        <v>0</v>
      </c>
      <c r="AA14" s="11">
        <f>+'Lundi S4'!AA14+'Mardi S4'!AA14+'Mercredi S4'!AA14+'Jeudi S4'!AA14+'Vendredi S4'!AA14+'Samedi S4'!AA14</f>
        <v>0</v>
      </c>
      <c r="AB14" s="9">
        <f>+'Lundi S4'!AB14+'Mardi S4'!AB14+'Mercredi S4'!AB14+'Jeudi S4'!AB14+'Vendredi S4'!AB14+'Samedi S4'!AB14</f>
        <v>0</v>
      </c>
      <c r="AC14" s="10">
        <f>+'Lundi S4'!AC14+'Mardi S4'!AC14+'Mercredi S4'!AC14+'Jeudi S4'!AC14+'Vendredi S4'!AC14+'Samedi S4'!AC14</f>
        <v>0</v>
      </c>
      <c r="AD14" s="10">
        <f>+'Lundi S4'!AD14+'Mardi S4'!AD14+'Mercredi S4'!AD14+'Jeudi S4'!AD14+'Vendredi S4'!AD14+'Samedi S4'!AD14</f>
        <v>0</v>
      </c>
      <c r="AE14" s="10">
        <f>+'Lundi S4'!AE14+'Mardi S4'!AE14+'Mercredi S4'!AE14+'Jeudi S4'!AE14+'Vendredi S4'!AE14+'Samedi S4'!AE14</f>
        <v>0</v>
      </c>
      <c r="AF14" s="11">
        <f>+'Lundi S4'!AF14+'Mardi S4'!AF14+'Mercredi S4'!AF14+'Jeudi S4'!AF14+'Vendredi S4'!AF14+'Samedi S4'!AF14</f>
        <v>0</v>
      </c>
      <c r="AG14" s="9">
        <f>+'Lundi S4'!AG14+'Mardi S4'!AG14+'Mercredi S4'!AG14+'Jeudi S4'!AG14+'Vendredi S4'!AG14+'Samedi S4'!AG14</f>
        <v>0</v>
      </c>
      <c r="AH14" s="10">
        <f>+'Lundi S4'!AH14+'Mardi S4'!AH14+'Mercredi S4'!AH14+'Jeudi S4'!AH14+'Vendredi S4'!AH14+'Samedi S4'!AH14</f>
        <v>0</v>
      </c>
      <c r="AI14" s="10">
        <f>+'Lundi S4'!AI14+'Mardi S4'!AI14+'Mercredi S4'!AI14+'Jeudi S4'!AI14+'Vendredi S4'!AI14+'Samedi S4'!AI14</f>
        <v>0</v>
      </c>
      <c r="AJ14" s="10">
        <f>+'Lundi S4'!AJ14+'Mardi S4'!AJ14+'Mercredi S4'!AJ14+'Jeudi S4'!AJ14+'Vendredi S4'!AJ14+'Samedi S4'!AJ14</f>
        <v>0</v>
      </c>
      <c r="AK14" s="11">
        <f>+'Lundi S4'!AK14+'Mardi S4'!AK14+'Mercredi S4'!AK14+'Jeudi S4'!AK14+'Vendredi S4'!AK14+'Samedi S4'!AK14</f>
        <v>0</v>
      </c>
      <c r="AL14" s="9">
        <f>+'Lundi S4'!AL14+'Mardi S4'!AL14+'Mercredi S4'!AL14+'Jeudi S4'!AL14+'Vendredi S4'!AL14+'Samedi S4'!AL14</f>
        <v>0</v>
      </c>
      <c r="AM14" s="10">
        <f>+'Lundi S4'!AM14+'Mardi S4'!AM14+'Mercredi S4'!AM14+'Jeudi S4'!AM14+'Vendredi S4'!AM14+'Samedi S4'!AM14</f>
        <v>0</v>
      </c>
      <c r="AN14" s="10">
        <f>+'Lundi S4'!AN14+'Mardi S4'!AN14+'Mercredi S4'!AN14+'Jeudi S4'!AN14+'Vendredi S4'!AN14+'Samedi S4'!AN14</f>
        <v>0</v>
      </c>
      <c r="AO14" s="10">
        <f>+'Lundi S4'!AO14+'Mardi S4'!AO14+'Mercredi S4'!AO14+'Jeudi S4'!AO14+'Vendredi S4'!AO14+'Samedi S4'!AO14</f>
        <v>0</v>
      </c>
      <c r="AP14" s="11">
        <f>+'Lundi S4'!AP14+'Mardi S4'!AP14+'Mercredi S4'!AP14+'Jeudi S4'!AP14+'Vendredi S4'!AP14+'Samedi S4'!AP14</f>
        <v>0</v>
      </c>
      <c r="AQ14" s="9">
        <f>+'Lundi S4'!AQ14+'Mardi S4'!AQ14+'Mercredi S4'!AQ14+'Jeudi S4'!AQ14+'Vendredi S4'!AQ14+'Samedi S4'!AQ14</f>
        <v>0</v>
      </c>
      <c r="AR14" s="10">
        <f>+'Lundi S4'!AR14+'Mardi S4'!AR14+'Mercredi S4'!AR14+'Jeudi S4'!AR14+'Vendredi S4'!AR14+'Samedi S4'!AR14</f>
        <v>0</v>
      </c>
      <c r="AS14" s="11">
        <f>+'Lundi S4'!AS14+'Mardi S4'!AS14+'Mercredi S4'!AS14+'Jeudi S4'!AS14+'Vendredi S4'!AS14+'Samedi S4'!AS14</f>
        <v>0</v>
      </c>
      <c r="AT14" s="22"/>
      <c r="AU14" s="14"/>
    </row>
    <row r="15" spans="1:47" ht="31.9" customHeight="1" x14ac:dyDescent="0.2">
      <c r="A15" s="26">
        <v>9</v>
      </c>
      <c r="B15" s="19"/>
      <c r="C15" s="9">
        <f>+'Lundi S4'!C15+'Mardi S4'!C15+'Mercredi S4'!C15+'Jeudi S4'!C15+'Vendredi S4'!C15+'Samedi S4'!C15</f>
        <v>90</v>
      </c>
      <c r="D15" s="10">
        <f>+'Lundi S4'!D15+'Mardi S4'!D15+'Mercredi S4'!D15+'Jeudi S4'!D15+'Vendredi S4'!D15+'Samedi S4'!D15</f>
        <v>18</v>
      </c>
      <c r="E15" s="10">
        <f>+'Lundi S4'!E15+'Mardi S4'!E15+'Mercredi S4'!E15+'Jeudi S4'!E15+'Vendredi S4'!E15+'Samedi S4'!E15</f>
        <v>30</v>
      </c>
      <c r="F15" s="10">
        <f>+'Lundi S4'!F15+'Mardi S4'!F15+'Mercredi S4'!F15+'Jeudi S4'!F15+'Vendredi S4'!F15+'Samedi S4'!F15</f>
        <v>12</v>
      </c>
      <c r="G15" s="11">
        <f>+'Lundi S4'!G15+'Mardi S4'!G15+'Mercredi S4'!G15+'Jeudi S4'!G15+'Vendredi S4'!G15+'Samedi S4'!G15</f>
        <v>30</v>
      </c>
      <c r="H15" s="9">
        <f>+'Lundi S4'!H15+'Mardi S4'!H15+'Mercredi S4'!H15+'Jeudi S4'!H15+'Vendredi S4'!H15+'Samedi S4'!H15</f>
        <v>18</v>
      </c>
      <c r="I15" s="10">
        <f>+'Lundi S4'!I15+'Mardi S4'!I15+'Mercredi S4'!I15+'Jeudi S4'!I15+'Vendredi S4'!I15+'Samedi S4'!I15</f>
        <v>6</v>
      </c>
      <c r="J15" s="10">
        <f>+'Lundi S4'!J15+'Mardi S4'!J15+'Mercredi S4'!J15+'Jeudi S4'!J15+'Vendredi S4'!J15+'Samedi S4'!J15</f>
        <v>6</v>
      </c>
      <c r="K15" s="10">
        <f>+'Lundi S4'!K15+'Mardi S4'!K15+'Mercredi S4'!K15+'Jeudi S4'!K15+'Vendredi S4'!K15+'Samedi S4'!K15</f>
        <v>6</v>
      </c>
      <c r="L15" s="11">
        <f>+'Lundi S4'!L15+'Mardi S4'!L15+'Mercredi S4'!L15+'Jeudi S4'!L15+'Vendredi S4'!L15+'Samedi S4'!L15</f>
        <v>6</v>
      </c>
      <c r="M15" s="9">
        <f>+'Lundi S4'!M15+'Mardi S4'!M15+'Mercredi S4'!M15+'Jeudi S4'!M15+'Vendredi S4'!M15+'Samedi S4'!M15</f>
        <v>18</v>
      </c>
      <c r="N15" s="10">
        <f>+'Lundi S4'!N15+'Mardi S4'!N15+'Mercredi S4'!N15+'Jeudi S4'!N15+'Vendredi S4'!N15+'Samedi S4'!N15</f>
        <v>6</v>
      </c>
      <c r="O15" s="10">
        <f>+'Lundi S4'!O15+'Mardi S4'!O15+'Mercredi S4'!O15+'Jeudi S4'!O15+'Vendredi S4'!O15+'Samedi S4'!O15</f>
        <v>18</v>
      </c>
      <c r="P15" s="10">
        <f>+'Lundi S4'!P15+'Mardi S4'!P15+'Mercredi S4'!P15+'Jeudi S4'!P15+'Vendredi S4'!P15+'Samedi S4'!P15</f>
        <v>0</v>
      </c>
      <c r="Q15" s="11">
        <f>+'Lundi S4'!Q15+'Mardi S4'!Q15+'Mercredi S4'!Q15+'Jeudi S4'!Q15+'Vendredi S4'!Q15+'Samedi S4'!Q15</f>
        <v>0</v>
      </c>
      <c r="R15" s="61">
        <f>+'Lundi S4'!R15+'Mardi S4'!R15+'Mercredi S4'!R15+'Jeudi S4'!R15+'Vendredi S4'!R15+'Samedi S4'!R15</f>
        <v>3</v>
      </c>
      <c r="S15" s="62">
        <f>+'Lundi S4'!S15+'Mardi S4'!S15+'Mercredi S4'!S15+'Jeudi S4'!S15+'Vendredi S4'!S15+'Samedi S4'!S15</f>
        <v>0.99999999999999989</v>
      </c>
      <c r="T15" s="62">
        <f>+'Lundi S4'!T15+'Mardi S4'!T15+'Mercredi S4'!T15+'Jeudi S4'!T15+'Vendredi S4'!T15+'Samedi S4'!T15</f>
        <v>0.6</v>
      </c>
      <c r="U15" s="62">
        <f>+'Lundi S4'!U15+'Mardi S4'!U15+'Mercredi S4'!U15+'Jeudi S4'!U15+'Vendredi S4'!U15+'Samedi S4'!U15</f>
        <v>3.6</v>
      </c>
      <c r="V15" s="63">
        <f>+'Lundi S4'!V15+'Mardi S4'!V15+'Mercredi S4'!V15+'Jeudi S4'!V15+'Vendredi S4'!V15+'Samedi S4'!V15</f>
        <v>0.9</v>
      </c>
      <c r="W15" s="9">
        <f>+'Lundi S4'!W15+'Mardi S4'!W15+'Mercredi S4'!W15+'Jeudi S4'!W15+'Vendredi S4'!W15+'Samedi S4'!W15</f>
        <v>0</v>
      </c>
      <c r="X15" s="10">
        <f>+'Lundi S4'!X15+'Mardi S4'!X15+'Mercredi S4'!X15+'Jeudi S4'!X15+'Vendredi S4'!X15+'Samedi S4'!X15</f>
        <v>0</v>
      </c>
      <c r="Y15" s="10">
        <f>+'Lundi S4'!Y15+'Mardi S4'!Y15+'Mercredi S4'!Y15+'Jeudi S4'!Y15+'Vendredi S4'!Y15+'Samedi S4'!Y15</f>
        <v>0</v>
      </c>
      <c r="Z15" s="10">
        <f>+'Lundi S4'!Z15+'Mardi S4'!Z15+'Mercredi S4'!Z15+'Jeudi S4'!Z15+'Vendredi S4'!Z15+'Samedi S4'!Z15</f>
        <v>0</v>
      </c>
      <c r="AA15" s="11">
        <f>+'Lundi S4'!AA15+'Mardi S4'!AA15+'Mercredi S4'!AA15+'Jeudi S4'!AA15+'Vendredi S4'!AA15+'Samedi S4'!AA15</f>
        <v>0</v>
      </c>
      <c r="AB15" s="9">
        <f>+'Lundi S4'!AB15+'Mardi S4'!AB15+'Mercredi S4'!AB15+'Jeudi S4'!AB15+'Vendredi S4'!AB15+'Samedi S4'!AB15</f>
        <v>0</v>
      </c>
      <c r="AC15" s="10">
        <f>+'Lundi S4'!AC15+'Mardi S4'!AC15+'Mercredi S4'!AC15+'Jeudi S4'!AC15+'Vendredi S4'!AC15+'Samedi S4'!AC15</f>
        <v>0</v>
      </c>
      <c r="AD15" s="10">
        <f>+'Lundi S4'!AD15+'Mardi S4'!AD15+'Mercredi S4'!AD15+'Jeudi S4'!AD15+'Vendredi S4'!AD15+'Samedi S4'!AD15</f>
        <v>0</v>
      </c>
      <c r="AE15" s="10">
        <f>+'Lundi S4'!AE15+'Mardi S4'!AE15+'Mercredi S4'!AE15+'Jeudi S4'!AE15+'Vendredi S4'!AE15+'Samedi S4'!AE15</f>
        <v>0</v>
      </c>
      <c r="AF15" s="11">
        <f>+'Lundi S4'!AF15+'Mardi S4'!AF15+'Mercredi S4'!AF15+'Jeudi S4'!AF15+'Vendredi S4'!AF15+'Samedi S4'!AF15</f>
        <v>0</v>
      </c>
      <c r="AG15" s="9">
        <f>+'Lundi S4'!AG15+'Mardi S4'!AG15+'Mercredi S4'!AG15+'Jeudi S4'!AG15+'Vendredi S4'!AG15+'Samedi S4'!AG15</f>
        <v>0</v>
      </c>
      <c r="AH15" s="10">
        <f>+'Lundi S4'!AH15+'Mardi S4'!AH15+'Mercredi S4'!AH15+'Jeudi S4'!AH15+'Vendredi S4'!AH15+'Samedi S4'!AH15</f>
        <v>0</v>
      </c>
      <c r="AI15" s="10">
        <f>+'Lundi S4'!AI15+'Mardi S4'!AI15+'Mercredi S4'!AI15+'Jeudi S4'!AI15+'Vendredi S4'!AI15+'Samedi S4'!AI15</f>
        <v>0</v>
      </c>
      <c r="AJ15" s="10">
        <f>+'Lundi S4'!AJ15+'Mardi S4'!AJ15+'Mercredi S4'!AJ15+'Jeudi S4'!AJ15+'Vendredi S4'!AJ15+'Samedi S4'!AJ15</f>
        <v>0</v>
      </c>
      <c r="AK15" s="11">
        <f>+'Lundi S4'!AK15+'Mardi S4'!AK15+'Mercredi S4'!AK15+'Jeudi S4'!AK15+'Vendredi S4'!AK15+'Samedi S4'!AK15</f>
        <v>0</v>
      </c>
      <c r="AL15" s="9">
        <f>+'Lundi S4'!AL15+'Mardi S4'!AL15+'Mercredi S4'!AL15+'Jeudi S4'!AL15+'Vendredi S4'!AL15+'Samedi S4'!AL15</f>
        <v>0</v>
      </c>
      <c r="AM15" s="10">
        <f>+'Lundi S4'!AM15+'Mardi S4'!AM15+'Mercredi S4'!AM15+'Jeudi S4'!AM15+'Vendredi S4'!AM15+'Samedi S4'!AM15</f>
        <v>0</v>
      </c>
      <c r="AN15" s="10">
        <f>+'Lundi S4'!AN15+'Mardi S4'!AN15+'Mercredi S4'!AN15+'Jeudi S4'!AN15+'Vendredi S4'!AN15+'Samedi S4'!AN15</f>
        <v>0</v>
      </c>
      <c r="AO15" s="10">
        <f>+'Lundi S4'!AO15+'Mardi S4'!AO15+'Mercredi S4'!AO15+'Jeudi S4'!AO15+'Vendredi S4'!AO15+'Samedi S4'!AO15</f>
        <v>0</v>
      </c>
      <c r="AP15" s="11">
        <f>+'Lundi S4'!AP15+'Mardi S4'!AP15+'Mercredi S4'!AP15+'Jeudi S4'!AP15+'Vendredi S4'!AP15+'Samedi S4'!AP15</f>
        <v>0</v>
      </c>
      <c r="AQ15" s="9">
        <f>+'Lundi S4'!AQ15+'Mardi S4'!AQ15+'Mercredi S4'!AQ15+'Jeudi S4'!AQ15+'Vendredi S4'!AQ15+'Samedi S4'!AQ15</f>
        <v>0</v>
      </c>
      <c r="AR15" s="10">
        <f>+'Lundi S4'!AR15+'Mardi S4'!AR15+'Mercredi S4'!AR15+'Jeudi S4'!AR15+'Vendredi S4'!AR15+'Samedi S4'!AR15</f>
        <v>0</v>
      </c>
      <c r="AS15" s="11">
        <f>+'Lundi S4'!AS15+'Mardi S4'!AS15+'Mercredi S4'!AS15+'Jeudi S4'!AS15+'Vendredi S4'!AS15+'Samedi S4'!AS15</f>
        <v>0</v>
      </c>
      <c r="AT15" s="22"/>
      <c r="AU15" s="14"/>
    </row>
    <row r="16" spans="1:47" ht="31.9" customHeight="1" x14ac:dyDescent="0.2">
      <c r="A16" s="26">
        <v>10</v>
      </c>
      <c r="B16" s="19"/>
      <c r="C16" s="9">
        <f>+'Lundi S4'!C16+'Mardi S4'!C16+'Mercredi S4'!C16+'Jeudi S4'!C16+'Vendredi S4'!C16+'Samedi S4'!C16</f>
        <v>90</v>
      </c>
      <c r="D16" s="10">
        <f>+'Lundi S4'!D16+'Mardi S4'!D16+'Mercredi S4'!D16+'Jeudi S4'!D16+'Vendredi S4'!D16+'Samedi S4'!D16</f>
        <v>18</v>
      </c>
      <c r="E16" s="10">
        <f>+'Lundi S4'!E16+'Mardi S4'!E16+'Mercredi S4'!E16+'Jeudi S4'!E16+'Vendredi S4'!E16+'Samedi S4'!E16</f>
        <v>30</v>
      </c>
      <c r="F16" s="10">
        <f>+'Lundi S4'!F16+'Mardi S4'!F16+'Mercredi S4'!F16+'Jeudi S4'!F16+'Vendredi S4'!F16+'Samedi S4'!F16</f>
        <v>12</v>
      </c>
      <c r="G16" s="11">
        <f>+'Lundi S4'!G16+'Mardi S4'!G16+'Mercredi S4'!G16+'Jeudi S4'!G16+'Vendredi S4'!G16+'Samedi S4'!G16</f>
        <v>30</v>
      </c>
      <c r="H16" s="9">
        <f>+'Lundi S4'!H16+'Mardi S4'!H16+'Mercredi S4'!H16+'Jeudi S4'!H16+'Vendredi S4'!H16+'Samedi S4'!H16</f>
        <v>18</v>
      </c>
      <c r="I16" s="10">
        <f>+'Lundi S4'!I16+'Mardi S4'!I16+'Mercredi S4'!I16+'Jeudi S4'!I16+'Vendredi S4'!I16+'Samedi S4'!I16</f>
        <v>6</v>
      </c>
      <c r="J16" s="10">
        <f>+'Lundi S4'!J16+'Mardi S4'!J16+'Mercredi S4'!J16+'Jeudi S4'!J16+'Vendredi S4'!J16+'Samedi S4'!J16</f>
        <v>6</v>
      </c>
      <c r="K16" s="10">
        <f>+'Lundi S4'!K16+'Mardi S4'!K16+'Mercredi S4'!K16+'Jeudi S4'!K16+'Vendredi S4'!K16+'Samedi S4'!K16</f>
        <v>6</v>
      </c>
      <c r="L16" s="11">
        <f>+'Lundi S4'!L16+'Mardi S4'!L16+'Mercredi S4'!L16+'Jeudi S4'!L16+'Vendredi S4'!L16+'Samedi S4'!L16</f>
        <v>6</v>
      </c>
      <c r="M16" s="9">
        <f>+'Lundi S4'!M16+'Mardi S4'!M16+'Mercredi S4'!M16+'Jeudi S4'!M16+'Vendredi S4'!M16+'Samedi S4'!M16</f>
        <v>18</v>
      </c>
      <c r="N16" s="10">
        <f>+'Lundi S4'!N16+'Mardi S4'!N16+'Mercredi S4'!N16+'Jeudi S4'!N16+'Vendredi S4'!N16+'Samedi S4'!N16</f>
        <v>6</v>
      </c>
      <c r="O16" s="10">
        <f>+'Lundi S4'!O16+'Mardi S4'!O16+'Mercredi S4'!O16+'Jeudi S4'!O16+'Vendredi S4'!O16+'Samedi S4'!O16</f>
        <v>18</v>
      </c>
      <c r="P16" s="10">
        <f>+'Lundi S4'!P16+'Mardi S4'!P16+'Mercredi S4'!P16+'Jeudi S4'!P16+'Vendredi S4'!P16+'Samedi S4'!P16</f>
        <v>0</v>
      </c>
      <c r="Q16" s="11">
        <f>+'Lundi S4'!Q16+'Mardi S4'!Q16+'Mercredi S4'!Q16+'Jeudi S4'!Q16+'Vendredi S4'!Q16+'Samedi S4'!Q16</f>
        <v>0</v>
      </c>
      <c r="R16" s="61">
        <f>+'Lundi S4'!R16+'Mardi S4'!R16+'Mercredi S4'!R16+'Jeudi S4'!R16+'Vendredi S4'!R16+'Samedi S4'!R16</f>
        <v>3</v>
      </c>
      <c r="S16" s="62">
        <f>+'Lundi S4'!S16+'Mardi S4'!S16+'Mercredi S4'!S16+'Jeudi S4'!S16+'Vendredi S4'!S16+'Samedi S4'!S16</f>
        <v>0.99999999999999989</v>
      </c>
      <c r="T16" s="62">
        <f>+'Lundi S4'!T16+'Mardi S4'!T16+'Mercredi S4'!T16+'Jeudi S4'!T16+'Vendredi S4'!T16+'Samedi S4'!T16</f>
        <v>0.6</v>
      </c>
      <c r="U16" s="62">
        <f>+'Lundi S4'!U16+'Mardi S4'!U16+'Mercredi S4'!U16+'Jeudi S4'!U16+'Vendredi S4'!U16+'Samedi S4'!U16</f>
        <v>3.6</v>
      </c>
      <c r="V16" s="63">
        <f>+'Lundi S4'!V16+'Mardi S4'!V16+'Mercredi S4'!V16+'Jeudi S4'!V16+'Vendredi S4'!V16+'Samedi S4'!V16</f>
        <v>0.9</v>
      </c>
      <c r="W16" s="9">
        <f>+'Lundi S4'!W16+'Mardi S4'!W16+'Mercredi S4'!W16+'Jeudi S4'!W16+'Vendredi S4'!W16+'Samedi S4'!W16</f>
        <v>0</v>
      </c>
      <c r="X16" s="10">
        <f>+'Lundi S4'!X16+'Mardi S4'!X16+'Mercredi S4'!X16+'Jeudi S4'!X16+'Vendredi S4'!X16+'Samedi S4'!X16</f>
        <v>0</v>
      </c>
      <c r="Y16" s="10">
        <f>+'Lundi S4'!Y16+'Mardi S4'!Y16+'Mercredi S4'!Y16+'Jeudi S4'!Y16+'Vendredi S4'!Y16+'Samedi S4'!Y16</f>
        <v>0</v>
      </c>
      <c r="Z16" s="10">
        <f>+'Lundi S4'!Z16+'Mardi S4'!Z16+'Mercredi S4'!Z16+'Jeudi S4'!Z16+'Vendredi S4'!Z16+'Samedi S4'!Z16</f>
        <v>0</v>
      </c>
      <c r="AA16" s="11">
        <f>+'Lundi S4'!AA16+'Mardi S4'!AA16+'Mercredi S4'!AA16+'Jeudi S4'!AA16+'Vendredi S4'!AA16+'Samedi S4'!AA16</f>
        <v>0</v>
      </c>
      <c r="AB16" s="9">
        <f>+'Lundi S4'!AB16+'Mardi S4'!AB16+'Mercredi S4'!AB16+'Jeudi S4'!AB16+'Vendredi S4'!AB16+'Samedi S4'!AB16</f>
        <v>0</v>
      </c>
      <c r="AC16" s="10">
        <f>+'Lundi S4'!AC16+'Mardi S4'!AC16+'Mercredi S4'!AC16+'Jeudi S4'!AC16+'Vendredi S4'!AC16+'Samedi S4'!AC16</f>
        <v>0</v>
      </c>
      <c r="AD16" s="10">
        <f>+'Lundi S4'!AD16+'Mardi S4'!AD16+'Mercredi S4'!AD16+'Jeudi S4'!AD16+'Vendredi S4'!AD16+'Samedi S4'!AD16</f>
        <v>0</v>
      </c>
      <c r="AE16" s="10">
        <f>+'Lundi S4'!AE16+'Mardi S4'!AE16+'Mercredi S4'!AE16+'Jeudi S4'!AE16+'Vendredi S4'!AE16+'Samedi S4'!AE16</f>
        <v>0</v>
      </c>
      <c r="AF16" s="11">
        <f>+'Lundi S4'!AF16+'Mardi S4'!AF16+'Mercredi S4'!AF16+'Jeudi S4'!AF16+'Vendredi S4'!AF16+'Samedi S4'!AF16</f>
        <v>0</v>
      </c>
      <c r="AG16" s="9">
        <f>+'Lundi S4'!AG16+'Mardi S4'!AG16+'Mercredi S4'!AG16+'Jeudi S4'!AG16+'Vendredi S4'!AG16+'Samedi S4'!AG16</f>
        <v>0</v>
      </c>
      <c r="AH16" s="10">
        <f>+'Lundi S4'!AH16+'Mardi S4'!AH16+'Mercredi S4'!AH16+'Jeudi S4'!AH16+'Vendredi S4'!AH16+'Samedi S4'!AH16</f>
        <v>0</v>
      </c>
      <c r="AI16" s="10">
        <f>+'Lundi S4'!AI16+'Mardi S4'!AI16+'Mercredi S4'!AI16+'Jeudi S4'!AI16+'Vendredi S4'!AI16+'Samedi S4'!AI16</f>
        <v>0</v>
      </c>
      <c r="AJ16" s="10">
        <f>+'Lundi S4'!AJ16+'Mardi S4'!AJ16+'Mercredi S4'!AJ16+'Jeudi S4'!AJ16+'Vendredi S4'!AJ16+'Samedi S4'!AJ16</f>
        <v>0</v>
      </c>
      <c r="AK16" s="11">
        <f>+'Lundi S4'!AK16+'Mardi S4'!AK16+'Mercredi S4'!AK16+'Jeudi S4'!AK16+'Vendredi S4'!AK16+'Samedi S4'!AK16</f>
        <v>0</v>
      </c>
      <c r="AL16" s="9">
        <f>+'Lundi S4'!AL16+'Mardi S4'!AL16+'Mercredi S4'!AL16+'Jeudi S4'!AL16+'Vendredi S4'!AL16+'Samedi S4'!AL16</f>
        <v>0</v>
      </c>
      <c r="AM16" s="10">
        <f>+'Lundi S4'!AM16+'Mardi S4'!AM16+'Mercredi S4'!AM16+'Jeudi S4'!AM16+'Vendredi S4'!AM16+'Samedi S4'!AM16</f>
        <v>0</v>
      </c>
      <c r="AN16" s="10">
        <f>+'Lundi S4'!AN16+'Mardi S4'!AN16+'Mercredi S4'!AN16+'Jeudi S4'!AN16+'Vendredi S4'!AN16+'Samedi S4'!AN16</f>
        <v>0</v>
      </c>
      <c r="AO16" s="10">
        <f>+'Lundi S4'!AO16+'Mardi S4'!AO16+'Mercredi S4'!AO16+'Jeudi S4'!AO16+'Vendredi S4'!AO16+'Samedi S4'!AO16</f>
        <v>0</v>
      </c>
      <c r="AP16" s="11">
        <f>+'Lundi S4'!AP16+'Mardi S4'!AP16+'Mercredi S4'!AP16+'Jeudi S4'!AP16+'Vendredi S4'!AP16+'Samedi S4'!AP16</f>
        <v>0</v>
      </c>
      <c r="AQ16" s="9">
        <f>+'Lundi S4'!AQ16+'Mardi S4'!AQ16+'Mercredi S4'!AQ16+'Jeudi S4'!AQ16+'Vendredi S4'!AQ16+'Samedi S4'!AQ16</f>
        <v>0</v>
      </c>
      <c r="AR16" s="10">
        <f>+'Lundi S4'!AR16+'Mardi S4'!AR16+'Mercredi S4'!AR16+'Jeudi S4'!AR16+'Vendredi S4'!AR16+'Samedi S4'!AR16</f>
        <v>0</v>
      </c>
      <c r="AS16" s="11">
        <f>+'Lundi S4'!AS16+'Mardi S4'!AS16+'Mercredi S4'!AS16+'Jeudi S4'!AS16+'Vendredi S4'!AS16+'Samedi S4'!AS16</f>
        <v>0</v>
      </c>
      <c r="AT16" s="22"/>
      <c r="AU16" s="14"/>
    </row>
    <row r="17" spans="1:47" ht="31.9" customHeight="1" x14ac:dyDescent="0.2">
      <c r="A17" s="26">
        <v>11</v>
      </c>
      <c r="B17" s="19"/>
      <c r="C17" s="9">
        <f>+'Lundi S4'!C17+'Mardi S4'!C17+'Mercredi S4'!C17+'Jeudi S4'!C17+'Vendredi S4'!C17+'Samedi S4'!C17</f>
        <v>90</v>
      </c>
      <c r="D17" s="10">
        <f>+'Lundi S4'!D17+'Mardi S4'!D17+'Mercredi S4'!D17+'Jeudi S4'!D17+'Vendredi S4'!D17+'Samedi S4'!D17</f>
        <v>18</v>
      </c>
      <c r="E17" s="10">
        <f>+'Lundi S4'!E17+'Mardi S4'!E17+'Mercredi S4'!E17+'Jeudi S4'!E17+'Vendredi S4'!E17+'Samedi S4'!E17</f>
        <v>30</v>
      </c>
      <c r="F17" s="10">
        <f>+'Lundi S4'!F17+'Mardi S4'!F17+'Mercredi S4'!F17+'Jeudi S4'!F17+'Vendredi S4'!F17+'Samedi S4'!F17</f>
        <v>12</v>
      </c>
      <c r="G17" s="11">
        <f>+'Lundi S4'!G17+'Mardi S4'!G17+'Mercredi S4'!G17+'Jeudi S4'!G17+'Vendredi S4'!G17+'Samedi S4'!G17</f>
        <v>30</v>
      </c>
      <c r="H17" s="9">
        <f>+'Lundi S4'!H17+'Mardi S4'!H17+'Mercredi S4'!H17+'Jeudi S4'!H17+'Vendredi S4'!H17+'Samedi S4'!H17</f>
        <v>18</v>
      </c>
      <c r="I17" s="10">
        <f>+'Lundi S4'!I17+'Mardi S4'!I17+'Mercredi S4'!I17+'Jeudi S4'!I17+'Vendredi S4'!I17+'Samedi S4'!I17</f>
        <v>6</v>
      </c>
      <c r="J17" s="10">
        <f>+'Lundi S4'!J17+'Mardi S4'!J17+'Mercredi S4'!J17+'Jeudi S4'!J17+'Vendredi S4'!J17+'Samedi S4'!J17</f>
        <v>6</v>
      </c>
      <c r="K17" s="10">
        <f>+'Lundi S4'!K17+'Mardi S4'!K17+'Mercredi S4'!K17+'Jeudi S4'!K17+'Vendredi S4'!K17+'Samedi S4'!K17</f>
        <v>6</v>
      </c>
      <c r="L17" s="11">
        <f>+'Lundi S4'!L17+'Mardi S4'!L17+'Mercredi S4'!L17+'Jeudi S4'!L17+'Vendredi S4'!L17+'Samedi S4'!L17</f>
        <v>6</v>
      </c>
      <c r="M17" s="9">
        <f>+'Lundi S4'!M17+'Mardi S4'!M17+'Mercredi S4'!M17+'Jeudi S4'!M17+'Vendredi S4'!M17+'Samedi S4'!M17</f>
        <v>18</v>
      </c>
      <c r="N17" s="10">
        <f>+'Lundi S4'!N17+'Mardi S4'!N17+'Mercredi S4'!N17+'Jeudi S4'!N17+'Vendredi S4'!N17+'Samedi S4'!N17</f>
        <v>6</v>
      </c>
      <c r="O17" s="10">
        <f>+'Lundi S4'!O17+'Mardi S4'!O17+'Mercredi S4'!O17+'Jeudi S4'!O17+'Vendredi S4'!O17+'Samedi S4'!O17</f>
        <v>18</v>
      </c>
      <c r="P17" s="10">
        <f>+'Lundi S4'!P17+'Mardi S4'!P17+'Mercredi S4'!P17+'Jeudi S4'!P17+'Vendredi S4'!P17+'Samedi S4'!P17</f>
        <v>0</v>
      </c>
      <c r="Q17" s="11">
        <f>+'Lundi S4'!Q17+'Mardi S4'!Q17+'Mercredi S4'!Q17+'Jeudi S4'!Q17+'Vendredi S4'!Q17+'Samedi S4'!Q17</f>
        <v>0</v>
      </c>
      <c r="R17" s="61">
        <f>+'Lundi S4'!R17+'Mardi S4'!R17+'Mercredi S4'!R17+'Jeudi S4'!R17+'Vendredi S4'!R17+'Samedi S4'!R17</f>
        <v>3</v>
      </c>
      <c r="S17" s="62">
        <f>+'Lundi S4'!S17+'Mardi S4'!S17+'Mercredi S4'!S17+'Jeudi S4'!S17+'Vendredi S4'!S17+'Samedi S4'!S17</f>
        <v>0.99999999999999989</v>
      </c>
      <c r="T17" s="62">
        <f>+'Lundi S4'!T17+'Mardi S4'!T17+'Mercredi S4'!T17+'Jeudi S4'!T17+'Vendredi S4'!T17+'Samedi S4'!T17</f>
        <v>0.6</v>
      </c>
      <c r="U17" s="62">
        <f>+'Lundi S4'!U17+'Mardi S4'!U17+'Mercredi S4'!U17+'Jeudi S4'!U17+'Vendredi S4'!U17+'Samedi S4'!U17</f>
        <v>3.6</v>
      </c>
      <c r="V17" s="63">
        <f>+'Lundi S4'!V17+'Mardi S4'!V17+'Mercredi S4'!V17+'Jeudi S4'!V17+'Vendredi S4'!V17+'Samedi S4'!V17</f>
        <v>0.9</v>
      </c>
      <c r="W17" s="9">
        <f>+'Lundi S4'!W17+'Mardi S4'!W17+'Mercredi S4'!W17+'Jeudi S4'!W17+'Vendredi S4'!W17+'Samedi S4'!W17</f>
        <v>0</v>
      </c>
      <c r="X17" s="10">
        <f>+'Lundi S4'!X17+'Mardi S4'!X17+'Mercredi S4'!X17+'Jeudi S4'!X17+'Vendredi S4'!X17+'Samedi S4'!X17</f>
        <v>0</v>
      </c>
      <c r="Y17" s="10">
        <f>+'Lundi S4'!Y17+'Mardi S4'!Y17+'Mercredi S4'!Y17+'Jeudi S4'!Y17+'Vendredi S4'!Y17+'Samedi S4'!Y17</f>
        <v>0</v>
      </c>
      <c r="Z17" s="10">
        <f>+'Lundi S4'!Z17+'Mardi S4'!Z17+'Mercredi S4'!Z17+'Jeudi S4'!Z17+'Vendredi S4'!Z17+'Samedi S4'!Z17</f>
        <v>0</v>
      </c>
      <c r="AA17" s="11">
        <f>+'Lundi S4'!AA17+'Mardi S4'!AA17+'Mercredi S4'!AA17+'Jeudi S4'!AA17+'Vendredi S4'!AA17+'Samedi S4'!AA17</f>
        <v>0</v>
      </c>
      <c r="AB17" s="9">
        <f>+'Lundi S4'!AB17+'Mardi S4'!AB17+'Mercredi S4'!AB17+'Jeudi S4'!AB17+'Vendredi S4'!AB17+'Samedi S4'!AB17</f>
        <v>0</v>
      </c>
      <c r="AC17" s="10">
        <f>+'Lundi S4'!AC17+'Mardi S4'!AC17+'Mercredi S4'!AC17+'Jeudi S4'!AC17+'Vendredi S4'!AC17+'Samedi S4'!AC17</f>
        <v>0</v>
      </c>
      <c r="AD17" s="10">
        <f>+'Lundi S4'!AD17+'Mardi S4'!AD17+'Mercredi S4'!AD17+'Jeudi S4'!AD17+'Vendredi S4'!AD17+'Samedi S4'!AD17</f>
        <v>0</v>
      </c>
      <c r="AE17" s="10">
        <f>+'Lundi S4'!AE17+'Mardi S4'!AE17+'Mercredi S4'!AE17+'Jeudi S4'!AE17+'Vendredi S4'!AE17+'Samedi S4'!AE17</f>
        <v>0</v>
      </c>
      <c r="AF17" s="11">
        <f>+'Lundi S4'!AF17+'Mardi S4'!AF17+'Mercredi S4'!AF17+'Jeudi S4'!AF17+'Vendredi S4'!AF17+'Samedi S4'!AF17</f>
        <v>0</v>
      </c>
      <c r="AG17" s="9">
        <f>+'Lundi S4'!AG17+'Mardi S4'!AG17+'Mercredi S4'!AG17+'Jeudi S4'!AG17+'Vendredi S4'!AG17+'Samedi S4'!AG17</f>
        <v>0</v>
      </c>
      <c r="AH17" s="10">
        <f>+'Lundi S4'!AH17+'Mardi S4'!AH17+'Mercredi S4'!AH17+'Jeudi S4'!AH17+'Vendredi S4'!AH17+'Samedi S4'!AH17</f>
        <v>0</v>
      </c>
      <c r="AI17" s="10">
        <f>+'Lundi S4'!AI17+'Mardi S4'!AI17+'Mercredi S4'!AI17+'Jeudi S4'!AI17+'Vendredi S4'!AI17+'Samedi S4'!AI17</f>
        <v>0</v>
      </c>
      <c r="AJ17" s="10">
        <f>+'Lundi S4'!AJ17+'Mardi S4'!AJ17+'Mercredi S4'!AJ17+'Jeudi S4'!AJ17+'Vendredi S4'!AJ17+'Samedi S4'!AJ17</f>
        <v>0</v>
      </c>
      <c r="AK17" s="11">
        <f>+'Lundi S4'!AK17+'Mardi S4'!AK17+'Mercredi S4'!AK17+'Jeudi S4'!AK17+'Vendredi S4'!AK17+'Samedi S4'!AK17</f>
        <v>0</v>
      </c>
      <c r="AL17" s="9">
        <f>+'Lundi S4'!AL17+'Mardi S4'!AL17+'Mercredi S4'!AL17+'Jeudi S4'!AL17+'Vendredi S4'!AL17+'Samedi S4'!AL17</f>
        <v>0</v>
      </c>
      <c r="AM17" s="10">
        <f>+'Lundi S4'!AM17+'Mardi S4'!AM17+'Mercredi S4'!AM17+'Jeudi S4'!AM17+'Vendredi S4'!AM17+'Samedi S4'!AM17</f>
        <v>0</v>
      </c>
      <c r="AN17" s="10">
        <f>+'Lundi S4'!AN17+'Mardi S4'!AN17+'Mercredi S4'!AN17+'Jeudi S4'!AN17+'Vendredi S4'!AN17+'Samedi S4'!AN17</f>
        <v>0</v>
      </c>
      <c r="AO17" s="10">
        <f>+'Lundi S4'!AO17+'Mardi S4'!AO17+'Mercredi S4'!AO17+'Jeudi S4'!AO17+'Vendredi S4'!AO17+'Samedi S4'!AO17</f>
        <v>0</v>
      </c>
      <c r="AP17" s="11">
        <f>+'Lundi S4'!AP17+'Mardi S4'!AP17+'Mercredi S4'!AP17+'Jeudi S4'!AP17+'Vendredi S4'!AP17+'Samedi S4'!AP17</f>
        <v>0</v>
      </c>
      <c r="AQ17" s="9">
        <f>+'Lundi S4'!AQ17+'Mardi S4'!AQ17+'Mercredi S4'!AQ17+'Jeudi S4'!AQ17+'Vendredi S4'!AQ17+'Samedi S4'!AQ17</f>
        <v>0</v>
      </c>
      <c r="AR17" s="10">
        <f>+'Lundi S4'!AR17+'Mardi S4'!AR17+'Mercredi S4'!AR17+'Jeudi S4'!AR17+'Vendredi S4'!AR17+'Samedi S4'!AR17</f>
        <v>0</v>
      </c>
      <c r="AS17" s="11">
        <f>+'Lundi S4'!AS17+'Mardi S4'!AS17+'Mercredi S4'!AS17+'Jeudi S4'!AS17+'Vendredi S4'!AS17+'Samedi S4'!AS17</f>
        <v>0</v>
      </c>
      <c r="AT17" s="22"/>
      <c r="AU17" s="14"/>
    </row>
    <row r="18" spans="1:47" ht="31.9" customHeight="1" x14ac:dyDescent="0.2">
      <c r="A18" s="26">
        <v>12</v>
      </c>
      <c r="B18" s="19"/>
      <c r="C18" s="9">
        <f>+'Lundi S4'!C18+'Mardi S4'!C18+'Mercredi S4'!C18+'Jeudi S4'!C18+'Vendredi S4'!C18+'Samedi S4'!C18</f>
        <v>90</v>
      </c>
      <c r="D18" s="10">
        <f>+'Lundi S4'!D18+'Mardi S4'!D18+'Mercredi S4'!D18+'Jeudi S4'!D18+'Vendredi S4'!D18+'Samedi S4'!D18</f>
        <v>18</v>
      </c>
      <c r="E18" s="10">
        <f>+'Lundi S4'!E18+'Mardi S4'!E18+'Mercredi S4'!E18+'Jeudi S4'!E18+'Vendredi S4'!E18+'Samedi S4'!E18</f>
        <v>30</v>
      </c>
      <c r="F18" s="10">
        <f>+'Lundi S4'!F18+'Mardi S4'!F18+'Mercredi S4'!F18+'Jeudi S4'!F18+'Vendredi S4'!F18+'Samedi S4'!F18</f>
        <v>12</v>
      </c>
      <c r="G18" s="11">
        <f>+'Lundi S4'!G18+'Mardi S4'!G18+'Mercredi S4'!G18+'Jeudi S4'!G18+'Vendredi S4'!G18+'Samedi S4'!G18</f>
        <v>30</v>
      </c>
      <c r="H18" s="9">
        <f>+'Lundi S4'!H18+'Mardi S4'!H18+'Mercredi S4'!H18+'Jeudi S4'!H18+'Vendredi S4'!H18+'Samedi S4'!H18</f>
        <v>18</v>
      </c>
      <c r="I18" s="10">
        <f>+'Lundi S4'!I18+'Mardi S4'!I18+'Mercredi S4'!I18+'Jeudi S4'!I18+'Vendredi S4'!I18+'Samedi S4'!I18</f>
        <v>6</v>
      </c>
      <c r="J18" s="10">
        <f>+'Lundi S4'!J18+'Mardi S4'!J18+'Mercredi S4'!J18+'Jeudi S4'!J18+'Vendredi S4'!J18+'Samedi S4'!J18</f>
        <v>6</v>
      </c>
      <c r="K18" s="10">
        <f>+'Lundi S4'!K18+'Mardi S4'!K18+'Mercredi S4'!K18+'Jeudi S4'!K18+'Vendredi S4'!K18+'Samedi S4'!K18</f>
        <v>6</v>
      </c>
      <c r="L18" s="11">
        <f>+'Lundi S4'!L18+'Mardi S4'!L18+'Mercredi S4'!L18+'Jeudi S4'!L18+'Vendredi S4'!L18+'Samedi S4'!L18</f>
        <v>6</v>
      </c>
      <c r="M18" s="9">
        <f>+'Lundi S4'!M18+'Mardi S4'!M18+'Mercredi S4'!M18+'Jeudi S4'!M18+'Vendredi S4'!M18+'Samedi S4'!M18</f>
        <v>18</v>
      </c>
      <c r="N18" s="10">
        <f>+'Lundi S4'!N18+'Mardi S4'!N18+'Mercredi S4'!N18+'Jeudi S4'!N18+'Vendredi S4'!N18+'Samedi S4'!N18</f>
        <v>6</v>
      </c>
      <c r="O18" s="10">
        <f>+'Lundi S4'!O18+'Mardi S4'!O18+'Mercredi S4'!O18+'Jeudi S4'!O18+'Vendredi S4'!O18+'Samedi S4'!O18</f>
        <v>18</v>
      </c>
      <c r="P18" s="10">
        <f>+'Lundi S4'!P18+'Mardi S4'!P18+'Mercredi S4'!P18+'Jeudi S4'!P18+'Vendredi S4'!P18+'Samedi S4'!P18</f>
        <v>0</v>
      </c>
      <c r="Q18" s="11">
        <f>+'Lundi S4'!Q18+'Mardi S4'!Q18+'Mercredi S4'!Q18+'Jeudi S4'!Q18+'Vendredi S4'!Q18+'Samedi S4'!Q18</f>
        <v>0</v>
      </c>
      <c r="R18" s="61">
        <f>+'Lundi S4'!R18+'Mardi S4'!R18+'Mercredi S4'!R18+'Jeudi S4'!R18+'Vendredi S4'!R18+'Samedi S4'!R18</f>
        <v>3</v>
      </c>
      <c r="S18" s="62">
        <f>+'Lundi S4'!S18+'Mardi S4'!S18+'Mercredi S4'!S18+'Jeudi S4'!S18+'Vendredi S4'!S18+'Samedi S4'!S18</f>
        <v>0.99999999999999989</v>
      </c>
      <c r="T18" s="62">
        <f>+'Lundi S4'!T18+'Mardi S4'!T18+'Mercredi S4'!T18+'Jeudi S4'!T18+'Vendredi S4'!T18+'Samedi S4'!T18</f>
        <v>0.6</v>
      </c>
      <c r="U18" s="62">
        <f>+'Lundi S4'!U18+'Mardi S4'!U18+'Mercredi S4'!U18+'Jeudi S4'!U18+'Vendredi S4'!U18+'Samedi S4'!U18</f>
        <v>3.6</v>
      </c>
      <c r="V18" s="63">
        <f>+'Lundi S4'!V18+'Mardi S4'!V18+'Mercredi S4'!V18+'Jeudi S4'!V18+'Vendredi S4'!V18+'Samedi S4'!V18</f>
        <v>0.9</v>
      </c>
      <c r="W18" s="9">
        <f>+'Lundi S4'!W18+'Mardi S4'!W18+'Mercredi S4'!W18+'Jeudi S4'!W18+'Vendredi S4'!W18+'Samedi S4'!W18</f>
        <v>0</v>
      </c>
      <c r="X18" s="10">
        <f>+'Lundi S4'!X18+'Mardi S4'!X18+'Mercredi S4'!X18+'Jeudi S4'!X18+'Vendredi S4'!X18+'Samedi S4'!X18</f>
        <v>0</v>
      </c>
      <c r="Y18" s="10">
        <f>+'Lundi S4'!Y18+'Mardi S4'!Y18+'Mercredi S4'!Y18+'Jeudi S4'!Y18+'Vendredi S4'!Y18+'Samedi S4'!Y18</f>
        <v>0</v>
      </c>
      <c r="Z18" s="10">
        <f>+'Lundi S4'!Z18+'Mardi S4'!Z18+'Mercredi S4'!Z18+'Jeudi S4'!Z18+'Vendredi S4'!Z18+'Samedi S4'!Z18</f>
        <v>0</v>
      </c>
      <c r="AA18" s="11">
        <f>+'Lundi S4'!AA18+'Mardi S4'!AA18+'Mercredi S4'!AA18+'Jeudi S4'!AA18+'Vendredi S4'!AA18+'Samedi S4'!AA18</f>
        <v>0</v>
      </c>
      <c r="AB18" s="9">
        <f>+'Lundi S4'!AB18+'Mardi S4'!AB18+'Mercredi S4'!AB18+'Jeudi S4'!AB18+'Vendredi S4'!AB18+'Samedi S4'!AB18</f>
        <v>0</v>
      </c>
      <c r="AC18" s="10">
        <f>+'Lundi S4'!AC18+'Mardi S4'!AC18+'Mercredi S4'!AC18+'Jeudi S4'!AC18+'Vendredi S4'!AC18+'Samedi S4'!AC18</f>
        <v>0</v>
      </c>
      <c r="AD18" s="10">
        <f>+'Lundi S4'!AD18+'Mardi S4'!AD18+'Mercredi S4'!AD18+'Jeudi S4'!AD18+'Vendredi S4'!AD18+'Samedi S4'!AD18</f>
        <v>0</v>
      </c>
      <c r="AE18" s="10">
        <f>+'Lundi S4'!AE18+'Mardi S4'!AE18+'Mercredi S4'!AE18+'Jeudi S4'!AE18+'Vendredi S4'!AE18+'Samedi S4'!AE18</f>
        <v>0</v>
      </c>
      <c r="AF18" s="11">
        <f>+'Lundi S4'!AF18+'Mardi S4'!AF18+'Mercredi S4'!AF18+'Jeudi S4'!AF18+'Vendredi S4'!AF18+'Samedi S4'!AF18</f>
        <v>0</v>
      </c>
      <c r="AG18" s="9">
        <f>+'Lundi S4'!AG18+'Mardi S4'!AG18+'Mercredi S4'!AG18+'Jeudi S4'!AG18+'Vendredi S4'!AG18+'Samedi S4'!AG18</f>
        <v>0</v>
      </c>
      <c r="AH18" s="10">
        <f>+'Lundi S4'!AH18+'Mardi S4'!AH18+'Mercredi S4'!AH18+'Jeudi S4'!AH18+'Vendredi S4'!AH18+'Samedi S4'!AH18</f>
        <v>0</v>
      </c>
      <c r="AI18" s="10">
        <f>+'Lundi S4'!AI18+'Mardi S4'!AI18+'Mercredi S4'!AI18+'Jeudi S4'!AI18+'Vendredi S4'!AI18+'Samedi S4'!AI18</f>
        <v>0</v>
      </c>
      <c r="AJ18" s="10">
        <f>+'Lundi S4'!AJ18+'Mardi S4'!AJ18+'Mercredi S4'!AJ18+'Jeudi S4'!AJ18+'Vendredi S4'!AJ18+'Samedi S4'!AJ18</f>
        <v>0</v>
      </c>
      <c r="AK18" s="11">
        <f>+'Lundi S4'!AK18+'Mardi S4'!AK18+'Mercredi S4'!AK18+'Jeudi S4'!AK18+'Vendredi S4'!AK18+'Samedi S4'!AK18</f>
        <v>0</v>
      </c>
      <c r="AL18" s="9">
        <f>+'Lundi S4'!AL18+'Mardi S4'!AL18+'Mercredi S4'!AL18+'Jeudi S4'!AL18+'Vendredi S4'!AL18+'Samedi S4'!AL18</f>
        <v>0</v>
      </c>
      <c r="AM18" s="10">
        <f>+'Lundi S4'!AM18+'Mardi S4'!AM18+'Mercredi S4'!AM18+'Jeudi S4'!AM18+'Vendredi S4'!AM18+'Samedi S4'!AM18</f>
        <v>0</v>
      </c>
      <c r="AN18" s="10">
        <f>+'Lundi S4'!AN18+'Mardi S4'!AN18+'Mercredi S4'!AN18+'Jeudi S4'!AN18+'Vendredi S4'!AN18+'Samedi S4'!AN18</f>
        <v>0</v>
      </c>
      <c r="AO18" s="10">
        <f>+'Lundi S4'!AO18+'Mardi S4'!AO18+'Mercredi S4'!AO18+'Jeudi S4'!AO18+'Vendredi S4'!AO18+'Samedi S4'!AO18</f>
        <v>0</v>
      </c>
      <c r="AP18" s="11">
        <f>+'Lundi S4'!AP18+'Mardi S4'!AP18+'Mercredi S4'!AP18+'Jeudi S4'!AP18+'Vendredi S4'!AP18+'Samedi S4'!AP18</f>
        <v>0</v>
      </c>
      <c r="AQ18" s="9">
        <f>+'Lundi S4'!AQ18+'Mardi S4'!AQ18+'Mercredi S4'!AQ18+'Jeudi S4'!AQ18+'Vendredi S4'!AQ18+'Samedi S4'!AQ18</f>
        <v>0</v>
      </c>
      <c r="AR18" s="10">
        <f>+'Lundi S4'!AR18+'Mardi S4'!AR18+'Mercredi S4'!AR18+'Jeudi S4'!AR18+'Vendredi S4'!AR18+'Samedi S4'!AR18</f>
        <v>0</v>
      </c>
      <c r="AS18" s="11">
        <f>+'Lundi S4'!AS18+'Mardi S4'!AS18+'Mercredi S4'!AS18+'Jeudi S4'!AS18+'Vendredi S4'!AS18+'Samedi S4'!AS18</f>
        <v>0</v>
      </c>
      <c r="AT18" s="22"/>
      <c r="AU18" s="14"/>
    </row>
    <row r="19" spans="1:47" ht="31.9" customHeight="1" x14ac:dyDescent="0.2">
      <c r="A19" s="26">
        <v>13</v>
      </c>
      <c r="B19" s="19"/>
      <c r="C19" s="9">
        <f>+'Lundi S4'!C19+'Mardi S4'!C19+'Mercredi S4'!C19+'Jeudi S4'!C19+'Vendredi S4'!C19+'Samedi S4'!C19</f>
        <v>90</v>
      </c>
      <c r="D19" s="10">
        <f>+'Lundi S4'!D19+'Mardi S4'!D19+'Mercredi S4'!D19+'Jeudi S4'!D19+'Vendredi S4'!D19+'Samedi S4'!D19</f>
        <v>18</v>
      </c>
      <c r="E19" s="10">
        <f>+'Lundi S4'!E19+'Mardi S4'!E19+'Mercredi S4'!E19+'Jeudi S4'!E19+'Vendredi S4'!E19+'Samedi S4'!E19</f>
        <v>30</v>
      </c>
      <c r="F19" s="10">
        <f>+'Lundi S4'!F19+'Mardi S4'!F19+'Mercredi S4'!F19+'Jeudi S4'!F19+'Vendredi S4'!F19+'Samedi S4'!F19</f>
        <v>12</v>
      </c>
      <c r="G19" s="11">
        <f>+'Lundi S4'!G19+'Mardi S4'!G19+'Mercredi S4'!G19+'Jeudi S4'!G19+'Vendredi S4'!G19+'Samedi S4'!G19</f>
        <v>30</v>
      </c>
      <c r="H19" s="9">
        <f>+'Lundi S4'!H19+'Mardi S4'!H19+'Mercredi S4'!H19+'Jeudi S4'!H19+'Vendredi S4'!H19+'Samedi S4'!H19</f>
        <v>18</v>
      </c>
      <c r="I19" s="10">
        <f>+'Lundi S4'!I19+'Mardi S4'!I19+'Mercredi S4'!I19+'Jeudi S4'!I19+'Vendredi S4'!I19+'Samedi S4'!I19</f>
        <v>6</v>
      </c>
      <c r="J19" s="10">
        <f>+'Lundi S4'!J19+'Mardi S4'!J19+'Mercredi S4'!J19+'Jeudi S4'!J19+'Vendredi S4'!J19+'Samedi S4'!J19</f>
        <v>6</v>
      </c>
      <c r="K19" s="10">
        <f>+'Lundi S4'!K19+'Mardi S4'!K19+'Mercredi S4'!K19+'Jeudi S4'!K19+'Vendredi S4'!K19+'Samedi S4'!K19</f>
        <v>6</v>
      </c>
      <c r="L19" s="11">
        <f>+'Lundi S4'!L19+'Mardi S4'!L19+'Mercredi S4'!L19+'Jeudi S4'!L19+'Vendredi S4'!L19+'Samedi S4'!L19</f>
        <v>6</v>
      </c>
      <c r="M19" s="9">
        <f>+'Lundi S4'!M19+'Mardi S4'!M19+'Mercredi S4'!M19+'Jeudi S4'!M19+'Vendredi S4'!M19+'Samedi S4'!M19</f>
        <v>18</v>
      </c>
      <c r="N19" s="10">
        <f>+'Lundi S4'!N19+'Mardi S4'!N19+'Mercredi S4'!N19+'Jeudi S4'!N19+'Vendredi S4'!N19+'Samedi S4'!N19</f>
        <v>6</v>
      </c>
      <c r="O19" s="10">
        <f>+'Lundi S4'!O19+'Mardi S4'!O19+'Mercredi S4'!O19+'Jeudi S4'!O19+'Vendredi S4'!O19+'Samedi S4'!O19</f>
        <v>18</v>
      </c>
      <c r="P19" s="10">
        <f>+'Lundi S4'!P19+'Mardi S4'!P19+'Mercredi S4'!P19+'Jeudi S4'!P19+'Vendredi S4'!P19+'Samedi S4'!P19</f>
        <v>0</v>
      </c>
      <c r="Q19" s="11">
        <f>+'Lundi S4'!Q19+'Mardi S4'!Q19+'Mercredi S4'!Q19+'Jeudi S4'!Q19+'Vendredi S4'!Q19+'Samedi S4'!Q19</f>
        <v>0</v>
      </c>
      <c r="R19" s="61">
        <f>+'Lundi S4'!R19+'Mardi S4'!R19+'Mercredi S4'!R19+'Jeudi S4'!R19+'Vendredi S4'!R19+'Samedi S4'!R19</f>
        <v>3</v>
      </c>
      <c r="S19" s="62">
        <f>+'Lundi S4'!S19+'Mardi S4'!S19+'Mercredi S4'!S19+'Jeudi S4'!S19+'Vendredi S4'!S19+'Samedi S4'!S19</f>
        <v>0.99999999999999989</v>
      </c>
      <c r="T19" s="62">
        <f>+'Lundi S4'!T19+'Mardi S4'!T19+'Mercredi S4'!T19+'Jeudi S4'!T19+'Vendredi S4'!T19+'Samedi S4'!T19</f>
        <v>0.6</v>
      </c>
      <c r="U19" s="62">
        <f>+'Lundi S4'!U19+'Mardi S4'!U19+'Mercredi S4'!U19+'Jeudi S4'!U19+'Vendredi S4'!U19+'Samedi S4'!U19</f>
        <v>3.6</v>
      </c>
      <c r="V19" s="63">
        <f>+'Lundi S4'!V19+'Mardi S4'!V19+'Mercredi S4'!V19+'Jeudi S4'!V19+'Vendredi S4'!V19+'Samedi S4'!V19</f>
        <v>0.9</v>
      </c>
      <c r="W19" s="9">
        <f>+'Lundi S4'!W19+'Mardi S4'!W19+'Mercredi S4'!W19+'Jeudi S4'!W19+'Vendredi S4'!W19+'Samedi S4'!W19</f>
        <v>0</v>
      </c>
      <c r="X19" s="10">
        <f>+'Lundi S4'!X19+'Mardi S4'!X19+'Mercredi S4'!X19+'Jeudi S4'!X19+'Vendredi S4'!X19+'Samedi S4'!X19</f>
        <v>0</v>
      </c>
      <c r="Y19" s="10">
        <f>+'Lundi S4'!Y19+'Mardi S4'!Y19+'Mercredi S4'!Y19+'Jeudi S4'!Y19+'Vendredi S4'!Y19+'Samedi S4'!Y19</f>
        <v>0</v>
      </c>
      <c r="Z19" s="10">
        <f>+'Lundi S4'!Z19+'Mardi S4'!Z19+'Mercredi S4'!Z19+'Jeudi S4'!Z19+'Vendredi S4'!Z19+'Samedi S4'!Z19</f>
        <v>0</v>
      </c>
      <c r="AA19" s="11">
        <f>+'Lundi S4'!AA19+'Mardi S4'!AA19+'Mercredi S4'!AA19+'Jeudi S4'!AA19+'Vendredi S4'!AA19+'Samedi S4'!AA19</f>
        <v>0</v>
      </c>
      <c r="AB19" s="9">
        <f>+'Lundi S4'!AB19+'Mardi S4'!AB19+'Mercredi S4'!AB19+'Jeudi S4'!AB19+'Vendredi S4'!AB19+'Samedi S4'!AB19</f>
        <v>0</v>
      </c>
      <c r="AC19" s="10">
        <f>+'Lundi S4'!AC19+'Mardi S4'!AC19+'Mercredi S4'!AC19+'Jeudi S4'!AC19+'Vendredi S4'!AC19+'Samedi S4'!AC19</f>
        <v>0</v>
      </c>
      <c r="AD19" s="10">
        <f>+'Lundi S4'!AD19+'Mardi S4'!AD19+'Mercredi S4'!AD19+'Jeudi S4'!AD19+'Vendredi S4'!AD19+'Samedi S4'!AD19</f>
        <v>0</v>
      </c>
      <c r="AE19" s="10">
        <f>+'Lundi S4'!AE19+'Mardi S4'!AE19+'Mercredi S4'!AE19+'Jeudi S4'!AE19+'Vendredi S4'!AE19+'Samedi S4'!AE19</f>
        <v>0</v>
      </c>
      <c r="AF19" s="11">
        <f>+'Lundi S4'!AF19+'Mardi S4'!AF19+'Mercredi S4'!AF19+'Jeudi S4'!AF19+'Vendredi S4'!AF19+'Samedi S4'!AF19</f>
        <v>0</v>
      </c>
      <c r="AG19" s="9">
        <f>+'Lundi S4'!AG19+'Mardi S4'!AG19+'Mercredi S4'!AG19+'Jeudi S4'!AG19+'Vendredi S4'!AG19+'Samedi S4'!AG19</f>
        <v>0</v>
      </c>
      <c r="AH19" s="10">
        <f>+'Lundi S4'!AH19+'Mardi S4'!AH19+'Mercredi S4'!AH19+'Jeudi S4'!AH19+'Vendredi S4'!AH19+'Samedi S4'!AH19</f>
        <v>0</v>
      </c>
      <c r="AI19" s="10">
        <f>+'Lundi S4'!AI19+'Mardi S4'!AI19+'Mercredi S4'!AI19+'Jeudi S4'!AI19+'Vendredi S4'!AI19+'Samedi S4'!AI19</f>
        <v>0</v>
      </c>
      <c r="AJ19" s="10">
        <f>+'Lundi S4'!AJ19+'Mardi S4'!AJ19+'Mercredi S4'!AJ19+'Jeudi S4'!AJ19+'Vendredi S4'!AJ19+'Samedi S4'!AJ19</f>
        <v>0</v>
      </c>
      <c r="AK19" s="11">
        <f>+'Lundi S4'!AK19+'Mardi S4'!AK19+'Mercredi S4'!AK19+'Jeudi S4'!AK19+'Vendredi S4'!AK19+'Samedi S4'!AK19</f>
        <v>0</v>
      </c>
      <c r="AL19" s="9">
        <f>+'Lundi S4'!AL19+'Mardi S4'!AL19+'Mercredi S4'!AL19+'Jeudi S4'!AL19+'Vendredi S4'!AL19+'Samedi S4'!AL19</f>
        <v>0</v>
      </c>
      <c r="AM19" s="10">
        <f>+'Lundi S4'!AM19+'Mardi S4'!AM19+'Mercredi S4'!AM19+'Jeudi S4'!AM19+'Vendredi S4'!AM19+'Samedi S4'!AM19</f>
        <v>0</v>
      </c>
      <c r="AN19" s="10">
        <f>+'Lundi S4'!AN19+'Mardi S4'!AN19+'Mercredi S4'!AN19+'Jeudi S4'!AN19+'Vendredi S4'!AN19+'Samedi S4'!AN19</f>
        <v>0</v>
      </c>
      <c r="AO19" s="10">
        <f>+'Lundi S4'!AO19+'Mardi S4'!AO19+'Mercredi S4'!AO19+'Jeudi S4'!AO19+'Vendredi S4'!AO19+'Samedi S4'!AO19</f>
        <v>0</v>
      </c>
      <c r="AP19" s="11">
        <f>+'Lundi S4'!AP19+'Mardi S4'!AP19+'Mercredi S4'!AP19+'Jeudi S4'!AP19+'Vendredi S4'!AP19+'Samedi S4'!AP19</f>
        <v>0</v>
      </c>
      <c r="AQ19" s="9">
        <f>+'Lundi S4'!AQ19+'Mardi S4'!AQ19+'Mercredi S4'!AQ19+'Jeudi S4'!AQ19+'Vendredi S4'!AQ19+'Samedi S4'!AQ19</f>
        <v>0</v>
      </c>
      <c r="AR19" s="10">
        <f>+'Lundi S4'!AR19+'Mardi S4'!AR19+'Mercredi S4'!AR19+'Jeudi S4'!AR19+'Vendredi S4'!AR19+'Samedi S4'!AR19</f>
        <v>0</v>
      </c>
      <c r="AS19" s="11">
        <f>+'Lundi S4'!AS19+'Mardi S4'!AS19+'Mercredi S4'!AS19+'Jeudi S4'!AS19+'Vendredi S4'!AS19+'Samedi S4'!AS19</f>
        <v>0</v>
      </c>
      <c r="AT19" s="22"/>
      <c r="AU19" s="14"/>
    </row>
    <row r="20" spans="1:47" ht="31.9" customHeight="1" x14ac:dyDescent="0.2">
      <c r="A20" s="26">
        <v>14</v>
      </c>
      <c r="B20" s="19"/>
      <c r="C20" s="9">
        <f>+'Lundi S4'!C20+'Mardi S4'!C20+'Mercredi S4'!C20+'Jeudi S4'!C20+'Vendredi S4'!C20+'Samedi S4'!C20</f>
        <v>90</v>
      </c>
      <c r="D20" s="10">
        <f>+'Lundi S4'!D20+'Mardi S4'!D20+'Mercredi S4'!D20+'Jeudi S4'!D20+'Vendredi S4'!D20+'Samedi S4'!D20</f>
        <v>18</v>
      </c>
      <c r="E20" s="10">
        <f>+'Lundi S4'!E20+'Mardi S4'!E20+'Mercredi S4'!E20+'Jeudi S4'!E20+'Vendredi S4'!E20+'Samedi S4'!E20</f>
        <v>30</v>
      </c>
      <c r="F20" s="10">
        <f>+'Lundi S4'!F20+'Mardi S4'!F20+'Mercredi S4'!F20+'Jeudi S4'!F20+'Vendredi S4'!F20+'Samedi S4'!F20</f>
        <v>12</v>
      </c>
      <c r="G20" s="11">
        <f>+'Lundi S4'!G20+'Mardi S4'!G20+'Mercredi S4'!G20+'Jeudi S4'!G20+'Vendredi S4'!G20+'Samedi S4'!G20</f>
        <v>30</v>
      </c>
      <c r="H20" s="9">
        <f>+'Lundi S4'!H20+'Mardi S4'!H20+'Mercredi S4'!H20+'Jeudi S4'!H20+'Vendredi S4'!H20+'Samedi S4'!H20</f>
        <v>18</v>
      </c>
      <c r="I20" s="10">
        <f>+'Lundi S4'!I20+'Mardi S4'!I20+'Mercredi S4'!I20+'Jeudi S4'!I20+'Vendredi S4'!I20+'Samedi S4'!I20</f>
        <v>6</v>
      </c>
      <c r="J20" s="10">
        <f>+'Lundi S4'!J20+'Mardi S4'!J20+'Mercredi S4'!J20+'Jeudi S4'!J20+'Vendredi S4'!J20+'Samedi S4'!J20</f>
        <v>6</v>
      </c>
      <c r="K20" s="10">
        <f>+'Lundi S4'!K20+'Mardi S4'!K20+'Mercredi S4'!K20+'Jeudi S4'!K20+'Vendredi S4'!K20+'Samedi S4'!K20</f>
        <v>6</v>
      </c>
      <c r="L20" s="11">
        <f>+'Lundi S4'!L20+'Mardi S4'!L20+'Mercredi S4'!L20+'Jeudi S4'!L20+'Vendredi S4'!L20+'Samedi S4'!L20</f>
        <v>6</v>
      </c>
      <c r="M20" s="9">
        <f>+'Lundi S4'!M20+'Mardi S4'!M20+'Mercredi S4'!M20+'Jeudi S4'!M20+'Vendredi S4'!M20+'Samedi S4'!M20</f>
        <v>18</v>
      </c>
      <c r="N20" s="10">
        <f>+'Lundi S4'!N20+'Mardi S4'!N20+'Mercredi S4'!N20+'Jeudi S4'!N20+'Vendredi S4'!N20+'Samedi S4'!N20</f>
        <v>6</v>
      </c>
      <c r="O20" s="10">
        <f>+'Lundi S4'!O20+'Mardi S4'!O20+'Mercredi S4'!O20+'Jeudi S4'!O20+'Vendredi S4'!O20+'Samedi S4'!O20</f>
        <v>18</v>
      </c>
      <c r="P20" s="10">
        <f>+'Lundi S4'!P20+'Mardi S4'!P20+'Mercredi S4'!P20+'Jeudi S4'!P20+'Vendredi S4'!P20+'Samedi S4'!P20</f>
        <v>0</v>
      </c>
      <c r="Q20" s="11">
        <f>+'Lundi S4'!Q20+'Mardi S4'!Q20+'Mercredi S4'!Q20+'Jeudi S4'!Q20+'Vendredi S4'!Q20+'Samedi S4'!Q20</f>
        <v>0</v>
      </c>
      <c r="R20" s="61">
        <f>+'Lundi S4'!R20+'Mardi S4'!R20+'Mercredi S4'!R20+'Jeudi S4'!R20+'Vendredi S4'!R20+'Samedi S4'!R20</f>
        <v>3</v>
      </c>
      <c r="S20" s="62">
        <f>+'Lundi S4'!S20+'Mardi S4'!S20+'Mercredi S4'!S20+'Jeudi S4'!S20+'Vendredi S4'!S20+'Samedi S4'!S20</f>
        <v>0.99999999999999989</v>
      </c>
      <c r="T20" s="62">
        <f>+'Lundi S4'!T20+'Mardi S4'!T20+'Mercredi S4'!T20+'Jeudi S4'!T20+'Vendredi S4'!T20+'Samedi S4'!T20</f>
        <v>0.6</v>
      </c>
      <c r="U20" s="62">
        <f>+'Lundi S4'!U20+'Mardi S4'!U20+'Mercredi S4'!U20+'Jeudi S4'!U20+'Vendredi S4'!U20+'Samedi S4'!U20</f>
        <v>3.6</v>
      </c>
      <c r="V20" s="63">
        <f>+'Lundi S4'!V20+'Mardi S4'!V20+'Mercredi S4'!V20+'Jeudi S4'!V20+'Vendredi S4'!V20+'Samedi S4'!V20</f>
        <v>0.9</v>
      </c>
      <c r="W20" s="9">
        <f>+'Lundi S4'!W20+'Mardi S4'!W20+'Mercredi S4'!W20+'Jeudi S4'!W20+'Vendredi S4'!W20+'Samedi S4'!W20</f>
        <v>0</v>
      </c>
      <c r="X20" s="10">
        <f>+'Lundi S4'!X20+'Mardi S4'!X20+'Mercredi S4'!X20+'Jeudi S4'!X20+'Vendredi S4'!X20+'Samedi S4'!X20</f>
        <v>0</v>
      </c>
      <c r="Y20" s="10">
        <f>+'Lundi S4'!Y20+'Mardi S4'!Y20+'Mercredi S4'!Y20+'Jeudi S4'!Y20+'Vendredi S4'!Y20+'Samedi S4'!Y20</f>
        <v>0</v>
      </c>
      <c r="Z20" s="10">
        <f>+'Lundi S4'!Z20+'Mardi S4'!Z20+'Mercredi S4'!Z20+'Jeudi S4'!Z20+'Vendredi S4'!Z20+'Samedi S4'!Z20</f>
        <v>0</v>
      </c>
      <c r="AA20" s="11">
        <f>+'Lundi S4'!AA20+'Mardi S4'!AA20+'Mercredi S4'!AA20+'Jeudi S4'!AA20+'Vendredi S4'!AA20+'Samedi S4'!AA20</f>
        <v>0</v>
      </c>
      <c r="AB20" s="9">
        <f>+'Lundi S4'!AB20+'Mardi S4'!AB20+'Mercredi S4'!AB20+'Jeudi S4'!AB20+'Vendredi S4'!AB20+'Samedi S4'!AB20</f>
        <v>0</v>
      </c>
      <c r="AC20" s="10">
        <f>+'Lundi S4'!AC20+'Mardi S4'!AC20+'Mercredi S4'!AC20+'Jeudi S4'!AC20+'Vendredi S4'!AC20+'Samedi S4'!AC20</f>
        <v>0</v>
      </c>
      <c r="AD20" s="10">
        <f>+'Lundi S4'!AD20+'Mardi S4'!AD20+'Mercredi S4'!AD20+'Jeudi S4'!AD20+'Vendredi S4'!AD20+'Samedi S4'!AD20</f>
        <v>0</v>
      </c>
      <c r="AE20" s="10">
        <f>+'Lundi S4'!AE20+'Mardi S4'!AE20+'Mercredi S4'!AE20+'Jeudi S4'!AE20+'Vendredi S4'!AE20+'Samedi S4'!AE20</f>
        <v>0</v>
      </c>
      <c r="AF20" s="11">
        <f>+'Lundi S4'!AF20+'Mardi S4'!AF20+'Mercredi S4'!AF20+'Jeudi S4'!AF20+'Vendredi S4'!AF20+'Samedi S4'!AF20</f>
        <v>0</v>
      </c>
      <c r="AG20" s="9">
        <f>+'Lundi S4'!AG20+'Mardi S4'!AG20+'Mercredi S4'!AG20+'Jeudi S4'!AG20+'Vendredi S4'!AG20+'Samedi S4'!AG20</f>
        <v>0</v>
      </c>
      <c r="AH20" s="10">
        <f>+'Lundi S4'!AH20+'Mardi S4'!AH20+'Mercredi S4'!AH20+'Jeudi S4'!AH20+'Vendredi S4'!AH20+'Samedi S4'!AH20</f>
        <v>0</v>
      </c>
      <c r="AI20" s="10">
        <f>+'Lundi S4'!AI20+'Mardi S4'!AI20+'Mercredi S4'!AI20+'Jeudi S4'!AI20+'Vendredi S4'!AI20+'Samedi S4'!AI20</f>
        <v>0</v>
      </c>
      <c r="AJ20" s="10">
        <f>+'Lundi S4'!AJ20+'Mardi S4'!AJ20+'Mercredi S4'!AJ20+'Jeudi S4'!AJ20+'Vendredi S4'!AJ20+'Samedi S4'!AJ20</f>
        <v>0</v>
      </c>
      <c r="AK20" s="11">
        <f>+'Lundi S4'!AK20+'Mardi S4'!AK20+'Mercredi S4'!AK20+'Jeudi S4'!AK20+'Vendredi S4'!AK20+'Samedi S4'!AK20</f>
        <v>0</v>
      </c>
      <c r="AL20" s="9">
        <f>+'Lundi S4'!AL20+'Mardi S4'!AL20+'Mercredi S4'!AL20+'Jeudi S4'!AL20+'Vendredi S4'!AL20+'Samedi S4'!AL20</f>
        <v>0</v>
      </c>
      <c r="AM20" s="10">
        <f>+'Lundi S4'!AM20+'Mardi S4'!AM20+'Mercredi S4'!AM20+'Jeudi S4'!AM20+'Vendredi S4'!AM20+'Samedi S4'!AM20</f>
        <v>0</v>
      </c>
      <c r="AN20" s="10">
        <f>+'Lundi S4'!AN20+'Mardi S4'!AN20+'Mercredi S4'!AN20+'Jeudi S4'!AN20+'Vendredi S4'!AN20+'Samedi S4'!AN20</f>
        <v>0</v>
      </c>
      <c r="AO20" s="10">
        <f>+'Lundi S4'!AO20+'Mardi S4'!AO20+'Mercredi S4'!AO20+'Jeudi S4'!AO20+'Vendredi S4'!AO20+'Samedi S4'!AO20</f>
        <v>0</v>
      </c>
      <c r="AP20" s="11">
        <f>+'Lundi S4'!AP20+'Mardi S4'!AP20+'Mercredi S4'!AP20+'Jeudi S4'!AP20+'Vendredi S4'!AP20+'Samedi S4'!AP20</f>
        <v>0</v>
      </c>
      <c r="AQ20" s="9">
        <f>+'Lundi S4'!AQ20+'Mardi S4'!AQ20+'Mercredi S4'!AQ20+'Jeudi S4'!AQ20+'Vendredi S4'!AQ20+'Samedi S4'!AQ20</f>
        <v>0</v>
      </c>
      <c r="AR20" s="10">
        <f>+'Lundi S4'!AR20+'Mardi S4'!AR20+'Mercredi S4'!AR20+'Jeudi S4'!AR20+'Vendredi S4'!AR20+'Samedi S4'!AR20</f>
        <v>0</v>
      </c>
      <c r="AS20" s="11">
        <f>+'Lundi S4'!AS20+'Mardi S4'!AS20+'Mercredi S4'!AS20+'Jeudi S4'!AS20+'Vendredi S4'!AS20+'Samedi S4'!AS20</f>
        <v>0</v>
      </c>
      <c r="AT20" s="22"/>
      <c r="AU20" s="14"/>
    </row>
    <row r="21" spans="1:47" ht="31.9" customHeight="1" x14ac:dyDescent="0.2">
      <c r="A21" s="26">
        <v>15</v>
      </c>
      <c r="B21" s="19"/>
      <c r="C21" s="9">
        <f>+'Lundi S4'!C21+'Mardi S4'!C21+'Mercredi S4'!C21+'Jeudi S4'!C21+'Vendredi S4'!C21+'Samedi S4'!C21</f>
        <v>90</v>
      </c>
      <c r="D21" s="10">
        <f>+'Lundi S4'!D21+'Mardi S4'!D21+'Mercredi S4'!D21+'Jeudi S4'!D21+'Vendredi S4'!D21+'Samedi S4'!D21</f>
        <v>18</v>
      </c>
      <c r="E21" s="10">
        <f>+'Lundi S4'!E21+'Mardi S4'!E21+'Mercredi S4'!E21+'Jeudi S4'!E21+'Vendredi S4'!E21+'Samedi S4'!E21</f>
        <v>30</v>
      </c>
      <c r="F21" s="10">
        <f>+'Lundi S4'!F21+'Mardi S4'!F21+'Mercredi S4'!F21+'Jeudi S4'!F21+'Vendredi S4'!F21+'Samedi S4'!F21</f>
        <v>12</v>
      </c>
      <c r="G21" s="11">
        <f>+'Lundi S4'!G21+'Mardi S4'!G21+'Mercredi S4'!G21+'Jeudi S4'!G21+'Vendredi S4'!G21+'Samedi S4'!G21</f>
        <v>30</v>
      </c>
      <c r="H21" s="9">
        <f>+'Lundi S4'!H21+'Mardi S4'!H21+'Mercredi S4'!H21+'Jeudi S4'!H21+'Vendredi S4'!H21+'Samedi S4'!H21</f>
        <v>18</v>
      </c>
      <c r="I21" s="10">
        <f>+'Lundi S4'!I21+'Mardi S4'!I21+'Mercredi S4'!I21+'Jeudi S4'!I21+'Vendredi S4'!I21+'Samedi S4'!I21</f>
        <v>6</v>
      </c>
      <c r="J21" s="10">
        <f>+'Lundi S4'!J21+'Mardi S4'!J21+'Mercredi S4'!J21+'Jeudi S4'!J21+'Vendredi S4'!J21+'Samedi S4'!J21</f>
        <v>6</v>
      </c>
      <c r="K21" s="10">
        <f>+'Lundi S4'!K21+'Mardi S4'!K21+'Mercredi S4'!K21+'Jeudi S4'!K21+'Vendredi S4'!K21+'Samedi S4'!K21</f>
        <v>6</v>
      </c>
      <c r="L21" s="11">
        <f>+'Lundi S4'!L21+'Mardi S4'!L21+'Mercredi S4'!L21+'Jeudi S4'!L21+'Vendredi S4'!L21+'Samedi S4'!L21</f>
        <v>6</v>
      </c>
      <c r="M21" s="9">
        <f>+'Lundi S4'!M21+'Mardi S4'!M21+'Mercredi S4'!M21+'Jeudi S4'!M21+'Vendredi S4'!M21+'Samedi S4'!M21</f>
        <v>18</v>
      </c>
      <c r="N21" s="10">
        <f>+'Lundi S4'!N21+'Mardi S4'!N21+'Mercredi S4'!N21+'Jeudi S4'!N21+'Vendredi S4'!N21+'Samedi S4'!N21</f>
        <v>6</v>
      </c>
      <c r="O21" s="10">
        <f>+'Lundi S4'!O21+'Mardi S4'!O21+'Mercredi S4'!O21+'Jeudi S4'!O21+'Vendredi S4'!O21+'Samedi S4'!O21</f>
        <v>18</v>
      </c>
      <c r="P21" s="10">
        <f>+'Lundi S4'!P21+'Mardi S4'!P21+'Mercredi S4'!P21+'Jeudi S4'!P21+'Vendredi S4'!P21+'Samedi S4'!P21</f>
        <v>0</v>
      </c>
      <c r="Q21" s="11">
        <f>+'Lundi S4'!Q21+'Mardi S4'!Q21+'Mercredi S4'!Q21+'Jeudi S4'!Q21+'Vendredi S4'!Q21+'Samedi S4'!Q21</f>
        <v>0</v>
      </c>
      <c r="R21" s="61">
        <f>+'Lundi S4'!R21+'Mardi S4'!R21+'Mercredi S4'!R21+'Jeudi S4'!R21+'Vendredi S4'!R21+'Samedi S4'!R21</f>
        <v>3</v>
      </c>
      <c r="S21" s="62">
        <f>+'Lundi S4'!S21+'Mardi S4'!S21+'Mercredi S4'!S21+'Jeudi S4'!S21+'Vendredi S4'!S21+'Samedi S4'!S21</f>
        <v>0.99999999999999989</v>
      </c>
      <c r="T21" s="62">
        <f>+'Lundi S4'!T21+'Mardi S4'!T21+'Mercredi S4'!T21+'Jeudi S4'!T21+'Vendredi S4'!T21+'Samedi S4'!T21</f>
        <v>0.6</v>
      </c>
      <c r="U21" s="62">
        <f>+'Lundi S4'!U21+'Mardi S4'!U21+'Mercredi S4'!U21+'Jeudi S4'!U21+'Vendredi S4'!U21+'Samedi S4'!U21</f>
        <v>3.6</v>
      </c>
      <c r="V21" s="63">
        <f>+'Lundi S4'!V21+'Mardi S4'!V21+'Mercredi S4'!V21+'Jeudi S4'!V21+'Vendredi S4'!V21+'Samedi S4'!V21</f>
        <v>0.9</v>
      </c>
      <c r="W21" s="9">
        <f>+'Lundi S4'!W21+'Mardi S4'!W21+'Mercredi S4'!W21+'Jeudi S4'!W21+'Vendredi S4'!W21+'Samedi S4'!W21</f>
        <v>0</v>
      </c>
      <c r="X21" s="10">
        <f>+'Lundi S4'!X21+'Mardi S4'!X21+'Mercredi S4'!X21+'Jeudi S4'!X21+'Vendredi S4'!X21+'Samedi S4'!X21</f>
        <v>0</v>
      </c>
      <c r="Y21" s="10">
        <f>+'Lundi S4'!Y21+'Mardi S4'!Y21+'Mercredi S4'!Y21+'Jeudi S4'!Y21+'Vendredi S4'!Y21+'Samedi S4'!Y21</f>
        <v>0</v>
      </c>
      <c r="Z21" s="10">
        <f>+'Lundi S4'!Z21+'Mardi S4'!Z21+'Mercredi S4'!Z21+'Jeudi S4'!Z21+'Vendredi S4'!Z21+'Samedi S4'!Z21</f>
        <v>0</v>
      </c>
      <c r="AA21" s="11">
        <f>+'Lundi S4'!AA21+'Mardi S4'!AA21+'Mercredi S4'!AA21+'Jeudi S4'!AA21+'Vendredi S4'!AA21+'Samedi S4'!AA21</f>
        <v>0</v>
      </c>
      <c r="AB21" s="9">
        <f>+'Lundi S4'!AB21+'Mardi S4'!AB21+'Mercredi S4'!AB21+'Jeudi S4'!AB21+'Vendredi S4'!AB21+'Samedi S4'!AB21</f>
        <v>0</v>
      </c>
      <c r="AC21" s="10">
        <f>+'Lundi S4'!AC21+'Mardi S4'!AC21+'Mercredi S4'!AC21+'Jeudi S4'!AC21+'Vendredi S4'!AC21+'Samedi S4'!AC21</f>
        <v>0</v>
      </c>
      <c r="AD21" s="10">
        <f>+'Lundi S4'!AD21+'Mardi S4'!AD21+'Mercredi S4'!AD21+'Jeudi S4'!AD21+'Vendredi S4'!AD21+'Samedi S4'!AD21</f>
        <v>0</v>
      </c>
      <c r="AE21" s="10">
        <f>+'Lundi S4'!AE21+'Mardi S4'!AE21+'Mercredi S4'!AE21+'Jeudi S4'!AE21+'Vendredi S4'!AE21+'Samedi S4'!AE21</f>
        <v>0</v>
      </c>
      <c r="AF21" s="11">
        <f>+'Lundi S4'!AF21+'Mardi S4'!AF21+'Mercredi S4'!AF21+'Jeudi S4'!AF21+'Vendredi S4'!AF21+'Samedi S4'!AF21</f>
        <v>0</v>
      </c>
      <c r="AG21" s="9">
        <f>+'Lundi S4'!AG21+'Mardi S4'!AG21+'Mercredi S4'!AG21+'Jeudi S4'!AG21+'Vendredi S4'!AG21+'Samedi S4'!AG21</f>
        <v>0</v>
      </c>
      <c r="AH21" s="10">
        <f>+'Lundi S4'!AH21+'Mardi S4'!AH21+'Mercredi S4'!AH21+'Jeudi S4'!AH21+'Vendredi S4'!AH21+'Samedi S4'!AH21</f>
        <v>0</v>
      </c>
      <c r="AI21" s="10">
        <f>+'Lundi S4'!AI21+'Mardi S4'!AI21+'Mercredi S4'!AI21+'Jeudi S4'!AI21+'Vendredi S4'!AI21+'Samedi S4'!AI21</f>
        <v>0</v>
      </c>
      <c r="AJ21" s="10">
        <f>+'Lundi S4'!AJ21+'Mardi S4'!AJ21+'Mercredi S4'!AJ21+'Jeudi S4'!AJ21+'Vendredi S4'!AJ21+'Samedi S4'!AJ21</f>
        <v>0</v>
      </c>
      <c r="AK21" s="11">
        <f>+'Lundi S4'!AK21+'Mardi S4'!AK21+'Mercredi S4'!AK21+'Jeudi S4'!AK21+'Vendredi S4'!AK21+'Samedi S4'!AK21</f>
        <v>0</v>
      </c>
      <c r="AL21" s="9">
        <f>+'Lundi S4'!AL21+'Mardi S4'!AL21+'Mercredi S4'!AL21+'Jeudi S4'!AL21+'Vendredi S4'!AL21+'Samedi S4'!AL21</f>
        <v>0</v>
      </c>
      <c r="AM21" s="10">
        <f>+'Lundi S4'!AM21+'Mardi S4'!AM21+'Mercredi S4'!AM21+'Jeudi S4'!AM21+'Vendredi S4'!AM21+'Samedi S4'!AM21</f>
        <v>0</v>
      </c>
      <c r="AN21" s="10">
        <f>+'Lundi S4'!AN21+'Mardi S4'!AN21+'Mercredi S4'!AN21+'Jeudi S4'!AN21+'Vendredi S4'!AN21+'Samedi S4'!AN21</f>
        <v>0</v>
      </c>
      <c r="AO21" s="10">
        <f>+'Lundi S4'!AO21+'Mardi S4'!AO21+'Mercredi S4'!AO21+'Jeudi S4'!AO21+'Vendredi S4'!AO21+'Samedi S4'!AO21</f>
        <v>0</v>
      </c>
      <c r="AP21" s="11">
        <f>+'Lundi S4'!AP21+'Mardi S4'!AP21+'Mercredi S4'!AP21+'Jeudi S4'!AP21+'Vendredi S4'!AP21+'Samedi S4'!AP21</f>
        <v>0</v>
      </c>
      <c r="AQ21" s="9">
        <f>+'Lundi S4'!AQ21+'Mardi S4'!AQ21+'Mercredi S4'!AQ21+'Jeudi S4'!AQ21+'Vendredi S4'!AQ21+'Samedi S4'!AQ21</f>
        <v>0</v>
      </c>
      <c r="AR21" s="10">
        <f>+'Lundi S4'!AR21+'Mardi S4'!AR21+'Mercredi S4'!AR21+'Jeudi S4'!AR21+'Vendredi S4'!AR21+'Samedi S4'!AR21</f>
        <v>0</v>
      </c>
      <c r="AS21" s="11">
        <f>+'Lundi S4'!AS21+'Mardi S4'!AS21+'Mercredi S4'!AS21+'Jeudi S4'!AS21+'Vendredi S4'!AS21+'Samedi S4'!AS21</f>
        <v>0</v>
      </c>
      <c r="AT21" s="22"/>
      <c r="AU21" s="14"/>
    </row>
    <row r="22" spans="1:47" ht="31.9" customHeight="1" x14ac:dyDescent="0.2">
      <c r="A22" s="26">
        <v>16</v>
      </c>
      <c r="B22" s="19"/>
      <c r="C22" s="9">
        <f>+'Lundi S4'!C22+'Mardi S4'!C22+'Mercredi S4'!C22+'Jeudi S4'!C22+'Vendredi S4'!C22+'Samedi S4'!C22</f>
        <v>90</v>
      </c>
      <c r="D22" s="10">
        <f>+'Lundi S4'!D22+'Mardi S4'!D22+'Mercredi S4'!D22+'Jeudi S4'!D22+'Vendredi S4'!D22+'Samedi S4'!D22</f>
        <v>18</v>
      </c>
      <c r="E22" s="10">
        <f>+'Lundi S4'!E22+'Mardi S4'!E22+'Mercredi S4'!E22+'Jeudi S4'!E22+'Vendredi S4'!E22+'Samedi S4'!E22</f>
        <v>30</v>
      </c>
      <c r="F22" s="10">
        <f>+'Lundi S4'!F22+'Mardi S4'!F22+'Mercredi S4'!F22+'Jeudi S4'!F22+'Vendredi S4'!F22+'Samedi S4'!F22</f>
        <v>12</v>
      </c>
      <c r="G22" s="11">
        <f>+'Lundi S4'!G22+'Mardi S4'!G22+'Mercredi S4'!G22+'Jeudi S4'!G22+'Vendredi S4'!G22+'Samedi S4'!G22</f>
        <v>30</v>
      </c>
      <c r="H22" s="9">
        <f>+'Lundi S4'!H22+'Mardi S4'!H22+'Mercredi S4'!H22+'Jeudi S4'!H22+'Vendredi S4'!H22+'Samedi S4'!H22</f>
        <v>18</v>
      </c>
      <c r="I22" s="10">
        <f>+'Lundi S4'!I22+'Mardi S4'!I22+'Mercredi S4'!I22+'Jeudi S4'!I22+'Vendredi S4'!I22+'Samedi S4'!I22</f>
        <v>6</v>
      </c>
      <c r="J22" s="10">
        <f>+'Lundi S4'!J22+'Mardi S4'!J22+'Mercredi S4'!J22+'Jeudi S4'!J22+'Vendredi S4'!J22+'Samedi S4'!J22</f>
        <v>6</v>
      </c>
      <c r="K22" s="10">
        <f>+'Lundi S4'!K22+'Mardi S4'!K22+'Mercredi S4'!K22+'Jeudi S4'!K22+'Vendredi S4'!K22+'Samedi S4'!K22</f>
        <v>6</v>
      </c>
      <c r="L22" s="11">
        <f>+'Lundi S4'!L22+'Mardi S4'!L22+'Mercredi S4'!L22+'Jeudi S4'!L22+'Vendredi S4'!L22+'Samedi S4'!L22</f>
        <v>6</v>
      </c>
      <c r="M22" s="9">
        <f>+'Lundi S4'!M22+'Mardi S4'!M22+'Mercredi S4'!M22+'Jeudi S4'!M22+'Vendredi S4'!M22+'Samedi S4'!M22</f>
        <v>18</v>
      </c>
      <c r="N22" s="10">
        <f>+'Lundi S4'!N22+'Mardi S4'!N22+'Mercredi S4'!N22+'Jeudi S4'!N22+'Vendredi S4'!N22+'Samedi S4'!N22</f>
        <v>6</v>
      </c>
      <c r="O22" s="10">
        <f>+'Lundi S4'!O22+'Mardi S4'!O22+'Mercredi S4'!O22+'Jeudi S4'!O22+'Vendredi S4'!O22+'Samedi S4'!O22</f>
        <v>18</v>
      </c>
      <c r="P22" s="10">
        <f>+'Lundi S4'!P22+'Mardi S4'!P22+'Mercredi S4'!P22+'Jeudi S4'!P22+'Vendredi S4'!P22+'Samedi S4'!P22</f>
        <v>0</v>
      </c>
      <c r="Q22" s="11">
        <f>+'Lundi S4'!Q22+'Mardi S4'!Q22+'Mercredi S4'!Q22+'Jeudi S4'!Q22+'Vendredi S4'!Q22+'Samedi S4'!Q22</f>
        <v>0</v>
      </c>
      <c r="R22" s="61">
        <f>+'Lundi S4'!R22+'Mardi S4'!R22+'Mercredi S4'!R22+'Jeudi S4'!R22+'Vendredi S4'!R22+'Samedi S4'!R22</f>
        <v>3</v>
      </c>
      <c r="S22" s="62">
        <f>+'Lundi S4'!S22+'Mardi S4'!S22+'Mercredi S4'!S22+'Jeudi S4'!S22+'Vendredi S4'!S22+'Samedi S4'!S22</f>
        <v>0.99999999999999989</v>
      </c>
      <c r="T22" s="62">
        <f>+'Lundi S4'!T22+'Mardi S4'!T22+'Mercredi S4'!T22+'Jeudi S4'!T22+'Vendredi S4'!T22+'Samedi S4'!T22</f>
        <v>0.6</v>
      </c>
      <c r="U22" s="62">
        <f>+'Lundi S4'!U22+'Mardi S4'!U22+'Mercredi S4'!U22+'Jeudi S4'!U22+'Vendredi S4'!U22+'Samedi S4'!U22</f>
        <v>3.6</v>
      </c>
      <c r="V22" s="63">
        <f>+'Lundi S4'!V22+'Mardi S4'!V22+'Mercredi S4'!V22+'Jeudi S4'!V22+'Vendredi S4'!V22+'Samedi S4'!V22</f>
        <v>0.9</v>
      </c>
      <c r="W22" s="9">
        <f>+'Lundi S4'!W22+'Mardi S4'!W22+'Mercredi S4'!W22+'Jeudi S4'!W22+'Vendredi S4'!W22+'Samedi S4'!W22</f>
        <v>0</v>
      </c>
      <c r="X22" s="10">
        <f>+'Lundi S4'!X22+'Mardi S4'!X22+'Mercredi S4'!X22+'Jeudi S4'!X22+'Vendredi S4'!X22+'Samedi S4'!X22</f>
        <v>0</v>
      </c>
      <c r="Y22" s="10">
        <f>+'Lundi S4'!Y22+'Mardi S4'!Y22+'Mercredi S4'!Y22+'Jeudi S4'!Y22+'Vendredi S4'!Y22+'Samedi S4'!Y22</f>
        <v>0</v>
      </c>
      <c r="Z22" s="10">
        <f>+'Lundi S4'!Z22+'Mardi S4'!Z22+'Mercredi S4'!Z22+'Jeudi S4'!Z22+'Vendredi S4'!Z22+'Samedi S4'!Z22</f>
        <v>0</v>
      </c>
      <c r="AA22" s="11">
        <f>+'Lundi S4'!AA22+'Mardi S4'!AA22+'Mercredi S4'!AA22+'Jeudi S4'!AA22+'Vendredi S4'!AA22+'Samedi S4'!AA22</f>
        <v>0</v>
      </c>
      <c r="AB22" s="9">
        <f>+'Lundi S4'!AB22+'Mardi S4'!AB22+'Mercredi S4'!AB22+'Jeudi S4'!AB22+'Vendredi S4'!AB22+'Samedi S4'!AB22</f>
        <v>0</v>
      </c>
      <c r="AC22" s="10">
        <f>+'Lundi S4'!AC22+'Mardi S4'!AC22+'Mercredi S4'!AC22+'Jeudi S4'!AC22+'Vendredi S4'!AC22+'Samedi S4'!AC22</f>
        <v>0</v>
      </c>
      <c r="AD22" s="10">
        <f>+'Lundi S4'!AD22+'Mardi S4'!AD22+'Mercredi S4'!AD22+'Jeudi S4'!AD22+'Vendredi S4'!AD22+'Samedi S4'!AD22</f>
        <v>0</v>
      </c>
      <c r="AE22" s="10">
        <f>+'Lundi S4'!AE22+'Mardi S4'!AE22+'Mercredi S4'!AE22+'Jeudi S4'!AE22+'Vendredi S4'!AE22+'Samedi S4'!AE22</f>
        <v>0</v>
      </c>
      <c r="AF22" s="11">
        <f>+'Lundi S4'!AF22+'Mardi S4'!AF22+'Mercredi S4'!AF22+'Jeudi S4'!AF22+'Vendredi S4'!AF22+'Samedi S4'!AF22</f>
        <v>0</v>
      </c>
      <c r="AG22" s="9">
        <f>+'Lundi S4'!AG22+'Mardi S4'!AG22+'Mercredi S4'!AG22+'Jeudi S4'!AG22+'Vendredi S4'!AG22+'Samedi S4'!AG22</f>
        <v>0</v>
      </c>
      <c r="AH22" s="10">
        <f>+'Lundi S4'!AH22+'Mardi S4'!AH22+'Mercredi S4'!AH22+'Jeudi S4'!AH22+'Vendredi S4'!AH22+'Samedi S4'!AH22</f>
        <v>0</v>
      </c>
      <c r="AI22" s="10">
        <f>+'Lundi S4'!AI22+'Mardi S4'!AI22+'Mercredi S4'!AI22+'Jeudi S4'!AI22+'Vendredi S4'!AI22+'Samedi S4'!AI22</f>
        <v>0</v>
      </c>
      <c r="AJ22" s="10">
        <f>+'Lundi S4'!AJ22+'Mardi S4'!AJ22+'Mercredi S4'!AJ22+'Jeudi S4'!AJ22+'Vendredi S4'!AJ22+'Samedi S4'!AJ22</f>
        <v>0</v>
      </c>
      <c r="AK22" s="11">
        <f>+'Lundi S4'!AK22+'Mardi S4'!AK22+'Mercredi S4'!AK22+'Jeudi S4'!AK22+'Vendredi S4'!AK22+'Samedi S4'!AK22</f>
        <v>0</v>
      </c>
      <c r="AL22" s="9">
        <f>+'Lundi S4'!AL22+'Mardi S4'!AL22+'Mercredi S4'!AL22+'Jeudi S4'!AL22+'Vendredi S4'!AL22+'Samedi S4'!AL22</f>
        <v>0</v>
      </c>
      <c r="AM22" s="10">
        <f>+'Lundi S4'!AM22+'Mardi S4'!AM22+'Mercredi S4'!AM22+'Jeudi S4'!AM22+'Vendredi S4'!AM22+'Samedi S4'!AM22</f>
        <v>0</v>
      </c>
      <c r="AN22" s="10">
        <f>+'Lundi S4'!AN22+'Mardi S4'!AN22+'Mercredi S4'!AN22+'Jeudi S4'!AN22+'Vendredi S4'!AN22+'Samedi S4'!AN22</f>
        <v>0</v>
      </c>
      <c r="AO22" s="10">
        <f>+'Lundi S4'!AO22+'Mardi S4'!AO22+'Mercredi S4'!AO22+'Jeudi S4'!AO22+'Vendredi S4'!AO22+'Samedi S4'!AO22</f>
        <v>0</v>
      </c>
      <c r="AP22" s="11">
        <f>+'Lundi S4'!AP22+'Mardi S4'!AP22+'Mercredi S4'!AP22+'Jeudi S4'!AP22+'Vendredi S4'!AP22+'Samedi S4'!AP22</f>
        <v>0</v>
      </c>
      <c r="AQ22" s="9">
        <f>+'Lundi S4'!AQ22+'Mardi S4'!AQ22+'Mercredi S4'!AQ22+'Jeudi S4'!AQ22+'Vendredi S4'!AQ22+'Samedi S4'!AQ22</f>
        <v>0</v>
      </c>
      <c r="AR22" s="10">
        <f>+'Lundi S4'!AR22+'Mardi S4'!AR22+'Mercredi S4'!AR22+'Jeudi S4'!AR22+'Vendredi S4'!AR22+'Samedi S4'!AR22</f>
        <v>0</v>
      </c>
      <c r="AS22" s="11">
        <f>+'Lundi S4'!AS22+'Mardi S4'!AS22+'Mercredi S4'!AS22+'Jeudi S4'!AS22+'Vendredi S4'!AS22+'Samedi S4'!AS22</f>
        <v>0</v>
      </c>
      <c r="AT22" s="22"/>
      <c r="AU22" s="14"/>
    </row>
    <row r="23" spans="1:47" ht="31.9" customHeight="1" x14ac:dyDescent="0.2">
      <c r="A23" s="26">
        <v>17</v>
      </c>
      <c r="B23" s="19"/>
      <c r="C23" s="9">
        <f>+'Lundi S4'!C23+'Mardi S4'!C23+'Mercredi S4'!C23+'Jeudi S4'!C23+'Vendredi S4'!C23+'Samedi S4'!C23</f>
        <v>90</v>
      </c>
      <c r="D23" s="10">
        <f>+'Lundi S4'!D23+'Mardi S4'!D23+'Mercredi S4'!D23+'Jeudi S4'!D23+'Vendredi S4'!D23+'Samedi S4'!D23</f>
        <v>18</v>
      </c>
      <c r="E23" s="10">
        <f>+'Lundi S4'!E23+'Mardi S4'!E23+'Mercredi S4'!E23+'Jeudi S4'!E23+'Vendredi S4'!E23+'Samedi S4'!E23</f>
        <v>30</v>
      </c>
      <c r="F23" s="10">
        <f>+'Lundi S4'!F23+'Mardi S4'!F23+'Mercredi S4'!F23+'Jeudi S4'!F23+'Vendredi S4'!F23+'Samedi S4'!F23</f>
        <v>12</v>
      </c>
      <c r="G23" s="11">
        <f>+'Lundi S4'!G23+'Mardi S4'!G23+'Mercredi S4'!G23+'Jeudi S4'!G23+'Vendredi S4'!G23+'Samedi S4'!G23</f>
        <v>30</v>
      </c>
      <c r="H23" s="9">
        <f>+'Lundi S4'!H23+'Mardi S4'!H23+'Mercredi S4'!H23+'Jeudi S4'!H23+'Vendredi S4'!H23+'Samedi S4'!H23</f>
        <v>18</v>
      </c>
      <c r="I23" s="10">
        <f>+'Lundi S4'!I23+'Mardi S4'!I23+'Mercredi S4'!I23+'Jeudi S4'!I23+'Vendredi S4'!I23+'Samedi S4'!I23</f>
        <v>6</v>
      </c>
      <c r="J23" s="10">
        <f>+'Lundi S4'!J23+'Mardi S4'!J23+'Mercredi S4'!J23+'Jeudi S4'!J23+'Vendredi S4'!J23+'Samedi S4'!J23</f>
        <v>6</v>
      </c>
      <c r="K23" s="10">
        <f>+'Lundi S4'!K23+'Mardi S4'!K23+'Mercredi S4'!K23+'Jeudi S4'!K23+'Vendredi S4'!K23+'Samedi S4'!K23</f>
        <v>6</v>
      </c>
      <c r="L23" s="11">
        <f>+'Lundi S4'!L23+'Mardi S4'!L23+'Mercredi S4'!L23+'Jeudi S4'!L23+'Vendredi S4'!L23+'Samedi S4'!L23</f>
        <v>6</v>
      </c>
      <c r="M23" s="9">
        <f>+'Lundi S4'!M23+'Mardi S4'!M23+'Mercredi S4'!M23+'Jeudi S4'!M23+'Vendredi S4'!M23+'Samedi S4'!M23</f>
        <v>18</v>
      </c>
      <c r="N23" s="10">
        <f>+'Lundi S4'!N23+'Mardi S4'!N23+'Mercredi S4'!N23+'Jeudi S4'!N23+'Vendredi S4'!N23+'Samedi S4'!N23</f>
        <v>6</v>
      </c>
      <c r="O23" s="10">
        <f>+'Lundi S4'!O23+'Mardi S4'!O23+'Mercredi S4'!O23+'Jeudi S4'!O23+'Vendredi S4'!O23+'Samedi S4'!O23</f>
        <v>18</v>
      </c>
      <c r="P23" s="10">
        <f>+'Lundi S4'!P23+'Mardi S4'!P23+'Mercredi S4'!P23+'Jeudi S4'!P23+'Vendredi S4'!P23+'Samedi S4'!P23</f>
        <v>0</v>
      </c>
      <c r="Q23" s="11">
        <f>+'Lundi S4'!Q23+'Mardi S4'!Q23+'Mercredi S4'!Q23+'Jeudi S4'!Q23+'Vendredi S4'!Q23+'Samedi S4'!Q23</f>
        <v>0</v>
      </c>
      <c r="R23" s="61">
        <f>+'Lundi S4'!R23+'Mardi S4'!R23+'Mercredi S4'!R23+'Jeudi S4'!R23+'Vendredi S4'!R23+'Samedi S4'!R23</f>
        <v>3</v>
      </c>
      <c r="S23" s="62">
        <f>+'Lundi S4'!S23+'Mardi S4'!S23+'Mercredi S4'!S23+'Jeudi S4'!S23+'Vendredi S4'!S23+'Samedi S4'!S23</f>
        <v>0.99999999999999989</v>
      </c>
      <c r="T23" s="62">
        <f>+'Lundi S4'!T23+'Mardi S4'!T23+'Mercredi S4'!T23+'Jeudi S4'!T23+'Vendredi S4'!T23+'Samedi S4'!T23</f>
        <v>0.6</v>
      </c>
      <c r="U23" s="62">
        <f>+'Lundi S4'!U23+'Mardi S4'!U23+'Mercredi S4'!U23+'Jeudi S4'!U23+'Vendredi S4'!U23+'Samedi S4'!U23</f>
        <v>3.6</v>
      </c>
      <c r="V23" s="63">
        <f>+'Lundi S4'!V23+'Mardi S4'!V23+'Mercredi S4'!V23+'Jeudi S4'!V23+'Vendredi S4'!V23+'Samedi S4'!V23</f>
        <v>0.9</v>
      </c>
      <c r="W23" s="9">
        <f>+'Lundi S4'!W23+'Mardi S4'!W23+'Mercredi S4'!W23+'Jeudi S4'!W23+'Vendredi S4'!W23+'Samedi S4'!W23</f>
        <v>0</v>
      </c>
      <c r="X23" s="10">
        <f>+'Lundi S4'!X23+'Mardi S4'!X23+'Mercredi S4'!X23+'Jeudi S4'!X23+'Vendredi S4'!X23+'Samedi S4'!X23</f>
        <v>0</v>
      </c>
      <c r="Y23" s="10">
        <f>+'Lundi S4'!Y23+'Mardi S4'!Y23+'Mercredi S4'!Y23+'Jeudi S4'!Y23+'Vendredi S4'!Y23+'Samedi S4'!Y23</f>
        <v>0</v>
      </c>
      <c r="Z23" s="10">
        <f>+'Lundi S4'!Z23+'Mardi S4'!Z23+'Mercredi S4'!Z23+'Jeudi S4'!Z23+'Vendredi S4'!Z23+'Samedi S4'!Z23</f>
        <v>0</v>
      </c>
      <c r="AA23" s="11">
        <f>+'Lundi S4'!AA23+'Mardi S4'!AA23+'Mercredi S4'!AA23+'Jeudi S4'!AA23+'Vendredi S4'!AA23+'Samedi S4'!AA23</f>
        <v>0</v>
      </c>
      <c r="AB23" s="9">
        <f>+'Lundi S4'!AB23+'Mardi S4'!AB23+'Mercredi S4'!AB23+'Jeudi S4'!AB23+'Vendredi S4'!AB23+'Samedi S4'!AB23</f>
        <v>0</v>
      </c>
      <c r="AC23" s="10">
        <f>+'Lundi S4'!AC23+'Mardi S4'!AC23+'Mercredi S4'!AC23+'Jeudi S4'!AC23+'Vendredi S4'!AC23+'Samedi S4'!AC23</f>
        <v>0</v>
      </c>
      <c r="AD23" s="10">
        <f>+'Lundi S4'!AD23+'Mardi S4'!AD23+'Mercredi S4'!AD23+'Jeudi S4'!AD23+'Vendredi S4'!AD23+'Samedi S4'!AD23</f>
        <v>0</v>
      </c>
      <c r="AE23" s="10">
        <f>+'Lundi S4'!AE23+'Mardi S4'!AE23+'Mercredi S4'!AE23+'Jeudi S4'!AE23+'Vendredi S4'!AE23+'Samedi S4'!AE23</f>
        <v>0</v>
      </c>
      <c r="AF23" s="11">
        <f>+'Lundi S4'!AF23+'Mardi S4'!AF23+'Mercredi S4'!AF23+'Jeudi S4'!AF23+'Vendredi S4'!AF23+'Samedi S4'!AF23</f>
        <v>0</v>
      </c>
      <c r="AG23" s="9">
        <f>+'Lundi S4'!AG23+'Mardi S4'!AG23+'Mercredi S4'!AG23+'Jeudi S4'!AG23+'Vendredi S4'!AG23+'Samedi S4'!AG23</f>
        <v>0</v>
      </c>
      <c r="AH23" s="10">
        <f>+'Lundi S4'!AH23+'Mardi S4'!AH23+'Mercredi S4'!AH23+'Jeudi S4'!AH23+'Vendredi S4'!AH23+'Samedi S4'!AH23</f>
        <v>0</v>
      </c>
      <c r="AI23" s="10">
        <f>+'Lundi S4'!AI23+'Mardi S4'!AI23+'Mercredi S4'!AI23+'Jeudi S4'!AI23+'Vendredi S4'!AI23+'Samedi S4'!AI23</f>
        <v>0</v>
      </c>
      <c r="AJ23" s="10">
        <f>+'Lundi S4'!AJ23+'Mardi S4'!AJ23+'Mercredi S4'!AJ23+'Jeudi S4'!AJ23+'Vendredi S4'!AJ23+'Samedi S4'!AJ23</f>
        <v>0</v>
      </c>
      <c r="AK23" s="11">
        <f>+'Lundi S4'!AK23+'Mardi S4'!AK23+'Mercredi S4'!AK23+'Jeudi S4'!AK23+'Vendredi S4'!AK23+'Samedi S4'!AK23</f>
        <v>0</v>
      </c>
      <c r="AL23" s="9">
        <f>+'Lundi S4'!AL23+'Mardi S4'!AL23+'Mercredi S4'!AL23+'Jeudi S4'!AL23+'Vendredi S4'!AL23+'Samedi S4'!AL23</f>
        <v>0</v>
      </c>
      <c r="AM23" s="10">
        <f>+'Lundi S4'!AM23+'Mardi S4'!AM23+'Mercredi S4'!AM23+'Jeudi S4'!AM23+'Vendredi S4'!AM23+'Samedi S4'!AM23</f>
        <v>0</v>
      </c>
      <c r="AN23" s="10">
        <f>+'Lundi S4'!AN23+'Mardi S4'!AN23+'Mercredi S4'!AN23+'Jeudi S4'!AN23+'Vendredi S4'!AN23+'Samedi S4'!AN23</f>
        <v>0</v>
      </c>
      <c r="AO23" s="10">
        <f>+'Lundi S4'!AO23+'Mardi S4'!AO23+'Mercredi S4'!AO23+'Jeudi S4'!AO23+'Vendredi S4'!AO23+'Samedi S4'!AO23</f>
        <v>0</v>
      </c>
      <c r="AP23" s="11">
        <f>+'Lundi S4'!AP23+'Mardi S4'!AP23+'Mercredi S4'!AP23+'Jeudi S4'!AP23+'Vendredi S4'!AP23+'Samedi S4'!AP23</f>
        <v>0</v>
      </c>
      <c r="AQ23" s="9">
        <f>+'Lundi S4'!AQ23+'Mardi S4'!AQ23+'Mercredi S4'!AQ23+'Jeudi S4'!AQ23+'Vendredi S4'!AQ23+'Samedi S4'!AQ23</f>
        <v>0</v>
      </c>
      <c r="AR23" s="10">
        <f>+'Lundi S4'!AR23+'Mardi S4'!AR23+'Mercredi S4'!AR23+'Jeudi S4'!AR23+'Vendredi S4'!AR23+'Samedi S4'!AR23</f>
        <v>0</v>
      </c>
      <c r="AS23" s="11">
        <f>+'Lundi S4'!AS23+'Mardi S4'!AS23+'Mercredi S4'!AS23+'Jeudi S4'!AS23+'Vendredi S4'!AS23+'Samedi S4'!AS23</f>
        <v>0</v>
      </c>
      <c r="AT23" s="22"/>
      <c r="AU23" s="14"/>
    </row>
    <row r="24" spans="1:47" ht="31.9" customHeight="1" x14ac:dyDescent="0.2">
      <c r="A24" s="26">
        <v>18</v>
      </c>
      <c r="B24" s="19"/>
      <c r="C24" s="9">
        <f>+'Lundi S4'!C24+'Mardi S4'!C24+'Mercredi S4'!C24+'Jeudi S4'!C24+'Vendredi S4'!C24+'Samedi S4'!C24</f>
        <v>90</v>
      </c>
      <c r="D24" s="10">
        <f>+'Lundi S4'!D24+'Mardi S4'!D24+'Mercredi S4'!D24+'Jeudi S4'!D24+'Vendredi S4'!D24+'Samedi S4'!D24</f>
        <v>18</v>
      </c>
      <c r="E24" s="10">
        <f>+'Lundi S4'!E24+'Mardi S4'!E24+'Mercredi S4'!E24+'Jeudi S4'!E24+'Vendredi S4'!E24+'Samedi S4'!E24</f>
        <v>30</v>
      </c>
      <c r="F24" s="10">
        <f>+'Lundi S4'!F24+'Mardi S4'!F24+'Mercredi S4'!F24+'Jeudi S4'!F24+'Vendredi S4'!F24+'Samedi S4'!F24</f>
        <v>12</v>
      </c>
      <c r="G24" s="11">
        <f>+'Lundi S4'!G24+'Mardi S4'!G24+'Mercredi S4'!G24+'Jeudi S4'!G24+'Vendredi S4'!G24+'Samedi S4'!G24</f>
        <v>30</v>
      </c>
      <c r="H24" s="9">
        <f>+'Lundi S4'!H24+'Mardi S4'!H24+'Mercredi S4'!H24+'Jeudi S4'!H24+'Vendredi S4'!H24+'Samedi S4'!H24</f>
        <v>18</v>
      </c>
      <c r="I24" s="10">
        <f>+'Lundi S4'!I24+'Mardi S4'!I24+'Mercredi S4'!I24+'Jeudi S4'!I24+'Vendredi S4'!I24+'Samedi S4'!I24</f>
        <v>6</v>
      </c>
      <c r="J24" s="10">
        <f>+'Lundi S4'!J24+'Mardi S4'!J24+'Mercredi S4'!J24+'Jeudi S4'!J24+'Vendredi S4'!J24+'Samedi S4'!J24</f>
        <v>6</v>
      </c>
      <c r="K24" s="10">
        <f>+'Lundi S4'!K24+'Mardi S4'!K24+'Mercredi S4'!K24+'Jeudi S4'!K24+'Vendredi S4'!K24+'Samedi S4'!K24</f>
        <v>6</v>
      </c>
      <c r="L24" s="11">
        <f>+'Lundi S4'!L24+'Mardi S4'!L24+'Mercredi S4'!L24+'Jeudi S4'!L24+'Vendredi S4'!L24+'Samedi S4'!L24</f>
        <v>6</v>
      </c>
      <c r="M24" s="9">
        <f>+'Lundi S4'!M24+'Mardi S4'!M24+'Mercredi S4'!M24+'Jeudi S4'!M24+'Vendredi S4'!M24+'Samedi S4'!M24</f>
        <v>18</v>
      </c>
      <c r="N24" s="10">
        <f>+'Lundi S4'!N24+'Mardi S4'!N24+'Mercredi S4'!N24+'Jeudi S4'!N24+'Vendredi S4'!N24+'Samedi S4'!N24</f>
        <v>6</v>
      </c>
      <c r="O24" s="10">
        <f>+'Lundi S4'!O24+'Mardi S4'!O24+'Mercredi S4'!O24+'Jeudi S4'!O24+'Vendredi S4'!O24+'Samedi S4'!O24</f>
        <v>18</v>
      </c>
      <c r="P24" s="10">
        <f>+'Lundi S4'!P24+'Mardi S4'!P24+'Mercredi S4'!P24+'Jeudi S4'!P24+'Vendredi S4'!P24+'Samedi S4'!P24</f>
        <v>0</v>
      </c>
      <c r="Q24" s="11">
        <f>+'Lundi S4'!Q24+'Mardi S4'!Q24+'Mercredi S4'!Q24+'Jeudi S4'!Q24+'Vendredi S4'!Q24+'Samedi S4'!Q24</f>
        <v>0</v>
      </c>
      <c r="R24" s="61">
        <f>+'Lundi S4'!R24+'Mardi S4'!R24+'Mercredi S4'!R24+'Jeudi S4'!R24+'Vendredi S4'!R24+'Samedi S4'!R24</f>
        <v>3</v>
      </c>
      <c r="S24" s="62">
        <f>+'Lundi S4'!S24+'Mardi S4'!S24+'Mercredi S4'!S24+'Jeudi S4'!S24+'Vendredi S4'!S24+'Samedi S4'!S24</f>
        <v>0.99999999999999989</v>
      </c>
      <c r="T24" s="62">
        <f>+'Lundi S4'!T24+'Mardi S4'!T24+'Mercredi S4'!T24+'Jeudi S4'!T24+'Vendredi S4'!T24+'Samedi S4'!T24</f>
        <v>0.6</v>
      </c>
      <c r="U24" s="62">
        <f>+'Lundi S4'!U24+'Mardi S4'!U24+'Mercredi S4'!U24+'Jeudi S4'!U24+'Vendredi S4'!U24+'Samedi S4'!U24</f>
        <v>3.6</v>
      </c>
      <c r="V24" s="63">
        <f>+'Lundi S4'!V24+'Mardi S4'!V24+'Mercredi S4'!V24+'Jeudi S4'!V24+'Vendredi S4'!V24+'Samedi S4'!V24</f>
        <v>0.9</v>
      </c>
      <c r="W24" s="9">
        <f>+'Lundi S4'!W24+'Mardi S4'!W24+'Mercredi S4'!W24+'Jeudi S4'!W24+'Vendredi S4'!W24+'Samedi S4'!W24</f>
        <v>0</v>
      </c>
      <c r="X24" s="10">
        <f>+'Lundi S4'!X24+'Mardi S4'!X24+'Mercredi S4'!X24+'Jeudi S4'!X24+'Vendredi S4'!X24+'Samedi S4'!X24</f>
        <v>0</v>
      </c>
      <c r="Y24" s="10">
        <f>+'Lundi S4'!Y24+'Mardi S4'!Y24+'Mercredi S4'!Y24+'Jeudi S4'!Y24+'Vendredi S4'!Y24+'Samedi S4'!Y24</f>
        <v>0</v>
      </c>
      <c r="Z24" s="10">
        <f>+'Lundi S4'!Z24+'Mardi S4'!Z24+'Mercredi S4'!Z24+'Jeudi S4'!Z24+'Vendredi S4'!Z24+'Samedi S4'!Z24</f>
        <v>0</v>
      </c>
      <c r="AA24" s="11">
        <f>+'Lundi S4'!AA24+'Mardi S4'!AA24+'Mercredi S4'!AA24+'Jeudi S4'!AA24+'Vendredi S4'!AA24+'Samedi S4'!AA24</f>
        <v>0</v>
      </c>
      <c r="AB24" s="9">
        <f>+'Lundi S4'!AB24+'Mardi S4'!AB24+'Mercredi S4'!AB24+'Jeudi S4'!AB24+'Vendredi S4'!AB24+'Samedi S4'!AB24</f>
        <v>0</v>
      </c>
      <c r="AC24" s="10">
        <f>+'Lundi S4'!AC24+'Mardi S4'!AC24+'Mercredi S4'!AC24+'Jeudi S4'!AC24+'Vendredi S4'!AC24+'Samedi S4'!AC24</f>
        <v>0</v>
      </c>
      <c r="AD24" s="10">
        <f>+'Lundi S4'!AD24+'Mardi S4'!AD24+'Mercredi S4'!AD24+'Jeudi S4'!AD24+'Vendredi S4'!AD24+'Samedi S4'!AD24</f>
        <v>0</v>
      </c>
      <c r="AE24" s="10">
        <f>+'Lundi S4'!AE24+'Mardi S4'!AE24+'Mercredi S4'!AE24+'Jeudi S4'!AE24+'Vendredi S4'!AE24+'Samedi S4'!AE24</f>
        <v>0</v>
      </c>
      <c r="AF24" s="11">
        <f>+'Lundi S4'!AF24+'Mardi S4'!AF24+'Mercredi S4'!AF24+'Jeudi S4'!AF24+'Vendredi S4'!AF24+'Samedi S4'!AF24</f>
        <v>0</v>
      </c>
      <c r="AG24" s="9">
        <f>+'Lundi S4'!AG24+'Mardi S4'!AG24+'Mercredi S4'!AG24+'Jeudi S4'!AG24+'Vendredi S4'!AG24+'Samedi S4'!AG24</f>
        <v>0</v>
      </c>
      <c r="AH24" s="10">
        <f>+'Lundi S4'!AH24+'Mardi S4'!AH24+'Mercredi S4'!AH24+'Jeudi S4'!AH24+'Vendredi S4'!AH24+'Samedi S4'!AH24</f>
        <v>0</v>
      </c>
      <c r="AI24" s="10">
        <f>+'Lundi S4'!AI24+'Mardi S4'!AI24+'Mercredi S4'!AI24+'Jeudi S4'!AI24+'Vendredi S4'!AI24+'Samedi S4'!AI24</f>
        <v>0</v>
      </c>
      <c r="AJ24" s="10">
        <f>+'Lundi S4'!AJ24+'Mardi S4'!AJ24+'Mercredi S4'!AJ24+'Jeudi S4'!AJ24+'Vendredi S4'!AJ24+'Samedi S4'!AJ24</f>
        <v>0</v>
      </c>
      <c r="AK24" s="11">
        <f>+'Lundi S4'!AK24+'Mardi S4'!AK24+'Mercredi S4'!AK24+'Jeudi S4'!AK24+'Vendredi S4'!AK24+'Samedi S4'!AK24</f>
        <v>0</v>
      </c>
      <c r="AL24" s="9">
        <f>+'Lundi S4'!AL24+'Mardi S4'!AL24+'Mercredi S4'!AL24+'Jeudi S4'!AL24+'Vendredi S4'!AL24+'Samedi S4'!AL24</f>
        <v>0</v>
      </c>
      <c r="AM24" s="10">
        <f>+'Lundi S4'!AM24+'Mardi S4'!AM24+'Mercredi S4'!AM24+'Jeudi S4'!AM24+'Vendredi S4'!AM24+'Samedi S4'!AM24</f>
        <v>0</v>
      </c>
      <c r="AN24" s="10">
        <f>+'Lundi S4'!AN24+'Mardi S4'!AN24+'Mercredi S4'!AN24+'Jeudi S4'!AN24+'Vendredi S4'!AN24+'Samedi S4'!AN24</f>
        <v>0</v>
      </c>
      <c r="AO24" s="10">
        <f>+'Lundi S4'!AO24+'Mardi S4'!AO24+'Mercredi S4'!AO24+'Jeudi S4'!AO24+'Vendredi S4'!AO24+'Samedi S4'!AO24</f>
        <v>0</v>
      </c>
      <c r="AP24" s="11">
        <f>+'Lundi S4'!AP24+'Mardi S4'!AP24+'Mercredi S4'!AP24+'Jeudi S4'!AP24+'Vendredi S4'!AP24+'Samedi S4'!AP24</f>
        <v>0</v>
      </c>
      <c r="AQ24" s="9">
        <f>+'Lundi S4'!AQ24+'Mardi S4'!AQ24+'Mercredi S4'!AQ24+'Jeudi S4'!AQ24+'Vendredi S4'!AQ24+'Samedi S4'!AQ24</f>
        <v>0</v>
      </c>
      <c r="AR24" s="10">
        <f>+'Lundi S4'!AR24+'Mardi S4'!AR24+'Mercredi S4'!AR24+'Jeudi S4'!AR24+'Vendredi S4'!AR24+'Samedi S4'!AR24</f>
        <v>0</v>
      </c>
      <c r="AS24" s="11">
        <f>+'Lundi S4'!AS24+'Mardi S4'!AS24+'Mercredi S4'!AS24+'Jeudi S4'!AS24+'Vendredi S4'!AS24+'Samedi S4'!AS24</f>
        <v>0</v>
      </c>
      <c r="AT24" s="22"/>
      <c r="AU24" s="14"/>
    </row>
    <row r="25" spans="1:47" ht="31.9" customHeight="1" x14ac:dyDescent="0.2">
      <c r="A25" s="26">
        <v>19</v>
      </c>
      <c r="B25" s="19"/>
      <c r="C25" s="9">
        <f>+'Lundi S4'!C25+'Mardi S4'!C25+'Mercredi S4'!C25+'Jeudi S4'!C25+'Vendredi S4'!C25+'Samedi S4'!C25</f>
        <v>90</v>
      </c>
      <c r="D25" s="10">
        <f>+'Lundi S4'!D25+'Mardi S4'!D25+'Mercredi S4'!D25+'Jeudi S4'!D25+'Vendredi S4'!D25+'Samedi S4'!D25</f>
        <v>18</v>
      </c>
      <c r="E25" s="10">
        <f>+'Lundi S4'!E25+'Mardi S4'!E25+'Mercredi S4'!E25+'Jeudi S4'!E25+'Vendredi S4'!E25+'Samedi S4'!E25</f>
        <v>30</v>
      </c>
      <c r="F25" s="10">
        <f>+'Lundi S4'!F25+'Mardi S4'!F25+'Mercredi S4'!F25+'Jeudi S4'!F25+'Vendredi S4'!F25+'Samedi S4'!F25</f>
        <v>12</v>
      </c>
      <c r="G25" s="11">
        <f>+'Lundi S4'!G25+'Mardi S4'!G25+'Mercredi S4'!G25+'Jeudi S4'!G25+'Vendredi S4'!G25+'Samedi S4'!G25</f>
        <v>30</v>
      </c>
      <c r="H25" s="9">
        <f>+'Lundi S4'!H25+'Mardi S4'!H25+'Mercredi S4'!H25+'Jeudi S4'!H25+'Vendredi S4'!H25+'Samedi S4'!H25</f>
        <v>18</v>
      </c>
      <c r="I25" s="10">
        <f>+'Lundi S4'!I25+'Mardi S4'!I25+'Mercredi S4'!I25+'Jeudi S4'!I25+'Vendredi S4'!I25+'Samedi S4'!I25</f>
        <v>6</v>
      </c>
      <c r="J25" s="10">
        <f>+'Lundi S4'!J25+'Mardi S4'!J25+'Mercredi S4'!J25+'Jeudi S4'!J25+'Vendredi S4'!J25+'Samedi S4'!J25</f>
        <v>6</v>
      </c>
      <c r="K25" s="10">
        <f>+'Lundi S4'!K25+'Mardi S4'!K25+'Mercredi S4'!K25+'Jeudi S4'!K25+'Vendredi S4'!K25+'Samedi S4'!K25</f>
        <v>6</v>
      </c>
      <c r="L25" s="11">
        <f>+'Lundi S4'!L25+'Mardi S4'!L25+'Mercredi S4'!L25+'Jeudi S4'!L25+'Vendredi S4'!L25+'Samedi S4'!L25</f>
        <v>6</v>
      </c>
      <c r="M25" s="9">
        <f>+'Lundi S4'!M25+'Mardi S4'!M25+'Mercredi S4'!M25+'Jeudi S4'!M25+'Vendredi S4'!M25+'Samedi S4'!M25</f>
        <v>18</v>
      </c>
      <c r="N25" s="10">
        <f>+'Lundi S4'!N25+'Mardi S4'!N25+'Mercredi S4'!N25+'Jeudi S4'!N25+'Vendredi S4'!N25+'Samedi S4'!N25</f>
        <v>6</v>
      </c>
      <c r="O25" s="10">
        <f>+'Lundi S4'!O25+'Mardi S4'!O25+'Mercredi S4'!O25+'Jeudi S4'!O25+'Vendredi S4'!O25+'Samedi S4'!O25</f>
        <v>18</v>
      </c>
      <c r="P25" s="10">
        <f>+'Lundi S4'!P25+'Mardi S4'!P25+'Mercredi S4'!P25+'Jeudi S4'!P25+'Vendredi S4'!P25+'Samedi S4'!P25</f>
        <v>0</v>
      </c>
      <c r="Q25" s="11">
        <f>+'Lundi S4'!Q25+'Mardi S4'!Q25+'Mercredi S4'!Q25+'Jeudi S4'!Q25+'Vendredi S4'!Q25+'Samedi S4'!Q25</f>
        <v>0</v>
      </c>
      <c r="R25" s="61">
        <f>+'Lundi S4'!R25+'Mardi S4'!R25+'Mercredi S4'!R25+'Jeudi S4'!R25+'Vendredi S4'!R25+'Samedi S4'!R25</f>
        <v>3</v>
      </c>
      <c r="S25" s="62">
        <f>+'Lundi S4'!S25+'Mardi S4'!S25+'Mercredi S4'!S25+'Jeudi S4'!S25+'Vendredi S4'!S25+'Samedi S4'!S25</f>
        <v>0.99999999999999989</v>
      </c>
      <c r="T25" s="62">
        <f>+'Lundi S4'!T25+'Mardi S4'!T25+'Mercredi S4'!T25+'Jeudi S4'!T25+'Vendredi S4'!T25+'Samedi S4'!T25</f>
        <v>0.6</v>
      </c>
      <c r="U25" s="62">
        <f>+'Lundi S4'!U25+'Mardi S4'!U25+'Mercredi S4'!U25+'Jeudi S4'!U25+'Vendredi S4'!U25+'Samedi S4'!U25</f>
        <v>3.6</v>
      </c>
      <c r="V25" s="63">
        <f>+'Lundi S4'!V25+'Mardi S4'!V25+'Mercredi S4'!V25+'Jeudi S4'!V25+'Vendredi S4'!V25+'Samedi S4'!V25</f>
        <v>0.9</v>
      </c>
      <c r="W25" s="9">
        <f>+'Lundi S4'!W25+'Mardi S4'!W25+'Mercredi S4'!W25+'Jeudi S4'!W25+'Vendredi S4'!W25+'Samedi S4'!W25</f>
        <v>0</v>
      </c>
      <c r="X25" s="10">
        <f>+'Lundi S4'!X25+'Mardi S4'!X25+'Mercredi S4'!X25+'Jeudi S4'!X25+'Vendredi S4'!X25+'Samedi S4'!X25</f>
        <v>0</v>
      </c>
      <c r="Y25" s="10">
        <f>+'Lundi S4'!Y25+'Mardi S4'!Y25+'Mercredi S4'!Y25+'Jeudi S4'!Y25+'Vendredi S4'!Y25+'Samedi S4'!Y25</f>
        <v>0</v>
      </c>
      <c r="Z25" s="10">
        <f>+'Lundi S4'!Z25+'Mardi S4'!Z25+'Mercredi S4'!Z25+'Jeudi S4'!Z25+'Vendredi S4'!Z25+'Samedi S4'!Z25</f>
        <v>0</v>
      </c>
      <c r="AA25" s="11">
        <f>+'Lundi S4'!AA25+'Mardi S4'!AA25+'Mercredi S4'!AA25+'Jeudi S4'!AA25+'Vendredi S4'!AA25+'Samedi S4'!AA25</f>
        <v>0</v>
      </c>
      <c r="AB25" s="9">
        <f>+'Lundi S4'!AB25+'Mardi S4'!AB25+'Mercredi S4'!AB25+'Jeudi S4'!AB25+'Vendredi S4'!AB25+'Samedi S4'!AB25</f>
        <v>0</v>
      </c>
      <c r="AC25" s="10">
        <f>+'Lundi S4'!AC25+'Mardi S4'!AC25+'Mercredi S4'!AC25+'Jeudi S4'!AC25+'Vendredi S4'!AC25+'Samedi S4'!AC25</f>
        <v>0</v>
      </c>
      <c r="AD25" s="10">
        <f>+'Lundi S4'!AD25+'Mardi S4'!AD25+'Mercredi S4'!AD25+'Jeudi S4'!AD25+'Vendredi S4'!AD25+'Samedi S4'!AD25</f>
        <v>0</v>
      </c>
      <c r="AE25" s="10">
        <f>+'Lundi S4'!AE25+'Mardi S4'!AE25+'Mercredi S4'!AE25+'Jeudi S4'!AE25+'Vendredi S4'!AE25+'Samedi S4'!AE25</f>
        <v>0</v>
      </c>
      <c r="AF25" s="11">
        <f>+'Lundi S4'!AF25+'Mardi S4'!AF25+'Mercredi S4'!AF25+'Jeudi S4'!AF25+'Vendredi S4'!AF25+'Samedi S4'!AF25</f>
        <v>0</v>
      </c>
      <c r="AG25" s="9">
        <f>+'Lundi S4'!AG25+'Mardi S4'!AG25+'Mercredi S4'!AG25+'Jeudi S4'!AG25+'Vendredi S4'!AG25+'Samedi S4'!AG25</f>
        <v>0</v>
      </c>
      <c r="AH25" s="10">
        <f>+'Lundi S4'!AH25+'Mardi S4'!AH25+'Mercredi S4'!AH25+'Jeudi S4'!AH25+'Vendredi S4'!AH25+'Samedi S4'!AH25</f>
        <v>0</v>
      </c>
      <c r="AI25" s="10">
        <f>+'Lundi S4'!AI25+'Mardi S4'!AI25+'Mercredi S4'!AI25+'Jeudi S4'!AI25+'Vendredi S4'!AI25+'Samedi S4'!AI25</f>
        <v>0</v>
      </c>
      <c r="AJ25" s="10">
        <f>+'Lundi S4'!AJ25+'Mardi S4'!AJ25+'Mercredi S4'!AJ25+'Jeudi S4'!AJ25+'Vendredi S4'!AJ25+'Samedi S4'!AJ25</f>
        <v>0</v>
      </c>
      <c r="AK25" s="11">
        <f>+'Lundi S4'!AK25+'Mardi S4'!AK25+'Mercredi S4'!AK25+'Jeudi S4'!AK25+'Vendredi S4'!AK25+'Samedi S4'!AK25</f>
        <v>0</v>
      </c>
      <c r="AL25" s="9">
        <f>+'Lundi S4'!AL25+'Mardi S4'!AL25+'Mercredi S4'!AL25+'Jeudi S4'!AL25+'Vendredi S4'!AL25+'Samedi S4'!AL25</f>
        <v>0</v>
      </c>
      <c r="AM25" s="10">
        <f>+'Lundi S4'!AM25+'Mardi S4'!AM25+'Mercredi S4'!AM25+'Jeudi S4'!AM25+'Vendredi S4'!AM25+'Samedi S4'!AM25</f>
        <v>0</v>
      </c>
      <c r="AN25" s="10">
        <f>+'Lundi S4'!AN25+'Mardi S4'!AN25+'Mercredi S4'!AN25+'Jeudi S4'!AN25+'Vendredi S4'!AN25+'Samedi S4'!AN25</f>
        <v>0</v>
      </c>
      <c r="AO25" s="10">
        <f>+'Lundi S4'!AO25+'Mardi S4'!AO25+'Mercredi S4'!AO25+'Jeudi S4'!AO25+'Vendredi S4'!AO25+'Samedi S4'!AO25</f>
        <v>0</v>
      </c>
      <c r="AP25" s="11">
        <f>+'Lundi S4'!AP25+'Mardi S4'!AP25+'Mercredi S4'!AP25+'Jeudi S4'!AP25+'Vendredi S4'!AP25+'Samedi S4'!AP25</f>
        <v>0</v>
      </c>
      <c r="AQ25" s="9">
        <f>+'Lundi S4'!AQ25+'Mardi S4'!AQ25+'Mercredi S4'!AQ25+'Jeudi S4'!AQ25+'Vendredi S4'!AQ25+'Samedi S4'!AQ25</f>
        <v>0</v>
      </c>
      <c r="AR25" s="10">
        <f>+'Lundi S4'!AR25+'Mardi S4'!AR25+'Mercredi S4'!AR25+'Jeudi S4'!AR25+'Vendredi S4'!AR25+'Samedi S4'!AR25</f>
        <v>0</v>
      </c>
      <c r="AS25" s="11">
        <f>+'Lundi S4'!AS25+'Mardi S4'!AS25+'Mercredi S4'!AS25+'Jeudi S4'!AS25+'Vendredi S4'!AS25+'Samedi S4'!AS25</f>
        <v>0</v>
      </c>
      <c r="AT25" s="22"/>
      <c r="AU25" s="14"/>
    </row>
    <row r="26" spans="1:47" ht="31.9" customHeight="1" x14ac:dyDescent="0.2">
      <c r="A26" s="26">
        <v>20</v>
      </c>
      <c r="B26" s="19"/>
      <c r="C26" s="9">
        <f>+'Lundi S4'!C26+'Mardi S4'!C26+'Mercredi S4'!C26+'Jeudi S4'!C26+'Vendredi S4'!C26+'Samedi S4'!C26</f>
        <v>90</v>
      </c>
      <c r="D26" s="10">
        <f>+'Lundi S4'!D26+'Mardi S4'!D26+'Mercredi S4'!D26+'Jeudi S4'!D26+'Vendredi S4'!D26+'Samedi S4'!D26</f>
        <v>18</v>
      </c>
      <c r="E26" s="10">
        <f>+'Lundi S4'!E26+'Mardi S4'!E26+'Mercredi S4'!E26+'Jeudi S4'!E26+'Vendredi S4'!E26+'Samedi S4'!E26</f>
        <v>30</v>
      </c>
      <c r="F26" s="10">
        <f>+'Lundi S4'!F26+'Mardi S4'!F26+'Mercredi S4'!F26+'Jeudi S4'!F26+'Vendredi S4'!F26+'Samedi S4'!F26</f>
        <v>12</v>
      </c>
      <c r="G26" s="11">
        <f>+'Lundi S4'!G26+'Mardi S4'!G26+'Mercredi S4'!G26+'Jeudi S4'!G26+'Vendredi S4'!G26+'Samedi S4'!G26</f>
        <v>30</v>
      </c>
      <c r="H26" s="9">
        <f>+'Lundi S4'!H26+'Mardi S4'!H26+'Mercredi S4'!H26+'Jeudi S4'!H26+'Vendredi S4'!H26+'Samedi S4'!H26</f>
        <v>18</v>
      </c>
      <c r="I26" s="10">
        <f>+'Lundi S4'!I26+'Mardi S4'!I26+'Mercredi S4'!I26+'Jeudi S4'!I26+'Vendredi S4'!I26+'Samedi S4'!I26</f>
        <v>6</v>
      </c>
      <c r="J26" s="10">
        <f>+'Lundi S4'!J26+'Mardi S4'!J26+'Mercredi S4'!J26+'Jeudi S4'!J26+'Vendredi S4'!J26+'Samedi S4'!J26</f>
        <v>6</v>
      </c>
      <c r="K26" s="10">
        <f>+'Lundi S4'!K26+'Mardi S4'!K26+'Mercredi S4'!K26+'Jeudi S4'!K26+'Vendredi S4'!K26+'Samedi S4'!K26</f>
        <v>6</v>
      </c>
      <c r="L26" s="11">
        <f>+'Lundi S4'!L26+'Mardi S4'!L26+'Mercredi S4'!L26+'Jeudi S4'!L26+'Vendredi S4'!L26+'Samedi S4'!L26</f>
        <v>6</v>
      </c>
      <c r="M26" s="9">
        <f>+'Lundi S4'!M26+'Mardi S4'!M26+'Mercredi S4'!M26+'Jeudi S4'!M26+'Vendredi S4'!M26+'Samedi S4'!M26</f>
        <v>18</v>
      </c>
      <c r="N26" s="10">
        <f>+'Lundi S4'!N26+'Mardi S4'!N26+'Mercredi S4'!N26+'Jeudi S4'!N26+'Vendredi S4'!N26+'Samedi S4'!N26</f>
        <v>6</v>
      </c>
      <c r="O26" s="10">
        <f>+'Lundi S4'!O26+'Mardi S4'!O26+'Mercredi S4'!O26+'Jeudi S4'!O26+'Vendredi S4'!O26+'Samedi S4'!O26</f>
        <v>18</v>
      </c>
      <c r="P26" s="10">
        <f>+'Lundi S4'!P26+'Mardi S4'!P26+'Mercredi S4'!P26+'Jeudi S4'!P26+'Vendredi S4'!P26+'Samedi S4'!P26</f>
        <v>0</v>
      </c>
      <c r="Q26" s="11">
        <f>+'Lundi S4'!Q26+'Mardi S4'!Q26+'Mercredi S4'!Q26+'Jeudi S4'!Q26+'Vendredi S4'!Q26+'Samedi S4'!Q26</f>
        <v>0</v>
      </c>
      <c r="R26" s="61">
        <f>+'Lundi S4'!R26+'Mardi S4'!R26+'Mercredi S4'!R26+'Jeudi S4'!R26+'Vendredi S4'!R26+'Samedi S4'!R26</f>
        <v>3</v>
      </c>
      <c r="S26" s="62">
        <f>+'Lundi S4'!S26+'Mardi S4'!S26+'Mercredi S4'!S26+'Jeudi S4'!S26+'Vendredi S4'!S26+'Samedi S4'!S26</f>
        <v>0.99999999999999989</v>
      </c>
      <c r="T26" s="62">
        <f>+'Lundi S4'!T26+'Mardi S4'!T26+'Mercredi S4'!T26+'Jeudi S4'!T26+'Vendredi S4'!T26+'Samedi S4'!T26</f>
        <v>0.6</v>
      </c>
      <c r="U26" s="62">
        <f>+'Lundi S4'!U26+'Mardi S4'!U26+'Mercredi S4'!U26+'Jeudi S4'!U26+'Vendredi S4'!U26+'Samedi S4'!U26</f>
        <v>3.6</v>
      </c>
      <c r="V26" s="63">
        <f>+'Lundi S4'!V26+'Mardi S4'!V26+'Mercredi S4'!V26+'Jeudi S4'!V26+'Vendredi S4'!V26+'Samedi S4'!V26</f>
        <v>0.9</v>
      </c>
      <c r="W26" s="9">
        <f>+'Lundi S4'!W26+'Mardi S4'!W26+'Mercredi S4'!W26+'Jeudi S4'!W26+'Vendredi S4'!W26+'Samedi S4'!W26</f>
        <v>0</v>
      </c>
      <c r="X26" s="10">
        <f>+'Lundi S4'!X26+'Mardi S4'!X26+'Mercredi S4'!X26+'Jeudi S4'!X26+'Vendredi S4'!X26+'Samedi S4'!X26</f>
        <v>0</v>
      </c>
      <c r="Y26" s="10">
        <f>+'Lundi S4'!Y26+'Mardi S4'!Y26+'Mercredi S4'!Y26+'Jeudi S4'!Y26+'Vendredi S4'!Y26+'Samedi S4'!Y26</f>
        <v>0</v>
      </c>
      <c r="Z26" s="10">
        <f>+'Lundi S4'!Z26+'Mardi S4'!Z26+'Mercredi S4'!Z26+'Jeudi S4'!Z26+'Vendredi S4'!Z26+'Samedi S4'!Z26</f>
        <v>0</v>
      </c>
      <c r="AA26" s="11">
        <f>+'Lundi S4'!AA26+'Mardi S4'!AA26+'Mercredi S4'!AA26+'Jeudi S4'!AA26+'Vendredi S4'!AA26+'Samedi S4'!AA26</f>
        <v>0</v>
      </c>
      <c r="AB26" s="9">
        <f>+'Lundi S4'!AB26+'Mardi S4'!AB26+'Mercredi S4'!AB26+'Jeudi S4'!AB26+'Vendredi S4'!AB26+'Samedi S4'!AB26</f>
        <v>0</v>
      </c>
      <c r="AC26" s="10">
        <f>+'Lundi S4'!AC26+'Mardi S4'!AC26+'Mercredi S4'!AC26+'Jeudi S4'!AC26+'Vendredi S4'!AC26+'Samedi S4'!AC26</f>
        <v>0</v>
      </c>
      <c r="AD26" s="10">
        <f>+'Lundi S4'!AD26+'Mardi S4'!AD26+'Mercredi S4'!AD26+'Jeudi S4'!AD26+'Vendredi S4'!AD26+'Samedi S4'!AD26</f>
        <v>0</v>
      </c>
      <c r="AE26" s="10">
        <f>+'Lundi S4'!AE26+'Mardi S4'!AE26+'Mercredi S4'!AE26+'Jeudi S4'!AE26+'Vendredi S4'!AE26+'Samedi S4'!AE26</f>
        <v>0</v>
      </c>
      <c r="AF26" s="11">
        <f>+'Lundi S4'!AF26+'Mardi S4'!AF26+'Mercredi S4'!AF26+'Jeudi S4'!AF26+'Vendredi S4'!AF26+'Samedi S4'!AF26</f>
        <v>0</v>
      </c>
      <c r="AG26" s="9">
        <f>+'Lundi S4'!AG26+'Mardi S4'!AG26+'Mercredi S4'!AG26+'Jeudi S4'!AG26+'Vendredi S4'!AG26+'Samedi S4'!AG26</f>
        <v>0</v>
      </c>
      <c r="AH26" s="10">
        <f>+'Lundi S4'!AH26+'Mardi S4'!AH26+'Mercredi S4'!AH26+'Jeudi S4'!AH26+'Vendredi S4'!AH26+'Samedi S4'!AH26</f>
        <v>0</v>
      </c>
      <c r="AI26" s="10">
        <f>+'Lundi S4'!AI26+'Mardi S4'!AI26+'Mercredi S4'!AI26+'Jeudi S4'!AI26+'Vendredi S4'!AI26+'Samedi S4'!AI26</f>
        <v>0</v>
      </c>
      <c r="AJ26" s="10">
        <f>+'Lundi S4'!AJ26+'Mardi S4'!AJ26+'Mercredi S4'!AJ26+'Jeudi S4'!AJ26+'Vendredi S4'!AJ26+'Samedi S4'!AJ26</f>
        <v>0</v>
      </c>
      <c r="AK26" s="11">
        <f>+'Lundi S4'!AK26+'Mardi S4'!AK26+'Mercredi S4'!AK26+'Jeudi S4'!AK26+'Vendredi S4'!AK26+'Samedi S4'!AK26</f>
        <v>0</v>
      </c>
      <c r="AL26" s="9">
        <f>+'Lundi S4'!AL26+'Mardi S4'!AL26+'Mercredi S4'!AL26+'Jeudi S4'!AL26+'Vendredi S4'!AL26+'Samedi S4'!AL26</f>
        <v>0</v>
      </c>
      <c r="AM26" s="10">
        <f>+'Lundi S4'!AM26+'Mardi S4'!AM26+'Mercredi S4'!AM26+'Jeudi S4'!AM26+'Vendredi S4'!AM26+'Samedi S4'!AM26</f>
        <v>0</v>
      </c>
      <c r="AN26" s="10">
        <f>+'Lundi S4'!AN26+'Mardi S4'!AN26+'Mercredi S4'!AN26+'Jeudi S4'!AN26+'Vendredi S4'!AN26+'Samedi S4'!AN26</f>
        <v>0</v>
      </c>
      <c r="AO26" s="10">
        <f>+'Lundi S4'!AO26+'Mardi S4'!AO26+'Mercredi S4'!AO26+'Jeudi S4'!AO26+'Vendredi S4'!AO26+'Samedi S4'!AO26</f>
        <v>0</v>
      </c>
      <c r="AP26" s="11">
        <f>+'Lundi S4'!AP26+'Mardi S4'!AP26+'Mercredi S4'!AP26+'Jeudi S4'!AP26+'Vendredi S4'!AP26+'Samedi S4'!AP26</f>
        <v>0</v>
      </c>
      <c r="AQ26" s="9">
        <f>+'Lundi S4'!AQ26+'Mardi S4'!AQ26+'Mercredi S4'!AQ26+'Jeudi S4'!AQ26+'Vendredi S4'!AQ26+'Samedi S4'!AQ26</f>
        <v>0</v>
      </c>
      <c r="AR26" s="10">
        <f>+'Lundi S4'!AR26+'Mardi S4'!AR26+'Mercredi S4'!AR26+'Jeudi S4'!AR26+'Vendredi S4'!AR26+'Samedi S4'!AR26</f>
        <v>0</v>
      </c>
      <c r="AS26" s="11">
        <f>+'Lundi S4'!AS26+'Mardi S4'!AS26+'Mercredi S4'!AS26+'Jeudi S4'!AS26+'Vendredi S4'!AS26+'Samedi S4'!AS26</f>
        <v>0</v>
      </c>
      <c r="AT26" s="22"/>
      <c r="AU26" s="14"/>
    </row>
    <row r="27" spans="1:47" ht="31.9" customHeight="1" x14ac:dyDescent="0.2">
      <c r="A27" s="26">
        <v>21</v>
      </c>
      <c r="B27" s="19"/>
      <c r="C27" s="9">
        <f>+'Lundi S4'!C27+'Mardi S4'!C27+'Mercredi S4'!C27+'Jeudi S4'!C27+'Vendredi S4'!C27+'Samedi S4'!C27</f>
        <v>90</v>
      </c>
      <c r="D27" s="10">
        <f>+'Lundi S4'!D27+'Mardi S4'!D27+'Mercredi S4'!D27+'Jeudi S4'!D27+'Vendredi S4'!D27+'Samedi S4'!D27</f>
        <v>18</v>
      </c>
      <c r="E27" s="10">
        <f>+'Lundi S4'!E27+'Mardi S4'!E27+'Mercredi S4'!E27+'Jeudi S4'!E27+'Vendredi S4'!E27+'Samedi S4'!E27</f>
        <v>30</v>
      </c>
      <c r="F27" s="10">
        <f>+'Lundi S4'!F27+'Mardi S4'!F27+'Mercredi S4'!F27+'Jeudi S4'!F27+'Vendredi S4'!F27+'Samedi S4'!F27</f>
        <v>12</v>
      </c>
      <c r="G27" s="11">
        <f>+'Lundi S4'!G27+'Mardi S4'!G27+'Mercredi S4'!G27+'Jeudi S4'!G27+'Vendredi S4'!G27+'Samedi S4'!G27</f>
        <v>30</v>
      </c>
      <c r="H27" s="9">
        <f>+'Lundi S4'!H27+'Mardi S4'!H27+'Mercredi S4'!H27+'Jeudi S4'!H27+'Vendredi S4'!H27+'Samedi S4'!H27</f>
        <v>18</v>
      </c>
      <c r="I27" s="10">
        <f>+'Lundi S4'!I27+'Mardi S4'!I27+'Mercredi S4'!I27+'Jeudi S4'!I27+'Vendredi S4'!I27+'Samedi S4'!I27</f>
        <v>6</v>
      </c>
      <c r="J27" s="10">
        <f>+'Lundi S4'!J27+'Mardi S4'!J27+'Mercredi S4'!J27+'Jeudi S4'!J27+'Vendredi S4'!J27+'Samedi S4'!J27</f>
        <v>6</v>
      </c>
      <c r="K27" s="10">
        <f>+'Lundi S4'!K27+'Mardi S4'!K27+'Mercredi S4'!K27+'Jeudi S4'!K27+'Vendredi S4'!K27+'Samedi S4'!K27</f>
        <v>6</v>
      </c>
      <c r="L27" s="11">
        <f>+'Lundi S4'!L27+'Mardi S4'!L27+'Mercredi S4'!L27+'Jeudi S4'!L27+'Vendredi S4'!L27+'Samedi S4'!L27</f>
        <v>6</v>
      </c>
      <c r="M27" s="9">
        <f>+'Lundi S4'!M27+'Mardi S4'!M27+'Mercredi S4'!M27+'Jeudi S4'!M27+'Vendredi S4'!M27+'Samedi S4'!M27</f>
        <v>18</v>
      </c>
      <c r="N27" s="10">
        <f>+'Lundi S4'!N27+'Mardi S4'!N27+'Mercredi S4'!N27+'Jeudi S4'!N27+'Vendredi S4'!N27+'Samedi S4'!N27</f>
        <v>6</v>
      </c>
      <c r="O27" s="10">
        <f>+'Lundi S4'!O27+'Mardi S4'!O27+'Mercredi S4'!O27+'Jeudi S4'!O27+'Vendredi S4'!O27+'Samedi S4'!O27</f>
        <v>18</v>
      </c>
      <c r="P27" s="10">
        <f>+'Lundi S4'!P27+'Mardi S4'!P27+'Mercredi S4'!P27+'Jeudi S4'!P27+'Vendredi S4'!P27+'Samedi S4'!P27</f>
        <v>0</v>
      </c>
      <c r="Q27" s="11">
        <f>+'Lundi S4'!Q27+'Mardi S4'!Q27+'Mercredi S4'!Q27+'Jeudi S4'!Q27+'Vendredi S4'!Q27+'Samedi S4'!Q27</f>
        <v>0</v>
      </c>
      <c r="R27" s="61">
        <f>+'Lundi S4'!R27+'Mardi S4'!R27+'Mercredi S4'!R27+'Jeudi S4'!R27+'Vendredi S4'!R27+'Samedi S4'!R27</f>
        <v>3</v>
      </c>
      <c r="S27" s="62">
        <f>+'Lundi S4'!S27+'Mardi S4'!S27+'Mercredi S4'!S27+'Jeudi S4'!S27+'Vendredi S4'!S27+'Samedi S4'!S27</f>
        <v>0.99999999999999989</v>
      </c>
      <c r="T27" s="62">
        <f>+'Lundi S4'!T27+'Mardi S4'!T27+'Mercredi S4'!T27+'Jeudi S4'!T27+'Vendredi S4'!T27+'Samedi S4'!T27</f>
        <v>0.6</v>
      </c>
      <c r="U27" s="62">
        <f>+'Lundi S4'!U27+'Mardi S4'!U27+'Mercredi S4'!U27+'Jeudi S4'!U27+'Vendredi S4'!U27+'Samedi S4'!U27</f>
        <v>3.6</v>
      </c>
      <c r="V27" s="63">
        <f>+'Lundi S4'!V27+'Mardi S4'!V27+'Mercredi S4'!V27+'Jeudi S4'!V27+'Vendredi S4'!V27+'Samedi S4'!V27</f>
        <v>0.9</v>
      </c>
      <c r="W27" s="9">
        <f>+'Lundi S4'!W27+'Mardi S4'!W27+'Mercredi S4'!W27+'Jeudi S4'!W27+'Vendredi S4'!W27+'Samedi S4'!W27</f>
        <v>0</v>
      </c>
      <c r="X27" s="10">
        <f>+'Lundi S4'!X27+'Mardi S4'!X27+'Mercredi S4'!X27+'Jeudi S4'!X27+'Vendredi S4'!X27+'Samedi S4'!X27</f>
        <v>0</v>
      </c>
      <c r="Y27" s="10">
        <f>+'Lundi S4'!Y27+'Mardi S4'!Y27+'Mercredi S4'!Y27+'Jeudi S4'!Y27+'Vendredi S4'!Y27+'Samedi S4'!Y27</f>
        <v>0</v>
      </c>
      <c r="Z27" s="10">
        <f>+'Lundi S4'!Z27+'Mardi S4'!Z27+'Mercredi S4'!Z27+'Jeudi S4'!Z27+'Vendredi S4'!Z27+'Samedi S4'!Z27</f>
        <v>0</v>
      </c>
      <c r="AA27" s="11">
        <f>+'Lundi S4'!AA27+'Mardi S4'!AA27+'Mercredi S4'!AA27+'Jeudi S4'!AA27+'Vendredi S4'!AA27+'Samedi S4'!AA27</f>
        <v>0</v>
      </c>
      <c r="AB27" s="9">
        <f>+'Lundi S4'!AB27+'Mardi S4'!AB27+'Mercredi S4'!AB27+'Jeudi S4'!AB27+'Vendredi S4'!AB27+'Samedi S4'!AB27</f>
        <v>0</v>
      </c>
      <c r="AC27" s="10">
        <f>+'Lundi S4'!AC27+'Mardi S4'!AC27+'Mercredi S4'!AC27+'Jeudi S4'!AC27+'Vendredi S4'!AC27+'Samedi S4'!AC27</f>
        <v>0</v>
      </c>
      <c r="AD27" s="10">
        <f>+'Lundi S4'!AD27+'Mardi S4'!AD27+'Mercredi S4'!AD27+'Jeudi S4'!AD27+'Vendredi S4'!AD27+'Samedi S4'!AD27</f>
        <v>0</v>
      </c>
      <c r="AE27" s="10">
        <f>+'Lundi S4'!AE27+'Mardi S4'!AE27+'Mercredi S4'!AE27+'Jeudi S4'!AE27+'Vendredi S4'!AE27+'Samedi S4'!AE27</f>
        <v>0</v>
      </c>
      <c r="AF27" s="11">
        <f>+'Lundi S4'!AF27+'Mardi S4'!AF27+'Mercredi S4'!AF27+'Jeudi S4'!AF27+'Vendredi S4'!AF27+'Samedi S4'!AF27</f>
        <v>0</v>
      </c>
      <c r="AG27" s="9">
        <f>+'Lundi S4'!AG27+'Mardi S4'!AG27+'Mercredi S4'!AG27+'Jeudi S4'!AG27+'Vendredi S4'!AG27+'Samedi S4'!AG27</f>
        <v>0</v>
      </c>
      <c r="AH27" s="10">
        <f>+'Lundi S4'!AH27+'Mardi S4'!AH27+'Mercredi S4'!AH27+'Jeudi S4'!AH27+'Vendredi S4'!AH27+'Samedi S4'!AH27</f>
        <v>0</v>
      </c>
      <c r="AI27" s="10">
        <f>+'Lundi S4'!AI27+'Mardi S4'!AI27+'Mercredi S4'!AI27+'Jeudi S4'!AI27+'Vendredi S4'!AI27+'Samedi S4'!AI27</f>
        <v>0</v>
      </c>
      <c r="AJ27" s="10">
        <f>+'Lundi S4'!AJ27+'Mardi S4'!AJ27+'Mercredi S4'!AJ27+'Jeudi S4'!AJ27+'Vendredi S4'!AJ27+'Samedi S4'!AJ27</f>
        <v>0</v>
      </c>
      <c r="AK27" s="11">
        <f>+'Lundi S4'!AK27+'Mardi S4'!AK27+'Mercredi S4'!AK27+'Jeudi S4'!AK27+'Vendredi S4'!AK27+'Samedi S4'!AK27</f>
        <v>0</v>
      </c>
      <c r="AL27" s="9">
        <f>+'Lundi S4'!AL27+'Mardi S4'!AL27+'Mercredi S4'!AL27+'Jeudi S4'!AL27+'Vendredi S4'!AL27+'Samedi S4'!AL27</f>
        <v>0</v>
      </c>
      <c r="AM27" s="10">
        <f>+'Lundi S4'!AM27+'Mardi S4'!AM27+'Mercredi S4'!AM27+'Jeudi S4'!AM27+'Vendredi S4'!AM27+'Samedi S4'!AM27</f>
        <v>0</v>
      </c>
      <c r="AN27" s="10">
        <f>+'Lundi S4'!AN27+'Mardi S4'!AN27+'Mercredi S4'!AN27+'Jeudi S4'!AN27+'Vendredi S4'!AN27+'Samedi S4'!AN27</f>
        <v>0</v>
      </c>
      <c r="AO27" s="10">
        <f>+'Lundi S4'!AO27+'Mardi S4'!AO27+'Mercredi S4'!AO27+'Jeudi S4'!AO27+'Vendredi S4'!AO27+'Samedi S4'!AO27</f>
        <v>0</v>
      </c>
      <c r="AP27" s="11">
        <f>+'Lundi S4'!AP27+'Mardi S4'!AP27+'Mercredi S4'!AP27+'Jeudi S4'!AP27+'Vendredi S4'!AP27+'Samedi S4'!AP27</f>
        <v>0</v>
      </c>
      <c r="AQ27" s="9">
        <f>+'Lundi S4'!AQ27+'Mardi S4'!AQ27+'Mercredi S4'!AQ27+'Jeudi S4'!AQ27+'Vendredi S4'!AQ27+'Samedi S4'!AQ27</f>
        <v>0</v>
      </c>
      <c r="AR27" s="10">
        <f>+'Lundi S4'!AR27+'Mardi S4'!AR27+'Mercredi S4'!AR27+'Jeudi S4'!AR27+'Vendredi S4'!AR27+'Samedi S4'!AR27</f>
        <v>0</v>
      </c>
      <c r="AS27" s="11">
        <f>+'Lundi S4'!AS27+'Mardi S4'!AS27+'Mercredi S4'!AS27+'Jeudi S4'!AS27+'Vendredi S4'!AS27+'Samedi S4'!AS27</f>
        <v>0</v>
      </c>
      <c r="AT27" s="22"/>
      <c r="AU27" s="14"/>
    </row>
    <row r="28" spans="1:47" ht="31.9" customHeight="1" x14ac:dyDescent="0.2">
      <c r="A28" s="26">
        <v>22</v>
      </c>
      <c r="B28" s="19"/>
      <c r="C28" s="9">
        <f>+'Lundi S4'!C28+'Mardi S4'!C28+'Mercredi S4'!C28+'Jeudi S4'!C28+'Vendredi S4'!C28+'Samedi S4'!C28</f>
        <v>90</v>
      </c>
      <c r="D28" s="10">
        <f>+'Lundi S4'!D28+'Mardi S4'!D28+'Mercredi S4'!D28+'Jeudi S4'!D28+'Vendredi S4'!D28+'Samedi S4'!D28</f>
        <v>18</v>
      </c>
      <c r="E28" s="10">
        <f>+'Lundi S4'!E28+'Mardi S4'!E28+'Mercredi S4'!E28+'Jeudi S4'!E28+'Vendredi S4'!E28+'Samedi S4'!E28</f>
        <v>30</v>
      </c>
      <c r="F28" s="10">
        <f>+'Lundi S4'!F28+'Mardi S4'!F28+'Mercredi S4'!F28+'Jeudi S4'!F28+'Vendredi S4'!F28+'Samedi S4'!F28</f>
        <v>12</v>
      </c>
      <c r="G28" s="11">
        <f>+'Lundi S4'!G28+'Mardi S4'!G28+'Mercredi S4'!G28+'Jeudi S4'!G28+'Vendredi S4'!G28+'Samedi S4'!G28</f>
        <v>30</v>
      </c>
      <c r="H28" s="9">
        <f>+'Lundi S4'!H28+'Mardi S4'!H28+'Mercredi S4'!H28+'Jeudi S4'!H28+'Vendredi S4'!H28+'Samedi S4'!H28</f>
        <v>18</v>
      </c>
      <c r="I28" s="10">
        <f>+'Lundi S4'!I28+'Mardi S4'!I28+'Mercredi S4'!I28+'Jeudi S4'!I28+'Vendredi S4'!I28+'Samedi S4'!I28</f>
        <v>6</v>
      </c>
      <c r="J28" s="10">
        <f>+'Lundi S4'!J28+'Mardi S4'!J28+'Mercredi S4'!J28+'Jeudi S4'!J28+'Vendredi S4'!J28+'Samedi S4'!J28</f>
        <v>6</v>
      </c>
      <c r="K28" s="10">
        <f>+'Lundi S4'!K28+'Mardi S4'!K28+'Mercredi S4'!K28+'Jeudi S4'!K28+'Vendredi S4'!K28+'Samedi S4'!K28</f>
        <v>6</v>
      </c>
      <c r="L28" s="11">
        <f>+'Lundi S4'!L28+'Mardi S4'!L28+'Mercredi S4'!L28+'Jeudi S4'!L28+'Vendredi S4'!L28+'Samedi S4'!L28</f>
        <v>6</v>
      </c>
      <c r="M28" s="9">
        <f>+'Lundi S4'!M28+'Mardi S4'!M28+'Mercredi S4'!M28+'Jeudi S4'!M28+'Vendredi S4'!M28+'Samedi S4'!M28</f>
        <v>18</v>
      </c>
      <c r="N28" s="10">
        <f>+'Lundi S4'!N28+'Mardi S4'!N28+'Mercredi S4'!N28+'Jeudi S4'!N28+'Vendredi S4'!N28+'Samedi S4'!N28</f>
        <v>6</v>
      </c>
      <c r="O28" s="10">
        <f>+'Lundi S4'!O28+'Mardi S4'!O28+'Mercredi S4'!O28+'Jeudi S4'!O28+'Vendredi S4'!O28+'Samedi S4'!O28</f>
        <v>18</v>
      </c>
      <c r="P28" s="10">
        <f>+'Lundi S4'!P28+'Mardi S4'!P28+'Mercredi S4'!P28+'Jeudi S4'!P28+'Vendredi S4'!P28+'Samedi S4'!P28</f>
        <v>0</v>
      </c>
      <c r="Q28" s="11">
        <f>+'Lundi S4'!Q28+'Mardi S4'!Q28+'Mercredi S4'!Q28+'Jeudi S4'!Q28+'Vendredi S4'!Q28+'Samedi S4'!Q28</f>
        <v>0</v>
      </c>
      <c r="R28" s="61">
        <f>+'Lundi S4'!R28+'Mardi S4'!R28+'Mercredi S4'!R28+'Jeudi S4'!R28+'Vendredi S4'!R28+'Samedi S4'!R28</f>
        <v>3</v>
      </c>
      <c r="S28" s="62">
        <f>+'Lundi S4'!S28+'Mardi S4'!S28+'Mercredi S4'!S28+'Jeudi S4'!S28+'Vendredi S4'!S28+'Samedi S4'!S28</f>
        <v>0.99999999999999989</v>
      </c>
      <c r="T28" s="62">
        <f>+'Lundi S4'!T28+'Mardi S4'!T28+'Mercredi S4'!T28+'Jeudi S4'!T28+'Vendredi S4'!T28+'Samedi S4'!T28</f>
        <v>0.6</v>
      </c>
      <c r="U28" s="62">
        <f>+'Lundi S4'!U28+'Mardi S4'!U28+'Mercredi S4'!U28+'Jeudi S4'!U28+'Vendredi S4'!U28+'Samedi S4'!U28</f>
        <v>3.6</v>
      </c>
      <c r="V28" s="63">
        <f>+'Lundi S4'!V28+'Mardi S4'!V28+'Mercredi S4'!V28+'Jeudi S4'!V28+'Vendredi S4'!V28+'Samedi S4'!V28</f>
        <v>0.9</v>
      </c>
      <c r="W28" s="9">
        <f>+'Lundi S4'!W28+'Mardi S4'!W28+'Mercredi S4'!W28+'Jeudi S4'!W28+'Vendredi S4'!W28+'Samedi S4'!W28</f>
        <v>0</v>
      </c>
      <c r="X28" s="10">
        <f>+'Lundi S4'!X28+'Mardi S4'!X28+'Mercredi S4'!X28+'Jeudi S4'!X28+'Vendredi S4'!X28+'Samedi S4'!X28</f>
        <v>0</v>
      </c>
      <c r="Y28" s="10">
        <f>+'Lundi S4'!Y28+'Mardi S4'!Y28+'Mercredi S4'!Y28+'Jeudi S4'!Y28+'Vendredi S4'!Y28+'Samedi S4'!Y28</f>
        <v>0</v>
      </c>
      <c r="Z28" s="10">
        <f>+'Lundi S4'!Z28+'Mardi S4'!Z28+'Mercredi S4'!Z28+'Jeudi S4'!Z28+'Vendredi S4'!Z28+'Samedi S4'!Z28</f>
        <v>0</v>
      </c>
      <c r="AA28" s="11">
        <f>+'Lundi S4'!AA28+'Mardi S4'!AA28+'Mercredi S4'!AA28+'Jeudi S4'!AA28+'Vendredi S4'!AA28+'Samedi S4'!AA28</f>
        <v>0</v>
      </c>
      <c r="AB28" s="9">
        <f>+'Lundi S4'!AB28+'Mardi S4'!AB28+'Mercredi S4'!AB28+'Jeudi S4'!AB28+'Vendredi S4'!AB28+'Samedi S4'!AB28</f>
        <v>0</v>
      </c>
      <c r="AC28" s="10">
        <f>+'Lundi S4'!AC28+'Mardi S4'!AC28+'Mercredi S4'!AC28+'Jeudi S4'!AC28+'Vendredi S4'!AC28+'Samedi S4'!AC28</f>
        <v>0</v>
      </c>
      <c r="AD28" s="10">
        <f>+'Lundi S4'!AD28+'Mardi S4'!AD28+'Mercredi S4'!AD28+'Jeudi S4'!AD28+'Vendredi S4'!AD28+'Samedi S4'!AD28</f>
        <v>0</v>
      </c>
      <c r="AE28" s="10">
        <f>+'Lundi S4'!AE28+'Mardi S4'!AE28+'Mercredi S4'!AE28+'Jeudi S4'!AE28+'Vendredi S4'!AE28+'Samedi S4'!AE28</f>
        <v>0</v>
      </c>
      <c r="AF28" s="11">
        <f>+'Lundi S4'!AF28+'Mardi S4'!AF28+'Mercredi S4'!AF28+'Jeudi S4'!AF28+'Vendredi S4'!AF28+'Samedi S4'!AF28</f>
        <v>0</v>
      </c>
      <c r="AG28" s="9">
        <f>+'Lundi S4'!AG28+'Mardi S4'!AG28+'Mercredi S4'!AG28+'Jeudi S4'!AG28+'Vendredi S4'!AG28+'Samedi S4'!AG28</f>
        <v>0</v>
      </c>
      <c r="AH28" s="10">
        <f>+'Lundi S4'!AH28+'Mardi S4'!AH28+'Mercredi S4'!AH28+'Jeudi S4'!AH28+'Vendredi S4'!AH28+'Samedi S4'!AH28</f>
        <v>0</v>
      </c>
      <c r="AI28" s="10">
        <f>+'Lundi S4'!AI28+'Mardi S4'!AI28+'Mercredi S4'!AI28+'Jeudi S4'!AI28+'Vendredi S4'!AI28+'Samedi S4'!AI28</f>
        <v>0</v>
      </c>
      <c r="AJ28" s="10">
        <f>+'Lundi S4'!AJ28+'Mardi S4'!AJ28+'Mercredi S4'!AJ28+'Jeudi S4'!AJ28+'Vendredi S4'!AJ28+'Samedi S4'!AJ28</f>
        <v>0</v>
      </c>
      <c r="AK28" s="11">
        <f>+'Lundi S4'!AK28+'Mardi S4'!AK28+'Mercredi S4'!AK28+'Jeudi S4'!AK28+'Vendredi S4'!AK28+'Samedi S4'!AK28</f>
        <v>0</v>
      </c>
      <c r="AL28" s="9">
        <f>+'Lundi S4'!AL28+'Mardi S4'!AL28+'Mercredi S4'!AL28+'Jeudi S4'!AL28+'Vendredi S4'!AL28+'Samedi S4'!AL28</f>
        <v>0</v>
      </c>
      <c r="AM28" s="10">
        <f>+'Lundi S4'!AM28+'Mardi S4'!AM28+'Mercredi S4'!AM28+'Jeudi S4'!AM28+'Vendredi S4'!AM28+'Samedi S4'!AM28</f>
        <v>0</v>
      </c>
      <c r="AN28" s="10">
        <f>+'Lundi S4'!AN28+'Mardi S4'!AN28+'Mercredi S4'!AN28+'Jeudi S4'!AN28+'Vendredi S4'!AN28+'Samedi S4'!AN28</f>
        <v>0</v>
      </c>
      <c r="AO28" s="10">
        <f>+'Lundi S4'!AO28+'Mardi S4'!AO28+'Mercredi S4'!AO28+'Jeudi S4'!AO28+'Vendredi S4'!AO28+'Samedi S4'!AO28</f>
        <v>0</v>
      </c>
      <c r="AP28" s="11">
        <f>+'Lundi S4'!AP28+'Mardi S4'!AP28+'Mercredi S4'!AP28+'Jeudi S4'!AP28+'Vendredi S4'!AP28+'Samedi S4'!AP28</f>
        <v>0</v>
      </c>
      <c r="AQ28" s="9">
        <f>+'Lundi S4'!AQ28+'Mardi S4'!AQ28+'Mercredi S4'!AQ28+'Jeudi S4'!AQ28+'Vendredi S4'!AQ28+'Samedi S4'!AQ28</f>
        <v>0</v>
      </c>
      <c r="AR28" s="10">
        <f>+'Lundi S4'!AR28+'Mardi S4'!AR28+'Mercredi S4'!AR28+'Jeudi S4'!AR28+'Vendredi S4'!AR28+'Samedi S4'!AR28</f>
        <v>0</v>
      </c>
      <c r="AS28" s="11">
        <f>+'Lundi S4'!AS28+'Mardi S4'!AS28+'Mercredi S4'!AS28+'Jeudi S4'!AS28+'Vendredi S4'!AS28+'Samedi S4'!AS28</f>
        <v>0</v>
      </c>
      <c r="AT28" s="22"/>
      <c r="AU28" s="14"/>
    </row>
    <row r="29" spans="1:47" ht="31.9" customHeight="1" x14ac:dyDescent="0.2">
      <c r="A29" s="26">
        <v>23</v>
      </c>
      <c r="B29" s="19"/>
      <c r="C29" s="9">
        <f>+'Lundi S4'!C29+'Mardi S4'!C29+'Mercredi S4'!C29+'Jeudi S4'!C29+'Vendredi S4'!C29+'Samedi S4'!C29</f>
        <v>90</v>
      </c>
      <c r="D29" s="10">
        <f>+'Lundi S4'!D29+'Mardi S4'!D29+'Mercredi S4'!D29+'Jeudi S4'!D29+'Vendredi S4'!D29+'Samedi S4'!D29</f>
        <v>18</v>
      </c>
      <c r="E29" s="10">
        <f>+'Lundi S4'!E29+'Mardi S4'!E29+'Mercredi S4'!E29+'Jeudi S4'!E29+'Vendredi S4'!E29+'Samedi S4'!E29</f>
        <v>30</v>
      </c>
      <c r="F29" s="10">
        <f>+'Lundi S4'!F29+'Mardi S4'!F29+'Mercredi S4'!F29+'Jeudi S4'!F29+'Vendredi S4'!F29+'Samedi S4'!F29</f>
        <v>12</v>
      </c>
      <c r="G29" s="11">
        <f>+'Lundi S4'!G29+'Mardi S4'!G29+'Mercredi S4'!G29+'Jeudi S4'!G29+'Vendredi S4'!G29+'Samedi S4'!G29</f>
        <v>30</v>
      </c>
      <c r="H29" s="9">
        <f>+'Lundi S4'!H29+'Mardi S4'!H29+'Mercredi S4'!H29+'Jeudi S4'!H29+'Vendredi S4'!H29+'Samedi S4'!H29</f>
        <v>18</v>
      </c>
      <c r="I29" s="10">
        <f>+'Lundi S4'!I29+'Mardi S4'!I29+'Mercredi S4'!I29+'Jeudi S4'!I29+'Vendredi S4'!I29+'Samedi S4'!I29</f>
        <v>6</v>
      </c>
      <c r="J29" s="10">
        <f>+'Lundi S4'!J29+'Mardi S4'!J29+'Mercredi S4'!J29+'Jeudi S4'!J29+'Vendredi S4'!J29+'Samedi S4'!J29</f>
        <v>6</v>
      </c>
      <c r="K29" s="10">
        <f>+'Lundi S4'!K29+'Mardi S4'!K29+'Mercredi S4'!K29+'Jeudi S4'!K29+'Vendredi S4'!K29+'Samedi S4'!K29</f>
        <v>6</v>
      </c>
      <c r="L29" s="11">
        <f>+'Lundi S4'!L29+'Mardi S4'!L29+'Mercredi S4'!L29+'Jeudi S4'!L29+'Vendredi S4'!L29+'Samedi S4'!L29</f>
        <v>6</v>
      </c>
      <c r="M29" s="9">
        <f>+'Lundi S4'!M29+'Mardi S4'!M29+'Mercredi S4'!M29+'Jeudi S4'!M29+'Vendredi S4'!M29+'Samedi S4'!M29</f>
        <v>18</v>
      </c>
      <c r="N29" s="10">
        <f>+'Lundi S4'!N29+'Mardi S4'!N29+'Mercredi S4'!N29+'Jeudi S4'!N29+'Vendredi S4'!N29+'Samedi S4'!N29</f>
        <v>6</v>
      </c>
      <c r="O29" s="10">
        <f>+'Lundi S4'!O29+'Mardi S4'!O29+'Mercredi S4'!O29+'Jeudi S4'!O29+'Vendredi S4'!O29+'Samedi S4'!O29</f>
        <v>18</v>
      </c>
      <c r="P29" s="10">
        <f>+'Lundi S4'!P29+'Mardi S4'!P29+'Mercredi S4'!P29+'Jeudi S4'!P29+'Vendredi S4'!P29+'Samedi S4'!P29</f>
        <v>0</v>
      </c>
      <c r="Q29" s="11">
        <f>+'Lundi S4'!Q29+'Mardi S4'!Q29+'Mercredi S4'!Q29+'Jeudi S4'!Q29+'Vendredi S4'!Q29+'Samedi S4'!Q29</f>
        <v>0</v>
      </c>
      <c r="R29" s="61">
        <f>+'Lundi S4'!R29+'Mardi S4'!R29+'Mercredi S4'!R29+'Jeudi S4'!R29+'Vendredi S4'!R29+'Samedi S4'!R29</f>
        <v>3</v>
      </c>
      <c r="S29" s="62">
        <f>+'Lundi S4'!S29+'Mardi S4'!S29+'Mercredi S4'!S29+'Jeudi S4'!S29+'Vendredi S4'!S29+'Samedi S4'!S29</f>
        <v>0.99999999999999989</v>
      </c>
      <c r="T29" s="62">
        <f>+'Lundi S4'!T29+'Mardi S4'!T29+'Mercredi S4'!T29+'Jeudi S4'!T29+'Vendredi S4'!T29+'Samedi S4'!T29</f>
        <v>0.6</v>
      </c>
      <c r="U29" s="62">
        <f>+'Lundi S4'!U29+'Mardi S4'!U29+'Mercredi S4'!U29+'Jeudi S4'!U29+'Vendredi S4'!U29+'Samedi S4'!U29</f>
        <v>3.6</v>
      </c>
      <c r="V29" s="63">
        <f>+'Lundi S4'!V29+'Mardi S4'!V29+'Mercredi S4'!V29+'Jeudi S4'!V29+'Vendredi S4'!V29+'Samedi S4'!V29</f>
        <v>0.9</v>
      </c>
      <c r="W29" s="9">
        <f>+'Lundi S4'!W29+'Mardi S4'!W29+'Mercredi S4'!W29+'Jeudi S4'!W29+'Vendredi S4'!W29+'Samedi S4'!W29</f>
        <v>0</v>
      </c>
      <c r="X29" s="10">
        <f>+'Lundi S4'!X29+'Mardi S4'!X29+'Mercredi S4'!X29+'Jeudi S4'!X29+'Vendredi S4'!X29+'Samedi S4'!X29</f>
        <v>0</v>
      </c>
      <c r="Y29" s="10">
        <f>+'Lundi S4'!Y29+'Mardi S4'!Y29+'Mercredi S4'!Y29+'Jeudi S4'!Y29+'Vendredi S4'!Y29+'Samedi S4'!Y29</f>
        <v>0</v>
      </c>
      <c r="Z29" s="10">
        <f>+'Lundi S4'!Z29+'Mardi S4'!Z29+'Mercredi S4'!Z29+'Jeudi S4'!Z29+'Vendredi S4'!Z29+'Samedi S4'!Z29</f>
        <v>0</v>
      </c>
      <c r="AA29" s="11">
        <f>+'Lundi S4'!AA29+'Mardi S4'!AA29+'Mercredi S4'!AA29+'Jeudi S4'!AA29+'Vendredi S4'!AA29+'Samedi S4'!AA29</f>
        <v>0</v>
      </c>
      <c r="AB29" s="9">
        <f>+'Lundi S4'!AB29+'Mardi S4'!AB29+'Mercredi S4'!AB29+'Jeudi S4'!AB29+'Vendredi S4'!AB29+'Samedi S4'!AB29</f>
        <v>0</v>
      </c>
      <c r="AC29" s="10">
        <f>+'Lundi S4'!AC29+'Mardi S4'!AC29+'Mercredi S4'!AC29+'Jeudi S4'!AC29+'Vendredi S4'!AC29+'Samedi S4'!AC29</f>
        <v>0</v>
      </c>
      <c r="AD29" s="10">
        <f>+'Lundi S4'!AD29+'Mardi S4'!AD29+'Mercredi S4'!AD29+'Jeudi S4'!AD29+'Vendredi S4'!AD29+'Samedi S4'!AD29</f>
        <v>0</v>
      </c>
      <c r="AE29" s="10">
        <f>+'Lundi S4'!AE29+'Mardi S4'!AE29+'Mercredi S4'!AE29+'Jeudi S4'!AE29+'Vendredi S4'!AE29+'Samedi S4'!AE29</f>
        <v>0</v>
      </c>
      <c r="AF29" s="11">
        <f>+'Lundi S4'!AF29+'Mardi S4'!AF29+'Mercredi S4'!AF29+'Jeudi S4'!AF29+'Vendredi S4'!AF29+'Samedi S4'!AF29</f>
        <v>0</v>
      </c>
      <c r="AG29" s="9">
        <f>+'Lundi S4'!AG29+'Mardi S4'!AG29+'Mercredi S4'!AG29+'Jeudi S4'!AG29+'Vendredi S4'!AG29+'Samedi S4'!AG29</f>
        <v>0</v>
      </c>
      <c r="AH29" s="10">
        <f>+'Lundi S4'!AH29+'Mardi S4'!AH29+'Mercredi S4'!AH29+'Jeudi S4'!AH29+'Vendredi S4'!AH29+'Samedi S4'!AH29</f>
        <v>0</v>
      </c>
      <c r="AI29" s="10">
        <f>+'Lundi S4'!AI29+'Mardi S4'!AI29+'Mercredi S4'!AI29+'Jeudi S4'!AI29+'Vendredi S4'!AI29+'Samedi S4'!AI29</f>
        <v>0</v>
      </c>
      <c r="AJ29" s="10">
        <f>+'Lundi S4'!AJ29+'Mardi S4'!AJ29+'Mercredi S4'!AJ29+'Jeudi S4'!AJ29+'Vendredi S4'!AJ29+'Samedi S4'!AJ29</f>
        <v>0</v>
      </c>
      <c r="AK29" s="11">
        <f>+'Lundi S4'!AK29+'Mardi S4'!AK29+'Mercredi S4'!AK29+'Jeudi S4'!AK29+'Vendredi S4'!AK29+'Samedi S4'!AK29</f>
        <v>0</v>
      </c>
      <c r="AL29" s="9">
        <f>+'Lundi S4'!AL29+'Mardi S4'!AL29+'Mercredi S4'!AL29+'Jeudi S4'!AL29+'Vendredi S4'!AL29+'Samedi S4'!AL29</f>
        <v>0</v>
      </c>
      <c r="AM29" s="10">
        <f>+'Lundi S4'!AM29+'Mardi S4'!AM29+'Mercredi S4'!AM29+'Jeudi S4'!AM29+'Vendredi S4'!AM29+'Samedi S4'!AM29</f>
        <v>0</v>
      </c>
      <c r="AN29" s="10">
        <f>+'Lundi S4'!AN29+'Mardi S4'!AN29+'Mercredi S4'!AN29+'Jeudi S4'!AN29+'Vendredi S4'!AN29+'Samedi S4'!AN29</f>
        <v>0</v>
      </c>
      <c r="AO29" s="10">
        <f>+'Lundi S4'!AO29+'Mardi S4'!AO29+'Mercredi S4'!AO29+'Jeudi S4'!AO29+'Vendredi S4'!AO29+'Samedi S4'!AO29</f>
        <v>0</v>
      </c>
      <c r="AP29" s="11">
        <f>+'Lundi S4'!AP29+'Mardi S4'!AP29+'Mercredi S4'!AP29+'Jeudi S4'!AP29+'Vendredi S4'!AP29+'Samedi S4'!AP29</f>
        <v>0</v>
      </c>
      <c r="AQ29" s="9">
        <f>+'Lundi S4'!AQ29+'Mardi S4'!AQ29+'Mercredi S4'!AQ29+'Jeudi S4'!AQ29+'Vendredi S4'!AQ29+'Samedi S4'!AQ29</f>
        <v>0</v>
      </c>
      <c r="AR29" s="10">
        <f>+'Lundi S4'!AR29+'Mardi S4'!AR29+'Mercredi S4'!AR29+'Jeudi S4'!AR29+'Vendredi S4'!AR29+'Samedi S4'!AR29</f>
        <v>0</v>
      </c>
      <c r="AS29" s="11">
        <f>+'Lundi S4'!AS29+'Mardi S4'!AS29+'Mercredi S4'!AS29+'Jeudi S4'!AS29+'Vendredi S4'!AS29+'Samedi S4'!AS29</f>
        <v>0</v>
      </c>
      <c r="AT29" s="22"/>
      <c r="AU29" s="14"/>
    </row>
    <row r="30" spans="1:47" ht="31.9" customHeight="1" x14ac:dyDescent="0.2">
      <c r="A30" s="26">
        <v>24</v>
      </c>
      <c r="B30" s="19"/>
      <c r="C30" s="9">
        <f>+'Lundi S4'!C30+'Mardi S4'!C30+'Mercredi S4'!C30+'Jeudi S4'!C30+'Vendredi S4'!C30+'Samedi S4'!C30</f>
        <v>90</v>
      </c>
      <c r="D30" s="10">
        <f>+'Lundi S4'!D30+'Mardi S4'!D30+'Mercredi S4'!D30+'Jeudi S4'!D30+'Vendredi S4'!D30+'Samedi S4'!D30</f>
        <v>18</v>
      </c>
      <c r="E30" s="10">
        <f>+'Lundi S4'!E30+'Mardi S4'!E30+'Mercredi S4'!E30+'Jeudi S4'!E30+'Vendredi S4'!E30+'Samedi S4'!E30</f>
        <v>30</v>
      </c>
      <c r="F30" s="10">
        <f>+'Lundi S4'!F30+'Mardi S4'!F30+'Mercredi S4'!F30+'Jeudi S4'!F30+'Vendredi S4'!F30+'Samedi S4'!F30</f>
        <v>12</v>
      </c>
      <c r="G30" s="11">
        <f>+'Lundi S4'!G30+'Mardi S4'!G30+'Mercredi S4'!G30+'Jeudi S4'!G30+'Vendredi S4'!G30+'Samedi S4'!G30</f>
        <v>30</v>
      </c>
      <c r="H30" s="9">
        <f>+'Lundi S4'!H30+'Mardi S4'!H30+'Mercredi S4'!H30+'Jeudi S4'!H30+'Vendredi S4'!H30+'Samedi S4'!H30</f>
        <v>18</v>
      </c>
      <c r="I30" s="10">
        <f>+'Lundi S4'!I30+'Mardi S4'!I30+'Mercredi S4'!I30+'Jeudi S4'!I30+'Vendredi S4'!I30+'Samedi S4'!I30</f>
        <v>6</v>
      </c>
      <c r="J30" s="10">
        <f>+'Lundi S4'!J30+'Mardi S4'!J30+'Mercredi S4'!J30+'Jeudi S4'!J30+'Vendredi S4'!J30+'Samedi S4'!J30</f>
        <v>6</v>
      </c>
      <c r="K30" s="10">
        <f>+'Lundi S4'!K30+'Mardi S4'!K30+'Mercredi S4'!K30+'Jeudi S4'!K30+'Vendredi S4'!K30+'Samedi S4'!K30</f>
        <v>6</v>
      </c>
      <c r="L30" s="11">
        <f>+'Lundi S4'!L30+'Mardi S4'!L30+'Mercredi S4'!L30+'Jeudi S4'!L30+'Vendredi S4'!L30+'Samedi S4'!L30</f>
        <v>6</v>
      </c>
      <c r="M30" s="9">
        <f>+'Lundi S4'!M30+'Mardi S4'!M30+'Mercredi S4'!M30+'Jeudi S4'!M30+'Vendredi S4'!M30+'Samedi S4'!M30</f>
        <v>18</v>
      </c>
      <c r="N30" s="10">
        <f>+'Lundi S4'!N30+'Mardi S4'!N30+'Mercredi S4'!N30+'Jeudi S4'!N30+'Vendredi S4'!N30+'Samedi S4'!N30</f>
        <v>6</v>
      </c>
      <c r="O30" s="10">
        <f>+'Lundi S4'!O30+'Mardi S4'!O30+'Mercredi S4'!O30+'Jeudi S4'!O30+'Vendredi S4'!O30+'Samedi S4'!O30</f>
        <v>18</v>
      </c>
      <c r="P30" s="10">
        <f>+'Lundi S4'!P30+'Mardi S4'!P30+'Mercredi S4'!P30+'Jeudi S4'!P30+'Vendredi S4'!P30+'Samedi S4'!P30</f>
        <v>0</v>
      </c>
      <c r="Q30" s="11">
        <f>+'Lundi S4'!Q30+'Mardi S4'!Q30+'Mercredi S4'!Q30+'Jeudi S4'!Q30+'Vendredi S4'!Q30+'Samedi S4'!Q30</f>
        <v>0</v>
      </c>
      <c r="R30" s="61">
        <f>+'Lundi S4'!R30+'Mardi S4'!R30+'Mercredi S4'!R30+'Jeudi S4'!R30+'Vendredi S4'!R30+'Samedi S4'!R30</f>
        <v>3</v>
      </c>
      <c r="S30" s="62">
        <f>+'Lundi S4'!S30+'Mardi S4'!S30+'Mercredi S4'!S30+'Jeudi S4'!S30+'Vendredi S4'!S30+'Samedi S4'!S30</f>
        <v>0.99999999999999989</v>
      </c>
      <c r="T30" s="62">
        <f>+'Lundi S4'!T30+'Mardi S4'!T30+'Mercredi S4'!T30+'Jeudi S4'!T30+'Vendredi S4'!T30+'Samedi S4'!T30</f>
        <v>0.6</v>
      </c>
      <c r="U30" s="62">
        <f>+'Lundi S4'!U30+'Mardi S4'!U30+'Mercredi S4'!U30+'Jeudi S4'!U30+'Vendredi S4'!U30+'Samedi S4'!U30</f>
        <v>3.6</v>
      </c>
      <c r="V30" s="63">
        <f>+'Lundi S4'!V30+'Mardi S4'!V30+'Mercredi S4'!V30+'Jeudi S4'!V30+'Vendredi S4'!V30+'Samedi S4'!V30</f>
        <v>0.9</v>
      </c>
      <c r="W30" s="9">
        <f>+'Lundi S4'!W30+'Mardi S4'!W30+'Mercredi S4'!W30+'Jeudi S4'!W30+'Vendredi S4'!W30+'Samedi S4'!W30</f>
        <v>0</v>
      </c>
      <c r="X30" s="10">
        <f>+'Lundi S4'!X30+'Mardi S4'!X30+'Mercredi S4'!X30+'Jeudi S4'!X30+'Vendredi S4'!X30+'Samedi S4'!X30</f>
        <v>0</v>
      </c>
      <c r="Y30" s="10">
        <f>+'Lundi S4'!Y30+'Mardi S4'!Y30+'Mercredi S4'!Y30+'Jeudi S4'!Y30+'Vendredi S4'!Y30+'Samedi S4'!Y30</f>
        <v>0</v>
      </c>
      <c r="Z30" s="10">
        <f>+'Lundi S4'!Z30+'Mardi S4'!Z30+'Mercredi S4'!Z30+'Jeudi S4'!Z30+'Vendredi S4'!Z30+'Samedi S4'!Z30</f>
        <v>0</v>
      </c>
      <c r="AA30" s="11">
        <f>+'Lundi S4'!AA30+'Mardi S4'!AA30+'Mercredi S4'!AA30+'Jeudi S4'!AA30+'Vendredi S4'!AA30+'Samedi S4'!AA30</f>
        <v>0</v>
      </c>
      <c r="AB30" s="9">
        <f>+'Lundi S4'!AB30+'Mardi S4'!AB30+'Mercredi S4'!AB30+'Jeudi S4'!AB30+'Vendredi S4'!AB30+'Samedi S4'!AB30</f>
        <v>0</v>
      </c>
      <c r="AC30" s="10">
        <f>+'Lundi S4'!AC30+'Mardi S4'!AC30+'Mercredi S4'!AC30+'Jeudi S4'!AC30+'Vendredi S4'!AC30+'Samedi S4'!AC30</f>
        <v>0</v>
      </c>
      <c r="AD30" s="10">
        <f>+'Lundi S4'!AD30+'Mardi S4'!AD30+'Mercredi S4'!AD30+'Jeudi S4'!AD30+'Vendredi S4'!AD30+'Samedi S4'!AD30</f>
        <v>0</v>
      </c>
      <c r="AE30" s="10">
        <f>+'Lundi S4'!AE30+'Mardi S4'!AE30+'Mercredi S4'!AE30+'Jeudi S4'!AE30+'Vendredi S4'!AE30+'Samedi S4'!AE30</f>
        <v>0</v>
      </c>
      <c r="AF30" s="11">
        <f>+'Lundi S4'!AF30+'Mardi S4'!AF30+'Mercredi S4'!AF30+'Jeudi S4'!AF30+'Vendredi S4'!AF30+'Samedi S4'!AF30</f>
        <v>0</v>
      </c>
      <c r="AG30" s="9">
        <f>+'Lundi S4'!AG30+'Mardi S4'!AG30+'Mercredi S4'!AG30+'Jeudi S4'!AG30+'Vendredi S4'!AG30+'Samedi S4'!AG30</f>
        <v>0</v>
      </c>
      <c r="AH30" s="10">
        <f>+'Lundi S4'!AH30+'Mardi S4'!AH30+'Mercredi S4'!AH30+'Jeudi S4'!AH30+'Vendredi S4'!AH30+'Samedi S4'!AH30</f>
        <v>0</v>
      </c>
      <c r="AI30" s="10">
        <f>+'Lundi S4'!AI30+'Mardi S4'!AI30+'Mercredi S4'!AI30+'Jeudi S4'!AI30+'Vendredi S4'!AI30+'Samedi S4'!AI30</f>
        <v>0</v>
      </c>
      <c r="AJ30" s="10">
        <f>+'Lundi S4'!AJ30+'Mardi S4'!AJ30+'Mercredi S4'!AJ30+'Jeudi S4'!AJ30+'Vendredi S4'!AJ30+'Samedi S4'!AJ30</f>
        <v>0</v>
      </c>
      <c r="AK30" s="11">
        <f>+'Lundi S4'!AK30+'Mardi S4'!AK30+'Mercredi S4'!AK30+'Jeudi S4'!AK30+'Vendredi S4'!AK30+'Samedi S4'!AK30</f>
        <v>0</v>
      </c>
      <c r="AL30" s="9">
        <f>+'Lundi S4'!AL30+'Mardi S4'!AL30+'Mercredi S4'!AL30+'Jeudi S4'!AL30+'Vendredi S4'!AL30+'Samedi S4'!AL30</f>
        <v>0</v>
      </c>
      <c r="AM30" s="10">
        <f>+'Lundi S4'!AM30+'Mardi S4'!AM30+'Mercredi S4'!AM30+'Jeudi S4'!AM30+'Vendredi S4'!AM30+'Samedi S4'!AM30</f>
        <v>0</v>
      </c>
      <c r="AN30" s="10">
        <f>+'Lundi S4'!AN30+'Mardi S4'!AN30+'Mercredi S4'!AN30+'Jeudi S4'!AN30+'Vendredi S4'!AN30+'Samedi S4'!AN30</f>
        <v>0</v>
      </c>
      <c r="AO30" s="10">
        <f>+'Lundi S4'!AO30+'Mardi S4'!AO30+'Mercredi S4'!AO30+'Jeudi S4'!AO30+'Vendredi S4'!AO30+'Samedi S4'!AO30</f>
        <v>0</v>
      </c>
      <c r="AP30" s="11">
        <f>+'Lundi S4'!AP30+'Mardi S4'!AP30+'Mercredi S4'!AP30+'Jeudi S4'!AP30+'Vendredi S4'!AP30+'Samedi S4'!AP30</f>
        <v>0</v>
      </c>
      <c r="AQ30" s="9">
        <f>+'Lundi S4'!AQ30+'Mardi S4'!AQ30+'Mercredi S4'!AQ30+'Jeudi S4'!AQ30+'Vendredi S4'!AQ30+'Samedi S4'!AQ30</f>
        <v>0</v>
      </c>
      <c r="AR30" s="10">
        <f>+'Lundi S4'!AR30+'Mardi S4'!AR30+'Mercredi S4'!AR30+'Jeudi S4'!AR30+'Vendredi S4'!AR30+'Samedi S4'!AR30</f>
        <v>0</v>
      </c>
      <c r="AS30" s="11">
        <f>+'Lundi S4'!AS30+'Mardi S4'!AS30+'Mercredi S4'!AS30+'Jeudi S4'!AS30+'Vendredi S4'!AS30+'Samedi S4'!AS30</f>
        <v>0</v>
      </c>
      <c r="AT30" s="22"/>
      <c r="AU30" s="14"/>
    </row>
    <row r="31" spans="1:47" ht="31.9" customHeight="1" x14ac:dyDescent="0.2">
      <c r="A31" s="26">
        <v>25</v>
      </c>
      <c r="B31" s="19"/>
      <c r="C31" s="9">
        <f>+'Lundi S4'!C31+'Mardi S4'!C31+'Mercredi S4'!C31+'Jeudi S4'!C31+'Vendredi S4'!C31+'Samedi S4'!C31</f>
        <v>90</v>
      </c>
      <c r="D31" s="10">
        <f>+'Lundi S4'!D31+'Mardi S4'!D31+'Mercredi S4'!D31+'Jeudi S4'!D31+'Vendredi S4'!D31+'Samedi S4'!D31</f>
        <v>18</v>
      </c>
      <c r="E31" s="10">
        <f>+'Lundi S4'!E31+'Mardi S4'!E31+'Mercredi S4'!E31+'Jeudi S4'!E31+'Vendredi S4'!E31+'Samedi S4'!E31</f>
        <v>30</v>
      </c>
      <c r="F31" s="10">
        <f>+'Lundi S4'!F31+'Mardi S4'!F31+'Mercredi S4'!F31+'Jeudi S4'!F31+'Vendredi S4'!F31+'Samedi S4'!F31</f>
        <v>12</v>
      </c>
      <c r="G31" s="11">
        <f>+'Lundi S4'!G31+'Mardi S4'!G31+'Mercredi S4'!G31+'Jeudi S4'!G31+'Vendredi S4'!G31+'Samedi S4'!G31</f>
        <v>30</v>
      </c>
      <c r="H31" s="9">
        <f>+'Lundi S4'!H31+'Mardi S4'!H31+'Mercredi S4'!H31+'Jeudi S4'!H31+'Vendredi S4'!H31+'Samedi S4'!H31</f>
        <v>18</v>
      </c>
      <c r="I31" s="10">
        <f>+'Lundi S4'!I31+'Mardi S4'!I31+'Mercredi S4'!I31+'Jeudi S4'!I31+'Vendredi S4'!I31+'Samedi S4'!I31</f>
        <v>6</v>
      </c>
      <c r="J31" s="10">
        <f>+'Lundi S4'!J31+'Mardi S4'!J31+'Mercredi S4'!J31+'Jeudi S4'!J31+'Vendredi S4'!J31+'Samedi S4'!J31</f>
        <v>6</v>
      </c>
      <c r="K31" s="10">
        <f>+'Lundi S4'!K31+'Mardi S4'!K31+'Mercredi S4'!K31+'Jeudi S4'!K31+'Vendredi S4'!K31+'Samedi S4'!K31</f>
        <v>6</v>
      </c>
      <c r="L31" s="11">
        <f>+'Lundi S4'!L31+'Mardi S4'!L31+'Mercredi S4'!L31+'Jeudi S4'!L31+'Vendredi S4'!L31+'Samedi S4'!L31</f>
        <v>6</v>
      </c>
      <c r="M31" s="9">
        <f>+'Lundi S4'!M31+'Mardi S4'!M31+'Mercredi S4'!M31+'Jeudi S4'!M31+'Vendredi S4'!M31+'Samedi S4'!M31</f>
        <v>18</v>
      </c>
      <c r="N31" s="10">
        <f>+'Lundi S4'!N31+'Mardi S4'!N31+'Mercredi S4'!N31+'Jeudi S4'!N31+'Vendredi S4'!N31+'Samedi S4'!N31</f>
        <v>6</v>
      </c>
      <c r="O31" s="10">
        <f>+'Lundi S4'!O31+'Mardi S4'!O31+'Mercredi S4'!O31+'Jeudi S4'!O31+'Vendredi S4'!O31+'Samedi S4'!O31</f>
        <v>18</v>
      </c>
      <c r="P31" s="10">
        <f>+'Lundi S4'!P31+'Mardi S4'!P31+'Mercredi S4'!P31+'Jeudi S4'!P31+'Vendredi S4'!P31+'Samedi S4'!P31</f>
        <v>0</v>
      </c>
      <c r="Q31" s="11">
        <f>+'Lundi S4'!Q31+'Mardi S4'!Q31+'Mercredi S4'!Q31+'Jeudi S4'!Q31+'Vendredi S4'!Q31+'Samedi S4'!Q31</f>
        <v>0</v>
      </c>
      <c r="R31" s="61">
        <f>+'Lundi S4'!R31+'Mardi S4'!R31+'Mercredi S4'!R31+'Jeudi S4'!R31+'Vendredi S4'!R31+'Samedi S4'!R31</f>
        <v>3</v>
      </c>
      <c r="S31" s="62">
        <f>+'Lundi S4'!S31+'Mardi S4'!S31+'Mercredi S4'!S31+'Jeudi S4'!S31+'Vendredi S4'!S31+'Samedi S4'!S31</f>
        <v>0.99999999999999989</v>
      </c>
      <c r="T31" s="62">
        <f>+'Lundi S4'!T31+'Mardi S4'!T31+'Mercredi S4'!T31+'Jeudi S4'!T31+'Vendredi S4'!T31+'Samedi S4'!T31</f>
        <v>0.6</v>
      </c>
      <c r="U31" s="62">
        <f>+'Lundi S4'!U31+'Mardi S4'!U31+'Mercredi S4'!U31+'Jeudi S4'!U31+'Vendredi S4'!U31+'Samedi S4'!U31</f>
        <v>3.6</v>
      </c>
      <c r="V31" s="63">
        <f>+'Lundi S4'!V31+'Mardi S4'!V31+'Mercredi S4'!V31+'Jeudi S4'!V31+'Vendredi S4'!V31+'Samedi S4'!V31</f>
        <v>0.9</v>
      </c>
      <c r="W31" s="9">
        <f>+'Lundi S4'!W31+'Mardi S4'!W31+'Mercredi S4'!W31+'Jeudi S4'!W31+'Vendredi S4'!W31+'Samedi S4'!W31</f>
        <v>0</v>
      </c>
      <c r="X31" s="10">
        <f>+'Lundi S4'!X31+'Mardi S4'!X31+'Mercredi S4'!X31+'Jeudi S4'!X31+'Vendredi S4'!X31+'Samedi S4'!X31</f>
        <v>0</v>
      </c>
      <c r="Y31" s="10">
        <f>+'Lundi S4'!Y31+'Mardi S4'!Y31+'Mercredi S4'!Y31+'Jeudi S4'!Y31+'Vendredi S4'!Y31+'Samedi S4'!Y31</f>
        <v>0</v>
      </c>
      <c r="Z31" s="10">
        <f>+'Lundi S4'!Z31+'Mardi S4'!Z31+'Mercredi S4'!Z31+'Jeudi S4'!Z31+'Vendredi S4'!Z31+'Samedi S4'!Z31</f>
        <v>0</v>
      </c>
      <c r="AA31" s="11">
        <f>+'Lundi S4'!AA31+'Mardi S4'!AA31+'Mercredi S4'!AA31+'Jeudi S4'!AA31+'Vendredi S4'!AA31+'Samedi S4'!AA31</f>
        <v>0</v>
      </c>
      <c r="AB31" s="9">
        <f>+'Lundi S4'!AB31+'Mardi S4'!AB31+'Mercredi S4'!AB31+'Jeudi S4'!AB31+'Vendredi S4'!AB31+'Samedi S4'!AB31</f>
        <v>0</v>
      </c>
      <c r="AC31" s="10">
        <f>+'Lundi S4'!AC31+'Mardi S4'!AC31+'Mercredi S4'!AC31+'Jeudi S4'!AC31+'Vendredi S4'!AC31+'Samedi S4'!AC31</f>
        <v>0</v>
      </c>
      <c r="AD31" s="10">
        <f>+'Lundi S4'!AD31+'Mardi S4'!AD31+'Mercredi S4'!AD31+'Jeudi S4'!AD31+'Vendredi S4'!AD31+'Samedi S4'!AD31</f>
        <v>0</v>
      </c>
      <c r="AE31" s="10">
        <f>+'Lundi S4'!AE31+'Mardi S4'!AE31+'Mercredi S4'!AE31+'Jeudi S4'!AE31+'Vendredi S4'!AE31+'Samedi S4'!AE31</f>
        <v>0</v>
      </c>
      <c r="AF31" s="11">
        <f>+'Lundi S4'!AF31+'Mardi S4'!AF31+'Mercredi S4'!AF31+'Jeudi S4'!AF31+'Vendredi S4'!AF31+'Samedi S4'!AF31</f>
        <v>0</v>
      </c>
      <c r="AG31" s="9">
        <f>+'Lundi S4'!AG31+'Mardi S4'!AG31+'Mercredi S4'!AG31+'Jeudi S4'!AG31+'Vendredi S4'!AG31+'Samedi S4'!AG31</f>
        <v>0</v>
      </c>
      <c r="AH31" s="10">
        <f>+'Lundi S4'!AH31+'Mardi S4'!AH31+'Mercredi S4'!AH31+'Jeudi S4'!AH31+'Vendredi S4'!AH31+'Samedi S4'!AH31</f>
        <v>0</v>
      </c>
      <c r="AI31" s="10">
        <f>+'Lundi S4'!AI31+'Mardi S4'!AI31+'Mercredi S4'!AI31+'Jeudi S4'!AI31+'Vendredi S4'!AI31+'Samedi S4'!AI31</f>
        <v>0</v>
      </c>
      <c r="AJ31" s="10">
        <f>+'Lundi S4'!AJ31+'Mardi S4'!AJ31+'Mercredi S4'!AJ31+'Jeudi S4'!AJ31+'Vendredi S4'!AJ31+'Samedi S4'!AJ31</f>
        <v>0</v>
      </c>
      <c r="AK31" s="11">
        <f>+'Lundi S4'!AK31+'Mardi S4'!AK31+'Mercredi S4'!AK31+'Jeudi S4'!AK31+'Vendredi S4'!AK31+'Samedi S4'!AK31</f>
        <v>0</v>
      </c>
      <c r="AL31" s="9">
        <f>+'Lundi S4'!AL31+'Mardi S4'!AL31+'Mercredi S4'!AL31+'Jeudi S4'!AL31+'Vendredi S4'!AL31+'Samedi S4'!AL31</f>
        <v>0</v>
      </c>
      <c r="AM31" s="10">
        <f>+'Lundi S4'!AM31+'Mardi S4'!AM31+'Mercredi S4'!AM31+'Jeudi S4'!AM31+'Vendredi S4'!AM31+'Samedi S4'!AM31</f>
        <v>0</v>
      </c>
      <c r="AN31" s="10">
        <f>+'Lundi S4'!AN31+'Mardi S4'!AN31+'Mercredi S4'!AN31+'Jeudi S4'!AN31+'Vendredi S4'!AN31+'Samedi S4'!AN31</f>
        <v>0</v>
      </c>
      <c r="AO31" s="10">
        <f>+'Lundi S4'!AO31+'Mardi S4'!AO31+'Mercredi S4'!AO31+'Jeudi S4'!AO31+'Vendredi S4'!AO31+'Samedi S4'!AO31</f>
        <v>0</v>
      </c>
      <c r="AP31" s="11">
        <f>+'Lundi S4'!AP31+'Mardi S4'!AP31+'Mercredi S4'!AP31+'Jeudi S4'!AP31+'Vendredi S4'!AP31+'Samedi S4'!AP31</f>
        <v>0</v>
      </c>
      <c r="AQ31" s="9">
        <f>+'Lundi S4'!AQ31+'Mardi S4'!AQ31+'Mercredi S4'!AQ31+'Jeudi S4'!AQ31+'Vendredi S4'!AQ31+'Samedi S4'!AQ31</f>
        <v>0</v>
      </c>
      <c r="AR31" s="10">
        <f>+'Lundi S4'!AR31+'Mardi S4'!AR31+'Mercredi S4'!AR31+'Jeudi S4'!AR31+'Vendredi S4'!AR31+'Samedi S4'!AR31</f>
        <v>0</v>
      </c>
      <c r="AS31" s="11">
        <f>+'Lundi S4'!AS31+'Mardi S4'!AS31+'Mercredi S4'!AS31+'Jeudi S4'!AS31+'Vendredi S4'!AS31+'Samedi S4'!AS31</f>
        <v>0</v>
      </c>
      <c r="AT31" s="22"/>
      <c r="AU31" s="14"/>
    </row>
    <row r="32" spans="1:47" ht="31.9" customHeight="1" x14ac:dyDescent="0.2">
      <c r="A32" s="26">
        <v>26</v>
      </c>
      <c r="B32" s="19"/>
      <c r="C32" s="9">
        <f>+'Lundi S4'!C32+'Mardi S4'!C32+'Mercredi S4'!C32+'Jeudi S4'!C32+'Vendredi S4'!C32+'Samedi S4'!C32</f>
        <v>90</v>
      </c>
      <c r="D32" s="10">
        <f>+'Lundi S4'!D32+'Mardi S4'!D32+'Mercredi S4'!D32+'Jeudi S4'!D32+'Vendredi S4'!D32+'Samedi S4'!D32</f>
        <v>18</v>
      </c>
      <c r="E32" s="10">
        <f>+'Lundi S4'!E32+'Mardi S4'!E32+'Mercredi S4'!E32+'Jeudi S4'!E32+'Vendredi S4'!E32+'Samedi S4'!E32</f>
        <v>30</v>
      </c>
      <c r="F32" s="10">
        <f>+'Lundi S4'!F32+'Mardi S4'!F32+'Mercredi S4'!F32+'Jeudi S4'!F32+'Vendredi S4'!F32+'Samedi S4'!F32</f>
        <v>12</v>
      </c>
      <c r="G32" s="11">
        <f>+'Lundi S4'!G32+'Mardi S4'!G32+'Mercredi S4'!G32+'Jeudi S4'!G32+'Vendredi S4'!G32+'Samedi S4'!G32</f>
        <v>30</v>
      </c>
      <c r="H32" s="9">
        <f>+'Lundi S4'!H32+'Mardi S4'!H32+'Mercredi S4'!H32+'Jeudi S4'!H32+'Vendredi S4'!H32+'Samedi S4'!H32</f>
        <v>18</v>
      </c>
      <c r="I32" s="10">
        <f>+'Lundi S4'!I32+'Mardi S4'!I32+'Mercredi S4'!I32+'Jeudi S4'!I32+'Vendredi S4'!I32+'Samedi S4'!I32</f>
        <v>6</v>
      </c>
      <c r="J32" s="10">
        <f>+'Lundi S4'!J32+'Mardi S4'!J32+'Mercredi S4'!J32+'Jeudi S4'!J32+'Vendredi S4'!J32+'Samedi S4'!J32</f>
        <v>6</v>
      </c>
      <c r="K32" s="10">
        <f>+'Lundi S4'!K32+'Mardi S4'!K32+'Mercredi S4'!K32+'Jeudi S4'!K32+'Vendredi S4'!K32+'Samedi S4'!K32</f>
        <v>6</v>
      </c>
      <c r="L32" s="11">
        <f>+'Lundi S4'!L32+'Mardi S4'!L32+'Mercredi S4'!L32+'Jeudi S4'!L32+'Vendredi S4'!L32+'Samedi S4'!L32</f>
        <v>6</v>
      </c>
      <c r="M32" s="9">
        <f>+'Lundi S4'!M32+'Mardi S4'!M32+'Mercredi S4'!M32+'Jeudi S4'!M32+'Vendredi S4'!M32+'Samedi S4'!M32</f>
        <v>18</v>
      </c>
      <c r="N32" s="10">
        <f>+'Lundi S4'!N32+'Mardi S4'!N32+'Mercredi S4'!N32+'Jeudi S4'!N32+'Vendredi S4'!N32+'Samedi S4'!N32</f>
        <v>6</v>
      </c>
      <c r="O32" s="10">
        <f>+'Lundi S4'!O32+'Mardi S4'!O32+'Mercredi S4'!O32+'Jeudi S4'!O32+'Vendredi S4'!O32+'Samedi S4'!O32</f>
        <v>18</v>
      </c>
      <c r="P32" s="10">
        <f>+'Lundi S4'!P32+'Mardi S4'!P32+'Mercredi S4'!P32+'Jeudi S4'!P32+'Vendredi S4'!P32+'Samedi S4'!P32</f>
        <v>0</v>
      </c>
      <c r="Q32" s="11">
        <f>+'Lundi S4'!Q32+'Mardi S4'!Q32+'Mercredi S4'!Q32+'Jeudi S4'!Q32+'Vendredi S4'!Q32+'Samedi S4'!Q32</f>
        <v>0</v>
      </c>
      <c r="R32" s="61">
        <f>+'Lundi S4'!R32+'Mardi S4'!R32+'Mercredi S4'!R32+'Jeudi S4'!R32+'Vendredi S4'!R32+'Samedi S4'!R32</f>
        <v>3</v>
      </c>
      <c r="S32" s="62">
        <f>+'Lundi S4'!S32+'Mardi S4'!S32+'Mercredi S4'!S32+'Jeudi S4'!S32+'Vendredi S4'!S32+'Samedi S4'!S32</f>
        <v>0.99999999999999989</v>
      </c>
      <c r="T32" s="62">
        <f>+'Lundi S4'!T32+'Mardi S4'!T32+'Mercredi S4'!T32+'Jeudi S4'!T32+'Vendredi S4'!T32+'Samedi S4'!T32</f>
        <v>0.6</v>
      </c>
      <c r="U32" s="62">
        <f>+'Lundi S4'!U32+'Mardi S4'!U32+'Mercredi S4'!U32+'Jeudi S4'!U32+'Vendredi S4'!U32+'Samedi S4'!U32</f>
        <v>3.6</v>
      </c>
      <c r="V32" s="63">
        <f>+'Lundi S4'!V32+'Mardi S4'!V32+'Mercredi S4'!V32+'Jeudi S4'!V32+'Vendredi S4'!V32+'Samedi S4'!V32</f>
        <v>0.9</v>
      </c>
      <c r="W32" s="9">
        <f>+'Lundi S4'!W32+'Mardi S4'!W32+'Mercredi S4'!W32+'Jeudi S4'!W32+'Vendredi S4'!W32+'Samedi S4'!W32</f>
        <v>0</v>
      </c>
      <c r="X32" s="10">
        <f>+'Lundi S4'!X32+'Mardi S4'!X32+'Mercredi S4'!X32+'Jeudi S4'!X32+'Vendredi S4'!X32+'Samedi S4'!X32</f>
        <v>0</v>
      </c>
      <c r="Y32" s="10">
        <f>+'Lundi S4'!Y32+'Mardi S4'!Y32+'Mercredi S4'!Y32+'Jeudi S4'!Y32+'Vendredi S4'!Y32+'Samedi S4'!Y32</f>
        <v>0</v>
      </c>
      <c r="Z32" s="10">
        <f>+'Lundi S4'!Z32+'Mardi S4'!Z32+'Mercredi S4'!Z32+'Jeudi S4'!Z32+'Vendredi S4'!Z32+'Samedi S4'!Z32</f>
        <v>0</v>
      </c>
      <c r="AA32" s="11">
        <f>+'Lundi S4'!AA32+'Mardi S4'!AA32+'Mercredi S4'!AA32+'Jeudi S4'!AA32+'Vendredi S4'!AA32+'Samedi S4'!AA32</f>
        <v>0</v>
      </c>
      <c r="AB32" s="9">
        <f>+'Lundi S4'!AB32+'Mardi S4'!AB32+'Mercredi S4'!AB32+'Jeudi S4'!AB32+'Vendredi S4'!AB32+'Samedi S4'!AB32</f>
        <v>0</v>
      </c>
      <c r="AC32" s="10">
        <f>+'Lundi S4'!AC32+'Mardi S4'!AC32+'Mercredi S4'!AC32+'Jeudi S4'!AC32+'Vendredi S4'!AC32+'Samedi S4'!AC32</f>
        <v>0</v>
      </c>
      <c r="AD32" s="10">
        <f>+'Lundi S4'!AD32+'Mardi S4'!AD32+'Mercredi S4'!AD32+'Jeudi S4'!AD32+'Vendredi S4'!AD32+'Samedi S4'!AD32</f>
        <v>0</v>
      </c>
      <c r="AE32" s="10">
        <f>+'Lundi S4'!AE32+'Mardi S4'!AE32+'Mercredi S4'!AE32+'Jeudi S4'!AE32+'Vendredi S4'!AE32+'Samedi S4'!AE32</f>
        <v>0</v>
      </c>
      <c r="AF32" s="11">
        <f>+'Lundi S4'!AF32+'Mardi S4'!AF32+'Mercredi S4'!AF32+'Jeudi S4'!AF32+'Vendredi S4'!AF32+'Samedi S4'!AF32</f>
        <v>0</v>
      </c>
      <c r="AG32" s="9">
        <f>+'Lundi S4'!AG32+'Mardi S4'!AG32+'Mercredi S4'!AG32+'Jeudi S4'!AG32+'Vendredi S4'!AG32+'Samedi S4'!AG32</f>
        <v>0</v>
      </c>
      <c r="AH32" s="10">
        <f>+'Lundi S4'!AH32+'Mardi S4'!AH32+'Mercredi S4'!AH32+'Jeudi S4'!AH32+'Vendredi S4'!AH32+'Samedi S4'!AH32</f>
        <v>0</v>
      </c>
      <c r="AI32" s="10">
        <f>+'Lundi S4'!AI32+'Mardi S4'!AI32+'Mercredi S4'!AI32+'Jeudi S4'!AI32+'Vendredi S4'!AI32+'Samedi S4'!AI32</f>
        <v>0</v>
      </c>
      <c r="AJ32" s="10">
        <f>+'Lundi S4'!AJ32+'Mardi S4'!AJ32+'Mercredi S4'!AJ32+'Jeudi S4'!AJ32+'Vendredi S4'!AJ32+'Samedi S4'!AJ32</f>
        <v>0</v>
      </c>
      <c r="AK32" s="11">
        <f>+'Lundi S4'!AK32+'Mardi S4'!AK32+'Mercredi S4'!AK32+'Jeudi S4'!AK32+'Vendredi S4'!AK32+'Samedi S4'!AK32</f>
        <v>0</v>
      </c>
      <c r="AL32" s="9">
        <f>+'Lundi S4'!AL32+'Mardi S4'!AL32+'Mercredi S4'!AL32+'Jeudi S4'!AL32+'Vendredi S4'!AL32+'Samedi S4'!AL32</f>
        <v>0</v>
      </c>
      <c r="AM32" s="10">
        <f>+'Lundi S4'!AM32+'Mardi S4'!AM32+'Mercredi S4'!AM32+'Jeudi S4'!AM32+'Vendredi S4'!AM32+'Samedi S4'!AM32</f>
        <v>0</v>
      </c>
      <c r="AN32" s="10">
        <f>+'Lundi S4'!AN32+'Mardi S4'!AN32+'Mercredi S4'!AN32+'Jeudi S4'!AN32+'Vendredi S4'!AN32+'Samedi S4'!AN32</f>
        <v>0</v>
      </c>
      <c r="AO32" s="10">
        <f>+'Lundi S4'!AO32+'Mardi S4'!AO32+'Mercredi S4'!AO32+'Jeudi S4'!AO32+'Vendredi S4'!AO32+'Samedi S4'!AO32</f>
        <v>0</v>
      </c>
      <c r="AP32" s="11">
        <f>+'Lundi S4'!AP32+'Mardi S4'!AP32+'Mercredi S4'!AP32+'Jeudi S4'!AP32+'Vendredi S4'!AP32+'Samedi S4'!AP32</f>
        <v>0</v>
      </c>
      <c r="AQ32" s="9">
        <f>+'Lundi S4'!AQ32+'Mardi S4'!AQ32+'Mercredi S4'!AQ32+'Jeudi S4'!AQ32+'Vendredi S4'!AQ32+'Samedi S4'!AQ32</f>
        <v>0</v>
      </c>
      <c r="AR32" s="10">
        <f>+'Lundi S4'!AR32+'Mardi S4'!AR32+'Mercredi S4'!AR32+'Jeudi S4'!AR32+'Vendredi S4'!AR32+'Samedi S4'!AR32</f>
        <v>0</v>
      </c>
      <c r="AS32" s="11">
        <f>+'Lundi S4'!AS32+'Mardi S4'!AS32+'Mercredi S4'!AS32+'Jeudi S4'!AS32+'Vendredi S4'!AS32+'Samedi S4'!AS32</f>
        <v>0</v>
      </c>
      <c r="AT32" s="22"/>
      <c r="AU32" s="14"/>
    </row>
    <row r="33" spans="1:47" ht="31.9" customHeight="1" x14ac:dyDescent="0.2">
      <c r="A33" s="26">
        <v>27</v>
      </c>
      <c r="B33" s="19"/>
      <c r="C33" s="9">
        <f>+'Lundi S4'!C33+'Mardi S4'!C33+'Mercredi S4'!C33+'Jeudi S4'!C33+'Vendredi S4'!C33+'Samedi S4'!C33</f>
        <v>90</v>
      </c>
      <c r="D33" s="10">
        <f>+'Lundi S4'!D33+'Mardi S4'!D33+'Mercredi S4'!D33+'Jeudi S4'!D33+'Vendredi S4'!D33+'Samedi S4'!D33</f>
        <v>18</v>
      </c>
      <c r="E33" s="10">
        <f>+'Lundi S4'!E33+'Mardi S4'!E33+'Mercredi S4'!E33+'Jeudi S4'!E33+'Vendredi S4'!E33+'Samedi S4'!E33</f>
        <v>30</v>
      </c>
      <c r="F33" s="10">
        <f>+'Lundi S4'!F33+'Mardi S4'!F33+'Mercredi S4'!F33+'Jeudi S4'!F33+'Vendredi S4'!F33+'Samedi S4'!F33</f>
        <v>12</v>
      </c>
      <c r="G33" s="11">
        <f>+'Lundi S4'!G33+'Mardi S4'!G33+'Mercredi S4'!G33+'Jeudi S4'!G33+'Vendredi S4'!G33+'Samedi S4'!G33</f>
        <v>30</v>
      </c>
      <c r="H33" s="9">
        <f>+'Lundi S4'!H33+'Mardi S4'!H33+'Mercredi S4'!H33+'Jeudi S4'!H33+'Vendredi S4'!H33+'Samedi S4'!H33</f>
        <v>18</v>
      </c>
      <c r="I33" s="10">
        <f>+'Lundi S4'!I33+'Mardi S4'!I33+'Mercredi S4'!I33+'Jeudi S4'!I33+'Vendredi S4'!I33+'Samedi S4'!I33</f>
        <v>6</v>
      </c>
      <c r="J33" s="10">
        <f>+'Lundi S4'!J33+'Mardi S4'!J33+'Mercredi S4'!J33+'Jeudi S4'!J33+'Vendredi S4'!J33+'Samedi S4'!J33</f>
        <v>6</v>
      </c>
      <c r="K33" s="10">
        <f>+'Lundi S4'!K33+'Mardi S4'!K33+'Mercredi S4'!K33+'Jeudi S4'!K33+'Vendredi S4'!K33+'Samedi S4'!K33</f>
        <v>6</v>
      </c>
      <c r="L33" s="11">
        <f>+'Lundi S4'!L33+'Mardi S4'!L33+'Mercredi S4'!L33+'Jeudi S4'!L33+'Vendredi S4'!L33+'Samedi S4'!L33</f>
        <v>6</v>
      </c>
      <c r="M33" s="9">
        <f>+'Lundi S4'!M33+'Mardi S4'!M33+'Mercredi S4'!M33+'Jeudi S4'!M33+'Vendredi S4'!M33+'Samedi S4'!M33</f>
        <v>18</v>
      </c>
      <c r="N33" s="10">
        <f>+'Lundi S4'!N33+'Mardi S4'!N33+'Mercredi S4'!N33+'Jeudi S4'!N33+'Vendredi S4'!N33+'Samedi S4'!N33</f>
        <v>6</v>
      </c>
      <c r="O33" s="10">
        <f>+'Lundi S4'!O33+'Mardi S4'!O33+'Mercredi S4'!O33+'Jeudi S4'!O33+'Vendredi S4'!O33+'Samedi S4'!O33</f>
        <v>18</v>
      </c>
      <c r="P33" s="10">
        <f>+'Lundi S4'!P33+'Mardi S4'!P33+'Mercredi S4'!P33+'Jeudi S4'!P33+'Vendredi S4'!P33+'Samedi S4'!P33</f>
        <v>0</v>
      </c>
      <c r="Q33" s="11">
        <f>+'Lundi S4'!Q33+'Mardi S4'!Q33+'Mercredi S4'!Q33+'Jeudi S4'!Q33+'Vendredi S4'!Q33+'Samedi S4'!Q33</f>
        <v>0</v>
      </c>
      <c r="R33" s="61">
        <f>+'Lundi S4'!R33+'Mardi S4'!R33+'Mercredi S4'!R33+'Jeudi S4'!R33+'Vendredi S4'!R33+'Samedi S4'!R33</f>
        <v>3</v>
      </c>
      <c r="S33" s="62">
        <f>+'Lundi S4'!S33+'Mardi S4'!S33+'Mercredi S4'!S33+'Jeudi S4'!S33+'Vendredi S4'!S33+'Samedi S4'!S33</f>
        <v>0.99999999999999989</v>
      </c>
      <c r="T33" s="62">
        <f>+'Lundi S4'!T33+'Mardi S4'!T33+'Mercredi S4'!T33+'Jeudi S4'!T33+'Vendredi S4'!T33+'Samedi S4'!T33</f>
        <v>0.6</v>
      </c>
      <c r="U33" s="62">
        <f>+'Lundi S4'!U33+'Mardi S4'!U33+'Mercredi S4'!U33+'Jeudi S4'!U33+'Vendredi S4'!U33+'Samedi S4'!U33</f>
        <v>3.6</v>
      </c>
      <c r="V33" s="63">
        <f>+'Lundi S4'!V33+'Mardi S4'!V33+'Mercredi S4'!V33+'Jeudi S4'!V33+'Vendredi S4'!V33+'Samedi S4'!V33</f>
        <v>0.9</v>
      </c>
      <c r="W33" s="9">
        <f>+'Lundi S4'!W33+'Mardi S4'!W33+'Mercredi S4'!W33+'Jeudi S4'!W33+'Vendredi S4'!W33+'Samedi S4'!W33</f>
        <v>0</v>
      </c>
      <c r="X33" s="10">
        <f>+'Lundi S4'!X33+'Mardi S4'!X33+'Mercredi S4'!X33+'Jeudi S4'!X33+'Vendredi S4'!X33+'Samedi S4'!X33</f>
        <v>0</v>
      </c>
      <c r="Y33" s="10">
        <f>+'Lundi S4'!Y33+'Mardi S4'!Y33+'Mercredi S4'!Y33+'Jeudi S4'!Y33+'Vendredi S4'!Y33+'Samedi S4'!Y33</f>
        <v>0</v>
      </c>
      <c r="Z33" s="10">
        <f>+'Lundi S4'!Z33+'Mardi S4'!Z33+'Mercredi S4'!Z33+'Jeudi S4'!Z33+'Vendredi S4'!Z33+'Samedi S4'!Z33</f>
        <v>0</v>
      </c>
      <c r="AA33" s="11">
        <f>+'Lundi S4'!AA33+'Mardi S4'!AA33+'Mercredi S4'!AA33+'Jeudi S4'!AA33+'Vendredi S4'!AA33+'Samedi S4'!AA33</f>
        <v>0</v>
      </c>
      <c r="AB33" s="9">
        <f>+'Lundi S4'!AB33+'Mardi S4'!AB33+'Mercredi S4'!AB33+'Jeudi S4'!AB33+'Vendredi S4'!AB33+'Samedi S4'!AB33</f>
        <v>0</v>
      </c>
      <c r="AC33" s="10">
        <f>+'Lundi S4'!AC33+'Mardi S4'!AC33+'Mercredi S4'!AC33+'Jeudi S4'!AC33+'Vendredi S4'!AC33+'Samedi S4'!AC33</f>
        <v>0</v>
      </c>
      <c r="AD33" s="10">
        <f>+'Lundi S4'!AD33+'Mardi S4'!AD33+'Mercredi S4'!AD33+'Jeudi S4'!AD33+'Vendredi S4'!AD33+'Samedi S4'!AD33</f>
        <v>0</v>
      </c>
      <c r="AE33" s="10">
        <f>+'Lundi S4'!AE33+'Mardi S4'!AE33+'Mercredi S4'!AE33+'Jeudi S4'!AE33+'Vendredi S4'!AE33+'Samedi S4'!AE33</f>
        <v>0</v>
      </c>
      <c r="AF33" s="11">
        <f>+'Lundi S4'!AF33+'Mardi S4'!AF33+'Mercredi S4'!AF33+'Jeudi S4'!AF33+'Vendredi S4'!AF33+'Samedi S4'!AF33</f>
        <v>0</v>
      </c>
      <c r="AG33" s="9">
        <f>+'Lundi S4'!AG33+'Mardi S4'!AG33+'Mercredi S4'!AG33+'Jeudi S4'!AG33+'Vendredi S4'!AG33+'Samedi S4'!AG33</f>
        <v>0</v>
      </c>
      <c r="AH33" s="10">
        <f>+'Lundi S4'!AH33+'Mardi S4'!AH33+'Mercredi S4'!AH33+'Jeudi S4'!AH33+'Vendredi S4'!AH33+'Samedi S4'!AH33</f>
        <v>0</v>
      </c>
      <c r="AI33" s="10">
        <f>+'Lundi S4'!AI33+'Mardi S4'!AI33+'Mercredi S4'!AI33+'Jeudi S4'!AI33+'Vendredi S4'!AI33+'Samedi S4'!AI33</f>
        <v>0</v>
      </c>
      <c r="AJ33" s="10">
        <f>+'Lundi S4'!AJ33+'Mardi S4'!AJ33+'Mercredi S4'!AJ33+'Jeudi S4'!AJ33+'Vendredi S4'!AJ33+'Samedi S4'!AJ33</f>
        <v>0</v>
      </c>
      <c r="AK33" s="11">
        <f>+'Lundi S4'!AK33+'Mardi S4'!AK33+'Mercredi S4'!AK33+'Jeudi S4'!AK33+'Vendredi S4'!AK33+'Samedi S4'!AK33</f>
        <v>0</v>
      </c>
      <c r="AL33" s="9">
        <f>+'Lundi S4'!AL33+'Mardi S4'!AL33+'Mercredi S4'!AL33+'Jeudi S4'!AL33+'Vendredi S4'!AL33+'Samedi S4'!AL33</f>
        <v>0</v>
      </c>
      <c r="AM33" s="10">
        <f>+'Lundi S4'!AM33+'Mardi S4'!AM33+'Mercredi S4'!AM33+'Jeudi S4'!AM33+'Vendredi S4'!AM33+'Samedi S4'!AM33</f>
        <v>0</v>
      </c>
      <c r="AN33" s="10">
        <f>+'Lundi S4'!AN33+'Mardi S4'!AN33+'Mercredi S4'!AN33+'Jeudi S4'!AN33+'Vendredi S4'!AN33+'Samedi S4'!AN33</f>
        <v>0</v>
      </c>
      <c r="AO33" s="10">
        <f>+'Lundi S4'!AO33+'Mardi S4'!AO33+'Mercredi S4'!AO33+'Jeudi S4'!AO33+'Vendredi S4'!AO33+'Samedi S4'!AO33</f>
        <v>0</v>
      </c>
      <c r="AP33" s="11">
        <f>+'Lundi S4'!AP33+'Mardi S4'!AP33+'Mercredi S4'!AP33+'Jeudi S4'!AP33+'Vendredi S4'!AP33+'Samedi S4'!AP33</f>
        <v>0</v>
      </c>
      <c r="AQ33" s="9">
        <f>+'Lundi S4'!AQ33+'Mardi S4'!AQ33+'Mercredi S4'!AQ33+'Jeudi S4'!AQ33+'Vendredi S4'!AQ33+'Samedi S4'!AQ33</f>
        <v>0</v>
      </c>
      <c r="AR33" s="10">
        <f>+'Lundi S4'!AR33+'Mardi S4'!AR33+'Mercredi S4'!AR33+'Jeudi S4'!AR33+'Vendredi S4'!AR33+'Samedi S4'!AR33</f>
        <v>0</v>
      </c>
      <c r="AS33" s="11">
        <f>+'Lundi S4'!AS33+'Mardi S4'!AS33+'Mercredi S4'!AS33+'Jeudi S4'!AS33+'Vendredi S4'!AS33+'Samedi S4'!AS33</f>
        <v>0</v>
      </c>
      <c r="AT33" s="23"/>
      <c r="AU33" s="14"/>
    </row>
    <row r="34" spans="1:47" ht="31.9" customHeight="1" x14ac:dyDescent="0.2">
      <c r="A34" s="26">
        <v>28</v>
      </c>
      <c r="B34" s="19"/>
      <c r="C34" s="9">
        <f>+'Lundi S4'!C34+'Mardi S4'!C34+'Mercredi S4'!C34+'Jeudi S4'!C34+'Vendredi S4'!C34+'Samedi S4'!C34</f>
        <v>90</v>
      </c>
      <c r="D34" s="10">
        <f>+'Lundi S4'!D34+'Mardi S4'!D34+'Mercredi S4'!D34+'Jeudi S4'!D34+'Vendredi S4'!D34+'Samedi S4'!D34</f>
        <v>18</v>
      </c>
      <c r="E34" s="10">
        <f>+'Lundi S4'!E34+'Mardi S4'!E34+'Mercredi S4'!E34+'Jeudi S4'!E34+'Vendredi S4'!E34+'Samedi S4'!E34</f>
        <v>30</v>
      </c>
      <c r="F34" s="10">
        <f>+'Lundi S4'!F34+'Mardi S4'!F34+'Mercredi S4'!F34+'Jeudi S4'!F34+'Vendredi S4'!F34+'Samedi S4'!F34</f>
        <v>12</v>
      </c>
      <c r="G34" s="11">
        <f>+'Lundi S4'!G34+'Mardi S4'!G34+'Mercredi S4'!G34+'Jeudi S4'!G34+'Vendredi S4'!G34+'Samedi S4'!G34</f>
        <v>30</v>
      </c>
      <c r="H34" s="9">
        <f>+'Lundi S4'!H34+'Mardi S4'!H34+'Mercredi S4'!H34+'Jeudi S4'!H34+'Vendredi S4'!H34+'Samedi S4'!H34</f>
        <v>18</v>
      </c>
      <c r="I34" s="10">
        <f>+'Lundi S4'!I34+'Mardi S4'!I34+'Mercredi S4'!I34+'Jeudi S4'!I34+'Vendredi S4'!I34+'Samedi S4'!I34</f>
        <v>6</v>
      </c>
      <c r="J34" s="10">
        <f>+'Lundi S4'!J34+'Mardi S4'!J34+'Mercredi S4'!J34+'Jeudi S4'!J34+'Vendredi S4'!J34+'Samedi S4'!J34</f>
        <v>6</v>
      </c>
      <c r="K34" s="10">
        <f>+'Lundi S4'!K34+'Mardi S4'!K34+'Mercredi S4'!K34+'Jeudi S4'!K34+'Vendredi S4'!K34+'Samedi S4'!K34</f>
        <v>6</v>
      </c>
      <c r="L34" s="11">
        <f>+'Lundi S4'!L34+'Mardi S4'!L34+'Mercredi S4'!L34+'Jeudi S4'!L34+'Vendredi S4'!L34+'Samedi S4'!L34</f>
        <v>6</v>
      </c>
      <c r="M34" s="9">
        <f>+'Lundi S4'!M34+'Mardi S4'!M34+'Mercredi S4'!M34+'Jeudi S4'!M34+'Vendredi S4'!M34+'Samedi S4'!M34</f>
        <v>18</v>
      </c>
      <c r="N34" s="10">
        <f>+'Lundi S4'!N34+'Mardi S4'!N34+'Mercredi S4'!N34+'Jeudi S4'!N34+'Vendredi S4'!N34+'Samedi S4'!N34</f>
        <v>6</v>
      </c>
      <c r="O34" s="10">
        <f>+'Lundi S4'!O34+'Mardi S4'!O34+'Mercredi S4'!O34+'Jeudi S4'!O34+'Vendredi S4'!O34+'Samedi S4'!O34</f>
        <v>18</v>
      </c>
      <c r="P34" s="10">
        <f>+'Lundi S4'!P34+'Mardi S4'!P34+'Mercredi S4'!P34+'Jeudi S4'!P34+'Vendredi S4'!P34+'Samedi S4'!P34</f>
        <v>0</v>
      </c>
      <c r="Q34" s="11">
        <f>+'Lundi S4'!Q34+'Mardi S4'!Q34+'Mercredi S4'!Q34+'Jeudi S4'!Q34+'Vendredi S4'!Q34+'Samedi S4'!Q34</f>
        <v>0</v>
      </c>
      <c r="R34" s="61">
        <f>+'Lundi S4'!R34+'Mardi S4'!R34+'Mercredi S4'!R34+'Jeudi S4'!R34+'Vendredi S4'!R34+'Samedi S4'!R34</f>
        <v>3</v>
      </c>
      <c r="S34" s="62">
        <f>+'Lundi S4'!S34+'Mardi S4'!S34+'Mercredi S4'!S34+'Jeudi S4'!S34+'Vendredi S4'!S34+'Samedi S4'!S34</f>
        <v>0.99999999999999989</v>
      </c>
      <c r="T34" s="62">
        <f>+'Lundi S4'!T34+'Mardi S4'!T34+'Mercredi S4'!T34+'Jeudi S4'!T34+'Vendredi S4'!T34+'Samedi S4'!T34</f>
        <v>0.6</v>
      </c>
      <c r="U34" s="62">
        <f>+'Lundi S4'!U34+'Mardi S4'!U34+'Mercredi S4'!U34+'Jeudi S4'!U34+'Vendredi S4'!U34+'Samedi S4'!U34</f>
        <v>3.6</v>
      </c>
      <c r="V34" s="63">
        <f>+'Lundi S4'!V34+'Mardi S4'!V34+'Mercredi S4'!V34+'Jeudi S4'!V34+'Vendredi S4'!V34+'Samedi S4'!V34</f>
        <v>0.9</v>
      </c>
      <c r="W34" s="9">
        <f>+'Lundi S4'!W34+'Mardi S4'!W34+'Mercredi S4'!W34+'Jeudi S4'!W34+'Vendredi S4'!W34+'Samedi S4'!W34</f>
        <v>0</v>
      </c>
      <c r="X34" s="10">
        <f>+'Lundi S4'!X34+'Mardi S4'!X34+'Mercredi S4'!X34+'Jeudi S4'!X34+'Vendredi S4'!X34+'Samedi S4'!X34</f>
        <v>0</v>
      </c>
      <c r="Y34" s="10">
        <f>+'Lundi S4'!Y34+'Mardi S4'!Y34+'Mercredi S4'!Y34+'Jeudi S4'!Y34+'Vendredi S4'!Y34+'Samedi S4'!Y34</f>
        <v>0</v>
      </c>
      <c r="Z34" s="10">
        <f>+'Lundi S4'!Z34+'Mardi S4'!Z34+'Mercredi S4'!Z34+'Jeudi S4'!Z34+'Vendredi S4'!Z34+'Samedi S4'!Z34</f>
        <v>0</v>
      </c>
      <c r="AA34" s="11">
        <f>+'Lundi S4'!AA34+'Mardi S4'!AA34+'Mercredi S4'!AA34+'Jeudi S4'!AA34+'Vendredi S4'!AA34+'Samedi S4'!AA34</f>
        <v>0</v>
      </c>
      <c r="AB34" s="9">
        <f>+'Lundi S4'!AB34+'Mardi S4'!AB34+'Mercredi S4'!AB34+'Jeudi S4'!AB34+'Vendredi S4'!AB34+'Samedi S4'!AB34</f>
        <v>0</v>
      </c>
      <c r="AC34" s="10">
        <f>+'Lundi S4'!AC34+'Mardi S4'!AC34+'Mercredi S4'!AC34+'Jeudi S4'!AC34+'Vendredi S4'!AC34+'Samedi S4'!AC34</f>
        <v>0</v>
      </c>
      <c r="AD34" s="10">
        <f>+'Lundi S4'!AD34+'Mardi S4'!AD34+'Mercredi S4'!AD34+'Jeudi S4'!AD34+'Vendredi S4'!AD34+'Samedi S4'!AD34</f>
        <v>0</v>
      </c>
      <c r="AE34" s="10">
        <f>+'Lundi S4'!AE34+'Mardi S4'!AE34+'Mercredi S4'!AE34+'Jeudi S4'!AE34+'Vendredi S4'!AE34+'Samedi S4'!AE34</f>
        <v>0</v>
      </c>
      <c r="AF34" s="11">
        <f>+'Lundi S4'!AF34+'Mardi S4'!AF34+'Mercredi S4'!AF34+'Jeudi S4'!AF34+'Vendredi S4'!AF34+'Samedi S4'!AF34</f>
        <v>0</v>
      </c>
      <c r="AG34" s="9">
        <f>+'Lundi S4'!AG34+'Mardi S4'!AG34+'Mercredi S4'!AG34+'Jeudi S4'!AG34+'Vendredi S4'!AG34+'Samedi S4'!AG34</f>
        <v>0</v>
      </c>
      <c r="AH34" s="10">
        <f>+'Lundi S4'!AH34+'Mardi S4'!AH34+'Mercredi S4'!AH34+'Jeudi S4'!AH34+'Vendredi S4'!AH34+'Samedi S4'!AH34</f>
        <v>0</v>
      </c>
      <c r="AI34" s="10">
        <f>+'Lundi S4'!AI34+'Mardi S4'!AI34+'Mercredi S4'!AI34+'Jeudi S4'!AI34+'Vendredi S4'!AI34+'Samedi S4'!AI34</f>
        <v>0</v>
      </c>
      <c r="AJ34" s="10">
        <f>+'Lundi S4'!AJ34+'Mardi S4'!AJ34+'Mercredi S4'!AJ34+'Jeudi S4'!AJ34+'Vendredi S4'!AJ34+'Samedi S4'!AJ34</f>
        <v>0</v>
      </c>
      <c r="AK34" s="11">
        <f>+'Lundi S4'!AK34+'Mardi S4'!AK34+'Mercredi S4'!AK34+'Jeudi S4'!AK34+'Vendredi S4'!AK34+'Samedi S4'!AK34</f>
        <v>0</v>
      </c>
      <c r="AL34" s="9">
        <f>+'Lundi S4'!AL34+'Mardi S4'!AL34+'Mercredi S4'!AL34+'Jeudi S4'!AL34+'Vendredi S4'!AL34+'Samedi S4'!AL34</f>
        <v>0</v>
      </c>
      <c r="AM34" s="10">
        <f>+'Lundi S4'!AM34+'Mardi S4'!AM34+'Mercredi S4'!AM34+'Jeudi S4'!AM34+'Vendredi S4'!AM34+'Samedi S4'!AM34</f>
        <v>0</v>
      </c>
      <c r="AN34" s="10">
        <f>+'Lundi S4'!AN34+'Mardi S4'!AN34+'Mercredi S4'!AN34+'Jeudi S4'!AN34+'Vendredi S4'!AN34+'Samedi S4'!AN34</f>
        <v>0</v>
      </c>
      <c r="AO34" s="10">
        <f>+'Lundi S4'!AO34+'Mardi S4'!AO34+'Mercredi S4'!AO34+'Jeudi S4'!AO34+'Vendredi S4'!AO34+'Samedi S4'!AO34</f>
        <v>0</v>
      </c>
      <c r="AP34" s="11">
        <f>+'Lundi S4'!AP34+'Mardi S4'!AP34+'Mercredi S4'!AP34+'Jeudi S4'!AP34+'Vendredi S4'!AP34+'Samedi S4'!AP34</f>
        <v>0</v>
      </c>
      <c r="AQ34" s="9">
        <f>+'Lundi S4'!AQ34+'Mardi S4'!AQ34+'Mercredi S4'!AQ34+'Jeudi S4'!AQ34+'Vendredi S4'!AQ34+'Samedi S4'!AQ34</f>
        <v>0</v>
      </c>
      <c r="AR34" s="10">
        <f>+'Lundi S4'!AR34+'Mardi S4'!AR34+'Mercredi S4'!AR34+'Jeudi S4'!AR34+'Vendredi S4'!AR34+'Samedi S4'!AR34</f>
        <v>0</v>
      </c>
      <c r="AS34" s="11">
        <f>+'Lundi S4'!AS34+'Mardi S4'!AS34+'Mercredi S4'!AS34+'Jeudi S4'!AS34+'Vendredi S4'!AS34+'Samedi S4'!AS34</f>
        <v>0</v>
      </c>
      <c r="AT34" s="24"/>
      <c r="AU34" s="13"/>
    </row>
    <row r="35" spans="1:47" ht="31.9" customHeight="1" x14ac:dyDescent="0.2">
      <c r="A35" s="26">
        <v>29</v>
      </c>
      <c r="B35" s="19"/>
      <c r="C35" s="9">
        <f>+'Lundi S4'!C35+'Mardi S4'!C35+'Mercredi S4'!C35+'Jeudi S4'!C35+'Vendredi S4'!C35+'Samedi S4'!C35</f>
        <v>90</v>
      </c>
      <c r="D35" s="10">
        <f>+'Lundi S4'!D35+'Mardi S4'!D35+'Mercredi S4'!D35+'Jeudi S4'!D35+'Vendredi S4'!D35+'Samedi S4'!D35</f>
        <v>18</v>
      </c>
      <c r="E35" s="10">
        <f>+'Lundi S4'!E35+'Mardi S4'!E35+'Mercredi S4'!E35+'Jeudi S4'!E35+'Vendredi S4'!E35+'Samedi S4'!E35</f>
        <v>30</v>
      </c>
      <c r="F35" s="10">
        <f>+'Lundi S4'!F35+'Mardi S4'!F35+'Mercredi S4'!F35+'Jeudi S4'!F35+'Vendredi S4'!F35+'Samedi S4'!F35</f>
        <v>12</v>
      </c>
      <c r="G35" s="11">
        <f>+'Lundi S4'!G35+'Mardi S4'!G35+'Mercredi S4'!G35+'Jeudi S4'!G35+'Vendredi S4'!G35+'Samedi S4'!G35</f>
        <v>30</v>
      </c>
      <c r="H35" s="9">
        <f>+'Lundi S4'!H35+'Mardi S4'!H35+'Mercredi S4'!H35+'Jeudi S4'!H35+'Vendredi S4'!H35+'Samedi S4'!H35</f>
        <v>18</v>
      </c>
      <c r="I35" s="10">
        <f>+'Lundi S4'!I35+'Mardi S4'!I35+'Mercredi S4'!I35+'Jeudi S4'!I35+'Vendredi S4'!I35+'Samedi S4'!I35</f>
        <v>6</v>
      </c>
      <c r="J35" s="10">
        <f>+'Lundi S4'!J35+'Mardi S4'!J35+'Mercredi S4'!J35+'Jeudi S4'!J35+'Vendredi S4'!J35+'Samedi S4'!J35</f>
        <v>6</v>
      </c>
      <c r="K35" s="10">
        <f>+'Lundi S4'!K35+'Mardi S4'!K35+'Mercredi S4'!K35+'Jeudi S4'!K35+'Vendredi S4'!K35+'Samedi S4'!K35</f>
        <v>6</v>
      </c>
      <c r="L35" s="11">
        <f>+'Lundi S4'!L35+'Mardi S4'!L35+'Mercredi S4'!L35+'Jeudi S4'!L35+'Vendredi S4'!L35+'Samedi S4'!L35</f>
        <v>6</v>
      </c>
      <c r="M35" s="9">
        <f>+'Lundi S4'!M35+'Mardi S4'!M35+'Mercredi S4'!M35+'Jeudi S4'!M35+'Vendredi S4'!M35+'Samedi S4'!M35</f>
        <v>18</v>
      </c>
      <c r="N35" s="10">
        <f>+'Lundi S4'!N35+'Mardi S4'!N35+'Mercredi S4'!N35+'Jeudi S4'!N35+'Vendredi S4'!N35+'Samedi S4'!N35</f>
        <v>6</v>
      </c>
      <c r="O35" s="10">
        <f>+'Lundi S4'!O35+'Mardi S4'!O35+'Mercredi S4'!O35+'Jeudi S4'!O35+'Vendredi S4'!O35+'Samedi S4'!O35</f>
        <v>18</v>
      </c>
      <c r="P35" s="10">
        <f>+'Lundi S4'!P35+'Mardi S4'!P35+'Mercredi S4'!P35+'Jeudi S4'!P35+'Vendredi S4'!P35+'Samedi S4'!P35</f>
        <v>0</v>
      </c>
      <c r="Q35" s="11">
        <f>+'Lundi S4'!Q35+'Mardi S4'!Q35+'Mercredi S4'!Q35+'Jeudi S4'!Q35+'Vendredi S4'!Q35+'Samedi S4'!Q35</f>
        <v>0</v>
      </c>
      <c r="R35" s="61">
        <f>+'Lundi S4'!R35+'Mardi S4'!R35+'Mercredi S4'!R35+'Jeudi S4'!R35+'Vendredi S4'!R35+'Samedi S4'!R35</f>
        <v>3</v>
      </c>
      <c r="S35" s="62">
        <f>+'Lundi S4'!S35+'Mardi S4'!S35+'Mercredi S4'!S35+'Jeudi S4'!S35+'Vendredi S4'!S35+'Samedi S4'!S35</f>
        <v>0.99999999999999989</v>
      </c>
      <c r="T35" s="62">
        <f>+'Lundi S4'!T35+'Mardi S4'!T35+'Mercredi S4'!T35+'Jeudi S4'!T35+'Vendredi S4'!T35+'Samedi S4'!T35</f>
        <v>0.6</v>
      </c>
      <c r="U35" s="62">
        <f>+'Lundi S4'!U35+'Mardi S4'!U35+'Mercredi S4'!U35+'Jeudi S4'!U35+'Vendredi S4'!U35+'Samedi S4'!U35</f>
        <v>3.6</v>
      </c>
      <c r="V35" s="63">
        <f>+'Lundi S4'!V35+'Mardi S4'!V35+'Mercredi S4'!V35+'Jeudi S4'!V35+'Vendredi S4'!V35+'Samedi S4'!V35</f>
        <v>0.9</v>
      </c>
      <c r="W35" s="9">
        <f>+'Lundi S4'!W35+'Mardi S4'!W35+'Mercredi S4'!W35+'Jeudi S4'!W35+'Vendredi S4'!W35+'Samedi S4'!W35</f>
        <v>0</v>
      </c>
      <c r="X35" s="10">
        <f>+'Lundi S4'!X35+'Mardi S4'!X35+'Mercredi S4'!X35+'Jeudi S4'!X35+'Vendredi S4'!X35+'Samedi S4'!X35</f>
        <v>0</v>
      </c>
      <c r="Y35" s="10">
        <f>+'Lundi S4'!Y35+'Mardi S4'!Y35+'Mercredi S4'!Y35+'Jeudi S4'!Y35+'Vendredi S4'!Y35+'Samedi S4'!Y35</f>
        <v>0</v>
      </c>
      <c r="Z35" s="10">
        <f>+'Lundi S4'!Z35+'Mardi S4'!Z35+'Mercredi S4'!Z35+'Jeudi S4'!Z35+'Vendredi S4'!Z35+'Samedi S4'!Z35</f>
        <v>0</v>
      </c>
      <c r="AA35" s="11">
        <f>+'Lundi S4'!AA35+'Mardi S4'!AA35+'Mercredi S4'!AA35+'Jeudi S4'!AA35+'Vendredi S4'!AA35+'Samedi S4'!AA35</f>
        <v>0</v>
      </c>
      <c r="AB35" s="9">
        <f>+'Lundi S4'!AB35+'Mardi S4'!AB35+'Mercredi S4'!AB35+'Jeudi S4'!AB35+'Vendredi S4'!AB35+'Samedi S4'!AB35</f>
        <v>0</v>
      </c>
      <c r="AC35" s="10">
        <f>+'Lundi S4'!AC35+'Mardi S4'!AC35+'Mercredi S4'!AC35+'Jeudi S4'!AC35+'Vendredi S4'!AC35+'Samedi S4'!AC35</f>
        <v>0</v>
      </c>
      <c r="AD35" s="10">
        <f>+'Lundi S4'!AD35+'Mardi S4'!AD35+'Mercredi S4'!AD35+'Jeudi S4'!AD35+'Vendredi S4'!AD35+'Samedi S4'!AD35</f>
        <v>0</v>
      </c>
      <c r="AE35" s="10">
        <f>+'Lundi S4'!AE35+'Mardi S4'!AE35+'Mercredi S4'!AE35+'Jeudi S4'!AE35+'Vendredi S4'!AE35+'Samedi S4'!AE35</f>
        <v>0</v>
      </c>
      <c r="AF35" s="11">
        <f>+'Lundi S4'!AF35+'Mardi S4'!AF35+'Mercredi S4'!AF35+'Jeudi S4'!AF35+'Vendredi S4'!AF35+'Samedi S4'!AF35</f>
        <v>0</v>
      </c>
      <c r="AG35" s="9">
        <f>+'Lundi S4'!AG35+'Mardi S4'!AG35+'Mercredi S4'!AG35+'Jeudi S4'!AG35+'Vendredi S4'!AG35+'Samedi S4'!AG35</f>
        <v>0</v>
      </c>
      <c r="AH35" s="10">
        <f>+'Lundi S4'!AH35+'Mardi S4'!AH35+'Mercredi S4'!AH35+'Jeudi S4'!AH35+'Vendredi S4'!AH35+'Samedi S4'!AH35</f>
        <v>0</v>
      </c>
      <c r="AI35" s="10">
        <f>+'Lundi S4'!AI35+'Mardi S4'!AI35+'Mercredi S4'!AI35+'Jeudi S4'!AI35+'Vendredi S4'!AI35+'Samedi S4'!AI35</f>
        <v>0</v>
      </c>
      <c r="AJ35" s="10">
        <f>+'Lundi S4'!AJ35+'Mardi S4'!AJ35+'Mercredi S4'!AJ35+'Jeudi S4'!AJ35+'Vendredi S4'!AJ35+'Samedi S4'!AJ35</f>
        <v>0</v>
      </c>
      <c r="AK35" s="11">
        <f>+'Lundi S4'!AK35+'Mardi S4'!AK35+'Mercredi S4'!AK35+'Jeudi S4'!AK35+'Vendredi S4'!AK35+'Samedi S4'!AK35</f>
        <v>0</v>
      </c>
      <c r="AL35" s="9">
        <f>+'Lundi S4'!AL35+'Mardi S4'!AL35+'Mercredi S4'!AL35+'Jeudi S4'!AL35+'Vendredi S4'!AL35+'Samedi S4'!AL35</f>
        <v>0</v>
      </c>
      <c r="AM35" s="10">
        <f>+'Lundi S4'!AM35+'Mardi S4'!AM35+'Mercredi S4'!AM35+'Jeudi S4'!AM35+'Vendredi S4'!AM35+'Samedi S4'!AM35</f>
        <v>0</v>
      </c>
      <c r="AN35" s="10">
        <f>+'Lundi S4'!AN35+'Mardi S4'!AN35+'Mercredi S4'!AN35+'Jeudi S4'!AN35+'Vendredi S4'!AN35+'Samedi S4'!AN35</f>
        <v>0</v>
      </c>
      <c r="AO35" s="10">
        <f>+'Lundi S4'!AO35+'Mardi S4'!AO35+'Mercredi S4'!AO35+'Jeudi S4'!AO35+'Vendredi S4'!AO35+'Samedi S4'!AO35</f>
        <v>0</v>
      </c>
      <c r="AP35" s="11">
        <f>+'Lundi S4'!AP35+'Mardi S4'!AP35+'Mercredi S4'!AP35+'Jeudi S4'!AP35+'Vendredi S4'!AP35+'Samedi S4'!AP35</f>
        <v>0</v>
      </c>
      <c r="AQ35" s="9">
        <f>+'Lundi S4'!AQ35+'Mardi S4'!AQ35+'Mercredi S4'!AQ35+'Jeudi S4'!AQ35+'Vendredi S4'!AQ35+'Samedi S4'!AQ35</f>
        <v>0</v>
      </c>
      <c r="AR35" s="10">
        <f>+'Lundi S4'!AR35+'Mardi S4'!AR35+'Mercredi S4'!AR35+'Jeudi S4'!AR35+'Vendredi S4'!AR35+'Samedi S4'!AR35</f>
        <v>0</v>
      </c>
      <c r="AS35" s="11">
        <f>+'Lundi S4'!AS35+'Mardi S4'!AS35+'Mercredi S4'!AS35+'Jeudi S4'!AS35+'Vendredi S4'!AS35+'Samedi S4'!AS35</f>
        <v>0</v>
      </c>
      <c r="AT35" s="24"/>
      <c r="AU35" s="12"/>
    </row>
    <row r="36" spans="1:47" ht="31.9" customHeight="1" thickBot="1" x14ac:dyDescent="0.25">
      <c r="A36" s="27">
        <v>30</v>
      </c>
      <c r="B36" s="28"/>
      <c r="C36" s="29">
        <f>+'Lundi S4'!C36+'Mardi S4'!C36+'Mercredi S4'!C36+'Jeudi S4'!C36+'Vendredi S4'!C36+'Samedi S4'!C36</f>
        <v>90</v>
      </c>
      <c r="D36" s="30">
        <f>+'Lundi S4'!D36+'Mardi S4'!D36+'Mercredi S4'!D36+'Jeudi S4'!D36+'Vendredi S4'!D36+'Samedi S4'!D36</f>
        <v>18</v>
      </c>
      <c r="E36" s="30">
        <f>+'Lundi S4'!E36+'Mardi S4'!E36+'Mercredi S4'!E36+'Jeudi S4'!E36+'Vendredi S4'!E36+'Samedi S4'!E36</f>
        <v>30</v>
      </c>
      <c r="F36" s="30">
        <f>+'Lundi S4'!F36+'Mardi S4'!F36+'Mercredi S4'!F36+'Jeudi S4'!F36+'Vendredi S4'!F36+'Samedi S4'!F36</f>
        <v>12</v>
      </c>
      <c r="G36" s="31">
        <f>+'Lundi S4'!G36+'Mardi S4'!G36+'Mercredi S4'!G36+'Jeudi S4'!G36+'Vendredi S4'!G36+'Samedi S4'!G36</f>
        <v>30</v>
      </c>
      <c r="H36" s="29">
        <f>+'Lundi S4'!H36+'Mardi S4'!H36+'Mercredi S4'!H36+'Jeudi S4'!H36+'Vendredi S4'!H36+'Samedi S4'!H36</f>
        <v>18</v>
      </c>
      <c r="I36" s="30">
        <f>+'Lundi S4'!I36+'Mardi S4'!I36+'Mercredi S4'!I36+'Jeudi S4'!I36+'Vendredi S4'!I36+'Samedi S4'!I36</f>
        <v>6</v>
      </c>
      <c r="J36" s="30">
        <f>+'Lundi S4'!J36+'Mardi S4'!J36+'Mercredi S4'!J36+'Jeudi S4'!J36+'Vendredi S4'!J36+'Samedi S4'!J36</f>
        <v>6</v>
      </c>
      <c r="K36" s="30">
        <f>+'Lundi S4'!K36+'Mardi S4'!K36+'Mercredi S4'!K36+'Jeudi S4'!K36+'Vendredi S4'!K36+'Samedi S4'!K36</f>
        <v>6</v>
      </c>
      <c r="L36" s="31">
        <f>+'Lundi S4'!L36+'Mardi S4'!L36+'Mercredi S4'!L36+'Jeudi S4'!L36+'Vendredi S4'!L36+'Samedi S4'!L36</f>
        <v>6</v>
      </c>
      <c r="M36" s="29">
        <f>+'Lundi S4'!M36+'Mardi S4'!M36+'Mercredi S4'!M36+'Jeudi S4'!M36+'Vendredi S4'!M36+'Samedi S4'!M36</f>
        <v>18</v>
      </c>
      <c r="N36" s="30">
        <f>+'Lundi S4'!N36+'Mardi S4'!N36+'Mercredi S4'!N36+'Jeudi S4'!N36+'Vendredi S4'!N36+'Samedi S4'!N36</f>
        <v>6</v>
      </c>
      <c r="O36" s="30">
        <f>+'Lundi S4'!O36+'Mardi S4'!O36+'Mercredi S4'!O36+'Jeudi S4'!O36+'Vendredi S4'!O36+'Samedi S4'!O36</f>
        <v>18</v>
      </c>
      <c r="P36" s="30">
        <f>+'Lundi S4'!P36+'Mardi S4'!P36+'Mercredi S4'!P36+'Jeudi S4'!P36+'Vendredi S4'!P36+'Samedi S4'!P36</f>
        <v>0</v>
      </c>
      <c r="Q36" s="31">
        <f>+'Lundi S4'!Q36+'Mardi S4'!Q36+'Mercredi S4'!Q36+'Jeudi S4'!Q36+'Vendredi S4'!Q36+'Samedi S4'!Q36</f>
        <v>0</v>
      </c>
      <c r="R36" s="64">
        <f>+'Lundi S4'!R36+'Mardi S4'!R36+'Mercredi S4'!R36+'Jeudi S4'!R36+'Vendredi S4'!R36+'Samedi S4'!R36</f>
        <v>3</v>
      </c>
      <c r="S36" s="65">
        <f>+'Lundi S4'!S36+'Mardi S4'!S36+'Mercredi S4'!S36+'Jeudi S4'!S36+'Vendredi S4'!S36+'Samedi S4'!S36</f>
        <v>0.99999999999999989</v>
      </c>
      <c r="T36" s="65">
        <f>+'Lundi S4'!T36+'Mardi S4'!T36+'Mercredi S4'!T36+'Jeudi S4'!T36+'Vendredi S4'!T36+'Samedi S4'!T36</f>
        <v>0.6</v>
      </c>
      <c r="U36" s="65">
        <f>+'Lundi S4'!U36+'Mardi S4'!U36+'Mercredi S4'!U36+'Jeudi S4'!U36+'Vendredi S4'!U36+'Samedi S4'!U36</f>
        <v>3.6</v>
      </c>
      <c r="V36" s="66">
        <f>+'Lundi S4'!V36+'Mardi S4'!V36+'Mercredi S4'!V36+'Jeudi S4'!V36+'Vendredi S4'!V36+'Samedi S4'!V36</f>
        <v>0.9</v>
      </c>
      <c r="W36" s="29">
        <f>+'Lundi S4'!W36+'Mardi S4'!W36+'Mercredi S4'!W36+'Jeudi S4'!W36+'Vendredi S4'!W36+'Samedi S4'!W36</f>
        <v>0</v>
      </c>
      <c r="X36" s="30">
        <f>+'Lundi S4'!X36+'Mardi S4'!X36+'Mercredi S4'!X36+'Jeudi S4'!X36+'Vendredi S4'!X36+'Samedi S4'!X36</f>
        <v>0</v>
      </c>
      <c r="Y36" s="30">
        <f>+'Lundi S4'!Y36+'Mardi S4'!Y36+'Mercredi S4'!Y36+'Jeudi S4'!Y36+'Vendredi S4'!Y36+'Samedi S4'!Y36</f>
        <v>0</v>
      </c>
      <c r="Z36" s="30">
        <f>+'Lundi S4'!Z36+'Mardi S4'!Z36+'Mercredi S4'!Z36+'Jeudi S4'!Z36+'Vendredi S4'!Z36+'Samedi S4'!Z36</f>
        <v>0</v>
      </c>
      <c r="AA36" s="31">
        <f>+'Lundi S4'!AA36+'Mardi S4'!AA36+'Mercredi S4'!AA36+'Jeudi S4'!AA36+'Vendredi S4'!AA36+'Samedi S4'!AA36</f>
        <v>0</v>
      </c>
      <c r="AB36" s="29">
        <f>+'Lundi S4'!AB36+'Mardi S4'!AB36+'Mercredi S4'!AB36+'Jeudi S4'!AB36+'Vendredi S4'!AB36+'Samedi S4'!AB36</f>
        <v>0</v>
      </c>
      <c r="AC36" s="30">
        <f>+'Lundi S4'!AC36+'Mardi S4'!AC36+'Mercredi S4'!AC36+'Jeudi S4'!AC36+'Vendredi S4'!AC36+'Samedi S4'!AC36</f>
        <v>0</v>
      </c>
      <c r="AD36" s="30">
        <f>+'Lundi S4'!AD36+'Mardi S4'!AD36+'Mercredi S4'!AD36+'Jeudi S4'!AD36+'Vendredi S4'!AD36+'Samedi S4'!AD36</f>
        <v>0</v>
      </c>
      <c r="AE36" s="30">
        <f>+'Lundi S4'!AE36+'Mardi S4'!AE36+'Mercredi S4'!AE36+'Jeudi S4'!AE36+'Vendredi S4'!AE36+'Samedi S4'!AE36</f>
        <v>0</v>
      </c>
      <c r="AF36" s="31">
        <f>+'Lundi S4'!AF36+'Mardi S4'!AF36+'Mercredi S4'!AF36+'Jeudi S4'!AF36+'Vendredi S4'!AF36+'Samedi S4'!AF36</f>
        <v>0</v>
      </c>
      <c r="AG36" s="29">
        <f>+'Lundi S4'!AG36+'Mardi S4'!AG36+'Mercredi S4'!AG36+'Jeudi S4'!AG36+'Vendredi S4'!AG36+'Samedi S4'!AG36</f>
        <v>0</v>
      </c>
      <c r="AH36" s="30">
        <f>+'Lundi S4'!AH36+'Mardi S4'!AH36+'Mercredi S4'!AH36+'Jeudi S4'!AH36+'Vendredi S4'!AH36+'Samedi S4'!AH36</f>
        <v>0</v>
      </c>
      <c r="AI36" s="30">
        <f>+'Lundi S4'!AI36+'Mardi S4'!AI36+'Mercredi S4'!AI36+'Jeudi S4'!AI36+'Vendredi S4'!AI36+'Samedi S4'!AI36</f>
        <v>0</v>
      </c>
      <c r="AJ36" s="30">
        <f>+'Lundi S4'!AJ36+'Mardi S4'!AJ36+'Mercredi S4'!AJ36+'Jeudi S4'!AJ36+'Vendredi S4'!AJ36+'Samedi S4'!AJ36</f>
        <v>0</v>
      </c>
      <c r="AK36" s="31">
        <f>+'Lundi S4'!AK36+'Mardi S4'!AK36+'Mercredi S4'!AK36+'Jeudi S4'!AK36+'Vendredi S4'!AK36+'Samedi S4'!AK36</f>
        <v>0</v>
      </c>
      <c r="AL36" s="29">
        <f>+'Lundi S4'!AL36+'Mardi S4'!AL36+'Mercredi S4'!AL36+'Jeudi S4'!AL36+'Vendredi S4'!AL36+'Samedi S4'!AL36</f>
        <v>0</v>
      </c>
      <c r="AM36" s="30">
        <f>+'Lundi S4'!AM36+'Mardi S4'!AM36+'Mercredi S4'!AM36+'Jeudi S4'!AM36+'Vendredi S4'!AM36+'Samedi S4'!AM36</f>
        <v>0</v>
      </c>
      <c r="AN36" s="30">
        <f>+'Lundi S4'!AN36+'Mardi S4'!AN36+'Mercredi S4'!AN36+'Jeudi S4'!AN36+'Vendredi S4'!AN36+'Samedi S4'!AN36</f>
        <v>0</v>
      </c>
      <c r="AO36" s="30">
        <f>+'Lundi S4'!AO36+'Mardi S4'!AO36+'Mercredi S4'!AO36+'Jeudi S4'!AO36+'Vendredi S4'!AO36+'Samedi S4'!AO36</f>
        <v>0</v>
      </c>
      <c r="AP36" s="31">
        <f>+'Lundi S4'!AP36+'Mardi S4'!AP36+'Mercredi S4'!AP36+'Jeudi S4'!AP36+'Vendredi S4'!AP36+'Samedi S4'!AP36</f>
        <v>0</v>
      </c>
      <c r="AQ36" s="29">
        <f>+'Lundi S4'!AQ36+'Mardi S4'!AQ36+'Mercredi S4'!AQ36+'Jeudi S4'!AQ36+'Vendredi S4'!AQ36+'Samedi S4'!AQ36</f>
        <v>0</v>
      </c>
      <c r="AR36" s="30">
        <f>+'Lundi S4'!AR36+'Mardi S4'!AR36+'Mercredi S4'!AR36+'Jeudi S4'!AR36+'Vendredi S4'!AR36+'Samedi S4'!AR36</f>
        <v>0</v>
      </c>
      <c r="AS36" s="31">
        <f>+'Lundi S4'!AS36+'Mardi S4'!AS36+'Mercredi S4'!AS36+'Jeudi S4'!AS36+'Vendredi S4'!AS36+'Samedi S4'!AS36</f>
        <v>0</v>
      </c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2700</v>
      </c>
      <c r="D37" s="40">
        <f t="shared" ref="D37:AS37" si="0">SUM(D7:D36)</f>
        <v>540</v>
      </c>
      <c r="E37" s="40">
        <f t="shared" si="0"/>
        <v>900</v>
      </c>
      <c r="F37" s="40">
        <f t="shared" si="0"/>
        <v>360</v>
      </c>
      <c r="G37" s="41">
        <f t="shared" si="0"/>
        <v>900</v>
      </c>
      <c r="H37" s="39">
        <f t="shared" si="0"/>
        <v>540</v>
      </c>
      <c r="I37" s="40">
        <f t="shared" si="0"/>
        <v>180</v>
      </c>
      <c r="J37" s="40">
        <f t="shared" si="0"/>
        <v>180</v>
      </c>
      <c r="K37" s="40">
        <f t="shared" si="0"/>
        <v>180</v>
      </c>
      <c r="L37" s="41">
        <f t="shared" si="0"/>
        <v>180</v>
      </c>
      <c r="M37" s="39">
        <f t="shared" si="0"/>
        <v>540</v>
      </c>
      <c r="N37" s="40">
        <f t="shared" si="0"/>
        <v>180</v>
      </c>
      <c r="O37" s="40">
        <f t="shared" si="0"/>
        <v>540</v>
      </c>
      <c r="P37" s="40">
        <f t="shared" si="0"/>
        <v>0</v>
      </c>
      <c r="Q37" s="41">
        <f t="shared" si="0"/>
        <v>0</v>
      </c>
      <c r="R37" s="39">
        <f>SUM(R7:R36)</f>
        <v>90</v>
      </c>
      <c r="S37" s="40">
        <f t="shared" si="0"/>
        <v>29.999999999999996</v>
      </c>
      <c r="T37" s="40">
        <f t="shared" si="0"/>
        <v>18</v>
      </c>
      <c r="U37" s="40">
        <f t="shared" si="0"/>
        <v>107.99999999999994</v>
      </c>
      <c r="V37" s="41">
        <f t="shared" si="0"/>
        <v>26.999999999999986</v>
      </c>
      <c r="W37" s="39">
        <f t="shared" si="0"/>
        <v>6</v>
      </c>
      <c r="X37" s="40">
        <f t="shared" si="0"/>
        <v>6</v>
      </c>
      <c r="Y37" s="40">
        <f t="shared" si="0"/>
        <v>6</v>
      </c>
      <c r="Z37" s="40">
        <f t="shared" si="0"/>
        <v>6</v>
      </c>
      <c r="AA37" s="41">
        <f t="shared" si="0"/>
        <v>6</v>
      </c>
      <c r="AB37" s="39">
        <f t="shared" si="0"/>
        <v>6</v>
      </c>
      <c r="AC37" s="40">
        <f t="shared" si="0"/>
        <v>6</v>
      </c>
      <c r="AD37" s="40">
        <f t="shared" si="0"/>
        <v>6</v>
      </c>
      <c r="AE37" s="40">
        <f t="shared" si="0"/>
        <v>6</v>
      </c>
      <c r="AF37" s="41">
        <f t="shared" si="0"/>
        <v>6</v>
      </c>
      <c r="AG37" s="39">
        <f t="shared" si="0"/>
        <v>6</v>
      </c>
      <c r="AH37" s="40">
        <f t="shared" si="0"/>
        <v>6</v>
      </c>
      <c r="AI37" s="40">
        <f t="shared" si="0"/>
        <v>6</v>
      </c>
      <c r="AJ37" s="40">
        <f t="shared" si="0"/>
        <v>6</v>
      </c>
      <c r="AK37" s="41">
        <f t="shared" si="0"/>
        <v>6</v>
      </c>
      <c r="AL37" s="39">
        <f t="shared" si="0"/>
        <v>6</v>
      </c>
      <c r="AM37" s="40">
        <f t="shared" si="0"/>
        <v>6</v>
      </c>
      <c r="AN37" s="40">
        <f t="shared" si="0"/>
        <v>6</v>
      </c>
      <c r="AO37" s="40">
        <f t="shared" si="0"/>
        <v>6</v>
      </c>
      <c r="AP37" s="41">
        <f t="shared" si="0"/>
        <v>6</v>
      </c>
      <c r="AQ37" s="39">
        <f t="shared" si="0"/>
        <v>6</v>
      </c>
      <c r="AR37" s="40">
        <f t="shared" si="0"/>
        <v>6</v>
      </c>
      <c r="AS37" s="41">
        <f t="shared" si="0"/>
        <v>6</v>
      </c>
      <c r="AT37" s="25">
        <f t="shared" ref="AT37:AU37" si="1">SUM(AT7:AT36)</f>
        <v>0</v>
      </c>
      <c r="AU37" s="2">
        <f t="shared" si="1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2313-07B4-40F6-8781-251975515EA3}">
  <dimension ref="A2:AU37"/>
  <sheetViews>
    <sheetView zoomScale="56" zoomScaleNormal="56" workbookViewId="0">
      <pane xSplit="2" ySplit="6" topLeftCell="C7" activePane="bottomRight" state="frozen"/>
      <selection activeCell="Z30" sqref="Z30"/>
      <selection pane="topRight" activeCell="Z30" sqref="Z30"/>
      <selection pane="bottomLeft" activeCell="Z30" sqref="Z30"/>
      <selection pane="bottomRight" activeCell="Z30" sqref="Z30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6039-2966-41FC-90D0-BF260B39BD87}">
  <dimension ref="A2:AU37"/>
  <sheetViews>
    <sheetView zoomScale="56" zoomScaleNormal="56" workbookViewId="0">
      <pane xSplit="2" ySplit="6" topLeftCell="C7" activePane="bottomRight" state="frozen"/>
      <selection activeCell="Z30" sqref="Z30"/>
      <selection pane="topRight" activeCell="Z30" sqref="Z30"/>
      <selection pane="bottomLeft" activeCell="Z30" sqref="Z30"/>
      <selection pane="bottomRight" activeCell="Z30" sqref="Z30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A680-6A54-45A5-9B6C-6DBE21D111C9}">
  <dimension ref="A2:AU37"/>
  <sheetViews>
    <sheetView zoomScale="56" zoomScaleNormal="56" workbookViewId="0">
      <pane xSplit="2" ySplit="6" topLeftCell="C7" activePane="bottomRight" state="frozen"/>
      <selection activeCell="Z30" sqref="Z30"/>
      <selection pane="topRight" activeCell="Z30" sqref="Z30"/>
      <selection pane="bottomLeft" activeCell="Z30" sqref="Z30"/>
      <selection pane="bottomRight" activeCell="Z30" sqref="Z30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DA0C-83A8-4FA6-93D1-9EF57871F267}">
  <dimension ref="A2:AU37"/>
  <sheetViews>
    <sheetView zoomScale="56" zoomScaleNormal="56" workbookViewId="0">
      <pane xSplit="2" ySplit="6" topLeftCell="C7" activePane="bottomRight" state="frozen"/>
      <selection activeCell="Z30" sqref="Z30"/>
      <selection pane="topRight" activeCell="Z30" sqref="Z30"/>
      <selection pane="bottomLeft" activeCell="Z30" sqref="Z30"/>
      <selection pane="bottomRight" activeCell="Z30" sqref="Z30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3D34-116E-4839-98F2-5108A5432169}">
  <dimension ref="A2:AU37"/>
  <sheetViews>
    <sheetView zoomScale="56" zoomScaleNormal="56" workbookViewId="0">
      <pane xSplit="2" ySplit="6" topLeftCell="C7" activePane="bottomRight" state="frozen"/>
      <selection activeCell="Z30" sqref="Z30"/>
      <selection pane="topRight" activeCell="Z30" sqref="Z30"/>
      <selection pane="bottomLeft" activeCell="Z30" sqref="Z30"/>
      <selection pane="bottomRight" activeCell="Z30" sqref="Z30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4EF1-F036-4FE8-A2D6-D563E11B8723}">
  <dimension ref="A2:AU37"/>
  <sheetViews>
    <sheetView zoomScale="56" zoomScaleNormal="56" workbookViewId="0">
      <pane xSplit="2" ySplit="6" topLeftCell="C7" activePane="bottomRight" state="frozen"/>
      <selection activeCell="Z30" sqref="Z30"/>
      <selection pane="topRight" activeCell="Z30" sqref="Z30"/>
      <selection pane="bottomLeft" activeCell="Z30" sqref="Z30"/>
      <selection pane="bottomRight" activeCell="Z30" sqref="Z30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+C$2</f>
        <v>15</v>
      </c>
      <c r="D7" s="7">
        <f>+D$2</f>
        <v>3</v>
      </c>
      <c r="E7" s="7">
        <f t="shared" ref="E7:V21" si="0">+E$2</f>
        <v>5</v>
      </c>
      <c r="F7" s="7">
        <f t="shared" si="0"/>
        <v>2</v>
      </c>
      <c r="G7" s="8">
        <f t="shared" si="0"/>
        <v>5</v>
      </c>
      <c r="H7" s="6">
        <f t="shared" si="0"/>
        <v>3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8">
        <f t="shared" si="0"/>
        <v>1</v>
      </c>
      <c r="M7" s="6">
        <f t="shared" si="0"/>
        <v>3</v>
      </c>
      <c r="N7" s="7">
        <f t="shared" si="0"/>
        <v>1</v>
      </c>
      <c r="O7" s="7">
        <f t="shared" si="0"/>
        <v>3</v>
      </c>
      <c r="P7" s="7">
        <f t="shared" si="0"/>
        <v>0</v>
      </c>
      <c r="Q7" s="8">
        <f t="shared" si="0"/>
        <v>0</v>
      </c>
      <c r="R7" s="58">
        <f t="shared" si="0"/>
        <v>0.5</v>
      </c>
      <c r="S7" s="59">
        <f t="shared" si="0"/>
        <v>0.16666666666666666</v>
      </c>
      <c r="T7" s="59">
        <f t="shared" si="0"/>
        <v>0.1</v>
      </c>
      <c r="U7" s="59">
        <f t="shared" si="0"/>
        <v>0.6</v>
      </c>
      <c r="V7" s="60">
        <f t="shared" si="0"/>
        <v>0.15</v>
      </c>
      <c r="W7" s="6">
        <v>1</v>
      </c>
      <c r="X7" s="7">
        <v>1</v>
      </c>
      <c r="Y7" s="7">
        <v>1</v>
      </c>
      <c r="Z7" s="7">
        <v>1</v>
      </c>
      <c r="AA7" s="8">
        <v>1</v>
      </c>
      <c r="AB7" s="6">
        <v>1</v>
      </c>
      <c r="AC7" s="7">
        <v>1</v>
      </c>
      <c r="AD7" s="7">
        <v>1</v>
      </c>
      <c r="AE7" s="7">
        <v>1</v>
      </c>
      <c r="AF7" s="8">
        <v>1</v>
      </c>
      <c r="AG7" s="6">
        <v>1</v>
      </c>
      <c r="AH7" s="7">
        <v>1</v>
      </c>
      <c r="AI7" s="7">
        <v>1</v>
      </c>
      <c r="AJ7" s="7">
        <v>1</v>
      </c>
      <c r="AK7" s="8">
        <v>1</v>
      </c>
      <c r="AL7" s="6">
        <v>1</v>
      </c>
      <c r="AM7" s="7">
        <v>1</v>
      </c>
      <c r="AN7" s="7">
        <v>1</v>
      </c>
      <c r="AO7" s="7">
        <v>1</v>
      </c>
      <c r="AP7" s="8">
        <v>1</v>
      </c>
      <c r="AQ7" s="6">
        <v>1</v>
      </c>
      <c r="AR7" s="7">
        <v>1</v>
      </c>
      <c r="AS7" s="8">
        <v>1</v>
      </c>
      <c r="AT7" s="20"/>
      <c r="AU7" s="15"/>
    </row>
    <row r="8" spans="1:47" ht="31.9" customHeight="1" x14ac:dyDescent="0.2">
      <c r="A8" s="26">
        <v>2</v>
      </c>
      <c r="B8" s="19"/>
      <c r="C8" s="9">
        <f t="shared" ref="C8:R36" si="1">+C$2</f>
        <v>15</v>
      </c>
      <c r="D8" s="10">
        <f t="shared" si="1"/>
        <v>3</v>
      </c>
      <c r="E8" s="10">
        <f t="shared" si="0"/>
        <v>5</v>
      </c>
      <c r="F8" s="10">
        <f t="shared" si="0"/>
        <v>2</v>
      </c>
      <c r="G8" s="11">
        <f t="shared" si="0"/>
        <v>5</v>
      </c>
      <c r="H8" s="9">
        <f t="shared" si="0"/>
        <v>3</v>
      </c>
      <c r="I8" s="10">
        <f t="shared" si="0"/>
        <v>1</v>
      </c>
      <c r="J8" s="10">
        <f t="shared" si="0"/>
        <v>1</v>
      </c>
      <c r="K8" s="10">
        <f t="shared" si="0"/>
        <v>1</v>
      </c>
      <c r="L8" s="11">
        <f t="shared" si="0"/>
        <v>1</v>
      </c>
      <c r="M8" s="9">
        <f t="shared" si="0"/>
        <v>3</v>
      </c>
      <c r="N8" s="10">
        <f t="shared" si="0"/>
        <v>1</v>
      </c>
      <c r="O8" s="10">
        <f t="shared" si="0"/>
        <v>3</v>
      </c>
      <c r="P8" s="10">
        <f t="shared" si="0"/>
        <v>0</v>
      </c>
      <c r="Q8" s="11">
        <f t="shared" si="0"/>
        <v>0</v>
      </c>
      <c r="R8" s="61">
        <f t="shared" si="0"/>
        <v>0.5</v>
      </c>
      <c r="S8" s="62">
        <f t="shared" si="0"/>
        <v>0.16666666666666666</v>
      </c>
      <c r="T8" s="62">
        <f t="shared" si="0"/>
        <v>0.1</v>
      </c>
      <c r="U8" s="62">
        <f t="shared" si="0"/>
        <v>0.6</v>
      </c>
      <c r="V8" s="63">
        <f t="shared" si="0"/>
        <v>0.15</v>
      </c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1"/>
      <c r="AT8" s="21"/>
      <c r="AU8" s="14"/>
    </row>
    <row r="9" spans="1:47" ht="31.9" customHeight="1" x14ac:dyDescent="0.2">
      <c r="A9" s="26">
        <v>3</v>
      </c>
      <c r="B9" s="19"/>
      <c r="C9" s="9">
        <f t="shared" si="1"/>
        <v>15</v>
      </c>
      <c r="D9" s="10">
        <f t="shared" si="1"/>
        <v>3</v>
      </c>
      <c r="E9" s="10">
        <f t="shared" si="0"/>
        <v>5</v>
      </c>
      <c r="F9" s="10">
        <f t="shared" si="0"/>
        <v>2</v>
      </c>
      <c r="G9" s="11">
        <f t="shared" si="0"/>
        <v>5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61">
        <f t="shared" si="0"/>
        <v>0.5</v>
      </c>
      <c r="S9" s="62">
        <f t="shared" si="0"/>
        <v>0.16666666666666666</v>
      </c>
      <c r="T9" s="62">
        <f t="shared" si="0"/>
        <v>0.1</v>
      </c>
      <c r="U9" s="62">
        <f t="shared" si="0"/>
        <v>0.6</v>
      </c>
      <c r="V9" s="63">
        <f t="shared" si="0"/>
        <v>0.15</v>
      </c>
      <c r="W9" s="9"/>
      <c r="X9" s="10"/>
      <c r="Y9" s="10"/>
      <c r="Z9" s="10"/>
      <c r="AA9" s="11"/>
      <c r="AB9" s="9"/>
      <c r="AC9" s="10"/>
      <c r="AD9" s="10"/>
      <c r="AE9" s="10"/>
      <c r="AF9" s="11"/>
      <c r="AG9" s="9"/>
      <c r="AH9" s="10"/>
      <c r="AI9" s="10"/>
      <c r="AJ9" s="10"/>
      <c r="AK9" s="11"/>
      <c r="AL9" s="9"/>
      <c r="AM9" s="10"/>
      <c r="AN9" s="10"/>
      <c r="AO9" s="10"/>
      <c r="AP9" s="11"/>
      <c r="AQ9" s="9"/>
      <c r="AR9" s="10"/>
      <c r="AS9" s="11"/>
      <c r="AT9" s="22"/>
      <c r="AU9" s="14"/>
    </row>
    <row r="10" spans="1:47" ht="31.9" customHeight="1" x14ac:dyDescent="0.2">
      <c r="A10" s="26">
        <v>4</v>
      </c>
      <c r="B10" s="19"/>
      <c r="C10" s="9">
        <f t="shared" si="1"/>
        <v>15</v>
      </c>
      <c r="D10" s="10">
        <f t="shared" si="1"/>
        <v>3</v>
      </c>
      <c r="E10" s="10">
        <f t="shared" si="0"/>
        <v>5</v>
      </c>
      <c r="F10" s="10">
        <f t="shared" si="0"/>
        <v>2</v>
      </c>
      <c r="G10" s="11">
        <f t="shared" si="0"/>
        <v>5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61">
        <f t="shared" si="0"/>
        <v>0.5</v>
      </c>
      <c r="S10" s="62">
        <f t="shared" si="0"/>
        <v>0.16666666666666666</v>
      </c>
      <c r="T10" s="62">
        <f t="shared" si="0"/>
        <v>0.1</v>
      </c>
      <c r="U10" s="62">
        <f t="shared" si="0"/>
        <v>0.6</v>
      </c>
      <c r="V10" s="63">
        <f t="shared" si="0"/>
        <v>0.15</v>
      </c>
      <c r="W10" s="9"/>
      <c r="X10" s="10"/>
      <c r="Y10" s="10"/>
      <c r="Z10" s="10"/>
      <c r="AA10" s="11"/>
      <c r="AB10" s="9"/>
      <c r="AC10" s="10"/>
      <c r="AD10" s="10"/>
      <c r="AE10" s="10"/>
      <c r="AF10" s="11"/>
      <c r="AG10" s="9"/>
      <c r="AH10" s="10"/>
      <c r="AI10" s="10"/>
      <c r="AJ10" s="10"/>
      <c r="AK10" s="11"/>
      <c r="AL10" s="9"/>
      <c r="AM10" s="10"/>
      <c r="AN10" s="10"/>
      <c r="AO10" s="10"/>
      <c r="AP10" s="11"/>
      <c r="AQ10" s="9"/>
      <c r="AR10" s="10"/>
      <c r="AS10" s="11"/>
      <c r="AT10" s="22"/>
      <c r="AU10" s="14"/>
    </row>
    <row r="11" spans="1:47" ht="31.9" customHeight="1" x14ac:dyDescent="0.2">
      <c r="A11" s="26">
        <v>5</v>
      </c>
      <c r="B11" s="19"/>
      <c r="C11" s="9">
        <f t="shared" si="1"/>
        <v>15</v>
      </c>
      <c r="D11" s="10">
        <f t="shared" si="1"/>
        <v>3</v>
      </c>
      <c r="E11" s="10">
        <f t="shared" si="0"/>
        <v>5</v>
      </c>
      <c r="F11" s="10">
        <f t="shared" si="0"/>
        <v>2</v>
      </c>
      <c r="G11" s="11">
        <f t="shared" si="0"/>
        <v>5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61">
        <f t="shared" si="0"/>
        <v>0.5</v>
      </c>
      <c r="S11" s="62">
        <f t="shared" si="0"/>
        <v>0.16666666666666666</v>
      </c>
      <c r="T11" s="62">
        <f t="shared" si="0"/>
        <v>0.1</v>
      </c>
      <c r="U11" s="62">
        <f t="shared" si="0"/>
        <v>0.6</v>
      </c>
      <c r="V11" s="63">
        <f t="shared" si="0"/>
        <v>0.15</v>
      </c>
      <c r="W11" s="9"/>
      <c r="X11" s="10"/>
      <c r="Y11" s="10"/>
      <c r="Z11" s="10"/>
      <c r="AA11" s="11"/>
      <c r="AB11" s="9"/>
      <c r="AC11" s="10"/>
      <c r="AD11" s="10"/>
      <c r="AE11" s="10"/>
      <c r="AF11" s="11"/>
      <c r="AG11" s="9"/>
      <c r="AH11" s="10"/>
      <c r="AI11" s="10"/>
      <c r="AJ11" s="10"/>
      <c r="AK11" s="11"/>
      <c r="AL11" s="9"/>
      <c r="AM11" s="10"/>
      <c r="AN11" s="10"/>
      <c r="AO11" s="10"/>
      <c r="AP11" s="11"/>
      <c r="AQ11" s="9"/>
      <c r="AR11" s="10"/>
      <c r="AS11" s="11"/>
      <c r="AT11" s="22"/>
      <c r="AU11" s="14"/>
    </row>
    <row r="12" spans="1:47" ht="31.9" customHeight="1" x14ac:dyDescent="0.2">
      <c r="A12" s="26">
        <v>6</v>
      </c>
      <c r="B12" s="19"/>
      <c r="C12" s="9">
        <f t="shared" si="1"/>
        <v>15</v>
      </c>
      <c r="D12" s="10">
        <f t="shared" si="1"/>
        <v>3</v>
      </c>
      <c r="E12" s="10">
        <f t="shared" si="0"/>
        <v>5</v>
      </c>
      <c r="F12" s="10">
        <f t="shared" si="0"/>
        <v>2</v>
      </c>
      <c r="G12" s="11">
        <f t="shared" si="0"/>
        <v>5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61">
        <f t="shared" si="0"/>
        <v>0.5</v>
      </c>
      <c r="S12" s="62">
        <f t="shared" si="0"/>
        <v>0.16666666666666666</v>
      </c>
      <c r="T12" s="62">
        <f t="shared" si="0"/>
        <v>0.1</v>
      </c>
      <c r="U12" s="62">
        <f t="shared" si="0"/>
        <v>0.6</v>
      </c>
      <c r="V12" s="63">
        <f t="shared" si="0"/>
        <v>0.15</v>
      </c>
      <c r="W12" s="9"/>
      <c r="X12" s="10"/>
      <c r="Y12" s="10"/>
      <c r="Z12" s="10"/>
      <c r="AA12" s="11"/>
      <c r="AB12" s="9"/>
      <c r="AC12" s="10"/>
      <c r="AD12" s="10"/>
      <c r="AE12" s="10"/>
      <c r="AF12" s="11"/>
      <c r="AG12" s="9"/>
      <c r="AH12" s="10"/>
      <c r="AI12" s="10"/>
      <c r="AJ12" s="10"/>
      <c r="AK12" s="11"/>
      <c r="AL12" s="9"/>
      <c r="AM12" s="10"/>
      <c r="AN12" s="10"/>
      <c r="AO12" s="10"/>
      <c r="AP12" s="11"/>
      <c r="AQ12" s="9"/>
      <c r="AR12" s="10"/>
      <c r="AS12" s="11"/>
      <c r="AT12" s="22"/>
      <c r="AU12" s="14"/>
    </row>
    <row r="13" spans="1:47" ht="31.9" customHeight="1" x14ac:dyDescent="0.2">
      <c r="A13" s="26">
        <v>7</v>
      </c>
      <c r="B13" s="19"/>
      <c r="C13" s="9">
        <f t="shared" si="1"/>
        <v>15</v>
      </c>
      <c r="D13" s="10">
        <f t="shared" si="1"/>
        <v>3</v>
      </c>
      <c r="E13" s="10">
        <f t="shared" si="0"/>
        <v>5</v>
      </c>
      <c r="F13" s="10">
        <f t="shared" si="0"/>
        <v>2</v>
      </c>
      <c r="G13" s="11">
        <f t="shared" si="0"/>
        <v>5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61">
        <f t="shared" si="0"/>
        <v>0.5</v>
      </c>
      <c r="S13" s="62">
        <f t="shared" si="0"/>
        <v>0.16666666666666666</v>
      </c>
      <c r="T13" s="62">
        <f t="shared" si="0"/>
        <v>0.1</v>
      </c>
      <c r="U13" s="62">
        <f t="shared" si="0"/>
        <v>0.6</v>
      </c>
      <c r="V13" s="63">
        <f t="shared" si="0"/>
        <v>0.15</v>
      </c>
      <c r="W13" s="9"/>
      <c r="X13" s="10"/>
      <c r="Y13" s="10"/>
      <c r="Z13" s="10"/>
      <c r="AA13" s="11"/>
      <c r="AB13" s="9"/>
      <c r="AC13" s="10"/>
      <c r="AD13" s="10"/>
      <c r="AE13" s="10"/>
      <c r="AF13" s="11"/>
      <c r="AG13" s="9"/>
      <c r="AH13" s="10"/>
      <c r="AI13" s="10"/>
      <c r="AJ13" s="10"/>
      <c r="AK13" s="11"/>
      <c r="AL13" s="9"/>
      <c r="AM13" s="10"/>
      <c r="AN13" s="10"/>
      <c r="AO13" s="10"/>
      <c r="AP13" s="11"/>
      <c r="AQ13" s="9"/>
      <c r="AR13" s="10"/>
      <c r="AS13" s="11"/>
      <c r="AT13" s="22"/>
      <c r="AU13" s="14"/>
    </row>
    <row r="14" spans="1:47" ht="31.9" customHeight="1" x14ac:dyDescent="0.2">
      <c r="A14" s="26">
        <v>8</v>
      </c>
      <c r="B14" s="19"/>
      <c r="C14" s="9">
        <f t="shared" si="1"/>
        <v>15</v>
      </c>
      <c r="D14" s="10">
        <f t="shared" si="1"/>
        <v>3</v>
      </c>
      <c r="E14" s="10">
        <f t="shared" si="0"/>
        <v>5</v>
      </c>
      <c r="F14" s="10">
        <f t="shared" si="0"/>
        <v>2</v>
      </c>
      <c r="G14" s="11">
        <f t="shared" si="0"/>
        <v>5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61">
        <f t="shared" si="0"/>
        <v>0.5</v>
      </c>
      <c r="S14" s="62">
        <f t="shared" si="0"/>
        <v>0.16666666666666666</v>
      </c>
      <c r="T14" s="62">
        <f t="shared" si="0"/>
        <v>0.1</v>
      </c>
      <c r="U14" s="62">
        <f t="shared" si="0"/>
        <v>0.6</v>
      </c>
      <c r="V14" s="63">
        <f t="shared" si="0"/>
        <v>0.15</v>
      </c>
      <c r="W14" s="9"/>
      <c r="X14" s="10"/>
      <c r="Y14" s="10"/>
      <c r="Z14" s="10"/>
      <c r="AA14" s="11"/>
      <c r="AB14" s="9"/>
      <c r="AC14" s="10"/>
      <c r="AD14" s="10"/>
      <c r="AE14" s="10"/>
      <c r="AF14" s="11"/>
      <c r="AG14" s="9"/>
      <c r="AH14" s="10"/>
      <c r="AI14" s="10"/>
      <c r="AJ14" s="10"/>
      <c r="AK14" s="11"/>
      <c r="AL14" s="9"/>
      <c r="AM14" s="10"/>
      <c r="AN14" s="10"/>
      <c r="AO14" s="10"/>
      <c r="AP14" s="11"/>
      <c r="AQ14" s="9"/>
      <c r="AR14" s="10"/>
      <c r="AS14" s="11"/>
      <c r="AT14" s="22"/>
      <c r="AU14" s="14"/>
    </row>
    <row r="15" spans="1:47" ht="31.9" customHeight="1" x14ac:dyDescent="0.2">
      <c r="A15" s="26">
        <v>9</v>
      </c>
      <c r="B15" s="19"/>
      <c r="C15" s="9">
        <f t="shared" si="1"/>
        <v>15</v>
      </c>
      <c r="D15" s="10">
        <f t="shared" si="1"/>
        <v>3</v>
      </c>
      <c r="E15" s="10">
        <f t="shared" si="0"/>
        <v>5</v>
      </c>
      <c r="F15" s="10">
        <f t="shared" si="0"/>
        <v>2</v>
      </c>
      <c r="G15" s="11">
        <f t="shared" si="0"/>
        <v>5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61">
        <f t="shared" si="0"/>
        <v>0.5</v>
      </c>
      <c r="S15" s="62">
        <f t="shared" si="0"/>
        <v>0.16666666666666666</v>
      </c>
      <c r="T15" s="62">
        <f t="shared" si="0"/>
        <v>0.1</v>
      </c>
      <c r="U15" s="62">
        <f t="shared" si="0"/>
        <v>0.6</v>
      </c>
      <c r="V15" s="63">
        <f t="shared" si="0"/>
        <v>0.15</v>
      </c>
      <c r="W15" s="9"/>
      <c r="X15" s="10"/>
      <c r="Y15" s="10"/>
      <c r="Z15" s="10"/>
      <c r="AA15" s="11"/>
      <c r="AB15" s="9"/>
      <c r="AC15" s="10"/>
      <c r="AD15" s="10"/>
      <c r="AE15" s="10"/>
      <c r="AF15" s="11"/>
      <c r="AG15" s="9"/>
      <c r="AH15" s="10"/>
      <c r="AI15" s="10"/>
      <c r="AJ15" s="10"/>
      <c r="AK15" s="11"/>
      <c r="AL15" s="9"/>
      <c r="AM15" s="10"/>
      <c r="AN15" s="10"/>
      <c r="AO15" s="10"/>
      <c r="AP15" s="11"/>
      <c r="AQ15" s="9"/>
      <c r="AR15" s="10"/>
      <c r="AS15" s="11"/>
      <c r="AT15" s="22"/>
      <c r="AU15" s="14"/>
    </row>
    <row r="16" spans="1:47" ht="31.9" customHeight="1" x14ac:dyDescent="0.2">
      <c r="A16" s="26">
        <v>10</v>
      </c>
      <c r="B16" s="19"/>
      <c r="C16" s="9">
        <f t="shared" si="1"/>
        <v>15</v>
      </c>
      <c r="D16" s="10">
        <f t="shared" si="1"/>
        <v>3</v>
      </c>
      <c r="E16" s="10">
        <f t="shared" si="0"/>
        <v>5</v>
      </c>
      <c r="F16" s="10">
        <f t="shared" si="0"/>
        <v>2</v>
      </c>
      <c r="G16" s="11">
        <f t="shared" si="0"/>
        <v>5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61">
        <f t="shared" si="0"/>
        <v>0.5</v>
      </c>
      <c r="S16" s="62">
        <f t="shared" si="0"/>
        <v>0.16666666666666666</v>
      </c>
      <c r="T16" s="62">
        <f t="shared" si="0"/>
        <v>0.1</v>
      </c>
      <c r="U16" s="62">
        <f t="shared" si="0"/>
        <v>0.6</v>
      </c>
      <c r="V16" s="63">
        <f t="shared" si="0"/>
        <v>0.15</v>
      </c>
      <c r="W16" s="9"/>
      <c r="X16" s="10"/>
      <c r="Y16" s="10"/>
      <c r="Z16" s="10"/>
      <c r="AA16" s="11"/>
      <c r="AB16" s="9"/>
      <c r="AC16" s="10"/>
      <c r="AD16" s="10"/>
      <c r="AE16" s="10"/>
      <c r="AF16" s="11"/>
      <c r="AG16" s="9"/>
      <c r="AH16" s="10"/>
      <c r="AI16" s="10"/>
      <c r="AJ16" s="10"/>
      <c r="AK16" s="11"/>
      <c r="AL16" s="9"/>
      <c r="AM16" s="10"/>
      <c r="AN16" s="10"/>
      <c r="AO16" s="10"/>
      <c r="AP16" s="11"/>
      <c r="AQ16" s="9"/>
      <c r="AR16" s="10"/>
      <c r="AS16" s="11"/>
      <c r="AT16" s="22"/>
      <c r="AU16" s="14"/>
    </row>
    <row r="17" spans="1:47" ht="31.9" customHeight="1" x14ac:dyDescent="0.2">
      <c r="A17" s="26">
        <v>11</v>
      </c>
      <c r="B17" s="19"/>
      <c r="C17" s="9">
        <f t="shared" si="1"/>
        <v>15</v>
      </c>
      <c r="D17" s="10">
        <f t="shared" si="1"/>
        <v>3</v>
      </c>
      <c r="E17" s="10">
        <f t="shared" si="0"/>
        <v>5</v>
      </c>
      <c r="F17" s="10">
        <f t="shared" si="0"/>
        <v>2</v>
      </c>
      <c r="G17" s="11">
        <f t="shared" si="0"/>
        <v>5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61">
        <f t="shared" si="0"/>
        <v>0.5</v>
      </c>
      <c r="S17" s="62">
        <f t="shared" si="0"/>
        <v>0.16666666666666666</v>
      </c>
      <c r="T17" s="62">
        <f t="shared" si="0"/>
        <v>0.1</v>
      </c>
      <c r="U17" s="62">
        <f t="shared" si="0"/>
        <v>0.6</v>
      </c>
      <c r="V17" s="63">
        <f t="shared" si="0"/>
        <v>0.15</v>
      </c>
      <c r="W17" s="9"/>
      <c r="X17" s="10"/>
      <c r="Y17" s="10"/>
      <c r="Z17" s="10"/>
      <c r="AA17" s="11"/>
      <c r="AB17" s="9"/>
      <c r="AC17" s="10"/>
      <c r="AD17" s="10"/>
      <c r="AE17" s="10"/>
      <c r="AF17" s="11"/>
      <c r="AG17" s="9"/>
      <c r="AH17" s="10"/>
      <c r="AI17" s="10"/>
      <c r="AJ17" s="10"/>
      <c r="AK17" s="11"/>
      <c r="AL17" s="9"/>
      <c r="AM17" s="10"/>
      <c r="AN17" s="10"/>
      <c r="AO17" s="10"/>
      <c r="AP17" s="11"/>
      <c r="AQ17" s="9"/>
      <c r="AR17" s="10"/>
      <c r="AS17" s="11"/>
      <c r="AT17" s="22"/>
      <c r="AU17" s="14"/>
    </row>
    <row r="18" spans="1:47" ht="31.9" customHeight="1" x14ac:dyDescent="0.2">
      <c r="A18" s="26">
        <v>12</v>
      </c>
      <c r="B18" s="19"/>
      <c r="C18" s="9">
        <f t="shared" si="1"/>
        <v>15</v>
      </c>
      <c r="D18" s="10">
        <f t="shared" si="1"/>
        <v>3</v>
      </c>
      <c r="E18" s="10">
        <f t="shared" si="0"/>
        <v>5</v>
      </c>
      <c r="F18" s="10">
        <f t="shared" si="0"/>
        <v>2</v>
      </c>
      <c r="G18" s="11">
        <f t="shared" si="0"/>
        <v>5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61">
        <f t="shared" si="0"/>
        <v>0.5</v>
      </c>
      <c r="S18" s="62">
        <f t="shared" si="0"/>
        <v>0.16666666666666666</v>
      </c>
      <c r="T18" s="62">
        <f t="shared" si="0"/>
        <v>0.1</v>
      </c>
      <c r="U18" s="62">
        <f t="shared" si="0"/>
        <v>0.6</v>
      </c>
      <c r="V18" s="63">
        <f t="shared" si="0"/>
        <v>0.15</v>
      </c>
      <c r="W18" s="9"/>
      <c r="X18" s="10"/>
      <c r="Y18" s="10"/>
      <c r="Z18" s="10"/>
      <c r="AA18" s="11"/>
      <c r="AB18" s="9"/>
      <c r="AC18" s="10"/>
      <c r="AD18" s="10"/>
      <c r="AE18" s="10"/>
      <c r="AF18" s="11"/>
      <c r="AG18" s="9"/>
      <c r="AH18" s="10"/>
      <c r="AI18" s="10"/>
      <c r="AJ18" s="10"/>
      <c r="AK18" s="11"/>
      <c r="AL18" s="9"/>
      <c r="AM18" s="10"/>
      <c r="AN18" s="10"/>
      <c r="AO18" s="10"/>
      <c r="AP18" s="11"/>
      <c r="AQ18" s="9"/>
      <c r="AR18" s="10"/>
      <c r="AS18" s="11"/>
      <c r="AT18" s="22"/>
      <c r="AU18" s="14"/>
    </row>
    <row r="19" spans="1:47" ht="31.9" customHeight="1" x14ac:dyDescent="0.2">
      <c r="A19" s="26">
        <v>13</v>
      </c>
      <c r="B19" s="19"/>
      <c r="C19" s="9">
        <f t="shared" si="1"/>
        <v>15</v>
      </c>
      <c r="D19" s="10">
        <f t="shared" si="1"/>
        <v>3</v>
      </c>
      <c r="E19" s="10">
        <f t="shared" si="0"/>
        <v>5</v>
      </c>
      <c r="F19" s="10">
        <f t="shared" si="0"/>
        <v>2</v>
      </c>
      <c r="G19" s="11">
        <f t="shared" si="0"/>
        <v>5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61">
        <f t="shared" si="0"/>
        <v>0.5</v>
      </c>
      <c r="S19" s="62">
        <f t="shared" si="0"/>
        <v>0.16666666666666666</v>
      </c>
      <c r="T19" s="62">
        <f t="shared" si="0"/>
        <v>0.1</v>
      </c>
      <c r="U19" s="62">
        <f t="shared" si="0"/>
        <v>0.6</v>
      </c>
      <c r="V19" s="63">
        <f t="shared" si="0"/>
        <v>0.15</v>
      </c>
      <c r="W19" s="9"/>
      <c r="X19" s="10"/>
      <c r="Y19" s="10"/>
      <c r="Z19" s="10"/>
      <c r="AA19" s="11"/>
      <c r="AB19" s="9"/>
      <c r="AC19" s="10"/>
      <c r="AD19" s="10"/>
      <c r="AE19" s="10"/>
      <c r="AF19" s="11"/>
      <c r="AG19" s="9"/>
      <c r="AH19" s="10"/>
      <c r="AI19" s="10"/>
      <c r="AJ19" s="10"/>
      <c r="AK19" s="11"/>
      <c r="AL19" s="9"/>
      <c r="AM19" s="10"/>
      <c r="AN19" s="10"/>
      <c r="AO19" s="10"/>
      <c r="AP19" s="11"/>
      <c r="AQ19" s="9"/>
      <c r="AR19" s="10"/>
      <c r="AS19" s="11"/>
      <c r="AT19" s="22"/>
      <c r="AU19" s="14"/>
    </row>
    <row r="20" spans="1:47" ht="31.9" customHeight="1" x14ac:dyDescent="0.2">
      <c r="A20" s="26">
        <v>14</v>
      </c>
      <c r="B20" s="19"/>
      <c r="C20" s="9">
        <f t="shared" si="1"/>
        <v>15</v>
      </c>
      <c r="D20" s="10">
        <f t="shared" si="1"/>
        <v>3</v>
      </c>
      <c r="E20" s="10">
        <f t="shared" si="0"/>
        <v>5</v>
      </c>
      <c r="F20" s="10">
        <f t="shared" si="0"/>
        <v>2</v>
      </c>
      <c r="G20" s="11">
        <f t="shared" si="0"/>
        <v>5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61">
        <f t="shared" si="0"/>
        <v>0.5</v>
      </c>
      <c r="S20" s="62">
        <f t="shared" si="0"/>
        <v>0.16666666666666666</v>
      </c>
      <c r="T20" s="62">
        <f t="shared" si="0"/>
        <v>0.1</v>
      </c>
      <c r="U20" s="62">
        <f t="shared" si="0"/>
        <v>0.6</v>
      </c>
      <c r="V20" s="63">
        <f t="shared" si="0"/>
        <v>0.15</v>
      </c>
      <c r="W20" s="9"/>
      <c r="X20" s="10"/>
      <c r="Y20" s="10"/>
      <c r="Z20" s="10"/>
      <c r="AA20" s="11"/>
      <c r="AB20" s="9"/>
      <c r="AC20" s="10"/>
      <c r="AD20" s="10"/>
      <c r="AE20" s="10"/>
      <c r="AF20" s="11"/>
      <c r="AG20" s="9"/>
      <c r="AH20" s="10"/>
      <c r="AI20" s="10"/>
      <c r="AJ20" s="10"/>
      <c r="AK20" s="11"/>
      <c r="AL20" s="9"/>
      <c r="AM20" s="10"/>
      <c r="AN20" s="10"/>
      <c r="AO20" s="10"/>
      <c r="AP20" s="11"/>
      <c r="AQ20" s="9"/>
      <c r="AR20" s="10"/>
      <c r="AS20" s="11"/>
      <c r="AT20" s="22"/>
      <c r="AU20" s="14"/>
    </row>
    <row r="21" spans="1:47" ht="31.9" customHeight="1" x14ac:dyDescent="0.2">
      <c r="A21" s="26">
        <v>15</v>
      </c>
      <c r="B21" s="19"/>
      <c r="C21" s="9">
        <f t="shared" si="1"/>
        <v>15</v>
      </c>
      <c r="D21" s="10">
        <f t="shared" si="1"/>
        <v>3</v>
      </c>
      <c r="E21" s="10">
        <f t="shared" si="0"/>
        <v>5</v>
      </c>
      <c r="F21" s="10">
        <f t="shared" si="0"/>
        <v>2</v>
      </c>
      <c r="G21" s="11">
        <f t="shared" si="0"/>
        <v>5</v>
      </c>
      <c r="H21" s="9">
        <f t="shared" ref="H21:V35" si="2">+H$2</f>
        <v>3</v>
      </c>
      <c r="I21" s="10">
        <f t="shared" si="2"/>
        <v>1</v>
      </c>
      <c r="J21" s="10">
        <f t="shared" si="2"/>
        <v>1</v>
      </c>
      <c r="K21" s="10">
        <f t="shared" si="2"/>
        <v>1</v>
      </c>
      <c r="L21" s="11">
        <f t="shared" si="2"/>
        <v>1</v>
      </c>
      <c r="M21" s="9">
        <f t="shared" si="2"/>
        <v>3</v>
      </c>
      <c r="N21" s="10">
        <f t="shared" si="2"/>
        <v>1</v>
      </c>
      <c r="O21" s="10">
        <f t="shared" si="2"/>
        <v>3</v>
      </c>
      <c r="P21" s="10">
        <f t="shared" si="2"/>
        <v>0</v>
      </c>
      <c r="Q21" s="11">
        <f t="shared" si="2"/>
        <v>0</v>
      </c>
      <c r="R21" s="61">
        <f t="shared" si="2"/>
        <v>0.5</v>
      </c>
      <c r="S21" s="62">
        <f t="shared" si="2"/>
        <v>0.16666666666666666</v>
      </c>
      <c r="T21" s="62">
        <f t="shared" si="2"/>
        <v>0.1</v>
      </c>
      <c r="U21" s="62">
        <f t="shared" si="2"/>
        <v>0.6</v>
      </c>
      <c r="V21" s="63">
        <f t="shared" si="2"/>
        <v>0.15</v>
      </c>
      <c r="W21" s="9"/>
      <c r="X21" s="10"/>
      <c r="Y21" s="10"/>
      <c r="Z21" s="10"/>
      <c r="AA21" s="11"/>
      <c r="AB21" s="9"/>
      <c r="AC21" s="10"/>
      <c r="AD21" s="10"/>
      <c r="AE21" s="10"/>
      <c r="AF21" s="11"/>
      <c r="AG21" s="9"/>
      <c r="AH21" s="10"/>
      <c r="AI21" s="10"/>
      <c r="AJ21" s="10"/>
      <c r="AK21" s="11"/>
      <c r="AL21" s="9"/>
      <c r="AM21" s="10"/>
      <c r="AN21" s="10"/>
      <c r="AO21" s="10"/>
      <c r="AP21" s="11"/>
      <c r="AQ21" s="9"/>
      <c r="AR21" s="10"/>
      <c r="AS21" s="11"/>
      <c r="AT21" s="22"/>
      <c r="AU21" s="14"/>
    </row>
    <row r="22" spans="1:47" ht="31.9" customHeight="1" x14ac:dyDescent="0.2">
      <c r="A22" s="26">
        <v>16</v>
      </c>
      <c r="B22" s="19"/>
      <c r="C22" s="9">
        <f t="shared" si="1"/>
        <v>15</v>
      </c>
      <c r="D22" s="10">
        <f t="shared" si="1"/>
        <v>3</v>
      </c>
      <c r="E22" s="10">
        <f t="shared" si="1"/>
        <v>5</v>
      </c>
      <c r="F22" s="10">
        <f t="shared" si="1"/>
        <v>2</v>
      </c>
      <c r="G22" s="11">
        <f t="shared" si="1"/>
        <v>5</v>
      </c>
      <c r="H22" s="9">
        <f t="shared" si="1"/>
        <v>3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1">
        <f t="shared" si="1"/>
        <v>1</v>
      </c>
      <c r="M22" s="9">
        <f t="shared" si="1"/>
        <v>3</v>
      </c>
      <c r="N22" s="10">
        <f t="shared" si="1"/>
        <v>1</v>
      </c>
      <c r="O22" s="10">
        <f t="shared" si="1"/>
        <v>3</v>
      </c>
      <c r="P22" s="10">
        <f t="shared" si="1"/>
        <v>0</v>
      </c>
      <c r="Q22" s="11">
        <f t="shared" si="1"/>
        <v>0</v>
      </c>
      <c r="R22" s="61">
        <f t="shared" si="1"/>
        <v>0.5</v>
      </c>
      <c r="S22" s="62">
        <f t="shared" si="2"/>
        <v>0.16666666666666666</v>
      </c>
      <c r="T22" s="62">
        <f t="shared" si="2"/>
        <v>0.1</v>
      </c>
      <c r="U22" s="62">
        <f t="shared" si="2"/>
        <v>0.6</v>
      </c>
      <c r="V22" s="63">
        <f t="shared" si="2"/>
        <v>0.15</v>
      </c>
      <c r="W22" s="9"/>
      <c r="X22" s="10"/>
      <c r="Y22" s="10"/>
      <c r="Z22" s="10"/>
      <c r="AA22" s="11"/>
      <c r="AB22" s="9"/>
      <c r="AC22" s="10"/>
      <c r="AD22" s="10"/>
      <c r="AE22" s="10"/>
      <c r="AF22" s="11"/>
      <c r="AG22" s="9"/>
      <c r="AH22" s="10"/>
      <c r="AI22" s="10"/>
      <c r="AJ22" s="10"/>
      <c r="AK22" s="11"/>
      <c r="AL22" s="9"/>
      <c r="AM22" s="10"/>
      <c r="AN22" s="10"/>
      <c r="AO22" s="10"/>
      <c r="AP22" s="11"/>
      <c r="AQ22" s="9"/>
      <c r="AR22" s="10"/>
      <c r="AS22" s="11"/>
      <c r="AT22" s="22"/>
      <c r="AU22" s="14"/>
    </row>
    <row r="23" spans="1:47" ht="31.9" customHeight="1" x14ac:dyDescent="0.2">
      <c r="A23" s="26">
        <v>17</v>
      </c>
      <c r="B23" s="19"/>
      <c r="C23" s="9">
        <f t="shared" si="1"/>
        <v>15</v>
      </c>
      <c r="D23" s="10">
        <f t="shared" si="1"/>
        <v>3</v>
      </c>
      <c r="E23" s="10">
        <f t="shared" si="1"/>
        <v>5</v>
      </c>
      <c r="F23" s="10">
        <f t="shared" si="1"/>
        <v>2</v>
      </c>
      <c r="G23" s="11">
        <f t="shared" si="1"/>
        <v>5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61">
        <f t="shared" si="1"/>
        <v>0.5</v>
      </c>
      <c r="S23" s="62">
        <f t="shared" si="2"/>
        <v>0.16666666666666666</v>
      </c>
      <c r="T23" s="62">
        <f t="shared" si="2"/>
        <v>0.1</v>
      </c>
      <c r="U23" s="62">
        <f t="shared" si="2"/>
        <v>0.6</v>
      </c>
      <c r="V23" s="63">
        <f t="shared" si="2"/>
        <v>0.15</v>
      </c>
      <c r="W23" s="9"/>
      <c r="X23" s="10"/>
      <c r="Y23" s="10"/>
      <c r="Z23" s="10"/>
      <c r="AA23" s="11"/>
      <c r="AB23" s="9"/>
      <c r="AC23" s="10"/>
      <c r="AD23" s="10"/>
      <c r="AE23" s="10"/>
      <c r="AF23" s="11"/>
      <c r="AG23" s="9"/>
      <c r="AH23" s="10"/>
      <c r="AI23" s="10"/>
      <c r="AJ23" s="10"/>
      <c r="AK23" s="11"/>
      <c r="AL23" s="9"/>
      <c r="AM23" s="10"/>
      <c r="AN23" s="10"/>
      <c r="AO23" s="10"/>
      <c r="AP23" s="11"/>
      <c r="AQ23" s="9"/>
      <c r="AR23" s="10"/>
      <c r="AS23" s="11"/>
      <c r="AT23" s="22"/>
      <c r="AU23" s="14"/>
    </row>
    <row r="24" spans="1:47" ht="31.9" customHeight="1" x14ac:dyDescent="0.2">
      <c r="A24" s="26">
        <v>18</v>
      </c>
      <c r="B24" s="19"/>
      <c r="C24" s="9">
        <f t="shared" si="1"/>
        <v>15</v>
      </c>
      <c r="D24" s="10">
        <f t="shared" si="1"/>
        <v>3</v>
      </c>
      <c r="E24" s="10">
        <f t="shared" si="1"/>
        <v>5</v>
      </c>
      <c r="F24" s="10">
        <f t="shared" si="1"/>
        <v>2</v>
      </c>
      <c r="G24" s="11">
        <f t="shared" si="1"/>
        <v>5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61">
        <f t="shared" si="1"/>
        <v>0.5</v>
      </c>
      <c r="S24" s="62">
        <f t="shared" si="2"/>
        <v>0.16666666666666666</v>
      </c>
      <c r="T24" s="62">
        <f t="shared" si="2"/>
        <v>0.1</v>
      </c>
      <c r="U24" s="62">
        <f t="shared" si="2"/>
        <v>0.6</v>
      </c>
      <c r="V24" s="63">
        <f t="shared" si="2"/>
        <v>0.15</v>
      </c>
      <c r="W24" s="9"/>
      <c r="X24" s="10"/>
      <c r="Y24" s="10"/>
      <c r="Z24" s="10"/>
      <c r="AA24" s="11"/>
      <c r="AB24" s="9"/>
      <c r="AC24" s="10"/>
      <c r="AD24" s="10"/>
      <c r="AE24" s="10"/>
      <c r="AF24" s="11"/>
      <c r="AG24" s="9"/>
      <c r="AH24" s="10"/>
      <c r="AI24" s="10"/>
      <c r="AJ24" s="10"/>
      <c r="AK24" s="11"/>
      <c r="AL24" s="9"/>
      <c r="AM24" s="10"/>
      <c r="AN24" s="10"/>
      <c r="AO24" s="10"/>
      <c r="AP24" s="11"/>
      <c r="AQ24" s="9"/>
      <c r="AR24" s="10"/>
      <c r="AS24" s="11"/>
      <c r="AT24" s="22"/>
      <c r="AU24" s="14"/>
    </row>
    <row r="25" spans="1:47" ht="31.9" customHeight="1" x14ac:dyDescent="0.2">
      <c r="A25" s="26">
        <v>19</v>
      </c>
      <c r="B25" s="19"/>
      <c r="C25" s="9">
        <f t="shared" si="1"/>
        <v>15</v>
      </c>
      <c r="D25" s="10">
        <f t="shared" si="1"/>
        <v>3</v>
      </c>
      <c r="E25" s="10">
        <f t="shared" si="1"/>
        <v>5</v>
      </c>
      <c r="F25" s="10">
        <f t="shared" si="1"/>
        <v>2</v>
      </c>
      <c r="G25" s="11">
        <f t="shared" si="1"/>
        <v>5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61">
        <f t="shared" si="1"/>
        <v>0.5</v>
      </c>
      <c r="S25" s="62">
        <f t="shared" si="2"/>
        <v>0.16666666666666666</v>
      </c>
      <c r="T25" s="62">
        <f t="shared" si="2"/>
        <v>0.1</v>
      </c>
      <c r="U25" s="62">
        <f t="shared" si="2"/>
        <v>0.6</v>
      </c>
      <c r="V25" s="63">
        <f t="shared" si="2"/>
        <v>0.15</v>
      </c>
      <c r="W25" s="9"/>
      <c r="X25" s="10"/>
      <c r="Y25" s="10"/>
      <c r="Z25" s="10"/>
      <c r="AA25" s="11"/>
      <c r="AB25" s="9"/>
      <c r="AC25" s="10"/>
      <c r="AD25" s="10"/>
      <c r="AE25" s="10"/>
      <c r="AF25" s="11"/>
      <c r="AG25" s="9"/>
      <c r="AH25" s="10"/>
      <c r="AI25" s="10"/>
      <c r="AJ25" s="10"/>
      <c r="AK25" s="11"/>
      <c r="AL25" s="9"/>
      <c r="AM25" s="10"/>
      <c r="AN25" s="10"/>
      <c r="AO25" s="10"/>
      <c r="AP25" s="11"/>
      <c r="AQ25" s="9"/>
      <c r="AR25" s="10"/>
      <c r="AS25" s="11"/>
      <c r="AT25" s="22"/>
      <c r="AU25" s="14"/>
    </row>
    <row r="26" spans="1:47" ht="31.9" customHeight="1" x14ac:dyDescent="0.2">
      <c r="A26" s="26">
        <v>20</v>
      </c>
      <c r="B26" s="19"/>
      <c r="C26" s="9">
        <f t="shared" si="1"/>
        <v>15</v>
      </c>
      <c r="D26" s="10">
        <f t="shared" si="1"/>
        <v>3</v>
      </c>
      <c r="E26" s="10">
        <f t="shared" si="1"/>
        <v>5</v>
      </c>
      <c r="F26" s="10">
        <f t="shared" si="1"/>
        <v>2</v>
      </c>
      <c r="G26" s="11">
        <f t="shared" si="1"/>
        <v>5</v>
      </c>
      <c r="H26" s="9">
        <f t="shared" si="1"/>
        <v>3</v>
      </c>
      <c r="I26" s="10">
        <f t="shared" si="1"/>
        <v>1</v>
      </c>
      <c r="J26" s="10">
        <f t="shared" si="1"/>
        <v>1</v>
      </c>
      <c r="K26" s="10">
        <f t="shared" si="1"/>
        <v>1</v>
      </c>
      <c r="L26" s="11">
        <f t="shared" si="1"/>
        <v>1</v>
      </c>
      <c r="M26" s="9">
        <f t="shared" si="1"/>
        <v>3</v>
      </c>
      <c r="N26" s="10">
        <f t="shared" si="1"/>
        <v>1</v>
      </c>
      <c r="O26" s="10">
        <f t="shared" si="1"/>
        <v>3</v>
      </c>
      <c r="P26" s="10">
        <f t="shared" si="1"/>
        <v>0</v>
      </c>
      <c r="Q26" s="11">
        <f t="shared" si="1"/>
        <v>0</v>
      </c>
      <c r="R26" s="61">
        <f t="shared" si="1"/>
        <v>0.5</v>
      </c>
      <c r="S26" s="62">
        <f t="shared" si="2"/>
        <v>0.16666666666666666</v>
      </c>
      <c r="T26" s="62">
        <f t="shared" si="2"/>
        <v>0.1</v>
      </c>
      <c r="U26" s="62">
        <f t="shared" si="2"/>
        <v>0.6</v>
      </c>
      <c r="V26" s="63">
        <f t="shared" si="2"/>
        <v>0.15</v>
      </c>
      <c r="W26" s="9"/>
      <c r="X26" s="10"/>
      <c r="Y26" s="10"/>
      <c r="Z26" s="10"/>
      <c r="AA26" s="11"/>
      <c r="AB26" s="9"/>
      <c r="AC26" s="10"/>
      <c r="AD26" s="10"/>
      <c r="AE26" s="10"/>
      <c r="AF26" s="11"/>
      <c r="AG26" s="9"/>
      <c r="AH26" s="10"/>
      <c r="AI26" s="10"/>
      <c r="AJ26" s="10"/>
      <c r="AK26" s="11"/>
      <c r="AL26" s="9"/>
      <c r="AM26" s="10"/>
      <c r="AN26" s="10"/>
      <c r="AO26" s="10"/>
      <c r="AP26" s="11"/>
      <c r="AQ26" s="9"/>
      <c r="AR26" s="10"/>
      <c r="AS26" s="11"/>
      <c r="AT26" s="22"/>
      <c r="AU26" s="14"/>
    </row>
    <row r="27" spans="1:47" ht="31.9" customHeight="1" x14ac:dyDescent="0.2">
      <c r="A27" s="26">
        <v>21</v>
      </c>
      <c r="B27" s="19"/>
      <c r="C27" s="9">
        <f t="shared" si="1"/>
        <v>15</v>
      </c>
      <c r="D27" s="10">
        <f t="shared" si="1"/>
        <v>3</v>
      </c>
      <c r="E27" s="10">
        <f t="shared" si="1"/>
        <v>5</v>
      </c>
      <c r="F27" s="10">
        <f t="shared" si="1"/>
        <v>2</v>
      </c>
      <c r="G27" s="11">
        <f t="shared" si="1"/>
        <v>5</v>
      </c>
      <c r="H27" s="9">
        <f t="shared" si="1"/>
        <v>3</v>
      </c>
      <c r="I27" s="10">
        <f t="shared" si="1"/>
        <v>1</v>
      </c>
      <c r="J27" s="10">
        <f t="shared" si="1"/>
        <v>1</v>
      </c>
      <c r="K27" s="10">
        <f t="shared" si="1"/>
        <v>1</v>
      </c>
      <c r="L27" s="11">
        <f t="shared" si="1"/>
        <v>1</v>
      </c>
      <c r="M27" s="9">
        <f t="shared" si="1"/>
        <v>3</v>
      </c>
      <c r="N27" s="10">
        <f t="shared" si="1"/>
        <v>1</v>
      </c>
      <c r="O27" s="10">
        <f t="shared" si="1"/>
        <v>3</v>
      </c>
      <c r="P27" s="10">
        <f t="shared" si="1"/>
        <v>0</v>
      </c>
      <c r="Q27" s="11">
        <f t="shared" si="1"/>
        <v>0</v>
      </c>
      <c r="R27" s="61">
        <f t="shared" si="1"/>
        <v>0.5</v>
      </c>
      <c r="S27" s="62">
        <f t="shared" si="2"/>
        <v>0.16666666666666666</v>
      </c>
      <c r="T27" s="62">
        <f t="shared" si="2"/>
        <v>0.1</v>
      </c>
      <c r="U27" s="62">
        <f t="shared" si="2"/>
        <v>0.6</v>
      </c>
      <c r="V27" s="63">
        <f t="shared" si="2"/>
        <v>0.15</v>
      </c>
      <c r="W27" s="9"/>
      <c r="X27" s="10"/>
      <c r="Y27" s="10"/>
      <c r="Z27" s="10"/>
      <c r="AA27" s="11"/>
      <c r="AB27" s="9"/>
      <c r="AC27" s="10"/>
      <c r="AD27" s="10"/>
      <c r="AE27" s="10"/>
      <c r="AF27" s="11"/>
      <c r="AG27" s="9"/>
      <c r="AH27" s="10"/>
      <c r="AI27" s="10"/>
      <c r="AJ27" s="10"/>
      <c r="AK27" s="11"/>
      <c r="AL27" s="9"/>
      <c r="AM27" s="10"/>
      <c r="AN27" s="10"/>
      <c r="AO27" s="10"/>
      <c r="AP27" s="11"/>
      <c r="AQ27" s="9"/>
      <c r="AR27" s="10"/>
      <c r="AS27" s="11"/>
      <c r="AT27" s="22"/>
      <c r="AU27" s="14"/>
    </row>
    <row r="28" spans="1:47" ht="31.9" customHeight="1" x14ac:dyDescent="0.2">
      <c r="A28" s="26">
        <v>22</v>
      </c>
      <c r="B28" s="19"/>
      <c r="C28" s="9">
        <f t="shared" si="1"/>
        <v>15</v>
      </c>
      <c r="D28" s="10">
        <f t="shared" si="1"/>
        <v>3</v>
      </c>
      <c r="E28" s="10">
        <f t="shared" si="1"/>
        <v>5</v>
      </c>
      <c r="F28" s="10">
        <f t="shared" si="1"/>
        <v>2</v>
      </c>
      <c r="G28" s="11">
        <f t="shared" si="1"/>
        <v>5</v>
      </c>
      <c r="H28" s="9">
        <f t="shared" si="1"/>
        <v>3</v>
      </c>
      <c r="I28" s="10">
        <f t="shared" si="1"/>
        <v>1</v>
      </c>
      <c r="J28" s="10">
        <f t="shared" si="1"/>
        <v>1</v>
      </c>
      <c r="K28" s="10">
        <f t="shared" si="1"/>
        <v>1</v>
      </c>
      <c r="L28" s="11">
        <f t="shared" si="1"/>
        <v>1</v>
      </c>
      <c r="M28" s="9">
        <f t="shared" si="1"/>
        <v>3</v>
      </c>
      <c r="N28" s="10">
        <f t="shared" si="1"/>
        <v>1</v>
      </c>
      <c r="O28" s="10">
        <f t="shared" si="1"/>
        <v>3</v>
      </c>
      <c r="P28" s="10">
        <f t="shared" si="1"/>
        <v>0</v>
      </c>
      <c r="Q28" s="11">
        <f t="shared" si="1"/>
        <v>0</v>
      </c>
      <c r="R28" s="61">
        <f t="shared" si="1"/>
        <v>0.5</v>
      </c>
      <c r="S28" s="62">
        <f t="shared" si="2"/>
        <v>0.16666666666666666</v>
      </c>
      <c r="T28" s="62">
        <f t="shared" si="2"/>
        <v>0.1</v>
      </c>
      <c r="U28" s="62">
        <f t="shared" si="2"/>
        <v>0.6</v>
      </c>
      <c r="V28" s="63">
        <f t="shared" si="2"/>
        <v>0.15</v>
      </c>
      <c r="W28" s="9"/>
      <c r="X28" s="10"/>
      <c r="Y28" s="10"/>
      <c r="Z28" s="10"/>
      <c r="AA28" s="11"/>
      <c r="AB28" s="9"/>
      <c r="AC28" s="10"/>
      <c r="AD28" s="10"/>
      <c r="AE28" s="10"/>
      <c r="AF28" s="11"/>
      <c r="AG28" s="9"/>
      <c r="AH28" s="10"/>
      <c r="AI28" s="10"/>
      <c r="AJ28" s="10"/>
      <c r="AK28" s="11"/>
      <c r="AL28" s="9"/>
      <c r="AM28" s="10"/>
      <c r="AN28" s="10"/>
      <c r="AO28" s="10"/>
      <c r="AP28" s="11"/>
      <c r="AQ28" s="9"/>
      <c r="AR28" s="10"/>
      <c r="AS28" s="11"/>
      <c r="AT28" s="22"/>
      <c r="AU28" s="14"/>
    </row>
    <row r="29" spans="1:47" ht="31.9" customHeight="1" x14ac:dyDescent="0.2">
      <c r="A29" s="26">
        <v>23</v>
      </c>
      <c r="B29" s="19"/>
      <c r="C29" s="9">
        <f t="shared" si="1"/>
        <v>15</v>
      </c>
      <c r="D29" s="10">
        <f t="shared" si="1"/>
        <v>3</v>
      </c>
      <c r="E29" s="10">
        <f t="shared" si="1"/>
        <v>5</v>
      </c>
      <c r="F29" s="10">
        <f t="shared" si="1"/>
        <v>2</v>
      </c>
      <c r="G29" s="11">
        <f t="shared" si="1"/>
        <v>5</v>
      </c>
      <c r="H29" s="9">
        <f t="shared" si="1"/>
        <v>3</v>
      </c>
      <c r="I29" s="10">
        <f t="shared" si="1"/>
        <v>1</v>
      </c>
      <c r="J29" s="10">
        <f t="shared" si="1"/>
        <v>1</v>
      </c>
      <c r="K29" s="10">
        <f t="shared" si="1"/>
        <v>1</v>
      </c>
      <c r="L29" s="11">
        <f t="shared" si="1"/>
        <v>1</v>
      </c>
      <c r="M29" s="9">
        <f t="shared" si="1"/>
        <v>3</v>
      </c>
      <c r="N29" s="10">
        <f t="shared" si="1"/>
        <v>1</v>
      </c>
      <c r="O29" s="10">
        <f t="shared" si="1"/>
        <v>3</v>
      </c>
      <c r="P29" s="10">
        <f t="shared" si="1"/>
        <v>0</v>
      </c>
      <c r="Q29" s="11">
        <f t="shared" si="1"/>
        <v>0</v>
      </c>
      <c r="R29" s="61">
        <f t="shared" si="1"/>
        <v>0.5</v>
      </c>
      <c r="S29" s="62">
        <f t="shared" si="2"/>
        <v>0.16666666666666666</v>
      </c>
      <c r="T29" s="62">
        <f t="shared" si="2"/>
        <v>0.1</v>
      </c>
      <c r="U29" s="62">
        <f t="shared" si="2"/>
        <v>0.6</v>
      </c>
      <c r="V29" s="63">
        <f t="shared" si="2"/>
        <v>0.15</v>
      </c>
      <c r="W29" s="9"/>
      <c r="X29" s="10"/>
      <c r="Y29" s="10"/>
      <c r="Z29" s="10"/>
      <c r="AA29" s="11"/>
      <c r="AB29" s="9"/>
      <c r="AC29" s="10"/>
      <c r="AD29" s="10"/>
      <c r="AE29" s="10"/>
      <c r="AF29" s="11"/>
      <c r="AG29" s="9"/>
      <c r="AH29" s="10"/>
      <c r="AI29" s="10"/>
      <c r="AJ29" s="10"/>
      <c r="AK29" s="11"/>
      <c r="AL29" s="9"/>
      <c r="AM29" s="10"/>
      <c r="AN29" s="10"/>
      <c r="AO29" s="10"/>
      <c r="AP29" s="11"/>
      <c r="AQ29" s="9"/>
      <c r="AR29" s="10"/>
      <c r="AS29" s="11"/>
      <c r="AT29" s="22"/>
      <c r="AU29" s="14"/>
    </row>
    <row r="30" spans="1:47" ht="31.9" customHeight="1" x14ac:dyDescent="0.2">
      <c r="A30" s="26">
        <v>24</v>
      </c>
      <c r="B30" s="19"/>
      <c r="C30" s="9">
        <f t="shared" si="1"/>
        <v>15</v>
      </c>
      <c r="D30" s="10">
        <f t="shared" si="1"/>
        <v>3</v>
      </c>
      <c r="E30" s="10">
        <f t="shared" si="1"/>
        <v>5</v>
      </c>
      <c r="F30" s="10">
        <f t="shared" si="1"/>
        <v>2</v>
      </c>
      <c r="G30" s="11">
        <f t="shared" si="1"/>
        <v>5</v>
      </c>
      <c r="H30" s="9">
        <f t="shared" si="1"/>
        <v>3</v>
      </c>
      <c r="I30" s="10">
        <f t="shared" si="1"/>
        <v>1</v>
      </c>
      <c r="J30" s="10">
        <f t="shared" si="1"/>
        <v>1</v>
      </c>
      <c r="K30" s="10">
        <f t="shared" si="1"/>
        <v>1</v>
      </c>
      <c r="L30" s="11">
        <f t="shared" si="1"/>
        <v>1</v>
      </c>
      <c r="M30" s="9">
        <f t="shared" si="1"/>
        <v>3</v>
      </c>
      <c r="N30" s="10">
        <f t="shared" si="1"/>
        <v>1</v>
      </c>
      <c r="O30" s="10">
        <f t="shared" si="1"/>
        <v>3</v>
      </c>
      <c r="P30" s="10">
        <f t="shared" si="1"/>
        <v>0</v>
      </c>
      <c r="Q30" s="11">
        <f t="shared" si="1"/>
        <v>0</v>
      </c>
      <c r="R30" s="61">
        <f t="shared" si="1"/>
        <v>0.5</v>
      </c>
      <c r="S30" s="62">
        <f t="shared" si="2"/>
        <v>0.16666666666666666</v>
      </c>
      <c r="T30" s="62">
        <f t="shared" si="2"/>
        <v>0.1</v>
      </c>
      <c r="U30" s="62">
        <f t="shared" si="2"/>
        <v>0.6</v>
      </c>
      <c r="V30" s="63">
        <f t="shared" si="2"/>
        <v>0.15</v>
      </c>
      <c r="W30" s="9"/>
      <c r="X30" s="10"/>
      <c r="Y30" s="10"/>
      <c r="Z30" s="10"/>
      <c r="AA30" s="11"/>
      <c r="AB30" s="9"/>
      <c r="AC30" s="10"/>
      <c r="AD30" s="10"/>
      <c r="AE30" s="10"/>
      <c r="AF30" s="11"/>
      <c r="AG30" s="9"/>
      <c r="AH30" s="10"/>
      <c r="AI30" s="10"/>
      <c r="AJ30" s="10"/>
      <c r="AK30" s="11"/>
      <c r="AL30" s="9"/>
      <c r="AM30" s="10"/>
      <c r="AN30" s="10"/>
      <c r="AO30" s="10"/>
      <c r="AP30" s="11"/>
      <c r="AQ30" s="9"/>
      <c r="AR30" s="10"/>
      <c r="AS30" s="11"/>
      <c r="AT30" s="22"/>
      <c r="AU30" s="14"/>
    </row>
    <row r="31" spans="1:47" ht="31.9" customHeight="1" x14ac:dyDescent="0.2">
      <c r="A31" s="26">
        <v>25</v>
      </c>
      <c r="B31" s="19"/>
      <c r="C31" s="9">
        <f t="shared" si="1"/>
        <v>15</v>
      </c>
      <c r="D31" s="10">
        <f t="shared" si="1"/>
        <v>3</v>
      </c>
      <c r="E31" s="10">
        <f t="shared" si="1"/>
        <v>5</v>
      </c>
      <c r="F31" s="10">
        <f t="shared" si="1"/>
        <v>2</v>
      </c>
      <c r="G31" s="11">
        <f t="shared" si="1"/>
        <v>5</v>
      </c>
      <c r="H31" s="9">
        <f t="shared" si="1"/>
        <v>3</v>
      </c>
      <c r="I31" s="10">
        <f t="shared" si="1"/>
        <v>1</v>
      </c>
      <c r="J31" s="10">
        <f t="shared" si="1"/>
        <v>1</v>
      </c>
      <c r="K31" s="10">
        <f t="shared" si="1"/>
        <v>1</v>
      </c>
      <c r="L31" s="11">
        <f t="shared" si="1"/>
        <v>1</v>
      </c>
      <c r="M31" s="9">
        <f t="shared" si="1"/>
        <v>3</v>
      </c>
      <c r="N31" s="10">
        <f t="shared" si="1"/>
        <v>1</v>
      </c>
      <c r="O31" s="10">
        <f t="shared" si="1"/>
        <v>3</v>
      </c>
      <c r="P31" s="10">
        <f t="shared" si="1"/>
        <v>0</v>
      </c>
      <c r="Q31" s="11">
        <f t="shared" si="1"/>
        <v>0</v>
      </c>
      <c r="R31" s="61">
        <f t="shared" si="1"/>
        <v>0.5</v>
      </c>
      <c r="S31" s="62">
        <f t="shared" si="2"/>
        <v>0.16666666666666666</v>
      </c>
      <c r="T31" s="62">
        <f t="shared" si="2"/>
        <v>0.1</v>
      </c>
      <c r="U31" s="62">
        <f t="shared" si="2"/>
        <v>0.6</v>
      </c>
      <c r="V31" s="63">
        <f t="shared" si="2"/>
        <v>0.15</v>
      </c>
      <c r="W31" s="9"/>
      <c r="X31" s="10"/>
      <c r="Y31" s="10"/>
      <c r="Z31" s="10"/>
      <c r="AA31" s="11"/>
      <c r="AB31" s="9"/>
      <c r="AC31" s="10"/>
      <c r="AD31" s="10"/>
      <c r="AE31" s="10"/>
      <c r="AF31" s="11"/>
      <c r="AG31" s="9"/>
      <c r="AH31" s="10"/>
      <c r="AI31" s="10"/>
      <c r="AJ31" s="10"/>
      <c r="AK31" s="11"/>
      <c r="AL31" s="9"/>
      <c r="AM31" s="10"/>
      <c r="AN31" s="10"/>
      <c r="AO31" s="10"/>
      <c r="AP31" s="11"/>
      <c r="AQ31" s="9"/>
      <c r="AR31" s="10"/>
      <c r="AS31" s="11"/>
      <c r="AT31" s="22"/>
      <c r="AU31" s="14"/>
    </row>
    <row r="32" spans="1:47" ht="31.9" customHeight="1" x14ac:dyDescent="0.2">
      <c r="A32" s="26">
        <v>26</v>
      </c>
      <c r="B32" s="19"/>
      <c r="C32" s="9">
        <f t="shared" si="1"/>
        <v>15</v>
      </c>
      <c r="D32" s="10">
        <f t="shared" si="1"/>
        <v>3</v>
      </c>
      <c r="E32" s="10">
        <f t="shared" si="1"/>
        <v>5</v>
      </c>
      <c r="F32" s="10">
        <f t="shared" si="1"/>
        <v>2</v>
      </c>
      <c r="G32" s="11">
        <f t="shared" si="1"/>
        <v>5</v>
      </c>
      <c r="H32" s="9">
        <f t="shared" si="1"/>
        <v>3</v>
      </c>
      <c r="I32" s="10">
        <f t="shared" si="1"/>
        <v>1</v>
      </c>
      <c r="J32" s="10">
        <f t="shared" si="1"/>
        <v>1</v>
      </c>
      <c r="K32" s="10">
        <f t="shared" si="1"/>
        <v>1</v>
      </c>
      <c r="L32" s="11">
        <f t="shared" si="1"/>
        <v>1</v>
      </c>
      <c r="M32" s="9">
        <f t="shared" si="1"/>
        <v>3</v>
      </c>
      <c r="N32" s="10">
        <f t="shared" si="1"/>
        <v>1</v>
      </c>
      <c r="O32" s="10">
        <f t="shared" si="1"/>
        <v>3</v>
      </c>
      <c r="P32" s="10">
        <f t="shared" si="1"/>
        <v>0</v>
      </c>
      <c r="Q32" s="11">
        <f t="shared" si="1"/>
        <v>0</v>
      </c>
      <c r="R32" s="61">
        <f t="shared" si="1"/>
        <v>0.5</v>
      </c>
      <c r="S32" s="62">
        <f t="shared" si="2"/>
        <v>0.16666666666666666</v>
      </c>
      <c r="T32" s="62">
        <f t="shared" si="2"/>
        <v>0.1</v>
      </c>
      <c r="U32" s="62">
        <f t="shared" si="2"/>
        <v>0.6</v>
      </c>
      <c r="V32" s="63">
        <f t="shared" si="2"/>
        <v>0.15</v>
      </c>
      <c r="W32" s="9"/>
      <c r="X32" s="10"/>
      <c r="Y32" s="10"/>
      <c r="Z32" s="10"/>
      <c r="AA32" s="11"/>
      <c r="AB32" s="9"/>
      <c r="AC32" s="10"/>
      <c r="AD32" s="10"/>
      <c r="AE32" s="10"/>
      <c r="AF32" s="11"/>
      <c r="AG32" s="9"/>
      <c r="AH32" s="10"/>
      <c r="AI32" s="10"/>
      <c r="AJ32" s="10"/>
      <c r="AK32" s="11"/>
      <c r="AL32" s="9"/>
      <c r="AM32" s="10"/>
      <c r="AN32" s="10"/>
      <c r="AO32" s="10"/>
      <c r="AP32" s="11"/>
      <c r="AQ32" s="9"/>
      <c r="AR32" s="10"/>
      <c r="AS32" s="11"/>
      <c r="AT32" s="22"/>
      <c r="AU32" s="14"/>
    </row>
    <row r="33" spans="1:47" ht="31.9" customHeight="1" x14ac:dyDescent="0.2">
      <c r="A33" s="26">
        <v>27</v>
      </c>
      <c r="B33" s="19"/>
      <c r="C33" s="9">
        <f t="shared" si="1"/>
        <v>15</v>
      </c>
      <c r="D33" s="10">
        <f t="shared" si="1"/>
        <v>3</v>
      </c>
      <c r="E33" s="10">
        <f t="shared" si="1"/>
        <v>5</v>
      </c>
      <c r="F33" s="10">
        <f t="shared" si="1"/>
        <v>2</v>
      </c>
      <c r="G33" s="11">
        <f t="shared" si="1"/>
        <v>5</v>
      </c>
      <c r="H33" s="9">
        <f t="shared" si="1"/>
        <v>3</v>
      </c>
      <c r="I33" s="10">
        <f t="shared" si="1"/>
        <v>1</v>
      </c>
      <c r="J33" s="10">
        <f t="shared" si="1"/>
        <v>1</v>
      </c>
      <c r="K33" s="10">
        <f t="shared" si="1"/>
        <v>1</v>
      </c>
      <c r="L33" s="11">
        <f t="shared" si="1"/>
        <v>1</v>
      </c>
      <c r="M33" s="9">
        <f t="shared" si="1"/>
        <v>3</v>
      </c>
      <c r="N33" s="10">
        <f t="shared" si="1"/>
        <v>1</v>
      </c>
      <c r="O33" s="10">
        <f t="shared" si="1"/>
        <v>3</v>
      </c>
      <c r="P33" s="10">
        <f t="shared" si="1"/>
        <v>0</v>
      </c>
      <c r="Q33" s="11">
        <f t="shared" si="1"/>
        <v>0</v>
      </c>
      <c r="R33" s="61">
        <f t="shared" si="1"/>
        <v>0.5</v>
      </c>
      <c r="S33" s="62">
        <f t="shared" si="2"/>
        <v>0.16666666666666666</v>
      </c>
      <c r="T33" s="62">
        <f t="shared" si="2"/>
        <v>0.1</v>
      </c>
      <c r="U33" s="62">
        <f t="shared" si="2"/>
        <v>0.6</v>
      </c>
      <c r="V33" s="63">
        <f t="shared" si="2"/>
        <v>0.15</v>
      </c>
      <c r="W33" s="9"/>
      <c r="X33" s="10"/>
      <c r="Y33" s="10"/>
      <c r="Z33" s="10"/>
      <c r="AA33" s="11"/>
      <c r="AB33" s="9"/>
      <c r="AC33" s="10"/>
      <c r="AD33" s="10"/>
      <c r="AE33" s="10"/>
      <c r="AF33" s="11"/>
      <c r="AG33" s="9"/>
      <c r="AH33" s="10"/>
      <c r="AI33" s="10"/>
      <c r="AJ33" s="10"/>
      <c r="AK33" s="11"/>
      <c r="AL33" s="9"/>
      <c r="AM33" s="10"/>
      <c r="AN33" s="10"/>
      <c r="AO33" s="10"/>
      <c r="AP33" s="11"/>
      <c r="AQ33" s="9"/>
      <c r="AR33" s="10"/>
      <c r="AS33" s="11"/>
      <c r="AT33" s="23"/>
      <c r="AU33" s="14"/>
    </row>
    <row r="34" spans="1:47" ht="31.9" customHeight="1" x14ac:dyDescent="0.2">
      <c r="A34" s="26">
        <v>28</v>
      </c>
      <c r="B34" s="19"/>
      <c r="C34" s="9">
        <f t="shared" si="1"/>
        <v>15</v>
      </c>
      <c r="D34" s="10">
        <f t="shared" si="1"/>
        <v>3</v>
      </c>
      <c r="E34" s="10">
        <f t="shared" si="1"/>
        <v>5</v>
      </c>
      <c r="F34" s="10">
        <f t="shared" si="1"/>
        <v>2</v>
      </c>
      <c r="G34" s="11">
        <f t="shared" si="1"/>
        <v>5</v>
      </c>
      <c r="H34" s="9">
        <f t="shared" si="1"/>
        <v>3</v>
      </c>
      <c r="I34" s="10">
        <f t="shared" si="1"/>
        <v>1</v>
      </c>
      <c r="J34" s="10">
        <f t="shared" si="1"/>
        <v>1</v>
      </c>
      <c r="K34" s="10">
        <f t="shared" si="1"/>
        <v>1</v>
      </c>
      <c r="L34" s="11">
        <f t="shared" si="1"/>
        <v>1</v>
      </c>
      <c r="M34" s="9">
        <f t="shared" si="1"/>
        <v>3</v>
      </c>
      <c r="N34" s="10">
        <f t="shared" si="1"/>
        <v>1</v>
      </c>
      <c r="O34" s="10">
        <f t="shared" si="1"/>
        <v>3</v>
      </c>
      <c r="P34" s="10">
        <f t="shared" si="1"/>
        <v>0</v>
      </c>
      <c r="Q34" s="11">
        <f t="shared" si="1"/>
        <v>0</v>
      </c>
      <c r="R34" s="61">
        <f t="shared" si="1"/>
        <v>0.5</v>
      </c>
      <c r="S34" s="62">
        <f t="shared" si="2"/>
        <v>0.16666666666666666</v>
      </c>
      <c r="T34" s="62">
        <f t="shared" si="2"/>
        <v>0.1</v>
      </c>
      <c r="U34" s="62">
        <f t="shared" si="2"/>
        <v>0.6</v>
      </c>
      <c r="V34" s="63">
        <f t="shared" si="2"/>
        <v>0.15</v>
      </c>
      <c r="W34" s="9"/>
      <c r="X34" s="10"/>
      <c r="Y34" s="10"/>
      <c r="Z34" s="10"/>
      <c r="AA34" s="11"/>
      <c r="AB34" s="9"/>
      <c r="AC34" s="10"/>
      <c r="AD34" s="10"/>
      <c r="AE34" s="10"/>
      <c r="AF34" s="11"/>
      <c r="AG34" s="9"/>
      <c r="AH34" s="10"/>
      <c r="AI34" s="10"/>
      <c r="AJ34" s="10"/>
      <c r="AK34" s="11"/>
      <c r="AL34" s="9"/>
      <c r="AM34" s="10"/>
      <c r="AN34" s="10"/>
      <c r="AO34" s="10"/>
      <c r="AP34" s="11"/>
      <c r="AQ34" s="9"/>
      <c r="AR34" s="10"/>
      <c r="AS34" s="11"/>
      <c r="AT34" s="24"/>
      <c r="AU34" s="13"/>
    </row>
    <row r="35" spans="1:47" ht="31.9" customHeight="1" x14ac:dyDescent="0.2">
      <c r="A35" s="26">
        <v>29</v>
      </c>
      <c r="B35" s="19"/>
      <c r="C35" s="9">
        <f t="shared" si="1"/>
        <v>15</v>
      </c>
      <c r="D35" s="10">
        <f t="shared" si="1"/>
        <v>3</v>
      </c>
      <c r="E35" s="10">
        <f t="shared" si="1"/>
        <v>5</v>
      </c>
      <c r="F35" s="10">
        <f t="shared" si="1"/>
        <v>2</v>
      </c>
      <c r="G35" s="11">
        <f t="shared" si="1"/>
        <v>5</v>
      </c>
      <c r="H35" s="9">
        <f t="shared" si="1"/>
        <v>3</v>
      </c>
      <c r="I35" s="10">
        <f t="shared" si="1"/>
        <v>1</v>
      </c>
      <c r="J35" s="10">
        <f t="shared" si="1"/>
        <v>1</v>
      </c>
      <c r="K35" s="10">
        <f t="shared" si="1"/>
        <v>1</v>
      </c>
      <c r="L35" s="11">
        <f t="shared" si="1"/>
        <v>1</v>
      </c>
      <c r="M35" s="9">
        <f t="shared" si="1"/>
        <v>3</v>
      </c>
      <c r="N35" s="10">
        <f t="shared" si="1"/>
        <v>1</v>
      </c>
      <c r="O35" s="10">
        <f t="shared" si="1"/>
        <v>3</v>
      </c>
      <c r="P35" s="10">
        <f t="shared" si="1"/>
        <v>0</v>
      </c>
      <c r="Q35" s="11">
        <f t="shared" si="1"/>
        <v>0</v>
      </c>
      <c r="R35" s="61">
        <f t="shared" si="1"/>
        <v>0.5</v>
      </c>
      <c r="S35" s="62">
        <f t="shared" si="2"/>
        <v>0.16666666666666666</v>
      </c>
      <c r="T35" s="62">
        <f t="shared" si="2"/>
        <v>0.1</v>
      </c>
      <c r="U35" s="62">
        <f t="shared" si="2"/>
        <v>0.6</v>
      </c>
      <c r="V35" s="63">
        <f t="shared" si="2"/>
        <v>0.15</v>
      </c>
      <c r="W35" s="9"/>
      <c r="X35" s="10"/>
      <c r="Y35" s="10"/>
      <c r="Z35" s="10"/>
      <c r="AA35" s="11"/>
      <c r="AB35" s="9"/>
      <c r="AC35" s="10"/>
      <c r="AD35" s="10"/>
      <c r="AE35" s="10"/>
      <c r="AF35" s="11"/>
      <c r="AG35" s="9"/>
      <c r="AH35" s="10"/>
      <c r="AI35" s="10"/>
      <c r="AJ35" s="10"/>
      <c r="AK35" s="11"/>
      <c r="AL35" s="9"/>
      <c r="AM35" s="10"/>
      <c r="AN35" s="10"/>
      <c r="AO35" s="10"/>
      <c r="AP35" s="11"/>
      <c r="AQ35" s="9"/>
      <c r="AR35" s="10"/>
      <c r="AS35" s="11"/>
      <c r="AT35" s="24"/>
      <c r="AU35" s="12"/>
    </row>
    <row r="36" spans="1:47" ht="31.9" customHeight="1" thickBot="1" x14ac:dyDescent="0.25">
      <c r="A36" s="27">
        <v>30</v>
      </c>
      <c r="B36" s="28"/>
      <c r="C36" s="29">
        <f t="shared" si="1"/>
        <v>15</v>
      </c>
      <c r="D36" s="30">
        <f t="shared" si="1"/>
        <v>3</v>
      </c>
      <c r="E36" s="30">
        <f t="shared" si="1"/>
        <v>5</v>
      </c>
      <c r="F36" s="30">
        <f t="shared" ref="F36:V36" si="3">+F$2</f>
        <v>2</v>
      </c>
      <c r="G36" s="31">
        <f t="shared" si="3"/>
        <v>5</v>
      </c>
      <c r="H36" s="29">
        <f t="shared" si="3"/>
        <v>3</v>
      </c>
      <c r="I36" s="30">
        <f t="shared" si="3"/>
        <v>1</v>
      </c>
      <c r="J36" s="30">
        <f t="shared" si="3"/>
        <v>1</v>
      </c>
      <c r="K36" s="30">
        <f t="shared" si="3"/>
        <v>1</v>
      </c>
      <c r="L36" s="31">
        <f t="shared" si="3"/>
        <v>1</v>
      </c>
      <c r="M36" s="29">
        <f t="shared" si="3"/>
        <v>3</v>
      </c>
      <c r="N36" s="30">
        <f t="shared" si="3"/>
        <v>1</v>
      </c>
      <c r="O36" s="30">
        <f t="shared" si="3"/>
        <v>3</v>
      </c>
      <c r="P36" s="30">
        <f t="shared" si="3"/>
        <v>0</v>
      </c>
      <c r="Q36" s="31">
        <f t="shared" si="3"/>
        <v>0</v>
      </c>
      <c r="R36" s="64">
        <f t="shared" si="3"/>
        <v>0.5</v>
      </c>
      <c r="S36" s="65">
        <f t="shared" si="3"/>
        <v>0.16666666666666666</v>
      </c>
      <c r="T36" s="65">
        <f t="shared" si="3"/>
        <v>0.1</v>
      </c>
      <c r="U36" s="65">
        <f t="shared" si="3"/>
        <v>0.6</v>
      </c>
      <c r="V36" s="66">
        <f t="shared" si="3"/>
        <v>0.15</v>
      </c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1"/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450</v>
      </c>
      <c r="D37" s="40">
        <f t="shared" ref="D37:AS37" si="4">SUM(D7:D36)</f>
        <v>90</v>
      </c>
      <c r="E37" s="40">
        <f t="shared" si="4"/>
        <v>150</v>
      </c>
      <c r="F37" s="40">
        <f t="shared" si="4"/>
        <v>60</v>
      </c>
      <c r="G37" s="41">
        <f t="shared" si="4"/>
        <v>150</v>
      </c>
      <c r="H37" s="39">
        <f t="shared" si="4"/>
        <v>90</v>
      </c>
      <c r="I37" s="40">
        <f t="shared" si="4"/>
        <v>30</v>
      </c>
      <c r="J37" s="40">
        <f t="shared" si="4"/>
        <v>30</v>
      </c>
      <c r="K37" s="40">
        <f t="shared" si="4"/>
        <v>30</v>
      </c>
      <c r="L37" s="41">
        <f t="shared" si="4"/>
        <v>30</v>
      </c>
      <c r="M37" s="39">
        <f t="shared" si="4"/>
        <v>90</v>
      </c>
      <c r="N37" s="40">
        <f t="shared" si="4"/>
        <v>30</v>
      </c>
      <c r="O37" s="40">
        <f t="shared" si="4"/>
        <v>90</v>
      </c>
      <c r="P37" s="40">
        <f t="shared" si="4"/>
        <v>0</v>
      </c>
      <c r="Q37" s="41">
        <f t="shared" si="4"/>
        <v>0</v>
      </c>
      <c r="R37" s="39">
        <f>SUM(R7:R36)</f>
        <v>15</v>
      </c>
      <c r="S37" s="40">
        <f t="shared" si="4"/>
        <v>5</v>
      </c>
      <c r="T37" s="40">
        <f t="shared" si="4"/>
        <v>3.0000000000000013</v>
      </c>
      <c r="U37" s="40">
        <f t="shared" si="4"/>
        <v>18</v>
      </c>
      <c r="V37" s="41">
        <f t="shared" si="4"/>
        <v>4.5</v>
      </c>
      <c r="W37" s="39">
        <f t="shared" si="4"/>
        <v>1</v>
      </c>
      <c r="X37" s="40">
        <f t="shared" si="4"/>
        <v>1</v>
      </c>
      <c r="Y37" s="40">
        <f t="shared" si="4"/>
        <v>1</v>
      </c>
      <c r="Z37" s="40">
        <f t="shared" si="4"/>
        <v>1</v>
      </c>
      <c r="AA37" s="41">
        <f t="shared" si="4"/>
        <v>1</v>
      </c>
      <c r="AB37" s="39">
        <f t="shared" si="4"/>
        <v>1</v>
      </c>
      <c r="AC37" s="40">
        <f t="shared" si="4"/>
        <v>1</v>
      </c>
      <c r="AD37" s="40">
        <f t="shared" si="4"/>
        <v>1</v>
      </c>
      <c r="AE37" s="40">
        <f t="shared" si="4"/>
        <v>1</v>
      </c>
      <c r="AF37" s="41">
        <f t="shared" si="4"/>
        <v>1</v>
      </c>
      <c r="AG37" s="39">
        <f t="shared" si="4"/>
        <v>1</v>
      </c>
      <c r="AH37" s="40">
        <f t="shared" si="4"/>
        <v>1</v>
      </c>
      <c r="AI37" s="40">
        <f t="shared" si="4"/>
        <v>1</v>
      </c>
      <c r="AJ37" s="40">
        <f t="shared" si="4"/>
        <v>1</v>
      </c>
      <c r="AK37" s="41">
        <f t="shared" si="4"/>
        <v>1</v>
      </c>
      <c r="AL37" s="39">
        <f t="shared" si="4"/>
        <v>1</v>
      </c>
      <c r="AM37" s="40">
        <f t="shared" si="4"/>
        <v>1</v>
      </c>
      <c r="AN37" s="40">
        <f t="shared" si="4"/>
        <v>1</v>
      </c>
      <c r="AO37" s="40">
        <f t="shared" si="4"/>
        <v>1</v>
      </c>
      <c r="AP37" s="41">
        <f t="shared" si="4"/>
        <v>1</v>
      </c>
      <c r="AQ37" s="39">
        <f t="shared" si="4"/>
        <v>1</v>
      </c>
      <c r="AR37" s="40">
        <f t="shared" si="4"/>
        <v>1</v>
      </c>
      <c r="AS37" s="41">
        <f t="shared" si="4"/>
        <v>1</v>
      </c>
      <c r="AT37" s="25">
        <f t="shared" ref="AT37:AU37" si="5">SUM(AT7:AT36)</f>
        <v>0</v>
      </c>
      <c r="AU37" s="2">
        <f t="shared" si="5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8443-FE68-4605-97CD-ED93FF163A30}">
  <dimension ref="A2:AU37"/>
  <sheetViews>
    <sheetView zoomScale="56" zoomScaleNormal="56" workbookViewId="0">
      <pane xSplit="2" ySplit="6" topLeftCell="R32" activePane="bottomRight" state="frozen"/>
      <selection activeCell="Z30" sqref="Z30"/>
      <selection pane="topRight" activeCell="Z30" sqref="Z30"/>
      <selection pane="bottomLeft" activeCell="Z30" sqref="Z30"/>
      <selection pane="bottomRight" activeCell="Z30" sqref="Z30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+'Luindi S5'!C7+'Mardi S5'!C7+'Mercredi S5'!C7+'Jeudi S5'!C7+'Vendredi S5'!C7+'Samedi S5'!C7</f>
        <v>90</v>
      </c>
      <c r="D7" s="7">
        <f>+'Luindi S5'!D7+'Mardi S5'!D7+'Mercredi S5'!D7+'Jeudi S5'!D7+'Vendredi S5'!D7+'Samedi S5'!D7</f>
        <v>18</v>
      </c>
      <c r="E7" s="7">
        <f>+'Luindi S5'!E7+'Mardi S5'!E7+'Mercredi S5'!E7+'Jeudi S5'!E7+'Vendredi S5'!E7+'Samedi S5'!E7</f>
        <v>30</v>
      </c>
      <c r="F7" s="7">
        <f>+'Luindi S5'!F7+'Mardi S5'!F7+'Mercredi S5'!F7+'Jeudi S5'!F7+'Vendredi S5'!F7+'Samedi S5'!F7</f>
        <v>12</v>
      </c>
      <c r="G7" s="8">
        <f>+'Luindi S5'!G7+'Mardi S5'!G7+'Mercredi S5'!G7+'Jeudi S5'!G7+'Vendredi S5'!G7+'Samedi S5'!G7</f>
        <v>30</v>
      </c>
      <c r="H7" s="6">
        <f>+'Luindi S5'!H7+'Mardi S5'!H7+'Mercredi S5'!H7+'Jeudi S5'!H7+'Vendredi S5'!H7+'Samedi S5'!H7</f>
        <v>18</v>
      </c>
      <c r="I7" s="7">
        <f>+'Luindi S5'!I7+'Mardi S5'!I7+'Mercredi S5'!I7+'Jeudi S5'!I7+'Vendredi S5'!I7+'Samedi S5'!I7</f>
        <v>6</v>
      </c>
      <c r="J7" s="7">
        <f>+'Luindi S5'!J7+'Mardi S5'!J7+'Mercredi S5'!J7+'Jeudi S5'!J7+'Vendredi S5'!J7+'Samedi S5'!J7</f>
        <v>6</v>
      </c>
      <c r="K7" s="7">
        <f>+'Luindi S5'!K7+'Mardi S5'!K7+'Mercredi S5'!K7+'Jeudi S5'!K7+'Vendredi S5'!K7+'Samedi S5'!K7</f>
        <v>6</v>
      </c>
      <c r="L7" s="8">
        <f>+'Luindi S5'!L7+'Mardi S5'!L7+'Mercredi S5'!L7+'Jeudi S5'!L7+'Vendredi S5'!L7+'Samedi S5'!L7</f>
        <v>6</v>
      </c>
      <c r="M7" s="6">
        <f>+'Luindi S5'!M7+'Mardi S5'!M7+'Mercredi S5'!M7+'Jeudi S5'!M7+'Vendredi S5'!M7+'Samedi S5'!M7</f>
        <v>18</v>
      </c>
      <c r="N7" s="7">
        <f>+'Luindi S5'!N7+'Mardi S5'!N7+'Mercredi S5'!N7+'Jeudi S5'!N7+'Vendredi S5'!N7+'Samedi S5'!N7</f>
        <v>6</v>
      </c>
      <c r="O7" s="7">
        <f>+'Luindi S5'!O7+'Mardi S5'!O7+'Mercredi S5'!O7+'Jeudi S5'!O7+'Vendredi S5'!O7+'Samedi S5'!O7</f>
        <v>18</v>
      </c>
      <c r="P7" s="7">
        <f>+'Luindi S5'!P7+'Mardi S5'!P7+'Mercredi S5'!P7+'Jeudi S5'!P7+'Vendredi S5'!P7+'Samedi S5'!P7</f>
        <v>0</v>
      </c>
      <c r="Q7" s="8">
        <f>+'Luindi S5'!Q7+'Mardi S5'!Q7+'Mercredi S5'!Q7+'Jeudi S5'!Q7+'Vendredi S5'!Q7+'Samedi S5'!Q7</f>
        <v>0</v>
      </c>
      <c r="R7" s="58">
        <f>+'Luindi S5'!R7+'Mardi S5'!R7+'Mercredi S5'!R7+'Jeudi S5'!R7+'Vendredi S5'!R7+'Samedi S5'!R7</f>
        <v>3</v>
      </c>
      <c r="S7" s="59">
        <f>+'Luindi S5'!S7+'Mardi S5'!S7+'Mercredi S5'!S7+'Jeudi S5'!S7+'Vendredi S5'!S7+'Samedi S5'!S7</f>
        <v>0.99999999999999989</v>
      </c>
      <c r="T7" s="59">
        <f>+'Luindi S5'!T7+'Mardi S5'!T7+'Mercredi S5'!T7+'Jeudi S5'!T7+'Vendredi S5'!T7+'Samedi S5'!T7</f>
        <v>0.6</v>
      </c>
      <c r="U7" s="59">
        <f>+'Luindi S5'!U7+'Mardi S5'!U7+'Mercredi S5'!U7+'Jeudi S5'!U7+'Vendredi S5'!U7+'Samedi S5'!U7</f>
        <v>3.6</v>
      </c>
      <c r="V7" s="60">
        <f>+'Luindi S5'!V7+'Mardi S5'!V7+'Mercredi S5'!V7+'Jeudi S5'!V7+'Vendredi S5'!V7+'Samedi S5'!V7</f>
        <v>0.9</v>
      </c>
      <c r="W7" s="6">
        <f>+'Luindi S5'!W7+'Mardi S5'!W7+'Mercredi S5'!W7+'Jeudi S5'!W7+'Vendredi S5'!W7+'Samedi S5'!W7</f>
        <v>6</v>
      </c>
      <c r="X7" s="7">
        <f>+'Luindi S5'!X7+'Mardi S5'!X7+'Mercredi S5'!X7+'Jeudi S5'!X7+'Vendredi S5'!X7+'Samedi S5'!X7</f>
        <v>6</v>
      </c>
      <c r="Y7" s="7">
        <f>+'Luindi S5'!Y7+'Mardi S5'!Y7+'Mercredi S5'!Y7+'Jeudi S5'!Y7+'Vendredi S5'!Y7+'Samedi S5'!Y7</f>
        <v>6</v>
      </c>
      <c r="Z7" s="7">
        <f>+'Luindi S5'!Z7+'Mardi S5'!Z7+'Mercredi S5'!Z7+'Jeudi S5'!Z7+'Vendredi S5'!Z7+'Samedi S5'!Z7</f>
        <v>6</v>
      </c>
      <c r="AA7" s="8">
        <f>+'Luindi S5'!AA7+'Mardi S5'!AA7+'Mercredi S5'!AA7+'Jeudi S5'!AA7+'Vendredi S5'!AA7+'Samedi S5'!AA7</f>
        <v>6</v>
      </c>
      <c r="AB7" s="6">
        <f>+'Luindi S5'!AB7+'Mardi S5'!AB7+'Mercredi S5'!AB7+'Jeudi S5'!AB7+'Vendredi S5'!AB7+'Samedi S5'!AB7</f>
        <v>6</v>
      </c>
      <c r="AC7" s="7">
        <f>+'Luindi S5'!AC7+'Mardi S5'!AC7+'Mercredi S5'!AC7+'Jeudi S5'!AC7+'Vendredi S5'!AC7+'Samedi S5'!AC7</f>
        <v>6</v>
      </c>
      <c r="AD7" s="7">
        <f>+'Luindi S5'!AD7+'Mardi S5'!AD7+'Mercredi S5'!AD7+'Jeudi S5'!AD7+'Vendredi S5'!AD7+'Samedi S5'!AD7</f>
        <v>6</v>
      </c>
      <c r="AE7" s="7">
        <f>+'Luindi S5'!AE7+'Mardi S5'!AE7+'Mercredi S5'!AE7+'Jeudi S5'!AE7+'Vendredi S5'!AE7+'Samedi S5'!AE7</f>
        <v>6</v>
      </c>
      <c r="AF7" s="8">
        <f>+'Luindi S5'!AF7+'Mardi S5'!AF7+'Mercredi S5'!AF7+'Jeudi S5'!AF7+'Vendredi S5'!AF7+'Samedi S5'!AF7</f>
        <v>6</v>
      </c>
      <c r="AG7" s="6">
        <f>+'Luindi S5'!AG7+'Mardi S5'!AG7+'Mercredi S5'!AG7+'Jeudi S5'!AG7+'Vendredi S5'!AG7+'Samedi S5'!AG7</f>
        <v>6</v>
      </c>
      <c r="AH7" s="7">
        <f>+'Luindi S5'!AH7+'Mardi S5'!AH7+'Mercredi S5'!AH7+'Jeudi S5'!AH7+'Vendredi S5'!AH7+'Samedi S5'!AH7</f>
        <v>6</v>
      </c>
      <c r="AI7" s="7">
        <f>+'Luindi S5'!AI7+'Mardi S5'!AI7+'Mercredi S5'!AI7+'Jeudi S5'!AI7+'Vendredi S5'!AI7+'Samedi S5'!AI7</f>
        <v>6</v>
      </c>
      <c r="AJ7" s="7">
        <f>+'Luindi S5'!AJ7+'Mardi S5'!AJ7+'Mercredi S5'!AJ7+'Jeudi S5'!AJ7+'Vendredi S5'!AJ7+'Samedi S5'!AJ7</f>
        <v>6</v>
      </c>
      <c r="AK7" s="8">
        <f>+'Luindi S5'!AK7+'Mardi S5'!AK7+'Mercredi S5'!AK7+'Jeudi S5'!AK7+'Vendredi S5'!AK7+'Samedi S5'!AK7</f>
        <v>6</v>
      </c>
      <c r="AL7" s="6">
        <f>+'Luindi S5'!AL7+'Mardi S5'!AL7+'Mercredi S5'!AL7+'Jeudi S5'!AL7+'Vendredi S5'!AL7+'Samedi S5'!AL7</f>
        <v>6</v>
      </c>
      <c r="AM7" s="7">
        <f>+'Luindi S5'!AM7+'Mardi S5'!AM7+'Mercredi S5'!AM7+'Jeudi S5'!AM7+'Vendredi S5'!AM7+'Samedi S5'!AM7</f>
        <v>6</v>
      </c>
      <c r="AN7" s="7">
        <f>+'Luindi S5'!AN7+'Mardi S5'!AN7+'Mercredi S5'!AN7+'Jeudi S5'!AN7+'Vendredi S5'!AN7+'Samedi S5'!AN7</f>
        <v>6</v>
      </c>
      <c r="AO7" s="7">
        <f>+'Luindi S5'!AO7+'Mardi S5'!AO7+'Mercredi S5'!AO7+'Jeudi S5'!AO7+'Vendredi S5'!AO7+'Samedi S5'!AO7</f>
        <v>6</v>
      </c>
      <c r="AP7" s="8">
        <f>+'Luindi S5'!AP7+'Mardi S5'!AP7+'Mercredi S5'!AP7+'Jeudi S5'!AP7+'Vendredi S5'!AP7+'Samedi S5'!AP7</f>
        <v>6</v>
      </c>
      <c r="AQ7" s="6">
        <f>+'Luindi S5'!AQ7+'Mardi S5'!AQ7+'Mercredi S5'!AQ7+'Jeudi S5'!AQ7+'Vendredi S5'!AQ7+'Samedi S5'!AQ7</f>
        <v>6</v>
      </c>
      <c r="AR7" s="7">
        <f>+'Luindi S5'!AR7+'Mardi S5'!AR7+'Mercredi S5'!AR7+'Jeudi S5'!AR7+'Vendredi S5'!AR7+'Samedi S5'!AR7</f>
        <v>6</v>
      </c>
      <c r="AS7" s="8">
        <f>+'Luindi S5'!AS7+'Mardi S5'!AS7+'Mercredi S5'!AS7+'Jeudi S5'!AS7+'Vendredi S5'!AS7+'Samedi S5'!AS7</f>
        <v>6</v>
      </c>
      <c r="AT7" s="20"/>
      <c r="AU7" s="15"/>
    </row>
    <row r="8" spans="1:47" ht="31.9" customHeight="1" x14ac:dyDescent="0.2">
      <c r="A8" s="26">
        <v>2</v>
      </c>
      <c r="B8" s="19"/>
      <c r="C8" s="9">
        <f>+'Luindi S5'!C8+'Mardi S5'!C8+'Mercredi S5'!C8+'Jeudi S5'!C8+'Vendredi S5'!C8+'Samedi S5'!C8</f>
        <v>90</v>
      </c>
      <c r="D8" s="10">
        <f>+'Luindi S5'!D8+'Mardi S5'!D8+'Mercredi S5'!D8+'Jeudi S5'!D8+'Vendredi S5'!D8+'Samedi S5'!D8</f>
        <v>18</v>
      </c>
      <c r="E8" s="10">
        <f>+'Luindi S5'!E8+'Mardi S5'!E8+'Mercredi S5'!E8+'Jeudi S5'!E8+'Vendredi S5'!E8+'Samedi S5'!E8</f>
        <v>30</v>
      </c>
      <c r="F8" s="10">
        <f>+'Luindi S5'!F8+'Mardi S5'!F8+'Mercredi S5'!F8+'Jeudi S5'!F8+'Vendredi S5'!F8+'Samedi S5'!F8</f>
        <v>12</v>
      </c>
      <c r="G8" s="11">
        <f>+'Luindi S5'!G8+'Mardi S5'!G8+'Mercredi S5'!G8+'Jeudi S5'!G8+'Vendredi S5'!G8+'Samedi S5'!G8</f>
        <v>30</v>
      </c>
      <c r="H8" s="9">
        <f>+'Luindi S5'!H8+'Mardi S5'!H8+'Mercredi S5'!H8+'Jeudi S5'!H8+'Vendredi S5'!H8+'Samedi S5'!H8</f>
        <v>18</v>
      </c>
      <c r="I8" s="10">
        <f>+'Luindi S5'!I8+'Mardi S5'!I8+'Mercredi S5'!I8+'Jeudi S5'!I8+'Vendredi S5'!I8+'Samedi S5'!I8</f>
        <v>6</v>
      </c>
      <c r="J8" s="10">
        <f>+'Luindi S5'!J8+'Mardi S5'!J8+'Mercredi S5'!J8+'Jeudi S5'!J8+'Vendredi S5'!J8+'Samedi S5'!J8</f>
        <v>6</v>
      </c>
      <c r="K8" s="10">
        <f>+'Luindi S5'!K8+'Mardi S5'!K8+'Mercredi S5'!K8+'Jeudi S5'!K8+'Vendredi S5'!K8+'Samedi S5'!K8</f>
        <v>6</v>
      </c>
      <c r="L8" s="11">
        <f>+'Luindi S5'!L8+'Mardi S5'!L8+'Mercredi S5'!L8+'Jeudi S5'!L8+'Vendredi S5'!L8+'Samedi S5'!L8</f>
        <v>6</v>
      </c>
      <c r="M8" s="9">
        <f>+'Luindi S5'!M8+'Mardi S5'!M8+'Mercredi S5'!M8+'Jeudi S5'!M8+'Vendredi S5'!M8+'Samedi S5'!M8</f>
        <v>18</v>
      </c>
      <c r="N8" s="10">
        <f>+'Luindi S5'!N8+'Mardi S5'!N8+'Mercredi S5'!N8+'Jeudi S5'!N8+'Vendredi S5'!N8+'Samedi S5'!N8</f>
        <v>6</v>
      </c>
      <c r="O8" s="10">
        <f>+'Luindi S5'!O8+'Mardi S5'!O8+'Mercredi S5'!O8+'Jeudi S5'!O8+'Vendredi S5'!O8+'Samedi S5'!O8</f>
        <v>18</v>
      </c>
      <c r="P8" s="10">
        <f>+'Luindi S5'!P8+'Mardi S5'!P8+'Mercredi S5'!P8+'Jeudi S5'!P8+'Vendredi S5'!P8+'Samedi S5'!P8</f>
        <v>0</v>
      </c>
      <c r="Q8" s="11">
        <f>+'Luindi S5'!Q8+'Mardi S5'!Q8+'Mercredi S5'!Q8+'Jeudi S5'!Q8+'Vendredi S5'!Q8+'Samedi S5'!Q8</f>
        <v>0</v>
      </c>
      <c r="R8" s="61">
        <f>+'Luindi S5'!R8+'Mardi S5'!R8+'Mercredi S5'!R8+'Jeudi S5'!R8+'Vendredi S5'!R8+'Samedi S5'!R8</f>
        <v>3</v>
      </c>
      <c r="S8" s="62">
        <f>+'Luindi S5'!S8+'Mardi S5'!S8+'Mercredi S5'!S8+'Jeudi S5'!S8+'Vendredi S5'!S8+'Samedi S5'!S8</f>
        <v>0.99999999999999989</v>
      </c>
      <c r="T8" s="62">
        <f>+'Luindi S5'!T8+'Mardi S5'!T8+'Mercredi S5'!T8+'Jeudi S5'!T8+'Vendredi S5'!T8+'Samedi S5'!T8</f>
        <v>0.6</v>
      </c>
      <c r="U8" s="62">
        <f>+'Luindi S5'!U8+'Mardi S5'!U8+'Mercredi S5'!U8+'Jeudi S5'!U8+'Vendredi S5'!U8+'Samedi S5'!U8</f>
        <v>3.6</v>
      </c>
      <c r="V8" s="63">
        <f>+'Luindi S5'!V8+'Mardi S5'!V8+'Mercredi S5'!V8+'Jeudi S5'!V8+'Vendredi S5'!V8+'Samedi S5'!V8</f>
        <v>0.9</v>
      </c>
      <c r="W8" s="9">
        <f>+'Luindi S5'!W8+'Mardi S5'!W8+'Mercredi S5'!W8+'Jeudi S5'!W8+'Vendredi S5'!W8+'Samedi S5'!W8</f>
        <v>0</v>
      </c>
      <c r="X8" s="10">
        <f>+'Luindi S5'!X8+'Mardi S5'!X8+'Mercredi S5'!X8+'Jeudi S5'!X8+'Vendredi S5'!X8+'Samedi S5'!X8</f>
        <v>0</v>
      </c>
      <c r="Y8" s="10">
        <f>+'Luindi S5'!Y8+'Mardi S5'!Y8+'Mercredi S5'!Y8+'Jeudi S5'!Y8+'Vendredi S5'!Y8+'Samedi S5'!Y8</f>
        <v>0</v>
      </c>
      <c r="Z8" s="10">
        <f>+'Luindi S5'!Z8+'Mardi S5'!Z8+'Mercredi S5'!Z8+'Jeudi S5'!Z8+'Vendredi S5'!Z8+'Samedi S5'!Z8</f>
        <v>0</v>
      </c>
      <c r="AA8" s="11">
        <f>+'Luindi S5'!AA8+'Mardi S5'!AA8+'Mercredi S5'!AA8+'Jeudi S5'!AA8+'Vendredi S5'!AA8+'Samedi S5'!AA8</f>
        <v>0</v>
      </c>
      <c r="AB8" s="9">
        <f>+'Luindi S5'!AB8+'Mardi S5'!AB8+'Mercredi S5'!AB8+'Jeudi S5'!AB8+'Vendredi S5'!AB8+'Samedi S5'!AB8</f>
        <v>0</v>
      </c>
      <c r="AC8" s="10">
        <f>+'Luindi S5'!AC8+'Mardi S5'!AC8+'Mercredi S5'!AC8+'Jeudi S5'!AC8+'Vendredi S5'!AC8+'Samedi S5'!AC8</f>
        <v>0</v>
      </c>
      <c r="AD8" s="10">
        <f>+'Luindi S5'!AD8+'Mardi S5'!AD8+'Mercredi S5'!AD8+'Jeudi S5'!AD8+'Vendredi S5'!AD8+'Samedi S5'!AD8</f>
        <v>0</v>
      </c>
      <c r="AE8" s="10">
        <f>+'Luindi S5'!AE8+'Mardi S5'!AE8+'Mercredi S5'!AE8+'Jeudi S5'!AE8+'Vendredi S5'!AE8+'Samedi S5'!AE8</f>
        <v>0</v>
      </c>
      <c r="AF8" s="11">
        <f>+'Luindi S5'!AF8+'Mardi S5'!AF8+'Mercredi S5'!AF8+'Jeudi S5'!AF8+'Vendredi S5'!AF8+'Samedi S5'!AF8</f>
        <v>0</v>
      </c>
      <c r="AG8" s="9">
        <f>+'Luindi S5'!AG8+'Mardi S5'!AG8+'Mercredi S5'!AG8+'Jeudi S5'!AG8+'Vendredi S5'!AG8+'Samedi S5'!AG8</f>
        <v>0</v>
      </c>
      <c r="AH8" s="10">
        <f>+'Luindi S5'!AH8+'Mardi S5'!AH8+'Mercredi S5'!AH8+'Jeudi S5'!AH8+'Vendredi S5'!AH8+'Samedi S5'!AH8</f>
        <v>0</v>
      </c>
      <c r="AI8" s="10">
        <f>+'Luindi S5'!AI8+'Mardi S5'!AI8+'Mercredi S5'!AI8+'Jeudi S5'!AI8+'Vendredi S5'!AI8+'Samedi S5'!AI8</f>
        <v>0</v>
      </c>
      <c r="AJ8" s="10">
        <f>+'Luindi S5'!AJ8+'Mardi S5'!AJ8+'Mercredi S5'!AJ8+'Jeudi S5'!AJ8+'Vendredi S5'!AJ8+'Samedi S5'!AJ8</f>
        <v>0</v>
      </c>
      <c r="AK8" s="11">
        <f>+'Luindi S5'!AK8+'Mardi S5'!AK8+'Mercredi S5'!AK8+'Jeudi S5'!AK8+'Vendredi S5'!AK8+'Samedi S5'!AK8</f>
        <v>0</v>
      </c>
      <c r="AL8" s="9">
        <f>+'Luindi S5'!AL8+'Mardi S5'!AL8+'Mercredi S5'!AL8+'Jeudi S5'!AL8+'Vendredi S5'!AL8+'Samedi S5'!AL8</f>
        <v>0</v>
      </c>
      <c r="AM8" s="10">
        <f>+'Luindi S5'!AM8+'Mardi S5'!AM8+'Mercredi S5'!AM8+'Jeudi S5'!AM8+'Vendredi S5'!AM8+'Samedi S5'!AM8</f>
        <v>0</v>
      </c>
      <c r="AN8" s="10">
        <f>+'Luindi S5'!AN8+'Mardi S5'!AN8+'Mercredi S5'!AN8+'Jeudi S5'!AN8+'Vendredi S5'!AN8+'Samedi S5'!AN8</f>
        <v>0</v>
      </c>
      <c r="AO8" s="10">
        <f>+'Luindi S5'!AO8+'Mardi S5'!AO8+'Mercredi S5'!AO8+'Jeudi S5'!AO8+'Vendredi S5'!AO8+'Samedi S5'!AO8</f>
        <v>0</v>
      </c>
      <c r="AP8" s="11">
        <f>+'Luindi S5'!AP8+'Mardi S5'!AP8+'Mercredi S5'!AP8+'Jeudi S5'!AP8+'Vendredi S5'!AP8+'Samedi S5'!AP8</f>
        <v>0</v>
      </c>
      <c r="AQ8" s="9">
        <f>+'Luindi S5'!AQ8+'Mardi S5'!AQ8+'Mercredi S5'!AQ8+'Jeudi S5'!AQ8+'Vendredi S5'!AQ8+'Samedi S5'!AQ8</f>
        <v>0</v>
      </c>
      <c r="AR8" s="10">
        <f>+'Luindi S5'!AR8+'Mardi S5'!AR8+'Mercredi S5'!AR8+'Jeudi S5'!AR8+'Vendredi S5'!AR8+'Samedi S5'!AR8</f>
        <v>0</v>
      </c>
      <c r="AS8" s="11">
        <f>+'Luindi S5'!AS8+'Mardi S5'!AS8+'Mercredi S5'!AS8+'Jeudi S5'!AS8+'Vendredi S5'!AS8+'Samedi S5'!AS8</f>
        <v>0</v>
      </c>
      <c r="AT8" s="21"/>
      <c r="AU8" s="14"/>
    </row>
    <row r="9" spans="1:47" ht="31.9" customHeight="1" x14ac:dyDescent="0.2">
      <c r="A9" s="26">
        <v>3</v>
      </c>
      <c r="B9" s="19"/>
      <c r="C9" s="9">
        <f>+'Luindi S5'!C9+'Mardi S5'!C9+'Mercredi S5'!C9+'Jeudi S5'!C9+'Vendredi S5'!C9+'Samedi S5'!C9</f>
        <v>90</v>
      </c>
      <c r="D9" s="10">
        <f>+'Luindi S5'!D9+'Mardi S5'!D9+'Mercredi S5'!D9+'Jeudi S5'!D9+'Vendredi S5'!D9+'Samedi S5'!D9</f>
        <v>18</v>
      </c>
      <c r="E9" s="10">
        <f>+'Luindi S5'!E9+'Mardi S5'!E9+'Mercredi S5'!E9+'Jeudi S5'!E9+'Vendredi S5'!E9+'Samedi S5'!E9</f>
        <v>30</v>
      </c>
      <c r="F9" s="10">
        <f>+'Luindi S5'!F9+'Mardi S5'!F9+'Mercredi S5'!F9+'Jeudi S5'!F9+'Vendredi S5'!F9+'Samedi S5'!F9</f>
        <v>12</v>
      </c>
      <c r="G9" s="11">
        <f>+'Luindi S5'!G9+'Mardi S5'!G9+'Mercredi S5'!G9+'Jeudi S5'!G9+'Vendredi S5'!G9+'Samedi S5'!G9</f>
        <v>30</v>
      </c>
      <c r="H9" s="9">
        <f>+'Luindi S5'!H9+'Mardi S5'!H9+'Mercredi S5'!H9+'Jeudi S5'!H9+'Vendredi S5'!H9+'Samedi S5'!H9</f>
        <v>18</v>
      </c>
      <c r="I9" s="10">
        <f>+'Luindi S5'!I9+'Mardi S5'!I9+'Mercredi S5'!I9+'Jeudi S5'!I9+'Vendredi S5'!I9+'Samedi S5'!I9</f>
        <v>6</v>
      </c>
      <c r="J9" s="10">
        <f>+'Luindi S5'!J9+'Mardi S5'!J9+'Mercredi S5'!J9+'Jeudi S5'!J9+'Vendredi S5'!J9+'Samedi S5'!J9</f>
        <v>6</v>
      </c>
      <c r="K9" s="10">
        <f>+'Luindi S5'!K9+'Mardi S5'!K9+'Mercredi S5'!K9+'Jeudi S5'!K9+'Vendredi S5'!K9+'Samedi S5'!K9</f>
        <v>6</v>
      </c>
      <c r="L9" s="11">
        <f>+'Luindi S5'!L9+'Mardi S5'!L9+'Mercredi S5'!L9+'Jeudi S5'!L9+'Vendredi S5'!L9+'Samedi S5'!L9</f>
        <v>6</v>
      </c>
      <c r="M9" s="9">
        <f>+'Luindi S5'!M9+'Mardi S5'!M9+'Mercredi S5'!M9+'Jeudi S5'!M9+'Vendredi S5'!M9+'Samedi S5'!M9</f>
        <v>18</v>
      </c>
      <c r="N9" s="10">
        <f>+'Luindi S5'!N9+'Mardi S5'!N9+'Mercredi S5'!N9+'Jeudi S5'!N9+'Vendredi S5'!N9+'Samedi S5'!N9</f>
        <v>6</v>
      </c>
      <c r="O9" s="10">
        <f>+'Luindi S5'!O9+'Mardi S5'!O9+'Mercredi S5'!O9+'Jeudi S5'!O9+'Vendredi S5'!O9+'Samedi S5'!O9</f>
        <v>18</v>
      </c>
      <c r="P9" s="10">
        <f>+'Luindi S5'!P9+'Mardi S5'!P9+'Mercredi S5'!P9+'Jeudi S5'!P9+'Vendredi S5'!P9+'Samedi S5'!P9</f>
        <v>0</v>
      </c>
      <c r="Q9" s="11">
        <f>+'Luindi S5'!Q9+'Mardi S5'!Q9+'Mercredi S5'!Q9+'Jeudi S5'!Q9+'Vendredi S5'!Q9+'Samedi S5'!Q9</f>
        <v>0</v>
      </c>
      <c r="R9" s="61">
        <f>+'Luindi S5'!R9+'Mardi S5'!R9+'Mercredi S5'!R9+'Jeudi S5'!R9+'Vendredi S5'!R9+'Samedi S5'!R9</f>
        <v>3</v>
      </c>
      <c r="S9" s="62">
        <f>+'Luindi S5'!S9+'Mardi S5'!S9+'Mercredi S5'!S9+'Jeudi S5'!S9+'Vendredi S5'!S9+'Samedi S5'!S9</f>
        <v>0.99999999999999989</v>
      </c>
      <c r="T9" s="62">
        <f>+'Luindi S5'!T9+'Mardi S5'!T9+'Mercredi S5'!T9+'Jeudi S5'!T9+'Vendredi S5'!T9+'Samedi S5'!T9</f>
        <v>0.6</v>
      </c>
      <c r="U9" s="62">
        <f>+'Luindi S5'!U9+'Mardi S5'!U9+'Mercredi S5'!U9+'Jeudi S5'!U9+'Vendredi S5'!U9+'Samedi S5'!U9</f>
        <v>3.6</v>
      </c>
      <c r="V9" s="63">
        <f>+'Luindi S5'!V9+'Mardi S5'!V9+'Mercredi S5'!V9+'Jeudi S5'!V9+'Vendredi S5'!V9+'Samedi S5'!V9</f>
        <v>0.9</v>
      </c>
      <c r="W9" s="9">
        <f>+'Luindi S5'!W9+'Mardi S5'!W9+'Mercredi S5'!W9+'Jeudi S5'!W9+'Vendredi S5'!W9+'Samedi S5'!W9</f>
        <v>0</v>
      </c>
      <c r="X9" s="10">
        <f>+'Luindi S5'!X9+'Mardi S5'!X9+'Mercredi S5'!X9+'Jeudi S5'!X9+'Vendredi S5'!X9+'Samedi S5'!X9</f>
        <v>0</v>
      </c>
      <c r="Y9" s="10">
        <f>+'Luindi S5'!Y9+'Mardi S5'!Y9+'Mercredi S5'!Y9+'Jeudi S5'!Y9+'Vendredi S5'!Y9+'Samedi S5'!Y9</f>
        <v>0</v>
      </c>
      <c r="Z9" s="10">
        <f>+'Luindi S5'!Z9+'Mardi S5'!Z9+'Mercredi S5'!Z9+'Jeudi S5'!Z9+'Vendredi S5'!Z9+'Samedi S5'!Z9</f>
        <v>0</v>
      </c>
      <c r="AA9" s="11">
        <f>+'Luindi S5'!AA9+'Mardi S5'!AA9+'Mercredi S5'!AA9+'Jeudi S5'!AA9+'Vendredi S5'!AA9+'Samedi S5'!AA9</f>
        <v>0</v>
      </c>
      <c r="AB9" s="9">
        <f>+'Luindi S5'!AB9+'Mardi S5'!AB9+'Mercredi S5'!AB9+'Jeudi S5'!AB9+'Vendredi S5'!AB9+'Samedi S5'!AB9</f>
        <v>0</v>
      </c>
      <c r="AC9" s="10">
        <f>+'Luindi S5'!AC9+'Mardi S5'!AC9+'Mercredi S5'!AC9+'Jeudi S5'!AC9+'Vendredi S5'!AC9+'Samedi S5'!AC9</f>
        <v>0</v>
      </c>
      <c r="AD9" s="10">
        <f>+'Luindi S5'!AD9+'Mardi S5'!AD9+'Mercredi S5'!AD9+'Jeudi S5'!AD9+'Vendredi S5'!AD9+'Samedi S5'!AD9</f>
        <v>0</v>
      </c>
      <c r="AE9" s="10">
        <f>+'Luindi S5'!AE9+'Mardi S5'!AE9+'Mercredi S5'!AE9+'Jeudi S5'!AE9+'Vendredi S5'!AE9+'Samedi S5'!AE9</f>
        <v>0</v>
      </c>
      <c r="AF9" s="11">
        <f>+'Luindi S5'!AF9+'Mardi S5'!AF9+'Mercredi S5'!AF9+'Jeudi S5'!AF9+'Vendredi S5'!AF9+'Samedi S5'!AF9</f>
        <v>0</v>
      </c>
      <c r="AG9" s="9">
        <f>+'Luindi S5'!AG9+'Mardi S5'!AG9+'Mercredi S5'!AG9+'Jeudi S5'!AG9+'Vendredi S5'!AG9+'Samedi S5'!AG9</f>
        <v>0</v>
      </c>
      <c r="AH9" s="10">
        <f>+'Luindi S5'!AH9+'Mardi S5'!AH9+'Mercredi S5'!AH9+'Jeudi S5'!AH9+'Vendredi S5'!AH9+'Samedi S5'!AH9</f>
        <v>0</v>
      </c>
      <c r="AI9" s="10">
        <f>+'Luindi S5'!AI9+'Mardi S5'!AI9+'Mercredi S5'!AI9+'Jeudi S5'!AI9+'Vendredi S5'!AI9+'Samedi S5'!AI9</f>
        <v>0</v>
      </c>
      <c r="AJ9" s="10">
        <f>+'Luindi S5'!AJ9+'Mardi S5'!AJ9+'Mercredi S5'!AJ9+'Jeudi S5'!AJ9+'Vendredi S5'!AJ9+'Samedi S5'!AJ9</f>
        <v>0</v>
      </c>
      <c r="AK9" s="11">
        <f>+'Luindi S5'!AK9+'Mardi S5'!AK9+'Mercredi S5'!AK9+'Jeudi S5'!AK9+'Vendredi S5'!AK9+'Samedi S5'!AK9</f>
        <v>0</v>
      </c>
      <c r="AL9" s="9">
        <f>+'Luindi S5'!AL9+'Mardi S5'!AL9+'Mercredi S5'!AL9+'Jeudi S5'!AL9+'Vendredi S5'!AL9+'Samedi S5'!AL9</f>
        <v>0</v>
      </c>
      <c r="AM9" s="10">
        <f>+'Luindi S5'!AM9+'Mardi S5'!AM9+'Mercredi S5'!AM9+'Jeudi S5'!AM9+'Vendredi S5'!AM9+'Samedi S5'!AM9</f>
        <v>0</v>
      </c>
      <c r="AN9" s="10">
        <f>+'Luindi S5'!AN9+'Mardi S5'!AN9+'Mercredi S5'!AN9+'Jeudi S5'!AN9+'Vendredi S5'!AN9+'Samedi S5'!AN9</f>
        <v>0</v>
      </c>
      <c r="AO9" s="10">
        <f>+'Luindi S5'!AO9+'Mardi S5'!AO9+'Mercredi S5'!AO9+'Jeudi S5'!AO9+'Vendredi S5'!AO9+'Samedi S5'!AO9</f>
        <v>0</v>
      </c>
      <c r="AP9" s="11">
        <f>+'Luindi S5'!AP9+'Mardi S5'!AP9+'Mercredi S5'!AP9+'Jeudi S5'!AP9+'Vendredi S5'!AP9+'Samedi S5'!AP9</f>
        <v>0</v>
      </c>
      <c r="AQ9" s="9">
        <f>+'Luindi S5'!AQ9+'Mardi S5'!AQ9+'Mercredi S5'!AQ9+'Jeudi S5'!AQ9+'Vendredi S5'!AQ9+'Samedi S5'!AQ9</f>
        <v>0</v>
      </c>
      <c r="AR9" s="10">
        <f>+'Luindi S5'!AR9+'Mardi S5'!AR9+'Mercredi S5'!AR9+'Jeudi S5'!AR9+'Vendredi S5'!AR9+'Samedi S5'!AR9</f>
        <v>0</v>
      </c>
      <c r="AS9" s="11">
        <f>+'Luindi S5'!AS9+'Mardi S5'!AS9+'Mercredi S5'!AS9+'Jeudi S5'!AS9+'Vendredi S5'!AS9+'Samedi S5'!AS9</f>
        <v>0</v>
      </c>
      <c r="AT9" s="22"/>
      <c r="AU9" s="14"/>
    </row>
    <row r="10" spans="1:47" ht="31.9" customHeight="1" x14ac:dyDescent="0.2">
      <c r="A10" s="26">
        <v>4</v>
      </c>
      <c r="B10" s="19"/>
      <c r="C10" s="9">
        <f>+'Luindi S5'!C10+'Mardi S5'!C10+'Mercredi S5'!C10+'Jeudi S5'!C10+'Vendredi S5'!C10+'Samedi S5'!C10</f>
        <v>90</v>
      </c>
      <c r="D10" s="10">
        <f>+'Luindi S5'!D10+'Mardi S5'!D10+'Mercredi S5'!D10+'Jeudi S5'!D10+'Vendredi S5'!D10+'Samedi S5'!D10</f>
        <v>18</v>
      </c>
      <c r="E10" s="10">
        <f>+'Luindi S5'!E10+'Mardi S5'!E10+'Mercredi S5'!E10+'Jeudi S5'!E10+'Vendredi S5'!E10+'Samedi S5'!E10</f>
        <v>30</v>
      </c>
      <c r="F10" s="10">
        <f>+'Luindi S5'!F10+'Mardi S5'!F10+'Mercredi S5'!F10+'Jeudi S5'!F10+'Vendredi S5'!F10+'Samedi S5'!F10</f>
        <v>12</v>
      </c>
      <c r="G10" s="11">
        <f>+'Luindi S5'!G10+'Mardi S5'!G10+'Mercredi S5'!G10+'Jeudi S5'!G10+'Vendredi S5'!G10+'Samedi S5'!G10</f>
        <v>30</v>
      </c>
      <c r="H10" s="9">
        <f>+'Luindi S5'!H10+'Mardi S5'!H10+'Mercredi S5'!H10+'Jeudi S5'!H10+'Vendredi S5'!H10+'Samedi S5'!H10</f>
        <v>18</v>
      </c>
      <c r="I10" s="10">
        <f>+'Luindi S5'!I10+'Mardi S5'!I10+'Mercredi S5'!I10+'Jeudi S5'!I10+'Vendredi S5'!I10+'Samedi S5'!I10</f>
        <v>6</v>
      </c>
      <c r="J10" s="10">
        <f>+'Luindi S5'!J10+'Mardi S5'!J10+'Mercredi S5'!J10+'Jeudi S5'!J10+'Vendredi S5'!J10+'Samedi S5'!J10</f>
        <v>6</v>
      </c>
      <c r="K10" s="10">
        <f>+'Luindi S5'!K10+'Mardi S5'!K10+'Mercredi S5'!K10+'Jeudi S5'!K10+'Vendredi S5'!K10+'Samedi S5'!K10</f>
        <v>6</v>
      </c>
      <c r="L10" s="11">
        <f>+'Luindi S5'!L10+'Mardi S5'!L10+'Mercredi S5'!L10+'Jeudi S5'!L10+'Vendredi S5'!L10+'Samedi S5'!L10</f>
        <v>6</v>
      </c>
      <c r="M10" s="9">
        <f>+'Luindi S5'!M10+'Mardi S5'!M10+'Mercredi S5'!M10+'Jeudi S5'!M10+'Vendredi S5'!M10+'Samedi S5'!M10</f>
        <v>18</v>
      </c>
      <c r="N10" s="10">
        <f>+'Luindi S5'!N10+'Mardi S5'!N10+'Mercredi S5'!N10+'Jeudi S5'!N10+'Vendredi S5'!N10+'Samedi S5'!N10</f>
        <v>6</v>
      </c>
      <c r="O10" s="10">
        <f>+'Luindi S5'!O10+'Mardi S5'!O10+'Mercredi S5'!O10+'Jeudi S5'!O10+'Vendredi S5'!O10+'Samedi S5'!O10</f>
        <v>18</v>
      </c>
      <c r="P10" s="10">
        <f>+'Luindi S5'!P10+'Mardi S5'!P10+'Mercredi S5'!P10+'Jeudi S5'!P10+'Vendredi S5'!P10+'Samedi S5'!P10</f>
        <v>0</v>
      </c>
      <c r="Q10" s="11">
        <f>+'Luindi S5'!Q10+'Mardi S5'!Q10+'Mercredi S5'!Q10+'Jeudi S5'!Q10+'Vendredi S5'!Q10+'Samedi S5'!Q10</f>
        <v>0</v>
      </c>
      <c r="R10" s="61">
        <f>+'Luindi S5'!R10+'Mardi S5'!R10+'Mercredi S5'!R10+'Jeudi S5'!R10+'Vendredi S5'!R10+'Samedi S5'!R10</f>
        <v>3</v>
      </c>
      <c r="S10" s="62">
        <f>+'Luindi S5'!S10+'Mardi S5'!S10+'Mercredi S5'!S10+'Jeudi S5'!S10+'Vendredi S5'!S10+'Samedi S5'!S10</f>
        <v>0.99999999999999989</v>
      </c>
      <c r="T10" s="62">
        <f>+'Luindi S5'!T10+'Mardi S5'!T10+'Mercredi S5'!T10+'Jeudi S5'!T10+'Vendredi S5'!T10+'Samedi S5'!T10</f>
        <v>0.6</v>
      </c>
      <c r="U10" s="62">
        <f>+'Luindi S5'!U10+'Mardi S5'!U10+'Mercredi S5'!U10+'Jeudi S5'!U10+'Vendredi S5'!U10+'Samedi S5'!U10</f>
        <v>3.6</v>
      </c>
      <c r="V10" s="63">
        <f>+'Luindi S5'!V10+'Mardi S5'!V10+'Mercredi S5'!V10+'Jeudi S5'!V10+'Vendredi S5'!V10+'Samedi S5'!V10</f>
        <v>0.9</v>
      </c>
      <c r="W10" s="9">
        <f>+'Luindi S5'!W10+'Mardi S5'!W10+'Mercredi S5'!W10+'Jeudi S5'!W10+'Vendredi S5'!W10+'Samedi S5'!W10</f>
        <v>0</v>
      </c>
      <c r="X10" s="10">
        <f>+'Luindi S5'!X10+'Mardi S5'!X10+'Mercredi S5'!X10+'Jeudi S5'!X10+'Vendredi S5'!X10+'Samedi S5'!X10</f>
        <v>0</v>
      </c>
      <c r="Y10" s="10">
        <f>+'Luindi S5'!Y10+'Mardi S5'!Y10+'Mercredi S5'!Y10+'Jeudi S5'!Y10+'Vendredi S5'!Y10+'Samedi S5'!Y10</f>
        <v>0</v>
      </c>
      <c r="Z10" s="10">
        <f>+'Luindi S5'!Z10+'Mardi S5'!Z10+'Mercredi S5'!Z10+'Jeudi S5'!Z10+'Vendredi S5'!Z10+'Samedi S5'!Z10</f>
        <v>0</v>
      </c>
      <c r="AA10" s="11">
        <f>+'Luindi S5'!AA10+'Mardi S5'!AA10+'Mercredi S5'!AA10+'Jeudi S5'!AA10+'Vendredi S5'!AA10+'Samedi S5'!AA10</f>
        <v>0</v>
      </c>
      <c r="AB10" s="9">
        <f>+'Luindi S5'!AB10+'Mardi S5'!AB10+'Mercredi S5'!AB10+'Jeudi S5'!AB10+'Vendredi S5'!AB10+'Samedi S5'!AB10</f>
        <v>0</v>
      </c>
      <c r="AC10" s="10">
        <f>+'Luindi S5'!AC10+'Mardi S5'!AC10+'Mercredi S5'!AC10+'Jeudi S5'!AC10+'Vendredi S5'!AC10+'Samedi S5'!AC10</f>
        <v>0</v>
      </c>
      <c r="AD10" s="10">
        <f>+'Luindi S5'!AD10+'Mardi S5'!AD10+'Mercredi S5'!AD10+'Jeudi S5'!AD10+'Vendredi S5'!AD10+'Samedi S5'!AD10</f>
        <v>0</v>
      </c>
      <c r="AE10" s="10">
        <f>+'Luindi S5'!AE10+'Mardi S5'!AE10+'Mercredi S5'!AE10+'Jeudi S5'!AE10+'Vendredi S5'!AE10+'Samedi S5'!AE10</f>
        <v>0</v>
      </c>
      <c r="AF10" s="11">
        <f>+'Luindi S5'!AF10+'Mardi S5'!AF10+'Mercredi S5'!AF10+'Jeudi S5'!AF10+'Vendredi S5'!AF10+'Samedi S5'!AF10</f>
        <v>0</v>
      </c>
      <c r="AG10" s="9">
        <f>+'Luindi S5'!AG10+'Mardi S5'!AG10+'Mercredi S5'!AG10+'Jeudi S5'!AG10+'Vendredi S5'!AG10+'Samedi S5'!AG10</f>
        <v>0</v>
      </c>
      <c r="AH10" s="10">
        <f>+'Luindi S5'!AH10+'Mardi S5'!AH10+'Mercredi S5'!AH10+'Jeudi S5'!AH10+'Vendredi S5'!AH10+'Samedi S5'!AH10</f>
        <v>0</v>
      </c>
      <c r="AI10" s="10">
        <f>+'Luindi S5'!AI10+'Mardi S5'!AI10+'Mercredi S5'!AI10+'Jeudi S5'!AI10+'Vendredi S5'!AI10+'Samedi S5'!AI10</f>
        <v>0</v>
      </c>
      <c r="AJ10" s="10">
        <f>+'Luindi S5'!AJ10+'Mardi S5'!AJ10+'Mercredi S5'!AJ10+'Jeudi S5'!AJ10+'Vendredi S5'!AJ10+'Samedi S5'!AJ10</f>
        <v>0</v>
      </c>
      <c r="AK10" s="11">
        <f>+'Luindi S5'!AK10+'Mardi S5'!AK10+'Mercredi S5'!AK10+'Jeudi S5'!AK10+'Vendredi S5'!AK10+'Samedi S5'!AK10</f>
        <v>0</v>
      </c>
      <c r="AL10" s="9">
        <f>+'Luindi S5'!AL10+'Mardi S5'!AL10+'Mercredi S5'!AL10+'Jeudi S5'!AL10+'Vendredi S5'!AL10+'Samedi S5'!AL10</f>
        <v>0</v>
      </c>
      <c r="AM10" s="10">
        <f>+'Luindi S5'!AM10+'Mardi S5'!AM10+'Mercredi S5'!AM10+'Jeudi S5'!AM10+'Vendredi S5'!AM10+'Samedi S5'!AM10</f>
        <v>0</v>
      </c>
      <c r="AN10" s="10">
        <f>+'Luindi S5'!AN10+'Mardi S5'!AN10+'Mercredi S5'!AN10+'Jeudi S5'!AN10+'Vendredi S5'!AN10+'Samedi S5'!AN10</f>
        <v>0</v>
      </c>
      <c r="AO10" s="10">
        <f>+'Luindi S5'!AO10+'Mardi S5'!AO10+'Mercredi S5'!AO10+'Jeudi S5'!AO10+'Vendredi S5'!AO10+'Samedi S5'!AO10</f>
        <v>0</v>
      </c>
      <c r="AP10" s="11">
        <f>+'Luindi S5'!AP10+'Mardi S5'!AP10+'Mercredi S5'!AP10+'Jeudi S5'!AP10+'Vendredi S5'!AP10+'Samedi S5'!AP10</f>
        <v>0</v>
      </c>
      <c r="AQ10" s="9">
        <f>+'Luindi S5'!AQ10+'Mardi S5'!AQ10+'Mercredi S5'!AQ10+'Jeudi S5'!AQ10+'Vendredi S5'!AQ10+'Samedi S5'!AQ10</f>
        <v>0</v>
      </c>
      <c r="AR10" s="10">
        <f>+'Luindi S5'!AR10+'Mardi S5'!AR10+'Mercredi S5'!AR10+'Jeudi S5'!AR10+'Vendredi S5'!AR10+'Samedi S5'!AR10</f>
        <v>0</v>
      </c>
      <c r="AS10" s="11">
        <f>+'Luindi S5'!AS10+'Mardi S5'!AS10+'Mercredi S5'!AS10+'Jeudi S5'!AS10+'Vendredi S5'!AS10+'Samedi S5'!AS10</f>
        <v>0</v>
      </c>
      <c r="AT10" s="22"/>
      <c r="AU10" s="14"/>
    </row>
    <row r="11" spans="1:47" ht="31.9" customHeight="1" x14ac:dyDescent="0.2">
      <c r="A11" s="26">
        <v>5</v>
      </c>
      <c r="B11" s="19"/>
      <c r="C11" s="9">
        <f>+'Luindi S5'!C11+'Mardi S5'!C11+'Mercredi S5'!C11+'Jeudi S5'!C11+'Vendredi S5'!C11+'Samedi S5'!C11</f>
        <v>90</v>
      </c>
      <c r="D11" s="10">
        <f>+'Luindi S5'!D11+'Mardi S5'!D11+'Mercredi S5'!D11+'Jeudi S5'!D11+'Vendredi S5'!D11+'Samedi S5'!D11</f>
        <v>18</v>
      </c>
      <c r="E11" s="10">
        <f>+'Luindi S5'!E11+'Mardi S5'!E11+'Mercredi S5'!E11+'Jeudi S5'!E11+'Vendredi S5'!E11+'Samedi S5'!E11</f>
        <v>30</v>
      </c>
      <c r="F11" s="10">
        <f>+'Luindi S5'!F11+'Mardi S5'!F11+'Mercredi S5'!F11+'Jeudi S5'!F11+'Vendredi S5'!F11+'Samedi S5'!F11</f>
        <v>12</v>
      </c>
      <c r="G11" s="11">
        <f>+'Luindi S5'!G11+'Mardi S5'!G11+'Mercredi S5'!G11+'Jeudi S5'!G11+'Vendredi S5'!G11+'Samedi S5'!G11</f>
        <v>30</v>
      </c>
      <c r="H11" s="9">
        <f>+'Luindi S5'!H11+'Mardi S5'!H11+'Mercredi S5'!H11+'Jeudi S5'!H11+'Vendredi S5'!H11+'Samedi S5'!H11</f>
        <v>18</v>
      </c>
      <c r="I11" s="10">
        <f>+'Luindi S5'!I11+'Mardi S5'!I11+'Mercredi S5'!I11+'Jeudi S5'!I11+'Vendredi S5'!I11+'Samedi S5'!I11</f>
        <v>6</v>
      </c>
      <c r="J11" s="10">
        <f>+'Luindi S5'!J11+'Mardi S5'!J11+'Mercredi S5'!J11+'Jeudi S5'!J11+'Vendredi S5'!J11+'Samedi S5'!J11</f>
        <v>6</v>
      </c>
      <c r="K11" s="10">
        <f>+'Luindi S5'!K11+'Mardi S5'!K11+'Mercredi S5'!K11+'Jeudi S5'!K11+'Vendredi S5'!K11+'Samedi S5'!K11</f>
        <v>6</v>
      </c>
      <c r="L11" s="11">
        <f>+'Luindi S5'!L11+'Mardi S5'!L11+'Mercredi S5'!L11+'Jeudi S5'!L11+'Vendredi S5'!L11+'Samedi S5'!L11</f>
        <v>6</v>
      </c>
      <c r="M11" s="9">
        <f>+'Luindi S5'!M11+'Mardi S5'!M11+'Mercredi S5'!M11+'Jeudi S5'!M11+'Vendredi S5'!M11+'Samedi S5'!M11</f>
        <v>18</v>
      </c>
      <c r="N11" s="10">
        <f>+'Luindi S5'!N11+'Mardi S5'!N11+'Mercredi S5'!N11+'Jeudi S5'!N11+'Vendredi S5'!N11+'Samedi S5'!N11</f>
        <v>6</v>
      </c>
      <c r="O11" s="10">
        <f>+'Luindi S5'!O11+'Mardi S5'!O11+'Mercredi S5'!O11+'Jeudi S5'!O11+'Vendredi S5'!O11+'Samedi S5'!O11</f>
        <v>18</v>
      </c>
      <c r="P11" s="10">
        <f>+'Luindi S5'!P11+'Mardi S5'!P11+'Mercredi S5'!P11+'Jeudi S5'!P11+'Vendredi S5'!P11+'Samedi S5'!P11</f>
        <v>0</v>
      </c>
      <c r="Q11" s="11">
        <f>+'Luindi S5'!Q11+'Mardi S5'!Q11+'Mercredi S5'!Q11+'Jeudi S5'!Q11+'Vendredi S5'!Q11+'Samedi S5'!Q11</f>
        <v>0</v>
      </c>
      <c r="R11" s="61">
        <f>+'Luindi S5'!R11+'Mardi S5'!R11+'Mercredi S5'!R11+'Jeudi S5'!R11+'Vendredi S5'!R11+'Samedi S5'!R11</f>
        <v>3</v>
      </c>
      <c r="S11" s="62">
        <f>+'Luindi S5'!S11+'Mardi S5'!S11+'Mercredi S5'!S11+'Jeudi S5'!S11+'Vendredi S5'!S11+'Samedi S5'!S11</f>
        <v>0.99999999999999989</v>
      </c>
      <c r="T11" s="62">
        <f>+'Luindi S5'!T11+'Mardi S5'!T11+'Mercredi S5'!T11+'Jeudi S5'!T11+'Vendredi S5'!T11+'Samedi S5'!T11</f>
        <v>0.6</v>
      </c>
      <c r="U11" s="62">
        <f>+'Luindi S5'!U11+'Mardi S5'!U11+'Mercredi S5'!U11+'Jeudi S5'!U11+'Vendredi S5'!U11+'Samedi S5'!U11</f>
        <v>3.6</v>
      </c>
      <c r="V11" s="63">
        <f>+'Luindi S5'!V11+'Mardi S5'!V11+'Mercredi S5'!V11+'Jeudi S5'!V11+'Vendredi S5'!V11+'Samedi S5'!V11</f>
        <v>0.9</v>
      </c>
      <c r="W11" s="9">
        <f>+'Luindi S5'!W11+'Mardi S5'!W11+'Mercredi S5'!W11+'Jeudi S5'!W11+'Vendredi S5'!W11+'Samedi S5'!W11</f>
        <v>0</v>
      </c>
      <c r="X11" s="10">
        <f>+'Luindi S5'!X11+'Mardi S5'!X11+'Mercredi S5'!X11+'Jeudi S5'!X11+'Vendredi S5'!X11+'Samedi S5'!X11</f>
        <v>0</v>
      </c>
      <c r="Y11" s="10">
        <f>+'Luindi S5'!Y11+'Mardi S5'!Y11+'Mercredi S5'!Y11+'Jeudi S5'!Y11+'Vendredi S5'!Y11+'Samedi S5'!Y11</f>
        <v>0</v>
      </c>
      <c r="Z11" s="10">
        <f>+'Luindi S5'!Z11+'Mardi S5'!Z11+'Mercredi S5'!Z11+'Jeudi S5'!Z11+'Vendredi S5'!Z11+'Samedi S5'!Z11</f>
        <v>0</v>
      </c>
      <c r="AA11" s="11">
        <f>+'Luindi S5'!AA11+'Mardi S5'!AA11+'Mercredi S5'!AA11+'Jeudi S5'!AA11+'Vendredi S5'!AA11+'Samedi S5'!AA11</f>
        <v>0</v>
      </c>
      <c r="AB11" s="9">
        <f>+'Luindi S5'!AB11+'Mardi S5'!AB11+'Mercredi S5'!AB11+'Jeudi S5'!AB11+'Vendredi S5'!AB11+'Samedi S5'!AB11</f>
        <v>0</v>
      </c>
      <c r="AC11" s="10">
        <f>+'Luindi S5'!AC11+'Mardi S5'!AC11+'Mercredi S5'!AC11+'Jeudi S5'!AC11+'Vendredi S5'!AC11+'Samedi S5'!AC11</f>
        <v>0</v>
      </c>
      <c r="AD11" s="10">
        <f>+'Luindi S5'!AD11+'Mardi S5'!AD11+'Mercredi S5'!AD11+'Jeudi S5'!AD11+'Vendredi S5'!AD11+'Samedi S5'!AD11</f>
        <v>0</v>
      </c>
      <c r="AE11" s="10">
        <f>+'Luindi S5'!AE11+'Mardi S5'!AE11+'Mercredi S5'!AE11+'Jeudi S5'!AE11+'Vendredi S5'!AE11+'Samedi S5'!AE11</f>
        <v>0</v>
      </c>
      <c r="AF11" s="11">
        <f>+'Luindi S5'!AF11+'Mardi S5'!AF11+'Mercredi S5'!AF11+'Jeudi S5'!AF11+'Vendredi S5'!AF11+'Samedi S5'!AF11</f>
        <v>0</v>
      </c>
      <c r="AG11" s="9">
        <f>+'Luindi S5'!AG11+'Mardi S5'!AG11+'Mercredi S5'!AG11+'Jeudi S5'!AG11+'Vendredi S5'!AG11+'Samedi S5'!AG11</f>
        <v>0</v>
      </c>
      <c r="AH11" s="10">
        <f>+'Luindi S5'!AH11+'Mardi S5'!AH11+'Mercredi S5'!AH11+'Jeudi S5'!AH11+'Vendredi S5'!AH11+'Samedi S5'!AH11</f>
        <v>0</v>
      </c>
      <c r="AI11" s="10">
        <f>+'Luindi S5'!AI11+'Mardi S5'!AI11+'Mercredi S5'!AI11+'Jeudi S5'!AI11+'Vendredi S5'!AI11+'Samedi S5'!AI11</f>
        <v>0</v>
      </c>
      <c r="AJ11" s="10">
        <f>+'Luindi S5'!AJ11+'Mardi S5'!AJ11+'Mercredi S5'!AJ11+'Jeudi S5'!AJ11+'Vendredi S5'!AJ11+'Samedi S5'!AJ11</f>
        <v>0</v>
      </c>
      <c r="AK11" s="11">
        <f>+'Luindi S5'!AK11+'Mardi S5'!AK11+'Mercredi S5'!AK11+'Jeudi S5'!AK11+'Vendredi S5'!AK11+'Samedi S5'!AK11</f>
        <v>0</v>
      </c>
      <c r="AL11" s="9">
        <f>+'Luindi S5'!AL11+'Mardi S5'!AL11+'Mercredi S5'!AL11+'Jeudi S5'!AL11+'Vendredi S5'!AL11+'Samedi S5'!AL11</f>
        <v>0</v>
      </c>
      <c r="AM11" s="10">
        <f>+'Luindi S5'!AM11+'Mardi S5'!AM11+'Mercredi S5'!AM11+'Jeudi S5'!AM11+'Vendredi S5'!AM11+'Samedi S5'!AM11</f>
        <v>0</v>
      </c>
      <c r="AN11" s="10">
        <f>+'Luindi S5'!AN11+'Mardi S5'!AN11+'Mercredi S5'!AN11+'Jeudi S5'!AN11+'Vendredi S5'!AN11+'Samedi S5'!AN11</f>
        <v>0</v>
      </c>
      <c r="AO11" s="10">
        <f>+'Luindi S5'!AO11+'Mardi S5'!AO11+'Mercredi S5'!AO11+'Jeudi S5'!AO11+'Vendredi S5'!AO11+'Samedi S5'!AO11</f>
        <v>0</v>
      </c>
      <c r="AP11" s="11">
        <f>+'Luindi S5'!AP11+'Mardi S5'!AP11+'Mercredi S5'!AP11+'Jeudi S5'!AP11+'Vendredi S5'!AP11+'Samedi S5'!AP11</f>
        <v>0</v>
      </c>
      <c r="AQ11" s="9">
        <f>+'Luindi S5'!AQ11+'Mardi S5'!AQ11+'Mercredi S5'!AQ11+'Jeudi S5'!AQ11+'Vendredi S5'!AQ11+'Samedi S5'!AQ11</f>
        <v>0</v>
      </c>
      <c r="AR11" s="10">
        <f>+'Luindi S5'!AR11+'Mardi S5'!AR11+'Mercredi S5'!AR11+'Jeudi S5'!AR11+'Vendredi S5'!AR11+'Samedi S5'!AR11</f>
        <v>0</v>
      </c>
      <c r="AS11" s="11">
        <f>+'Luindi S5'!AS11+'Mardi S5'!AS11+'Mercredi S5'!AS11+'Jeudi S5'!AS11+'Vendredi S5'!AS11+'Samedi S5'!AS11</f>
        <v>0</v>
      </c>
      <c r="AT11" s="22"/>
      <c r="AU11" s="14"/>
    </row>
    <row r="12" spans="1:47" ht="31.9" customHeight="1" x14ac:dyDescent="0.2">
      <c r="A12" s="26">
        <v>6</v>
      </c>
      <c r="B12" s="19"/>
      <c r="C12" s="9">
        <f>+'Luindi S5'!C12+'Mardi S5'!C12+'Mercredi S5'!C12+'Jeudi S5'!C12+'Vendredi S5'!C12+'Samedi S5'!C12</f>
        <v>90</v>
      </c>
      <c r="D12" s="10">
        <f>+'Luindi S5'!D12+'Mardi S5'!D12+'Mercredi S5'!D12+'Jeudi S5'!D12+'Vendredi S5'!D12+'Samedi S5'!D12</f>
        <v>18</v>
      </c>
      <c r="E12" s="10">
        <f>+'Luindi S5'!E12+'Mardi S5'!E12+'Mercredi S5'!E12+'Jeudi S5'!E12+'Vendredi S5'!E12+'Samedi S5'!E12</f>
        <v>30</v>
      </c>
      <c r="F12" s="10">
        <f>+'Luindi S5'!F12+'Mardi S5'!F12+'Mercredi S5'!F12+'Jeudi S5'!F12+'Vendredi S5'!F12+'Samedi S5'!F12</f>
        <v>12</v>
      </c>
      <c r="G12" s="11">
        <f>+'Luindi S5'!G12+'Mardi S5'!G12+'Mercredi S5'!G12+'Jeudi S5'!G12+'Vendredi S5'!G12+'Samedi S5'!G12</f>
        <v>30</v>
      </c>
      <c r="H12" s="9">
        <f>+'Luindi S5'!H12+'Mardi S5'!H12+'Mercredi S5'!H12+'Jeudi S5'!H12+'Vendredi S5'!H12+'Samedi S5'!H12</f>
        <v>18</v>
      </c>
      <c r="I12" s="10">
        <f>+'Luindi S5'!I12+'Mardi S5'!I12+'Mercredi S5'!I12+'Jeudi S5'!I12+'Vendredi S5'!I12+'Samedi S5'!I12</f>
        <v>6</v>
      </c>
      <c r="J12" s="10">
        <f>+'Luindi S5'!J12+'Mardi S5'!J12+'Mercredi S5'!J12+'Jeudi S5'!J12+'Vendredi S5'!J12+'Samedi S5'!J12</f>
        <v>6</v>
      </c>
      <c r="K12" s="10">
        <f>+'Luindi S5'!K12+'Mardi S5'!K12+'Mercredi S5'!K12+'Jeudi S5'!K12+'Vendredi S5'!K12+'Samedi S5'!K12</f>
        <v>6</v>
      </c>
      <c r="L12" s="11">
        <f>+'Luindi S5'!L12+'Mardi S5'!L12+'Mercredi S5'!L12+'Jeudi S5'!L12+'Vendredi S5'!L12+'Samedi S5'!L12</f>
        <v>6</v>
      </c>
      <c r="M12" s="9">
        <f>+'Luindi S5'!M12+'Mardi S5'!M12+'Mercredi S5'!M12+'Jeudi S5'!M12+'Vendredi S5'!M12+'Samedi S5'!M12</f>
        <v>18</v>
      </c>
      <c r="N12" s="10">
        <f>+'Luindi S5'!N12+'Mardi S5'!N12+'Mercredi S5'!N12+'Jeudi S5'!N12+'Vendredi S5'!N12+'Samedi S5'!N12</f>
        <v>6</v>
      </c>
      <c r="O12" s="10">
        <f>+'Luindi S5'!O12+'Mardi S5'!O12+'Mercredi S5'!O12+'Jeudi S5'!O12+'Vendredi S5'!O12+'Samedi S5'!O12</f>
        <v>18</v>
      </c>
      <c r="P12" s="10">
        <f>+'Luindi S5'!P12+'Mardi S5'!P12+'Mercredi S5'!P12+'Jeudi S5'!P12+'Vendredi S5'!P12+'Samedi S5'!P12</f>
        <v>0</v>
      </c>
      <c r="Q12" s="11">
        <f>+'Luindi S5'!Q12+'Mardi S5'!Q12+'Mercredi S5'!Q12+'Jeudi S5'!Q12+'Vendredi S5'!Q12+'Samedi S5'!Q12</f>
        <v>0</v>
      </c>
      <c r="R12" s="61">
        <f>+'Luindi S5'!R12+'Mardi S5'!R12+'Mercredi S5'!R12+'Jeudi S5'!R12+'Vendredi S5'!R12+'Samedi S5'!R12</f>
        <v>3</v>
      </c>
      <c r="S12" s="62">
        <f>+'Luindi S5'!S12+'Mardi S5'!S12+'Mercredi S5'!S12+'Jeudi S5'!S12+'Vendredi S5'!S12+'Samedi S5'!S12</f>
        <v>0.99999999999999989</v>
      </c>
      <c r="T12" s="62">
        <f>+'Luindi S5'!T12+'Mardi S5'!T12+'Mercredi S5'!T12+'Jeudi S5'!T12+'Vendredi S5'!T12+'Samedi S5'!T12</f>
        <v>0.6</v>
      </c>
      <c r="U12" s="62">
        <f>+'Luindi S5'!U12+'Mardi S5'!U12+'Mercredi S5'!U12+'Jeudi S5'!U12+'Vendredi S5'!U12+'Samedi S5'!U12</f>
        <v>3.6</v>
      </c>
      <c r="V12" s="63">
        <f>+'Luindi S5'!V12+'Mardi S5'!V12+'Mercredi S5'!V12+'Jeudi S5'!V12+'Vendredi S5'!V12+'Samedi S5'!V12</f>
        <v>0.9</v>
      </c>
      <c r="W12" s="9">
        <f>+'Luindi S5'!W12+'Mardi S5'!W12+'Mercredi S5'!W12+'Jeudi S5'!W12+'Vendredi S5'!W12+'Samedi S5'!W12</f>
        <v>0</v>
      </c>
      <c r="X12" s="10">
        <f>+'Luindi S5'!X12+'Mardi S5'!X12+'Mercredi S5'!X12+'Jeudi S5'!X12+'Vendredi S5'!X12+'Samedi S5'!X12</f>
        <v>0</v>
      </c>
      <c r="Y12" s="10">
        <f>+'Luindi S5'!Y12+'Mardi S5'!Y12+'Mercredi S5'!Y12+'Jeudi S5'!Y12+'Vendredi S5'!Y12+'Samedi S5'!Y12</f>
        <v>0</v>
      </c>
      <c r="Z12" s="10">
        <f>+'Luindi S5'!Z12+'Mardi S5'!Z12+'Mercredi S5'!Z12+'Jeudi S5'!Z12+'Vendredi S5'!Z12+'Samedi S5'!Z12</f>
        <v>0</v>
      </c>
      <c r="AA12" s="11">
        <f>+'Luindi S5'!AA12+'Mardi S5'!AA12+'Mercredi S5'!AA12+'Jeudi S5'!AA12+'Vendredi S5'!AA12+'Samedi S5'!AA12</f>
        <v>0</v>
      </c>
      <c r="AB12" s="9">
        <f>+'Luindi S5'!AB12+'Mardi S5'!AB12+'Mercredi S5'!AB12+'Jeudi S5'!AB12+'Vendredi S5'!AB12+'Samedi S5'!AB12</f>
        <v>0</v>
      </c>
      <c r="AC12" s="10">
        <f>+'Luindi S5'!AC12+'Mardi S5'!AC12+'Mercredi S5'!AC12+'Jeudi S5'!AC12+'Vendredi S5'!AC12+'Samedi S5'!AC12</f>
        <v>0</v>
      </c>
      <c r="AD12" s="10">
        <f>+'Luindi S5'!AD12+'Mardi S5'!AD12+'Mercredi S5'!AD12+'Jeudi S5'!AD12+'Vendredi S5'!AD12+'Samedi S5'!AD12</f>
        <v>0</v>
      </c>
      <c r="AE12" s="10">
        <f>+'Luindi S5'!AE12+'Mardi S5'!AE12+'Mercredi S5'!AE12+'Jeudi S5'!AE12+'Vendredi S5'!AE12+'Samedi S5'!AE12</f>
        <v>0</v>
      </c>
      <c r="AF12" s="11">
        <f>+'Luindi S5'!AF12+'Mardi S5'!AF12+'Mercredi S5'!AF12+'Jeudi S5'!AF12+'Vendredi S5'!AF12+'Samedi S5'!AF12</f>
        <v>0</v>
      </c>
      <c r="AG12" s="9">
        <f>+'Luindi S5'!AG12+'Mardi S5'!AG12+'Mercredi S5'!AG12+'Jeudi S5'!AG12+'Vendredi S5'!AG12+'Samedi S5'!AG12</f>
        <v>0</v>
      </c>
      <c r="AH12" s="10">
        <f>+'Luindi S5'!AH12+'Mardi S5'!AH12+'Mercredi S5'!AH12+'Jeudi S5'!AH12+'Vendredi S5'!AH12+'Samedi S5'!AH12</f>
        <v>0</v>
      </c>
      <c r="AI12" s="10">
        <f>+'Luindi S5'!AI12+'Mardi S5'!AI12+'Mercredi S5'!AI12+'Jeudi S5'!AI12+'Vendredi S5'!AI12+'Samedi S5'!AI12</f>
        <v>0</v>
      </c>
      <c r="AJ12" s="10">
        <f>+'Luindi S5'!AJ12+'Mardi S5'!AJ12+'Mercredi S5'!AJ12+'Jeudi S5'!AJ12+'Vendredi S5'!AJ12+'Samedi S5'!AJ12</f>
        <v>0</v>
      </c>
      <c r="AK12" s="11">
        <f>+'Luindi S5'!AK12+'Mardi S5'!AK12+'Mercredi S5'!AK12+'Jeudi S5'!AK12+'Vendredi S5'!AK12+'Samedi S5'!AK12</f>
        <v>0</v>
      </c>
      <c r="AL12" s="9">
        <f>+'Luindi S5'!AL12+'Mardi S5'!AL12+'Mercredi S5'!AL12+'Jeudi S5'!AL12+'Vendredi S5'!AL12+'Samedi S5'!AL12</f>
        <v>0</v>
      </c>
      <c r="AM12" s="10">
        <f>+'Luindi S5'!AM12+'Mardi S5'!AM12+'Mercredi S5'!AM12+'Jeudi S5'!AM12+'Vendredi S5'!AM12+'Samedi S5'!AM12</f>
        <v>0</v>
      </c>
      <c r="AN12" s="10">
        <f>+'Luindi S5'!AN12+'Mardi S5'!AN12+'Mercredi S5'!AN12+'Jeudi S5'!AN12+'Vendredi S5'!AN12+'Samedi S5'!AN12</f>
        <v>0</v>
      </c>
      <c r="AO12" s="10">
        <f>+'Luindi S5'!AO12+'Mardi S5'!AO12+'Mercredi S5'!AO12+'Jeudi S5'!AO12+'Vendredi S5'!AO12+'Samedi S5'!AO12</f>
        <v>0</v>
      </c>
      <c r="AP12" s="11">
        <f>+'Luindi S5'!AP12+'Mardi S5'!AP12+'Mercredi S5'!AP12+'Jeudi S5'!AP12+'Vendredi S5'!AP12+'Samedi S5'!AP12</f>
        <v>0</v>
      </c>
      <c r="AQ12" s="9">
        <f>+'Luindi S5'!AQ12+'Mardi S5'!AQ12+'Mercredi S5'!AQ12+'Jeudi S5'!AQ12+'Vendredi S5'!AQ12+'Samedi S5'!AQ12</f>
        <v>0</v>
      </c>
      <c r="AR12" s="10">
        <f>+'Luindi S5'!AR12+'Mardi S5'!AR12+'Mercredi S5'!AR12+'Jeudi S5'!AR12+'Vendredi S5'!AR12+'Samedi S5'!AR12</f>
        <v>0</v>
      </c>
      <c r="AS12" s="11">
        <f>+'Luindi S5'!AS12+'Mardi S5'!AS12+'Mercredi S5'!AS12+'Jeudi S5'!AS12+'Vendredi S5'!AS12+'Samedi S5'!AS12</f>
        <v>0</v>
      </c>
      <c r="AT12" s="22"/>
      <c r="AU12" s="14"/>
    </row>
    <row r="13" spans="1:47" ht="31.9" customHeight="1" x14ac:dyDescent="0.2">
      <c r="A13" s="26">
        <v>7</v>
      </c>
      <c r="B13" s="19"/>
      <c r="C13" s="9">
        <f>+'Luindi S5'!C13+'Mardi S5'!C13+'Mercredi S5'!C13+'Jeudi S5'!C13+'Vendredi S5'!C13+'Samedi S5'!C13</f>
        <v>90</v>
      </c>
      <c r="D13" s="10">
        <f>+'Luindi S5'!D13+'Mardi S5'!D13+'Mercredi S5'!D13+'Jeudi S5'!D13+'Vendredi S5'!D13+'Samedi S5'!D13</f>
        <v>18</v>
      </c>
      <c r="E13" s="10">
        <f>+'Luindi S5'!E13+'Mardi S5'!E13+'Mercredi S5'!E13+'Jeudi S5'!E13+'Vendredi S5'!E13+'Samedi S5'!E13</f>
        <v>30</v>
      </c>
      <c r="F13" s="10">
        <f>+'Luindi S5'!F13+'Mardi S5'!F13+'Mercredi S5'!F13+'Jeudi S5'!F13+'Vendredi S5'!F13+'Samedi S5'!F13</f>
        <v>12</v>
      </c>
      <c r="G13" s="11">
        <f>+'Luindi S5'!G13+'Mardi S5'!G13+'Mercredi S5'!G13+'Jeudi S5'!G13+'Vendredi S5'!G13+'Samedi S5'!G13</f>
        <v>30</v>
      </c>
      <c r="H13" s="9">
        <f>+'Luindi S5'!H13+'Mardi S5'!H13+'Mercredi S5'!H13+'Jeudi S5'!H13+'Vendredi S5'!H13+'Samedi S5'!H13</f>
        <v>18</v>
      </c>
      <c r="I13" s="10">
        <f>+'Luindi S5'!I13+'Mardi S5'!I13+'Mercredi S5'!I13+'Jeudi S5'!I13+'Vendredi S5'!I13+'Samedi S5'!I13</f>
        <v>6</v>
      </c>
      <c r="J13" s="10">
        <f>+'Luindi S5'!J13+'Mardi S5'!J13+'Mercredi S5'!J13+'Jeudi S5'!J13+'Vendredi S5'!J13+'Samedi S5'!J13</f>
        <v>6</v>
      </c>
      <c r="K13" s="10">
        <f>+'Luindi S5'!K13+'Mardi S5'!K13+'Mercredi S5'!K13+'Jeudi S5'!K13+'Vendredi S5'!K13+'Samedi S5'!K13</f>
        <v>6</v>
      </c>
      <c r="L13" s="11">
        <f>+'Luindi S5'!L13+'Mardi S5'!L13+'Mercredi S5'!L13+'Jeudi S5'!L13+'Vendredi S5'!L13+'Samedi S5'!L13</f>
        <v>6</v>
      </c>
      <c r="M13" s="9">
        <f>+'Luindi S5'!M13+'Mardi S5'!M13+'Mercredi S5'!M13+'Jeudi S5'!M13+'Vendredi S5'!M13+'Samedi S5'!M13</f>
        <v>18</v>
      </c>
      <c r="N13" s="10">
        <f>+'Luindi S5'!N13+'Mardi S5'!N13+'Mercredi S5'!N13+'Jeudi S5'!N13+'Vendredi S5'!N13+'Samedi S5'!N13</f>
        <v>6</v>
      </c>
      <c r="O13" s="10">
        <f>+'Luindi S5'!O13+'Mardi S5'!O13+'Mercredi S5'!O13+'Jeudi S5'!O13+'Vendredi S5'!O13+'Samedi S5'!O13</f>
        <v>18</v>
      </c>
      <c r="P13" s="10">
        <f>+'Luindi S5'!P13+'Mardi S5'!P13+'Mercredi S5'!P13+'Jeudi S5'!P13+'Vendredi S5'!P13+'Samedi S5'!P13</f>
        <v>0</v>
      </c>
      <c r="Q13" s="11">
        <f>+'Luindi S5'!Q13+'Mardi S5'!Q13+'Mercredi S5'!Q13+'Jeudi S5'!Q13+'Vendredi S5'!Q13+'Samedi S5'!Q13</f>
        <v>0</v>
      </c>
      <c r="R13" s="61">
        <f>+'Luindi S5'!R13+'Mardi S5'!R13+'Mercredi S5'!R13+'Jeudi S5'!R13+'Vendredi S5'!R13+'Samedi S5'!R13</f>
        <v>3</v>
      </c>
      <c r="S13" s="62">
        <f>+'Luindi S5'!S13+'Mardi S5'!S13+'Mercredi S5'!S13+'Jeudi S5'!S13+'Vendredi S5'!S13+'Samedi S5'!S13</f>
        <v>0.99999999999999989</v>
      </c>
      <c r="T13" s="62">
        <f>+'Luindi S5'!T13+'Mardi S5'!T13+'Mercredi S5'!T13+'Jeudi S5'!T13+'Vendredi S5'!T13+'Samedi S5'!T13</f>
        <v>0.6</v>
      </c>
      <c r="U13" s="62">
        <f>+'Luindi S5'!U13+'Mardi S5'!U13+'Mercredi S5'!U13+'Jeudi S5'!U13+'Vendredi S5'!U13+'Samedi S5'!U13</f>
        <v>3.6</v>
      </c>
      <c r="V13" s="63">
        <f>+'Luindi S5'!V13+'Mardi S5'!V13+'Mercredi S5'!V13+'Jeudi S5'!V13+'Vendredi S5'!V13+'Samedi S5'!V13</f>
        <v>0.9</v>
      </c>
      <c r="W13" s="9">
        <f>+'Luindi S5'!W13+'Mardi S5'!W13+'Mercredi S5'!W13+'Jeudi S5'!W13+'Vendredi S5'!W13+'Samedi S5'!W13</f>
        <v>0</v>
      </c>
      <c r="X13" s="10">
        <f>+'Luindi S5'!X13+'Mardi S5'!X13+'Mercredi S5'!X13+'Jeudi S5'!X13+'Vendredi S5'!X13+'Samedi S5'!X13</f>
        <v>0</v>
      </c>
      <c r="Y13" s="10">
        <f>+'Luindi S5'!Y13+'Mardi S5'!Y13+'Mercredi S5'!Y13+'Jeudi S5'!Y13+'Vendredi S5'!Y13+'Samedi S5'!Y13</f>
        <v>0</v>
      </c>
      <c r="Z13" s="10">
        <f>+'Luindi S5'!Z13+'Mardi S5'!Z13+'Mercredi S5'!Z13+'Jeudi S5'!Z13+'Vendredi S5'!Z13+'Samedi S5'!Z13</f>
        <v>0</v>
      </c>
      <c r="AA13" s="11">
        <f>+'Luindi S5'!AA13+'Mardi S5'!AA13+'Mercredi S5'!AA13+'Jeudi S5'!AA13+'Vendredi S5'!AA13+'Samedi S5'!AA13</f>
        <v>0</v>
      </c>
      <c r="AB13" s="9">
        <f>+'Luindi S5'!AB13+'Mardi S5'!AB13+'Mercredi S5'!AB13+'Jeudi S5'!AB13+'Vendredi S5'!AB13+'Samedi S5'!AB13</f>
        <v>0</v>
      </c>
      <c r="AC13" s="10">
        <f>+'Luindi S5'!AC13+'Mardi S5'!AC13+'Mercredi S5'!AC13+'Jeudi S5'!AC13+'Vendredi S5'!AC13+'Samedi S5'!AC13</f>
        <v>0</v>
      </c>
      <c r="AD13" s="10">
        <f>+'Luindi S5'!AD13+'Mardi S5'!AD13+'Mercredi S5'!AD13+'Jeudi S5'!AD13+'Vendredi S5'!AD13+'Samedi S5'!AD13</f>
        <v>0</v>
      </c>
      <c r="AE13" s="10">
        <f>+'Luindi S5'!AE13+'Mardi S5'!AE13+'Mercredi S5'!AE13+'Jeudi S5'!AE13+'Vendredi S5'!AE13+'Samedi S5'!AE13</f>
        <v>0</v>
      </c>
      <c r="AF13" s="11">
        <f>+'Luindi S5'!AF13+'Mardi S5'!AF13+'Mercredi S5'!AF13+'Jeudi S5'!AF13+'Vendredi S5'!AF13+'Samedi S5'!AF13</f>
        <v>0</v>
      </c>
      <c r="AG13" s="9">
        <f>+'Luindi S5'!AG13+'Mardi S5'!AG13+'Mercredi S5'!AG13+'Jeudi S5'!AG13+'Vendredi S5'!AG13+'Samedi S5'!AG13</f>
        <v>0</v>
      </c>
      <c r="AH13" s="10">
        <f>+'Luindi S5'!AH13+'Mardi S5'!AH13+'Mercredi S5'!AH13+'Jeudi S5'!AH13+'Vendredi S5'!AH13+'Samedi S5'!AH13</f>
        <v>0</v>
      </c>
      <c r="AI13" s="10">
        <f>+'Luindi S5'!AI13+'Mardi S5'!AI13+'Mercredi S5'!AI13+'Jeudi S5'!AI13+'Vendredi S5'!AI13+'Samedi S5'!AI13</f>
        <v>0</v>
      </c>
      <c r="AJ13" s="10">
        <f>+'Luindi S5'!AJ13+'Mardi S5'!AJ13+'Mercredi S5'!AJ13+'Jeudi S5'!AJ13+'Vendredi S5'!AJ13+'Samedi S5'!AJ13</f>
        <v>0</v>
      </c>
      <c r="AK13" s="11">
        <f>+'Luindi S5'!AK13+'Mardi S5'!AK13+'Mercredi S5'!AK13+'Jeudi S5'!AK13+'Vendredi S5'!AK13+'Samedi S5'!AK13</f>
        <v>0</v>
      </c>
      <c r="AL13" s="9">
        <f>+'Luindi S5'!AL13+'Mardi S5'!AL13+'Mercredi S5'!AL13+'Jeudi S5'!AL13+'Vendredi S5'!AL13+'Samedi S5'!AL13</f>
        <v>0</v>
      </c>
      <c r="AM13" s="10">
        <f>+'Luindi S5'!AM13+'Mardi S5'!AM13+'Mercredi S5'!AM13+'Jeudi S5'!AM13+'Vendredi S5'!AM13+'Samedi S5'!AM13</f>
        <v>0</v>
      </c>
      <c r="AN13" s="10">
        <f>+'Luindi S5'!AN13+'Mardi S5'!AN13+'Mercredi S5'!AN13+'Jeudi S5'!AN13+'Vendredi S5'!AN13+'Samedi S5'!AN13</f>
        <v>0</v>
      </c>
      <c r="AO13" s="10">
        <f>+'Luindi S5'!AO13+'Mardi S5'!AO13+'Mercredi S5'!AO13+'Jeudi S5'!AO13+'Vendredi S5'!AO13+'Samedi S5'!AO13</f>
        <v>0</v>
      </c>
      <c r="AP13" s="11">
        <f>+'Luindi S5'!AP13+'Mardi S5'!AP13+'Mercredi S5'!AP13+'Jeudi S5'!AP13+'Vendredi S5'!AP13+'Samedi S5'!AP13</f>
        <v>0</v>
      </c>
      <c r="AQ13" s="9">
        <f>+'Luindi S5'!AQ13+'Mardi S5'!AQ13+'Mercredi S5'!AQ13+'Jeudi S5'!AQ13+'Vendredi S5'!AQ13+'Samedi S5'!AQ13</f>
        <v>0</v>
      </c>
      <c r="AR13" s="10">
        <f>+'Luindi S5'!AR13+'Mardi S5'!AR13+'Mercredi S5'!AR13+'Jeudi S5'!AR13+'Vendredi S5'!AR13+'Samedi S5'!AR13</f>
        <v>0</v>
      </c>
      <c r="AS13" s="11">
        <f>+'Luindi S5'!AS13+'Mardi S5'!AS13+'Mercredi S5'!AS13+'Jeudi S5'!AS13+'Vendredi S5'!AS13+'Samedi S5'!AS13</f>
        <v>0</v>
      </c>
      <c r="AT13" s="22"/>
      <c r="AU13" s="14"/>
    </row>
    <row r="14" spans="1:47" ht="31.9" customHeight="1" x14ac:dyDescent="0.2">
      <c r="A14" s="26">
        <v>8</v>
      </c>
      <c r="B14" s="19"/>
      <c r="C14" s="9">
        <f>+'Luindi S5'!C14+'Mardi S5'!C14+'Mercredi S5'!C14+'Jeudi S5'!C14+'Vendredi S5'!C14+'Samedi S5'!C14</f>
        <v>90</v>
      </c>
      <c r="D14" s="10">
        <f>+'Luindi S5'!D14+'Mardi S5'!D14+'Mercredi S5'!D14+'Jeudi S5'!D14+'Vendredi S5'!D14+'Samedi S5'!D14</f>
        <v>18</v>
      </c>
      <c r="E14" s="10">
        <f>+'Luindi S5'!E14+'Mardi S5'!E14+'Mercredi S5'!E14+'Jeudi S5'!E14+'Vendredi S5'!E14+'Samedi S5'!E14</f>
        <v>30</v>
      </c>
      <c r="F14" s="10">
        <f>+'Luindi S5'!F14+'Mardi S5'!F14+'Mercredi S5'!F14+'Jeudi S5'!F14+'Vendredi S5'!F14+'Samedi S5'!F14</f>
        <v>12</v>
      </c>
      <c r="G14" s="11">
        <f>+'Luindi S5'!G14+'Mardi S5'!G14+'Mercredi S5'!G14+'Jeudi S5'!G14+'Vendredi S5'!G14+'Samedi S5'!G14</f>
        <v>30</v>
      </c>
      <c r="H14" s="9">
        <f>+'Luindi S5'!H14+'Mardi S5'!H14+'Mercredi S5'!H14+'Jeudi S5'!H14+'Vendredi S5'!H14+'Samedi S5'!H14</f>
        <v>18</v>
      </c>
      <c r="I14" s="10">
        <f>+'Luindi S5'!I14+'Mardi S5'!I14+'Mercredi S5'!I14+'Jeudi S5'!I14+'Vendredi S5'!I14+'Samedi S5'!I14</f>
        <v>6</v>
      </c>
      <c r="J14" s="10">
        <f>+'Luindi S5'!J14+'Mardi S5'!J14+'Mercredi S5'!J14+'Jeudi S5'!J14+'Vendredi S5'!J14+'Samedi S5'!J14</f>
        <v>6</v>
      </c>
      <c r="K14" s="10">
        <f>+'Luindi S5'!K14+'Mardi S5'!K14+'Mercredi S5'!K14+'Jeudi S5'!K14+'Vendredi S5'!K14+'Samedi S5'!K14</f>
        <v>6</v>
      </c>
      <c r="L14" s="11">
        <f>+'Luindi S5'!L14+'Mardi S5'!L14+'Mercredi S5'!L14+'Jeudi S5'!L14+'Vendredi S5'!L14+'Samedi S5'!L14</f>
        <v>6</v>
      </c>
      <c r="M14" s="9">
        <f>+'Luindi S5'!M14+'Mardi S5'!M14+'Mercredi S5'!M14+'Jeudi S5'!M14+'Vendredi S5'!M14+'Samedi S5'!M14</f>
        <v>18</v>
      </c>
      <c r="N14" s="10">
        <f>+'Luindi S5'!N14+'Mardi S5'!N14+'Mercredi S5'!N14+'Jeudi S5'!N14+'Vendredi S5'!N14+'Samedi S5'!N14</f>
        <v>6</v>
      </c>
      <c r="O14" s="10">
        <f>+'Luindi S5'!O14+'Mardi S5'!O14+'Mercredi S5'!O14+'Jeudi S5'!O14+'Vendredi S5'!O14+'Samedi S5'!O14</f>
        <v>18</v>
      </c>
      <c r="P14" s="10">
        <f>+'Luindi S5'!P14+'Mardi S5'!P14+'Mercredi S5'!P14+'Jeudi S5'!P14+'Vendredi S5'!P14+'Samedi S5'!P14</f>
        <v>0</v>
      </c>
      <c r="Q14" s="11">
        <f>+'Luindi S5'!Q14+'Mardi S5'!Q14+'Mercredi S5'!Q14+'Jeudi S5'!Q14+'Vendredi S5'!Q14+'Samedi S5'!Q14</f>
        <v>0</v>
      </c>
      <c r="R14" s="61">
        <f>+'Luindi S5'!R14+'Mardi S5'!R14+'Mercredi S5'!R14+'Jeudi S5'!R14+'Vendredi S5'!R14+'Samedi S5'!R14</f>
        <v>3</v>
      </c>
      <c r="S14" s="62">
        <f>+'Luindi S5'!S14+'Mardi S5'!S14+'Mercredi S5'!S14+'Jeudi S5'!S14+'Vendredi S5'!S14+'Samedi S5'!S14</f>
        <v>0.99999999999999989</v>
      </c>
      <c r="T14" s="62">
        <f>+'Luindi S5'!T14+'Mardi S5'!T14+'Mercredi S5'!T14+'Jeudi S5'!T14+'Vendredi S5'!T14+'Samedi S5'!T14</f>
        <v>0.6</v>
      </c>
      <c r="U14" s="62">
        <f>+'Luindi S5'!U14+'Mardi S5'!U14+'Mercredi S5'!U14+'Jeudi S5'!U14+'Vendredi S5'!U14+'Samedi S5'!U14</f>
        <v>3.6</v>
      </c>
      <c r="V14" s="63">
        <f>+'Luindi S5'!V14+'Mardi S5'!V14+'Mercredi S5'!V14+'Jeudi S5'!V14+'Vendredi S5'!V14+'Samedi S5'!V14</f>
        <v>0.9</v>
      </c>
      <c r="W14" s="9">
        <f>+'Luindi S5'!W14+'Mardi S5'!W14+'Mercredi S5'!W14+'Jeudi S5'!W14+'Vendredi S5'!W14+'Samedi S5'!W14</f>
        <v>0</v>
      </c>
      <c r="X14" s="10">
        <f>+'Luindi S5'!X14+'Mardi S5'!X14+'Mercredi S5'!X14+'Jeudi S5'!X14+'Vendredi S5'!X14+'Samedi S5'!X14</f>
        <v>0</v>
      </c>
      <c r="Y14" s="10">
        <f>+'Luindi S5'!Y14+'Mardi S5'!Y14+'Mercredi S5'!Y14+'Jeudi S5'!Y14+'Vendredi S5'!Y14+'Samedi S5'!Y14</f>
        <v>0</v>
      </c>
      <c r="Z14" s="10">
        <f>+'Luindi S5'!Z14+'Mardi S5'!Z14+'Mercredi S5'!Z14+'Jeudi S5'!Z14+'Vendredi S5'!Z14+'Samedi S5'!Z14</f>
        <v>0</v>
      </c>
      <c r="AA14" s="11">
        <f>+'Luindi S5'!AA14+'Mardi S5'!AA14+'Mercredi S5'!AA14+'Jeudi S5'!AA14+'Vendredi S5'!AA14+'Samedi S5'!AA14</f>
        <v>0</v>
      </c>
      <c r="AB14" s="9">
        <f>+'Luindi S5'!AB14+'Mardi S5'!AB14+'Mercredi S5'!AB14+'Jeudi S5'!AB14+'Vendredi S5'!AB14+'Samedi S5'!AB14</f>
        <v>0</v>
      </c>
      <c r="AC14" s="10">
        <f>+'Luindi S5'!AC14+'Mardi S5'!AC14+'Mercredi S5'!AC14+'Jeudi S5'!AC14+'Vendredi S5'!AC14+'Samedi S5'!AC14</f>
        <v>0</v>
      </c>
      <c r="AD14" s="10">
        <f>+'Luindi S5'!AD14+'Mardi S5'!AD14+'Mercredi S5'!AD14+'Jeudi S5'!AD14+'Vendredi S5'!AD14+'Samedi S5'!AD14</f>
        <v>0</v>
      </c>
      <c r="AE14" s="10">
        <f>+'Luindi S5'!AE14+'Mardi S5'!AE14+'Mercredi S5'!AE14+'Jeudi S5'!AE14+'Vendredi S5'!AE14+'Samedi S5'!AE14</f>
        <v>0</v>
      </c>
      <c r="AF14" s="11">
        <f>+'Luindi S5'!AF14+'Mardi S5'!AF14+'Mercredi S5'!AF14+'Jeudi S5'!AF14+'Vendredi S5'!AF14+'Samedi S5'!AF14</f>
        <v>0</v>
      </c>
      <c r="AG14" s="9">
        <f>+'Luindi S5'!AG14+'Mardi S5'!AG14+'Mercredi S5'!AG14+'Jeudi S5'!AG14+'Vendredi S5'!AG14+'Samedi S5'!AG14</f>
        <v>0</v>
      </c>
      <c r="AH14" s="10">
        <f>+'Luindi S5'!AH14+'Mardi S5'!AH14+'Mercredi S5'!AH14+'Jeudi S5'!AH14+'Vendredi S5'!AH14+'Samedi S5'!AH14</f>
        <v>0</v>
      </c>
      <c r="AI14" s="10">
        <f>+'Luindi S5'!AI14+'Mardi S5'!AI14+'Mercredi S5'!AI14+'Jeudi S5'!AI14+'Vendredi S5'!AI14+'Samedi S5'!AI14</f>
        <v>0</v>
      </c>
      <c r="AJ14" s="10">
        <f>+'Luindi S5'!AJ14+'Mardi S5'!AJ14+'Mercredi S5'!AJ14+'Jeudi S5'!AJ14+'Vendredi S5'!AJ14+'Samedi S5'!AJ14</f>
        <v>0</v>
      </c>
      <c r="AK14" s="11">
        <f>+'Luindi S5'!AK14+'Mardi S5'!AK14+'Mercredi S5'!AK14+'Jeudi S5'!AK14+'Vendredi S5'!AK14+'Samedi S5'!AK14</f>
        <v>0</v>
      </c>
      <c r="AL14" s="9">
        <f>+'Luindi S5'!AL14+'Mardi S5'!AL14+'Mercredi S5'!AL14+'Jeudi S5'!AL14+'Vendredi S5'!AL14+'Samedi S5'!AL14</f>
        <v>0</v>
      </c>
      <c r="AM14" s="10">
        <f>+'Luindi S5'!AM14+'Mardi S5'!AM14+'Mercredi S5'!AM14+'Jeudi S5'!AM14+'Vendredi S5'!AM14+'Samedi S5'!AM14</f>
        <v>0</v>
      </c>
      <c r="AN14" s="10">
        <f>+'Luindi S5'!AN14+'Mardi S5'!AN14+'Mercredi S5'!AN14+'Jeudi S5'!AN14+'Vendredi S5'!AN14+'Samedi S5'!AN14</f>
        <v>0</v>
      </c>
      <c r="AO14" s="10">
        <f>+'Luindi S5'!AO14+'Mardi S5'!AO14+'Mercredi S5'!AO14+'Jeudi S5'!AO14+'Vendredi S5'!AO14+'Samedi S5'!AO14</f>
        <v>0</v>
      </c>
      <c r="AP14" s="11">
        <f>+'Luindi S5'!AP14+'Mardi S5'!AP14+'Mercredi S5'!AP14+'Jeudi S5'!AP14+'Vendredi S5'!AP14+'Samedi S5'!AP14</f>
        <v>0</v>
      </c>
      <c r="AQ14" s="9">
        <f>+'Luindi S5'!AQ14+'Mardi S5'!AQ14+'Mercredi S5'!AQ14+'Jeudi S5'!AQ14+'Vendredi S5'!AQ14+'Samedi S5'!AQ14</f>
        <v>0</v>
      </c>
      <c r="AR14" s="10">
        <f>+'Luindi S5'!AR14+'Mardi S5'!AR14+'Mercredi S5'!AR14+'Jeudi S5'!AR14+'Vendredi S5'!AR14+'Samedi S5'!AR14</f>
        <v>0</v>
      </c>
      <c r="AS14" s="11">
        <f>+'Luindi S5'!AS14+'Mardi S5'!AS14+'Mercredi S5'!AS14+'Jeudi S5'!AS14+'Vendredi S5'!AS14+'Samedi S5'!AS14</f>
        <v>0</v>
      </c>
      <c r="AT14" s="22"/>
      <c r="AU14" s="14"/>
    </row>
    <row r="15" spans="1:47" ht="31.9" customHeight="1" x14ac:dyDescent="0.2">
      <c r="A15" s="26">
        <v>9</v>
      </c>
      <c r="B15" s="19"/>
      <c r="C15" s="9">
        <f>+'Luindi S5'!C15+'Mardi S5'!C15+'Mercredi S5'!C15+'Jeudi S5'!C15+'Vendredi S5'!C15+'Samedi S5'!C15</f>
        <v>90</v>
      </c>
      <c r="D15" s="10">
        <f>+'Luindi S5'!D15+'Mardi S5'!D15+'Mercredi S5'!D15+'Jeudi S5'!D15+'Vendredi S5'!D15+'Samedi S5'!D15</f>
        <v>18</v>
      </c>
      <c r="E15" s="10">
        <f>+'Luindi S5'!E15+'Mardi S5'!E15+'Mercredi S5'!E15+'Jeudi S5'!E15+'Vendredi S5'!E15+'Samedi S5'!E15</f>
        <v>30</v>
      </c>
      <c r="F15" s="10">
        <f>+'Luindi S5'!F15+'Mardi S5'!F15+'Mercredi S5'!F15+'Jeudi S5'!F15+'Vendredi S5'!F15+'Samedi S5'!F15</f>
        <v>12</v>
      </c>
      <c r="G15" s="11">
        <f>+'Luindi S5'!G15+'Mardi S5'!G15+'Mercredi S5'!G15+'Jeudi S5'!G15+'Vendredi S5'!G15+'Samedi S5'!G15</f>
        <v>30</v>
      </c>
      <c r="H15" s="9">
        <f>+'Luindi S5'!H15+'Mardi S5'!H15+'Mercredi S5'!H15+'Jeudi S5'!H15+'Vendredi S5'!H15+'Samedi S5'!H15</f>
        <v>18</v>
      </c>
      <c r="I15" s="10">
        <f>+'Luindi S5'!I15+'Mardi S5'!I15+'Mercredi S5'!I15+'Jeudi S5'!I15+'Vendredi S5'!I15+'Samedi S5'!I15</f>
        <v>6</v>
      </c>
      <c r="J15" s="10">
        <f>+'Luindi S5'!J15+'Mardi S5'!J15+'Mercredi S5'!J15+'Jeudi S5'!J15+'Vendredi S5'!J15+'Samedi S5'!J15</f>
        <v>6</v>
      </c>
      <c r="K15" s="10">
        <f>+'Luindi S5'!K15+'Mardi S5'!K15+'Mercredi S5'!K15+'Jeudi S5'!K15+'Vendredi S5'!K15+'Samedi S5'!K15</f>
        <v>6</v>
      </c>
      <c r="L15" s="11">
        <f>+'Luindi S5'!L15+'Mardi S5'!L15+'Mercredi S5'!L15+'Jeudi S5'!L15+'Vendredi S5'!L15+'Samedi S5'!L15</f>
        <v>6</v>
      </c>
      <c r="M15" s="9">
        <f>+'Luindi S5'!M15+'Mardi S5'!M15+'Mercredi S5'!M15+'Jeudi S5'!M15+'Vendredi S5'!M15+'Samedi S5'!M15</f>
        <v>18</v>
      </c>
      <c r="N15" s="10">
        <f>+'Luindi S5'!N15+'Mardi S5'!N15+'Mercredi S5'!N15+'Jeudi S5'!N15+'Vendredi S5'!N15+'Samedi S5'!N15</f>
        <v>6</v>
      </c>
      <c r="O15" s="10">
        <f>+'Luindi S5'!O15+'Mardi S5'!O15+'Mercredi S5'!O15+'Jeudi S5'!O15+'Vendredi S5'!O15+'Samedi S5'!O15</f>
        <v>18</v>
      </c>
      <c r="P15" s="10">
        <f>+'Luindi S5'!P15+'Mardi S5'!P15+'Mercredi S5'!P15+'Jeudi S5'!P15+'Vendredi S5'!P15+'Samedi S5'!P15</f>
        <v>0</v>
      </c>
      <c r="Q15" s="11">
        <f>+'Luindi S5'!Q15+'Mardi S5'!Q15+'Mercredi S5'!Q15+'Jeudi S5'!Q15+'Vendredi S5'!Q15+'Samedi S5'!Q15</f>
        <v>0</v>
      </c>
      <c r="R15" s="61">
        <f>+'Luindi S5'!R15+'Mardi S5'!R15+'Mercredi S5'!R15+'Jeudi S5'!R15+'Vendredi S5'!R15+'Samedi S5'!R15</f>
        <v>3</v>
      </c>
      <c r="S15" s="62">
        <f>+'Luindi S5'!S15+'Mardi S5'!S15+'Mercredi S5'!S15+'Jeudi S5'!S15+'Vendredi S5'!S15+'Samedi S5'!S15</f>
        <v>0.99999999999999989</v>
      </c>
      <c r="T15" s="62">
        <f>+'Luindi S5'!T15+'Mardi S5'!T15+'Mercredi S5'!T15+'Jeudi S5'!T15+'Vendredi S5'!T15+'Samedi S5'!T15</f>
        <v>0.6</v>
      </c>
      <c r="U15" s="62">
        <f>+'Luindi S5'!U15+'Mardi S5'!U15+'Mercredi S5'!U15+'Jeudi S5'!U15+'Vendredi S5'!U15+'Samedi S5'!U15</f>
        <v>3.6</v>
      </c>
      <c r="V15" s="63">
        <f>+'Luindi S5'!V15+'Mardi S5'!V15+'Mercredi S5'!V15+'Jeudi S5'!V15+'Vendredi S5'!V15+'Samedi S5'!V15</f>
        <v>0.9</v>
      </c>
      <c r="W15" s="9">
        <f>+'Luindi S5'!W15+'Mardi S5'!W15+'Mercredi S5'!W15+'Jeudi S5'!W15+'Vendredi S5'!W15+'Samedi S5'!W15</f>
        <v>0</v>
      </c>
      <c r="X15" s="10">
        <f>+'Luindi S5'!X15+'Mardi S5'!X15+'Mercredi S5'!X15+'Jeudi S5'!X15+'Vendredi S5'!X15+'Samedi S5'!X15</f>
        <v>0</v>
      </c>
      <c r="Y15" s="10">
        <f>+'Luindi S5'!Y15+'Mardi S5'!Y15+'Mercredi S5'!Y15+'Jeudi S5'!Y15+'Vendredi S5'!Y15+'Samedi S5'!Y15</f>
        <v>0</v>
      </c>
      <c r="Z15" s="10">
        <f>+'Luindi S5'!Z15+'Mardi S5'!Z15+'Mercredi S5'!Z15+'Jeudi S5'!Z15+'Vendredi S5'!Z15+'Samedi S5'!Z15</f>
        <v>0</v>
      </c>
      <c r="AA15" s="11">
        <f>+'Luindi S5'!AA15+'Mardi S5'!AA15+'Mercredi S5'!AA15+'Jeudi S5'!AA15+'Vendredi S5'!AA15+'Samedi S5'!AA15</f>
        <v>0</v>
      </c>
      <c r="AB15" s="9">
        <f>+'Luindi S5'!AB15+'Mardi S5'!AB15+'Mercredi S5'!AB15+'Jeudi S5'!AB15+'Vendredi S5'!AB15+'Samedi S5'!AB15</f>
        <v>0</v>
      </c>
      <c r="AC15" s="10">
        <f>+'Luindi S5'!AC15+'Mardi S5'!AC15+'Mercredi S5'!AC15+'Jeudi S5'!AC15+'Vendredi S5'!AC15+'Samedi S5'!AC15</f>
        <v>0</v>
      </c>
      <c r="AD15" s="10">
        <f>+'Luindi S5'!AD15+'Mardi S5'!AD15+'Mercredi S5'!AD15+'Jeudi S5'!AD15+'Vendredi S5'!AD15+'Samedi S5'!AD15</f>
        <v>0</v>
      </c>
      <c r="AE15" s="10">
        <f>+'Luindi S5'!AE15+'Mardi S5'!AE15+'Mercredi S5'!AE15+'Jeudi S5'!AE15+'Vendredi S5'!AE15+'Samedi S5'!AE15</f>
        <v>0</v>
      </c>
      <c r="AF15" s="11">
        <f>+'Luindi S5'!AF15+'Mardi S5'!AF15+'Mercredi S5'!AF15+'Jeudi S5'!AF15+'Vendredi S5'!AF15+'Samedi S5'!AF15</f>
        <v>0</v>
      </c>
      <c r="AG15" s="9">
        <f>+'Luindi S5'!AG15+'Mardi S5'!AG15+'Mercredi S5'!AG15+'Jeudi S5'!AG15+'Vendredi S5'!AG15+'Samedi S5'!AG15</f>
        <v>0</v>
      </c>
      <c r="AH15" s="10">
        <f>+'Luindi S5'!AH15+'Mardi S5'!AH15+'Mercredi S5'!AH15+'Jeudi S5'!AH15+'Vendredi S5'!AH15+'Samedi S5'!AH15</f>
        <v>0</v>
      </c>
      <c r="AI15" s="10">
        <f>+'Luindi S5'!AI15+'Mardi S5'!AI15+'Mercredi S5'!AI15+'Jeudi S5'!AI15+'Vendredi S5'!AI15+'Samedi S5'!AI15</f>
        <v>0</v>
      </c>
      <c r="AJ15" s="10">
        <f>+'Luindi S5'!AJ15+'Mardi S5'!AJ15+'Mercredi S5'!AJ15+'Jeudi S5'!AJ15+'Vendredi S5'!AJ15+'Samedi S5'!AJ15</f>
        <v>0</v>
      </c>
      <c r="AK15" s="11">
        <f>+'Luindi S5'!AK15+'Mardi S5'!AK15+'Mercredi S5'!AK15+'Jeudi S5'!AK15+'Vendredi S5'!AK15+'Samedi S5'!AK15</f>
        <v>0</v>
      </c>
      <c r="AL15" s="9">
        <f>+'Luindi S5'!AL15+'Mardi S5'!AL15+'Mercredi S5'!AL15+'Jeudi S5'!AL15+'Vendredi S5'!AL15+'Samedi S5'!AL15</f>
        <v>0</v>
      </c>
      <c r="AM15" s="10">
        <f>+'Luindi S5'!AM15+'Mardi S5'!AM15+'Mercredi S5'!AM15+'Jeudi S5'!AM15+'Vendredi S5'!AM15+'Samedi S5'!AM15</f>
        <v>0</v>
      </c>
      <c r="AN15" s="10">
        <f>+'Luindi S5'!AN15+'Mardi S5'!AN15+'Mercredi S5'!AN15+'Jeudi S5'!AN15+'Vendredi S5'!AN15+'Samedi S5'!AN15</f>
        <v>0</v>
      </c>
      <c r="AO15" s="10">
        <f>+'Luindi S5'!AO15+'Mardi S5'!AO15+'Mercredi S5'!AO15+'Jeudi S5'!AO15+'Vendredi S5'!AO15+'Samedi S5'!AO15</f>
        <v>0</v>
      </c>
      <c r="AP15" s="11">
        <f>+'Luindi S5'!AP15+'Mardi S5'!AP15+'Mercredi S5'!AP15+'Jeudi S5'!AP15+'Vendredi S5'!AP15+'Samedi S5'!AP15</f>
        <v>0</v>
      </c>
      <c r="AQ15" s="9">
        <f>+'Luindi S5'!AQ15+'Mardi S5'!AQ15+'Mercredi S5'!AQ15+'Jeudi S5'!AQ15+'Vendredi S5'!AQ15+'Samedi S5'!AQ15</f>
        <v>0</v>
      </c>
      <c r="AR15" s="10">
        <f>+'Luindi S5'!AR15+'Mardi S5'!AR15+'Mercredi S5'!AR15+'Jeudi S5'!AR15+'Vendredi S5'!AR15+'Samedi S5'!AR15</f>
        <v>0</v>
      </c>
      <c r="AS15" s="11">
        <f>+'Luindi S5'!AS15+'Mardi S5'!AS15+'Mercredi S5'!AS15+'Jeudi S5'!AS15+'Vendredi S5'!AS15+'Samedi S5'!AS15</f>
        <v>0</v>
      </c>
      <c r="AT15" s="22"/>
      <c r="AU15" s="14"/>
    </row>
    <row r="16" spans="1:47" ht="31.9" customHeight="1" x14ac:dyDescent="0.2">
      <c r="A16" s="26">
        <v>10</v>
      </c>
      <c r="B16" s="19"/>
      <c r="C16" s="9">
        <f>+'Luindi S5'!C16+'Mardi S5'!C16+'Mercredi S5'!C16+'Jeudi S5'!C16+'Vendredi S5'!C16+'Samedi S5'!C16</f>
        <v>90</v>
      </c>
      <c r="D16" s="10">
        <f>+'Luindi S5'!D16+'Mardi S5'!D16+'Mercredi S5'!D16+'Jeudi S5'!D16+'Vendredi S5'!D16+'Samedi S5'!D16</f>
        <v>18</v>
      </c>
      <c r="E16" s="10">
        <f>+'Luindi S5'!E16+'Mardi S5'!E16+'Mercredi S5'!E16+'Jeudi S5'!E16+'Vendredi S5'!E16+'Samedi S5'!E16</f>
        <v>30</v>
      </c>
      <c r="F16" s="10">
        <f>+'Luindi S5'!F16+'Mardi S5'!F16+'Mercredi S5'!F16+'Jeudi S5'!F16+'Vendredi S5'!F16+'Samedi S5'!F16</f>
        <v>12</v>
      </c>
      <c r="G16" s="11">
        <f>+'Luindi S5'!G16+'Mardi S5'!G16+'Mercredi S5'!G16+'Jeudi S5'!G16+'Vendredi S5'!G16+'Samedi S5'!G16</f>
        <v>30</v>
      </c>
      <c r="H16" s="9">
        <f>+'Luindi S5'!H16+'Mardi S5'!H16+'Mercredi S5'!H16+'Jeudi S5'!H16+'Vendredi S5'!H16+'Samedi S5'!H16</f>
        <v>18</v>
      </c>
      <c r="I16" s="10">
        <f>+'Luindi S5'!I16+'Mardi S5'!I16+'Mercredi S5'!I16+'Jeudi S5'!I16+'Vendredi S5'!I16+'Samedi S5'!I16</f>
        <v>6</v>
      </c>
      <c r="J16" s="10">
        <f>+'Luindi S5'!J16+'Mardi S5'!J16+'Mercredi S5'!J16+'Jeudi S5'!J16+'Vendredi S5'!J16+'Samedi S5'!J16</f>
        <v>6</v>
      </c>
      <c r="K16" s="10">
        <f>+'Luindi S5'!K16+'Mardi S5'!K16+'Mercredi S5'!K16+'Jeudi S5'!K16+'Vendredi S5'!K16+'Samedi S5'!K16</f>
        <v>6</v>
      </c>
      <c r="L16" s="11">
        <f>+'Luindi S5'!L16+'Mardi S5'!L16+'Mercredi S5'!L16+'Jeudi S5'!L16+'Vendredi S5'!L16+'Samedi S5'!L16</f>
        <v>6</v>
      </c>
      <c r="M16" s="9">
        <f>+'Luindi S5'!M16+'Mardi S5'!M16+'Mercredi S5'!M16+'Jeudi S5'!M16+'Vendredi S5'!M16+'Samedi S5'!M16</f>
        <v>18</v>
      </c>
      <c r="N16" s="10">
        <f>+'Luindi S5'!N16+'Mardi S5'!N16+'Mercredi S5'!N16+'Jeudi S5'!N16+'Vendredi S5'!N16+'Samedi S5'!N16</f>
        <v>6</v>
      </c>
      <c r="O16" s="10">
        <f>+'Luindi S5'!O16+'Mardi S5'!O16+'Mercredi S5'!O16+'Jeudi S5'!O16+'Vendredi S5'!O16+'Samedi S5'!O16</f>
        <v>18</v>
      </c>
      <c r="P16" s="10">
        <f>+'Luindi S5'!P16+'Mardi S5'!P16+'Mercredi S5'!P16+'Jeudi S5'!P16+'Vendredi S5'!P16+'Samedi S5'!P16</f>
        <v>0</v>
      </c>
      <c r="Q16" s="11">
        <f>+'Luindi S5'!Q16+'Mardi S5'!Q16+'Mercredi S5'!Q16+'Jeudi S5'!Q16+'Vendredi S5'!Q16+'Samedi S5'!Q16</f>
        <v>0</v>
      </c>
      <c r="R16" s="61">
        <f>+'Luindi S5'!R16+'Mardi S5'!R16+'Mercredi S5'!R16+'Jeudi S5'!R16+'Vendredi S5'!R16+'Samedi S5'!R16</f>
        <v>3</v>
      </c>
      <c r="S16" s="62">
        <f>+'Luindi S5'!S16+'Mardi S5'!S16+'Mercredi S5'!S16+'Jeudi S5'!S16+'Vendredi S5'!S16+'Samedi S5'!S16</f>
        <v>0.99999999999999989</v>
      </c>
      <c r="T16" s="62">
        <f>+'Luindi S5'!T16+'Mardi S5'!T16+'Mercredi S5'!T16+'Jeudi S5'!T16+'Vendredi S5'!T16+'Samedi S5'!T16</f>
        <v>0.6</v>
      </c>
      <c r="U16" s="62">
        <f>+'Luindi S5'!U16+'Mardi S5'!U16+'Mercredi S5'!U16+'Jeudi S5'!U16+'Vendredi S5'!U16+'Samedi S5'!U16</f>
        <v>3.6</v>
      </c>
      <c r="V16" s="63">
        <f>+'Luindi S5'!V16+'Mardi S5'!V16+'Mercredi S5'!V16+'Jeudi S5'!V16+'Vendredi S5'!V16+'Samedi S5'!V16</f>
        <v>0.9</v>
      </c>
      <c r="W16" s="9">
        <f>+'Luindi S5'!W16+'Mardi S5'!W16+'Mercredi S5'!W16+'Jeudi S5'!W16+'Vendredi S5'!W16+'Samedi S5'!W16</f>
        <v>0</v>
      </c>
      <c r="X16" s="10">
        <f>+'Luindi S5'!X16+'Mardi S5'!X16+'Mercredi S5'!X16+'Jeudi S5'!X16+'Vendredi S5'!X16+'Samedi S5'!X16</f>
        <v>0</v>
      </c>
      <c r="Y16" s="10">
        <f>+'Luindi S5'!Y16+'Mardi S5'!Y16+'Mercredi S5'!Y16+'Jeudi S5'!Y16+'Vendredi S5'!Y16+'Samedi S5'!Y16</f>
        <v>0</v>
      </c>
      <c r="Z16" s="10">
        <f>+'Luindi S5'!Z16+'Mardi S5'!Z16+'Mercredi S5'!Z16+'Jeudi S5'!Z16+'Vendredi S5'!Z16+'Samedi S5'!Z16</f>
        <v>0</v>
      </c>
      <c r="AA16" s="11">
        <f>+'Luindi S5'!AA16+'Mardi S5'!AA16+'Mercredi S5'!AA16+'Jeudi S5'!AA16+'Vendredi S5'!AA16+'Samedi S5'!AA16</f>
        <v>0</v>
      </c>
      <c r="AB16" s="9">
        <f>+'Luindi S5'!AB16+'Mardi S5'!AB16+'Mercredi S5'!AB16+'Jeudi S5'!AB16+'Vendredi S5'!AB16+'Samedi S5'!AB16</f>
        <v>0</v>
      </c>
      <c r="AC16" s="10">
        <f>+'Luindi S5'!AC16+'Mardi S5'!AC16+'Mercredi S5'!AC16+'Jeudi S5'!AC16+'Vendredi S5'!AC16+'Samedi S5'!AC16</f>
        <v>0</v>
      </c>
      <c r="AD16" s="10">
        <f>+'Luindi S5'!AD16+'Mardi S5'!AD16+'Mercredi S5'!AD16+'Jeudi S5'!AD16+'Vendredi S5'!AD16+'Samedi S5'!AD16</f>
        <v>0</v>
      </c>
      <c r="AE16" s="10">
        <f>+'Luindi S5'!AE16+'Mardi S5'!AE16+'Mercredi S5'!AE16+'Jeudi S5'!AE16+'Vendredi S5'!AE16+'Samedi S5'!AE16</f>
        <v>0</v>
      </c>
      <c r="AF16" s="11">
        <f>+'Luindi S5'!AF16+'Mardi S5'!AF16+'Mercredi S5'!AF16+'Jeudi S5'!AF16+'Vendredi S5'!AF16+'Samedi S5'!AF16</f>
        <v>0</v>
      </c>
      <c r="AG16" s="9">
        <f>+'Luindi S5'!AG16+'Mardi S5'!AG16+'Mercredi S5'!AG16+'Jeudi S5'!AG16+'Vendredi S5'!AG16+'Samedi S5'!AG16</f>
        <v>0</v>
      </c>
      <c r="AH16" s="10">
        <f>+'Luindi S5'!AH16+'Mardi S5'!AH16+'Mercredi S5'!AH16+'Jeudi S5'!AH16+'Vendredi S5'!AH16+'Samedi S5'!AH16</f>
        <v>0</v>
      </c>
      <c r="AI16" s="10">
        <f>+'Luindi S5'!AI16+'Mardi S5'!AI16+'Mercredi S5'!AI16+'Jeudi S5'!AI16+'Vendredi S5'!AI16+'Samedi S5'!AI16</f>
        <v>0</v>
      </c>
      <c r="AJ16" s="10">
        <f>+'Luindi S5'!AJ16+'Mardi S5'!AJ16+'Mercredi S5'!AJ16+'Jeudi S5'!AJ16+'Vendredi S5'!AJ16+'Samedi S5'!AJ16</f>
        <v>0</v>
      </c>
      <c r="AK16" s="11">
        <f>+'Luindi S5'!AK16+'Mardi S5'!AK16+'Mercredi S5'!AK16+'Jeudi S5'!AK16+'Vendredi S5'!AK16+'Samedi S5'!AK16</f>
        <v>0</v>
      </c>
      <c r="AL16" s="9">
        <f>+'Luindi S5'!AL16+'Mardi S5'!AL16+'Mercredi S5'!AL16+'Jeudi S5'!AL16+'Vendredi S5'!AL16+'Samedi S5'!AL16</f>
        <v>0</v>
      </c>
      <c r="AM16" s="10">
        <f>+'Luindi S5'!AM16+'Mardi S5'!AM16+'Mercredi S5'!AM16+'Jeudi S5'!AM16+'Vendredi S5'!AM16+'Samedi S5'!AM16</f>
        <v>0</v>
      </c>
      <c r="AN16" s="10">
        <f>+'Luindi S5'!AN16+'Mardi S5'!AN16+'Mercredi S5'!AN16+'Jeudi S5'!AN16+'Vendredi S5'!AN16+'Samedi S5'!AN16</f>
        <v>0</v>
      </c>
      <c r="AO16" s="10">
        <f>+'Luindi S5'!AO16+'Mardi S5'!AO16+'Mercredi S5'!AO16+'Jeudi S5'!AO16+'Vendredi S5'!AO16+'Samedi S5'!AO16</f>
        <v>0</v>
      </c>
      <c r="AP16" s="11">
        <f>+'Luindi S5'!AP16+'Mardi S5'!AP16+'Mercredi S5'!AP16+'Jeudi S5'!AP16+'Vendredi S5'!AP16+'Samedi S5'!AP16</f>
        <v>0</v>
      </c>
      <c r="AQ16" s="9">
        <f>+'Luindi S5'!AQ16+'Mardi S5'!AQ16+'Mercredi S5'!AQ16+'Jeudi S5'!AQ16+'Vendredi S5'!AQ16+'Samedi S5'!AQ16</f>
        <v>0</v>
      </c>
      <c r="AR16" s="10">
        <f>+'Luindi S5'!AR16+'Mardi S5'!AR16+'Mercredi S5'!AR16+'Jeudi S5'!AR16+'Vendredi S5'!AR16+'Samedi S5'!AR16</f>
        <v>0</v>
      </c>
      <c r="AS16" s="11">
        <f>+'Luindi S5'!AS16+'Mardi S5'!AS16+'Mercredi S5'!AS16+'Jeudi S5'!AS16+'Vendredi S5'!AS16+'Samedi S5'!AS16</f>
        <v>0</v>
      </c>
      <c r="AT16" s="22"/>
      <c r="AU16" s="14"/>
    </row>
    <row r="17" spans="1:47" ht="31.9" customHeight="1" x14ac:dyDescent="0.2">
      <c r="A17" s="26">
        <v>11</v>
      </c>
      <c r="B17" s="19"/>
      <c r="C17" s="9">
        <f>+'Luindi S5'!C17+'Mardi S5'!C17+'Mercredi S5'!C17+'Jeudi S5'!C17+'Vendredi S5'!C17+'Samedi S5'!C17</f>
        <v>90</v>
      </c>
      <c r="D17" s="10">
        <f>+'Luindi S5'!D17+'Mardi S5'!D17+'Mercredi S5'!D17+'Jeudi S5'!D17+'Vendredi S5'!D17+'Samedi S5'!D17</f>
        <v>18</v>
      </c>
      <c r="E17" s="10">
        <f>+'Luindi S5'!E17+'Mardi S5'!E17+'Mercredi S5'!E17+'Jeudi S5'!E17+'Vendredi S5'!E17+'Samedi S5'!E17</f>
        <v>30</v>
      </c>
      <c r="F17" s="10">
        <f>+'Luindi S5'!F17+'Mardi S5'!F17+'Mercredi S5'!F17+'Jeudi S5'!F17+'Vendredi S5'!F17+'Samedi S5'!F17</f>
        <v>12</v>
      </c>
      <c r="G17" s="11">
        <f>+'Luindi S5'!G17+'Mardi S5'!G17+'Mercredi S5'!G17+'Jeudi S5'!G17+'Vendredi S5'!G17+'Samedi S5'!G17</f>
        <v>30</v>
      </c>
      <c r="H17" s="9">
        <f>+'Luindi S5'!H17+'Mardi S5'!H17+'Mercredi S5'!H17+'Jeudi S5'!H17+'Vendredi S5'!H17+'Samedi S5'!H17</f>
        <v>18</v>
      </c>
      <c r="I17" s="10">
        <f>+'Luindi S5'!I17+'Mardi S5'!I17+'Mercredi S5'!I17+'Jeudi S5'!I17+'Vendredi S5'!I17+'Samedi S5'!I17</f>
        <v>6</v>
      </c>
      <c r="J17" s="10">
        <f>+'Luindi S5'!J17+'Mardi S5'!J17+'Mercredi S5'!J17+'Jeudi S5'!J17+'Vendredi S5'!J17+'Samedi S5'!J17</f>
        <v>6</v>
      </c>
      <c r="K17" s="10">
        <f>+'Luindi S5'!K17+'Mardi S5'!K17+'Mercredi S5'!K17+'Jeudi S5'!K17+'Vendredi S5'!K17+'Samedi S5'!K17</f>
        <v>6</v>
      </c>
      <c r="L17" s="11">
        <f>+'Luindi S5'!L17+'Mardi S5'!L17+'Mercredi S5'!L17+'Jeudi S5'!L17+'Vendredi S5'!L17+'Samedi S5'!L17</f>
        <v>6</v>
      </c>
      <c r="M17" s="9">
        <f>+'Luindi S5'!M17+'Mardi S5'!M17+'Mercredi S5'!M17+'Jeudi S5'!M17+'Vendredi S5'!M17+'Samedi S5'!M17</f>
        <v>18</v>
      </c>
      <c r="N17" s="10">
        <f>+'Luindi S5'!N17+'Mardi S5'!N17+'Mercredi S5'!N17+'Jeudi S5'!N17+'Vendredi S5'!N17+'Samedi S5'!N17</f>
        <v>6</v>
      </c>
      <c r="O17" s="10">
        <f>+'Luindi S5'!O17+'Mardi S5'!O17+'Mercredi S5'!O17+'Jeudi S5'!O17+'Vendredi S5'!O17+'Samedi S5'!O17</f>
        <v>18</v>
      </c>
      <c r="P17" s="10">
        <f>+'Luindi S5'!P17+'Mardi S5'!P17+'Mercredi S5'!P17+'Jeudi S5'!P17+'Vendredi S5'!P17+'Samedi S5'!P17</f>
        <v>0</v>
      </c>
      <c r="Q17" s="11">
        <f>+'Luindi S5'!Q17+'Mardi S5'!Q17+'Mercredi S5'!Q17+'Jeudi S5'!Q17+'Vendredi S5'!Q17+'Samedi S5'!Q17</f>
        <v>0</v>
      </c>
      <c r="R17" s="61">
        <f>+'Luindi S5'!R17+'Mardi S5'!R17+'Mercredi S5'!R17+'Jeudi S5'!R17+'Vendredi S5'!R17+'Samedi S5'!R17</f>
        <v>3</v>
      </c>
      <c r="S17" s="62">
        <f>+'Luindi S5'!S17+'Mardi S5'!S17+'Mercredi S5'!S17+'Jeudi S5'!S17+'Vendredi S5'!S17+'Samedi S5'!S17</f>
        <v>0.99999999999999989</v>
      </c>
      <c r="T17" s="62">
        <f>+'Luindi S5'!T17+'Mardi S5'!T17+'Mercredi S5'!T17+'Jeudi S5'!T17+'Vendredi S5'!T17+'Samedi S5'!T17</f>
        <v>0.6</v>
      </c>
      <c r="U17" s="62">
        <f>+'Luindi S5'!U17+'Mardi S5'!U17+'Mercredi S5'!U17+'Jeudi S5'!U17+'Vendredi S5'!U17+'Samedi S5'!U17</f>
        <v>3.6</v>
      </c>
      <c r="V17" s="63">
        <f>+'Luindi S5'!V17+'Mardi S5'!V17+'Mercredi S5'!V17+'Jeudi S5'!V17+'Vendredi S5'!V17+'Samedi S5'!V17</f>
        <v>0.9</v>
      </c>
      <c r="W17" s="9">
        <f>+'Luindi S5'!W17+'Mardi S5'!W17+'Mercredi S5'!W17+'Jeudi S5'!W17+'Vendredi S5'!W17+'Samedi S5'!W17</f>
        <v>0</v>
      </c>
      <c r="X17" s="10">
        <f>+'Luindi S5'!X17+'Mardi S5'!X17+'Mercredi S5'!X17+'Jeudi S5'!X17+'Vendredi S5'!X17+'Samedi S5'!X17</f>
        <v>0</v>
      </c>
      <c r="Y17" s="10">
        <f>+'Luindi S5'!Y17+'Mardi S5'!Y17+'Mercredi S5'!Y17+'Jeudi S5'!Y17+'Vendredi S5'!Y17+'Samedi S5'!Y17</f>
        <v>0</v>
      </c>
      <c r="Z17" s="10">
        <f>+'Luindi S5'!Z17+'Mardi S5'!Z17+'Mercredi S5'!Z17+'Jeudi S5'!Z17+'Vendredi S5'!Z17+'Samedi S5'!Z17</f>
        <v>0</v>
      </c>
      <c r="AA17" s="11">
        <f>+'Luindi S5'!AA17+'Mardi S5'!AA17+'Mercredi S5'!AA17+'Jeudi S5'!AA17+'Vendredi S5'!AA17+'Samedi S5'!AA17</f>
        <v>0</v>
      </c>
      <c r="AB17" s="9">
        <f>+'Luindi S5'!AB17+'Mardi S5'!AB17+'Mercredi S5'!AB17+'Jeudi S5'!AB17+'Vendredi S5'!AB17+'Samedi S5'!AB17</f>
        <v>0</v>
      </c>
      <c r="AC17" s="10">
        <f>+'Luindi S5'!AC17+'Mardi S5'!AC17+'Mercredi S5'!AC17+'Jeudi S5'!AC17+'Vendredi S5'!AC17+'Samedi S5'!AC17</f>
        <v>0</v>
      </c>
      <c r="AD17" s="10">
        <f>+'Luindi S5'!AD17+'Mardi S5'!AD17+'Mercredi S5'!AD17+'Jeudi S5'!AD17+'Vendredi S5'!AD17+'Samedi S5'!AD17</f>
        <v>0</v>
      </c>
      <c r="AE17" s="10">
        <f>+'Luindi S5'!AE17+'Mardi S5'!AE17+'Mercredi S5'!AE17+'Jeudi S5'!AE17+'Vendredi S5'!AE17+'Samedi S5'!AE17</f>
        <v>0</v>
      </c>
      <c r="AF17" s="11">
        <f>+'Luindi S5'!AF17+'Mardi S5'!AF17+'Mercredi S5'!AF17+'Jeudi S5'!AF17+'Vendredi S5'!AF17+'Samedi S5'!AF17</f>
        <v>0</v>
      </c>
      <c r="AG17" s="9">
        <f>+'Luindi S5'!AG17+'Mardi S5'!AG17+'Mercredi S5'!AG17+'Jeudi S5'!AG17+'Vendredi S5'!AG17+'Samedi S5'!AG17</f>
        <v>0</v>
      </c>
      <c r="AH17" s="10">
        <f>+'Luindi S5'!AH17+'Mardi S5'!AH17+'Mercredi S5'!AH17+'Jeudi S5'!AH17+'Vendredi S5'!AH17+'Samedi S5'!AH17</f>
        <v>0</v>
      </c>
      <c r="AI17" s="10">
        <f>+'Luindi S5'!AI17+'Mardi S5'!AI17+'Mercredi S5'!AI17+'Jeudi S5'!AI17+'Vendredi S5'!AI17+'Samedi S5'!AI17</f>
        <v>0</v>
      </c>
      <c r="AJ17" s="10">
        <f>+'Luindi S5'!AJ17+'Mardi S5'!AJ17+'Mercredi S5'!AJ17+'Jeudi S5'!AJ17+'Vendredi S5'!AJ17+'Samedi S5'!AJ17</f>
        <v>0</v>
      </c>
      <c r="AK17" s="11">
        <f>+'Luindi S5'!AK17+'Mardi S5'!AK17+'Mercredi S5'!AK17+'Jeudi S5'!AK17+'Vendredi S5'!AK17+'Samedi S5'!AK17</f>
        <v>0</v>
      </c>
      <c r="AL17" s="9">
        <f>+'Luindi S5'!AL17+'Mardi S5'!AL17+'Mercredi S5'!AL17+'Jeudi S5'!AL17+'Vendredi S5'!AL17+'Samedi S5'!AL17</f>
        <v>0</v>
      </c>
      <c r="AM17" s="10">
        <f>+'Luindi S5'!AM17+'Mardi S5'!AM17+'Mercredi S5'!AM17+'Jeudi S5'!AM17+'Vendredi S5'!AM17+'Samedi S5'!AM17</f>
        <v>0</v>
      </c>
      <c r="AN17" s="10">
        <f>+'Luindi S5'!AN17+'Mardi S5'!AN17+'Mercredi S5'!AN17+'Jeudi S5'!AN17+'Vendredi S5'!AN17+'Samedi S5'!AN17</f>
        <v>0</v>
      </c>
      <c r="AO17" s="10">
        <f>+'Luindi S5'!AO17+'Mardi S5'!AO17+'Mercredi S5'!AO17+'Jeudi S5'!AO17+'Vendredi S5'!AO17+'Samedi S5'!AO17</f>
        <v>0</v>
      </c>
      <c r="AP17" s="11">
        <f>+'Luindi S5'!AP17+'Mardi S5'!AP17+'Mercredi S5'!AP17+'Jeudi S5'!AP17+'Vendredi S5'!AP17+'Samedi S5'!AP17</f>
        <v>0</v>
      </c>
      <c r="AQ17" s="9">
        <f>+'Luindi S5'!AQ17+'Mardi S5'!AQ17+'Mercredi S5'!AQ17+'Jeudi S5'!AQ17+'Vendredi S5'!AQ17+'Samedi S5'!AQ17</f>
        <v>0</v>
      </c>
      <c r="AR17" s="10">
        <f>+'Luindi S5'!AR17+'Mardi S5'!AR17+'Mercredi S5'!AR17+'Jeudi S5'!AR17+'Vendredi S5'!AR17+'Samedi S5'!AR17</f>
        <v>0</v>
      </c>
      <c r="AS17" s="11">
        <f>+'Luindi S5'!AS17+'Mardi S5'!AS17+'Mercredi S5'!AS17+'Jeudi S5'!AS17+'Vendredi S5'!AS17+'Samedi S5'!AS17</f>
        <v>0</v>
      </c>
      <c r="AT17" s="22"/>
      <c r="AU17" s="14"/>
    </row>
    <row r="18" spans="1:47" ht="31.9" customHeight="1" x14ac:dyDescent="0.2">
      <c r="A18" s="26">
        <v>12</v>
      </c>
      <c r="B18" s="19"/>
      <c r="C18" s="9">
        <f>+'Luindi S5'!C18+'Mardi S5'!C18+'Mercredi S5'!C18+'Jeudi S5'!C18+'Vendredi S5'!C18+'Samedi S5'!C18</f>
        <v>90</v>
      </c>
      <c r="D18" s="10">
        <f>+'Luindi S5'!D18+'Mardi S5'!D18+'Mercredi S5'!D18+'Jeudi S5'!D18+'Vendredi S5'!D18+'Samedi S5'!D18</f>
        <v>18</v>
      </c>
      <c r="E18" s="10">
        <f>+'Luindi S5'!E18+'Mardi S5'!E18+'Mercredi S5'!E18+'Jeudi S5'!E18+'Vendredi S5'!E18+'Samedi S5'!E18</f>
        <v>30</v>
      </c>
      <c r="F18" s="10">
        <f>+'Luindi S5'!F18+'Mardi S5'!F18+'Mercredi S5'!F18+'Jeudi S5'!F18+'Vendredi S5'!F18+'Samedi S5'!F18</f>
        <v>12</v>
      </c>
      <c r="G18" s="11">
        <f>+'Luindi S5'!G18+'Mardi S5'!G18+'Mercredi S5'!G18+'Jeudi S5'!G18+'Vendredi S5'!G18+'Samedi S5'!G18</f>
        <v>30</v>
      </c>
      <c r="H18" s="9">
        <f>+'Luindi S5'!H18+'Mardi S5'!H18+'Mercredi S5'!H18+'Jeudi S5'!H18+'Vendredi S5'!H18+'Samedi S5'!H18</f>
        <v>18</v>
      </c>
      <c r="I18" s="10">
        <f>+'Luindi S5'!I18+'Mardi S5'!I18+'Mercredi S5'!I18+'Jeudi S5'!I18+'Vendredi S5'!I18+'Samedi S5'!I18</f>
        <v>6</v>
      </c>
      <c r="J18" s="10">
        <f>+'Luindi S5'!J18+'Mardi S5'!J18+'Mercredi S5'!J18+'Jeudi S5'!J18+'Vendredi S5'!J18+'Samedi S5'!J18</f>
        <v>6</v>
      </c>
      <c r="K18" s="10">
        <f>+'Luindi S5'!K18+'Mardi S5'!K18+'Mercredi S5'!K18+'Jeudi S5'!K18+'Vendredi S5'!K18+'Samedi S5'!K18</f>
        <v>6</v>
      </c>
      <c r="L18" s="11">
        <f>+'Luindi S5'!L18+'Mardi S5'!L18+'Mercredi S5'!L18+'Jeudi S5'!L18+'Vendredi S5'!L18+'Samedi S5'!L18</f>
        <v>6</v>
      </c>
      <c r="M18" s="9">
        <f>+'Luindi S5'!M18+'Mardi S5'!M18+'Mercredi S5'!M18+'Jeudi S5'!M18+'Vendredi S5'!M18+'Samedi S5'!M18</f>
        <v>18</v>
      </c>
      <c r="N18" s="10">
        <f>+'Luindi S5'!N18+'Mardi S5'!N18+'Mercredi S5'!N18+'Jeudi S5'!N18+'Vendredi S5'!N18+'Samedi S5'!N18</f>
        <v>6</v>
      </c>
      <c r="O18" s="10">
        <f>+'Luindi S5'!O18+'Mardi S5'!O18+'Mercredi S5'!O18+'Jeudi S5'!O18+'Vendredi S5'!O18+'Samedi S5'!O18</f>
        <v>18</v>
      </c>
      <c r="P18" s="10">
        <f>+'Luindi S5'!P18+'Mardi S5'!P18+'Mercredi S5'!P18+'Jeudi S5'!P18+'Vendredi S5'!P18+'Samedi S5'!P18</f>
        <v>0</v>
      </c>
      <c r="Q18" s="11">
        <f>+'Luindi S5'!Q18+'Mardi S5'!Q18+'Mercredi S5'!Q18+'Jeudi S5'!Q18+'Vendredi S5'!Q18+'Samedi S5'!Q18</f>
        <v>0</v>
      </c>
      <c r="R18" s="61">
        <f>+'Luindi S5'!R18+'Mardi S5'!R18+'Mercredi S5'!R18+'Jeudi S5'!R18+'Vendredi S5'!R18+'Samedi S5'!R18</f>
        <v>3</v>
      </c>
      <c r="S18" s="62">
        <f>+'Luindi S5'!S18+'Mardi S5'!S18+'Mercredi S5'!S18+'Jeudi S5'!S18+'Vendredi S5'!S18+'Samedi S5'!S18</f>
        <v>0.99999999999999989</v>
      </c>
      <c r="T18" s="62">
        <f>+'Luindi S5'!T18+'Mardi S5'!T18+'Mercredi S5'!T18+'Jeudi S5'!T18+'Vendredi S5'!T18+'Samedi S5'!T18</f>
        <v>0.6</v>
      </c>
      <c r="U18" s="62">
        <f>+'Luindi S5'!U18+'Mardi S5'!U18+'Mercredi S5'!U18+'Jeudi S5'!U18+'Vendredi S5'!U18+'Samedi S5'!U18</f>
        <v>3.6</v>
      </c>
      <c r="V18" s="63">
        <f>+'Luindi S5'!V18+'Mardi S5'!V18+'Mercredi S5'!V18+'Jeudi S5'!V18+'Vendredi S5'!V18+'Samedi S5'!V18</f>
        <v>0.9</v>
      </c>
      <c r="W18" s="9">
        <f>+'Luindi S5'!W18+'Mardi S5'!W18+'Mercredi S5'!W18+'Jeudi S5'!W18+'Vendredi S5'!W18+'Samedi S5'!W18</f>
        <v>0</v>
      </c>
      <c r="X18" s="10">
        <f>+'Luindi S5'!X18+'Mardi S5'!X18+'Mercredi S5'!X18+'Jeudi S5'!X18+'Vendredi S5'!X18+'Samedi S5'!X18</f>
        <v>0</v>
      </c>
      <c r="Y18" s="10">
        <f>+'Luindi S5'!Y18+'Mardi S5'!Y18+'Mercredi S5'!Y18+'Jeudi S5'!Y18+'Vendredi S5'!Y18+'Samedi S5'!Y18</f>
        <v>0</v>
      </c>
      <c r="Z18" s="10">
        <f>+'Luindi S5'!Z18+'Mardi S5'!Z18+'Mercredi S5'!Z18+'Jeudi S5'!Z18+'Vendredi S5'!Z18+'Samedi S5'!Z18</f>
        <v>0</v>
      </c>
      <c r="AA18" s="11">
        <f>+'Luindi S5'!AA18+'Mardi S5'!AA18+'Mercredi S5'!AA18+'Jeudi S5'!AA18+'Vendredi S5'!AA18+'Samedi S5'!AA18</f>
        <v>0</v>
      </c>
      <c r="AB18" s="9">
        <f>+'Luindi S5'!AB18+'Mardi S5'!AB18+'Mercredi S5'!AB18+'Jeudi S5'!AB18+'Vendredi S5'!AB18+'Samedi S5'!AB18</f>
        <v>0</v>
      </c>
      <c r="AC18" s="10">
        <f>+'Luindi S5'!AC18+'Mardi S5'!AC18+'Mercredi S5'!AC18+'Jeudi S5'!AC18+'Vendredi S5'!AC18+'Samedi S5'!AC18</f>
        <v>0</v>
      </c>
      <c r="AD18" s="10">
        <f>+'Luindi S5'!AD18+'Mardi S5'!AD18+'Mercredi S5'!AD18+'Jeudi S5'!AD18+'Vendredi S5'!AD18+'Samedi S5'!AD18</f>
        <v>0</v>
      </c>
      <c r="AE18" s="10">
        <f>+'Luindi S5'!AE18+'Mardi S5'!AE18+'Mercredi S5'!AE18+'Jeudi S5'!AE18+'Vendredi S5'!AE18+'Samedi S5'!AE18</f>
        <v>0</v>
      </c>
      <c r="AF18" s="11">
        <f>+'Luindi S5'!AF18+'Mardi S5'!AF18+'Mercredi S5'!AF18+'Jeudi S5'!AF18+'Vendredi S5'!AF18+'Samedi S5'!AF18</f>
        <v>0</v>
      </c>
      <c r="AG18" s="9">
        <f>+'Luindi S5'!AG18+'Mardi S5'!AG18+'Mercredi S5'!AG18+'Jeudi S5'!AG18+'Vendredi S5'!AG18+'Samedi S5'!AG18</f>
        <v>0</v>
      </c>
      <c r="AH18" s="10">
        <f>+'Luindi S5'!AH18+'Mardi S5'!AH18+'Mercredi S5'!AH18+'Jeudi S5'!AH18+'Vendredi S5'!AH18+'Samedi S5'!AH18</f>
        <v>0</v>
      </c>
      <c r="AI18" s="10">
        <f>+'Luindi S5'!AI18+'Mardi S5'!AI18+'Mercredi S5'!AI18+'Jeudi S5'!AI18+'Vendredi S5'!AI18+'Samedi S5'!AI18</f>
        <v>0</v>
      </c>
      <c r="AJ18" s="10">
        <f>+'Luindi S5'!AJ18+'Mardi S5'!AJ18+'Mercredi S5'!AJ18+'Jeudi S5'!AJ18+'Vendredi S5'!AJ18+'Samedi S5'!AJ18</f>
        <v>0</v>
      </c>
      <c r="AK18" s="11">
        <f>+'Luindi S5'!AK18+'Mardi S5'!AK18+'Mercredi S5'!AK18+'Jeudi S5'!AK18+'Vendredi S5'!AK18+'Samedi S5'!AK18</f>
        <v>0</v>
      </c>
      <c r="AL18" s="9">
        <f>+'Luindi S5'!AL18+'Mardi S5'!AL18+'Mercredi S5'!AL18+'Jeudi S5'!AL18+'Vendredi S5'!AL18+'Samedi S5'!AL18</f>
        <v>0</v>
      </c>
      <c r="AM18" s="10">
        <f>+'Luindi S5'!AM18+'Mardi S5'!AM18+'Mercredi S5'!AM18+'Jeudi S5'!AM18+'Vendredi S5'!AM18+'Samedi S5'!AM18</f>
        <v>0</v>
      </c>
      <c r="AN18" s="10">
        <f>+'Luindi S5'!AN18+'Mardi S5'!AN18+'Mercredi S5'!AN18+'Jeudi S5'!AN18+'Vendredi S5'!AN18+'Samedi S5'!AN18</f>
        <v>0</v>
      </c>
      <c r="AO18" s="10">
        <f>+'Luindi S5'!AO18+'Mardi S5'!AO18+'Mercredi S5'!AO18+'Jeudi S5'!AO18+'Vendredi S5'!AO18+'Samedi S5'!AO18</f>
        <v>0</v>
      </c>
      <c r="AP18" s="11">
        <f>+'Luindi S5'!AP18+'Mardi S5'!AP18+'Mercredi S5'!AP18+'Jeudi S5'!AP18+'Vendredi S5'!AP18+'Samedi S5'!AP18</f>
        <v>0</v>
      </c>
      <c r="AQ18" s="9">
        <f>+'Luindi S5'!AQ18+'Mardi S5'!AQ18+'Mercredi S5'!AQ18+'Jeudi S5'!AQ18+'Vendredi S5'!AQ18+'Samedi S5'!AQ18</f>
        <v>0</v>
      </c>
      <c r="AR18" s="10">
        <f>+'Luindi S5'!AR18+'Mardi S5'!AR18+'Mercredi S5'!AR18+'Jeudi S5'!AR18+'Vendredi S5'!AR18+'Samedi S5'!AR18</f>
        <v>0</v>
      </c>
      <c r="AS18" s="11">
        <f>+'Luindi S5'!AS18+'Mardi S5'!AS18+'Mercredi S5'!AS18+'Jeudi S5'!AS18+'Vendredi S5'!AS18+'Samedi S5'!AS18</f>
        <v>0</v>
      </c>
      <c r="AT18" s="22"/>
      <c r="AU18" s="14"/>
    </row>
    <row r="19" spans="1:47" ht="31.9" customHeight="1" x14ac:dyDescent="0.2">
      <c r="A19" s="26">
        <v>13</v>
      </c>
      <c r="B19" s="19"/>
      <c r="C19" s="9">
        <f>+'Luindi S5'!C19+'Mardi S5'!C19+'Mercredi S5'!C19+'Jeudi S5'!C19+'Vendredi S5'!C19+'Samedi S5'!C19</f>
        <v>90</v>
      </c>
      <c r="D19" s="10">
        <f>+'Luindi S5'!D19+'Mardi S5'!D19+'Mercredi S5'!D19+'Jeudi S5'!D19+'Vendredi S5'!D19+'Samedi S5'!D19</f>
        <v>18</v>
      </c>
      <c r="E19" s="10">
        <f>+'Luindi S5'!E19+'Mardi S5'!E19+'Mercredi S5'!E19+'Jeudi S5'!E19+'Vendredi S5'!E19+'Samedi S5'!E19</f>
        <v>30</v>
      </c>
      <c r="F19" s="10">
        <f>+'Luindi S5'!F19+'Mardi S5'!F19+'Mercredi S5'!F19+'Jeudi S5'!F19+'Vendredi S5'!F19+'Samedi S5'!F19</f>
        <v>12</v>
      </c>
      <c r="G19" s="11">
        <f>+'Luindi S5'!G19+'Mardi S5'!G19+'Mercredi S5'!G19+'Jeudi S5'!G19+'Vendredi S5'!G19+'Samedi S5'!G19</f>
        <v>30</v>
      </c>
      <c r="H19" s="9">
        <f>+'Luindi S5'!H19+'Mardi S5'!H19+'Mercredi S5'!H19+'Jeudi S5'!H19+'Vendredi S5'!H19+'Samedi S5'!H19</f>
        <v>18</v>
      </c>
      <c r="I19" s="10">
        <f>+'Luindi S5'!I19+'Mardi S5'!I19+'Mercredi S5'!I19+'Jeudi S5'!I19+'Vendredi S5'!I19+'Samedi S5'!I19</f>
        <v>6</v>
      </c>
      <c r="J19" s="10">
        <f>+'Luindi S5'!J19+'Mardi S5'!J19+'Mercredi S5'!J19+'Jeudi S5'!J19+'Vendredi S5'!J19+'Samedi S5'!J19</f>
        <v>6</v>
      </c>
      <c r="K19" s="10">
        <f>+'Luindi S5'!K19+'Mardi S5'!K19+'Mercredi S5'!K19+'Jeudi S5'!K19+'Vendredi S5'!K19+'Samedi S5'!K19</f>
        <v>6</v>
      </c>
      <c r="L19" s="11">
        <f>+'Luindi S5'!L19+'Mardi S5'!L19+'Mercredi S5'!L19+'Jeudi S5'!L19+'Vendredi S5'!L19+'Samedi S5'!L19</f>
        <v>6</v>
      </c>
      <c r="M19" s="9">
        <f>+'Luindi S5'!M19+'Mardi S5'!M19+'Mercredi S5'!M19+'Jeudi S5'!M19+'Vendredi S5'!M19+'Samedi S5'!M19</f>
        <v>18</v>
      </c>
      <c r="N19" s="10">
        <f>+'Luindi S5'!N19+'Mardi S5'!N19+'Mercredi S5'!N19+'Jeudi S5'!N19+'Vendredi S5'!N19+'Samedi S5'!N19</f>
        <v>6</v>
      </c>
      <c r="O19" s="10">
        <f>+'Luindi S5'!O19+'Mardi S5'!O19+'Mercredi S5'!O19+'Jeudi S5'!O19+'Vendredi S5'!O19+'Samedi S5'!O19</f>
        <v>18</v>
      </c>
      <c r="P19" s="10">
        <f>+'Luindi S5'!P19+'Mardi S5'!P19+'Mercredi S5'!P19+'Jeudi S5'!P19+'Vendredi S5'!P19+'Samedi S5'!P19</f>
        <v>0</v>
      </c>
      <c r="Q19" s="11">
        <f>+'Luindi S5'!Q19+'Mardi S5'!Q19+'Mercredi S5'!Q19+'Jeudi S5'!Q19+'Vendredi S5'!Q19+'Samedi S5'!Q19</f>
        <v>0</v>
      </c>
      <c r="R19" s="61">
        <f>+'Luindi S5'!R19+'Mardi S5'!R19+'Mercredi S5'!R19+'Jeudi S5'!R19+'Vendredi S5'!R19+'Samedi S5'!R19</f>
        <v>3</v>
      </c>
      <c r="S19" s="62">
        <f>+'Luindi S5'!S19+'Mardi S5'!S19+'Mercredi S5'!S19+'Jeudi S5'!S19+'Vendredi S5'!S19+'Samedi S5'!S19</f>
        <v>0.99999999999999989</v>
      </c>
      <c r="T19" s="62">
        <f>+'Luindi S5'!T19+'Mardi S5'!T19+'Mercredi S5'!T19+'Jeudi S5'!T19+'Vendredi S5'!T19+'Samedi S5'!T19</f>
        <v>0.6</v>
      </c>
      <c r="U19" s="62">
        <f>+'Luindi S5'!U19+'Mardi S5'!U19+'Mercredi S5'!U19+'Jeudi S5'!U19+'Vendredi S5'!U19+'Samedi S5'!U19</f>
        <v>3.6</v>
      </c>
      <c r="V19" s="63">
        <f>+'Luindi S5'!V19+'Mardi S5'!V19+'Mercredi S5'!V19+'Jeudi S5'!V19+'Vendredi S5'!V19+'Samedi S5'!V19</f>
        <v>0.9</v>
      </c>
      <c r="W19" s="9">
        <f>+'Luindi S5'!W19+'Mardi S5'!W19+'Mercredi S5'!W19+'Jeudi S5'!W19+'Vendredi S5'!W19+'Samedi S5'!W19</f>
        <v>0</v>
      </c>
      <c r="X19" s="10">
        <f>+'Luindi S5'!X19+'Mardi S5'!X19+'Mercredi S5'!X19+'Jeudi S5'!X19+'Vendredi S5'!X19+'Samedi S5'!X19</f>
        <v>0</v>
      </c>
      <c r="Y19" s="10">
        <f>+'Luindi S5'!Y19+'Mardi S5'!Y19+'Mercredi S5'!Y19+'Jeudi S5'!Y19+'Vendredi S5'!Y19+'Samedi S5'!Y19</f>
        <v>0</v>
      </c>
      <c r="Z19" s="10">
        <f>+'Luindi S5'!Z19+'Mardi S5'!Z19+'Mercredi S5'!Z19+'Jeudi S5'!Z19+'Vendredi S5'!Z19+'Samedi S5'!Z19</f>
        <v>0</v>
      </c>
      <c r="AA19" s="11">
        <f>+'Luindi S5'!AA19+'Mardi S5'!AA19+'Mercredi S5'!AA19+'Jeudi S5'!AA19+'Vendredi S5'!AA19+'Samedi S5'!AA19</f>
        <v>0</v>
      </c>
      <c r="AB19" s="9">
        <f>+'Luindi S5'!AB19+'Mardi S5'!AB19+'Mercredi S5'!AB19+'Jeudi S5'!AB19+'Vendredi S5'!AB19+'Samedi S5'!AB19</f>
        <v>0</v>
      </c>
      <c r="AC19" s="10">
        <f>+'Luindi S5'!AC19+'Mardi S5'!AC19+'Mercredi S5'!AC19+'Jeudi S5'!AC19+'Vendredi S5'!AC19+'Samedi S5'!AC19</f>
        <v>0</v>
      </c>
      <c r="AD19" s="10">
        <f>+'Luindi S5'!AD19+'Mardi S5'!AD19+'Mercredi S5'!AD19+'Jeudi S5'!AD19+'Vendredi S5'!AD19+'Samedi S5'!AD19</f>
        <v>0</v>
      </c>
      <c r="AE19" s="10">
        <f>+'Luindi S5'!AE19+'Mardi S5'!AE19+'Mercredi S5'!AE19+'Jeudi S5'!AE19+'Vendredi S5'!AE19+'Samedi S5'!AE19</f>
        <v>0</v>
      </c>
      <c r="AF19" s="11">
        <f>+'Luindi S5'!AF19+'Mardi S5'!AF19+'Mercredi S5'!AF19+'Jeudi S5'!AF19+'Vendredi S5'!AF19+'Samedi S5'!AF19</f>
        <v>0</v>
      </c>
      <c r="AG19" s="9">
        <f>+'Luindi S5'!AG19+'Mardi S5'!AG19+'Mercredi S5'!AG19+'Jeudi S5'!AG19+'Vendredi S5'!AG19+'Samedi S5'!AG19</f>
        <v>0</v>
      </c>
      <c r="AH19" s="10">
        <f>+'Luindi S5'!AH19+'Mardi S5'!AH19+'Mercredi S5'!AH19+'Jeudi S5'!AH19+'Vendredi S5'!AH19+'Samedi S5'!AH19</f>
        <v>0</v>
      </c>
      <c r="AI19" s="10">
        <f>+'Luindi S5'!AI19+'Mardi S5'!AI19+'Mercredi S5'!AI19+'Jeudi S5'!AI19+'Vendredi S5'!AI19+'Samedi S5'!AI19</f>
        <v>0</v>
      </c>
      <c r="AJ19" s="10">
        <f>+'Luindi S5'!AJ19+'Mardi S5'!AJ19+'Mercredi S5'!AJ19+'Jeudi S5'!AJ19+'Vendredi S5'!AJ19+'Samedi S5'!AJ19</f>
        <v>0</v>
      </c>
      <c r="AK19" s="11">
        <f>+'Luindi S5'!AK19+'Mardi S5'!AK19+'Mercredi S5'!AK19+'Jeudi S5'!AK19+'Vendredi S5'!AK19+'Samedi S5'!AK19</f>
        <v>0</v>
      </c>
      <c r="AL19" s="9">
        <f>+'Luindi S5'!AL19+'Mardi S5'!AL19+'Mercredi S5'!AL19+'Jeudi S5'!AL19+'Vendredi S5'!AL19+'Samedi S5'!AL19</f>
        <v>0</v>
      </c>
      <c r="AM19" s="10">
        <f>+'Luindi S5'!AM19+'Mardi S5'!AM19+'Mercredi S5'!AM19+'Jeudi S5'!AM19+'Vendredi S5'!AM19+'Samedi S5'!AM19</f>
        <v>0</v>
      </c>
      <c r="AN19" s="10">
        <f>+'Luindi S5'!AN19+'Mardi S5'!AN19+'Mercredi S5'!AN19+'Jeudi S5'!AN19+'Vendredi S5'!AN19+'Samedi S5'!AN19</f>
        <v>0</v>
      </c>
      <c r="AO19" s="10">
        <f>+'Luindi S5'!AO19+'Mardi S5'!AO19+'Mercredi S5'!AO19+'Jeudi S5'!AO19+'Vendredi S5'!AO19+'Samedi S5'!AO19</f>
        <v>0</v>
      </c>
      <c r="AP19" s="11">
        <f>+'Luindi S5'!AP19+'Mardi S5'!AP19+'Mercredi S5'!AP19+'Jeudi S5'!AP19+'Vendredi S5'!AP19+'Samedi S5'!AP19</f>
        <v>0</v>
      </c>
      <c r="AQ19" s="9">
        <f>+'Luindi S5'!AQ19+'Mardi S5'!AQ19+'Mercredi S5'!AQ19+'Jeudi S5'!AQ19+'Vendredi S5'!AQ19+'Samedi S5'!AQ19</f>
        <v>0</v>
      </c>
      <c r="AR19" s="10">
        <f>+'Luindi S5'!AR19+'Mardi S5'!AR19+'Mercredi S5'!AR19+'Jeudi S5'!AR19+'Vendredi S5'!AR19+'Samedi S5'!AR19</f>
        <v>0</v>
      </c>
      <c r="AS19" s="11">
        <f>+'Luindi S5'!AS19+'Mardi S5'!AS19+'Mercredi S5'!AS19+'Jeudi S5'!AS19+'Vendredi S5'!AS19+'Samedi S5'!AS19</f>
        <v>0</v>
      </c>
      <c r="AT19" s="22"/>
      <c r="AU19" s="14"/>
    </row>
    <row r="20" spans="1:47" ht="31.9" customHeight="1" x14ac:dyDescent="0.2">
      <c r="A20" s="26">
        <v>14</v>
      </c>
      <c r="B20" s="19"/>
      <c r="C20" s="9">
        <f>+'Luindi S5'!C20+'Mardi S5'!C20+'Mercredi S5'!C20+'Jeudi S5'!C20+'Vendredi S5'!C20+'Samedi S5'!C20</f>
        <v>90</v>
      </c>
      <c r="D20" s="10">
        <f>+'Luindi S5'!D20+'Mardi S5'!D20+'Mercredi S5'!D20+'Jeudi S5'!D20+'Vendredi S5'!D20+'Samedi S5'!D20</f>
        <v>18</v>
      </c>
      <c r="E20" s="10">
        <f>+'Luindi S5'!E20+'Mardi S5'!E20+'Mercredi S5'!E20+'Jeudi S5'!E20+'Vendredi S5'!E20+'Samedi S5'!E20</f>
        <v>30</v>
      </c>
      <c r="F20" s="10">
        <f>+'Luindi S5'!F20+'Mardi S5'!F20+'Mercredi S5'!F20+'Jeudi S5'!F20+'Vendredi S5'!F20+'Samedi S5'!F20</f>
        <v>12</v>
      </c>
      <c r="G20" s="11">
        <f>+'Luindi S5'!G20+'Mardi S5'!G20+'Mercredi S5'!G20+'Jeudi S5'!G20+'Vendredi S5'!G20+'Samedi S5'!G20</f>
        <v>30</v>
      </c>
      <c r="H20" s="9">
        <f>+'Luindi S5'!H20+'Mardi S5'!H20+'Mercredi S5'!H20+'Jeudi S5'!H20+'Vendredi S5'!H20+'Samedi S5'!H20</f>
        <v>18</v>
      </c>
      <c r="I20" s="10">
        <f>+'Luindi S5'!I20+'Mardi S5'!I20+'Mercredi S5'!I20+'Jeudi S5'!I20+'Vendredi S5'!I20+'Samedi S5'!I20</f>
        <v>6</v>
      </c>
      <c r="J20" s="10">
        <f>+'Luindi S5'!J20+'Mardi S5'!J20+'Mercredi S5'!J20+'Jeudi S5'!J20+'Vendredi S5'!J20+'Samedi S5'!J20</f>
        <v>6</v>
      </c>
      <c r="K20" s="10">
        <f>+'Luindi S5'!K20+'Mardi S5'!K20+'Mercredi S5'!K20+'Jeudi S5'!K20+'Vendredi S5'!K20+'Samedi S5'!K20</f>
        <v>6</v>
      </c>
      <c r="L20" s="11">
        <f>+'Luindi S5'!L20+'Mardi S5'!L20+'Mercredi S5'!L20+'Jeudi S5'!L20+'Vendredi S5'!L20+'Samedi S5'!L20</f>
        <v>6</v>
      </c>
      <c r="M20" s="9">
        <f>+'Luindi S5'!M20+'Mardi S5'!M20+'Mercredi S5'!M20+'Jeudi S5'!M20+'Vendredi S5'!M20+'Samedi S5'!M20</f>
        <v>18</v>
      </c>
      <c r="N20" s="10">
        <f>+'Luindi S5'!N20+'Mardi S5'!N20+'Mercredi S5'!N20+'Jeudi S5'!N20+'Vendredi S5'!N20+'Samedi S5'!N20</f>
        <v>6</v>
      </c>
      <c r="O20" s="10">
        <f>+'Luindi S5'!O20+'Mardi S5'!O20+'Mercredi S5'!O20+'Jeudi S5'!O20+'Vendredi S5'!O20+'Samedi S5'!O20</f>
        <v>18</v>
      </c>
      <c r="P20" s="10">
        <f>+'Luindi S5'!P20+'Mardi S5'!P20+'Mercredi S5'!P20+'Jeudi S5'!P20+'Vendredi S5'!P20+'Samedi S5'!P20</f>
        <v>0</v>
      </c>
      <c r="Q20" s="11">
        <f>+'Luindi S5'!Q20+'Mardi S5'!Q20+'Mercredi S5'!Q20+'Jeudi S5'!Q20+'Vendredi S5'!Q20+'Samedi S5'!Q20</f>
        <v>0</v>
      </c>
      <c r="R20" s="61">
        <f>+'Luindi S5'!R20+'Mardi S5'!R20+'Mercredi S5'!R20+'Jeudi S5'!R20+'Vendredi S5'!R20+'Samedi S5'!R20</f>
        <v>3</v>
      </c>
      <c r="S20" s="62">
        <f>+'Luindi S5'!S20+'Mardi S5'!S20+'Mercredi S5'!S20+'Jeudi S5'!S20+'Vendredi S5'!S20+'Samedi S5'!S20</f>
        <v>0.99999999999999989</v>
      </c>
      <c r="T20" s="62">
        <f>+'Luindi S5'!T20+'Mardi S5'!T20+'Mercredi S5'!T20+'Jeudi S5'!T20+'Vendredi S5'!T20+'Samedi S5'!T20</f>
        <v>0.6</v>
      </c>
      <c r="U20" s="62">
        <f>+'Luindi S5'!U20+'Mardi S5'!U20+'Mercredi S5'!U20+'Jeudi S5'!U20+'Vendredi S5'!U20+'Samedi S5'!U20</f>
        <v>3.6</v>
      </c>
      <c r="V20" s="63">
        <f>+'Luindi S5'!V20+'Mardi S5'!V20+'Mercredi S5'!V20+'Jeudi S5'!V20+'Vendredi S5'!V20+'Samedi S5'!V20</f>
        <v>0.9</v>
      </c>
      <c r="W20" s="9">
        <f>+'Luindi S5'!W20+'Mardi S5'!W20+'Mercredi S5'!W20+'Jeudi S5'!W20+'Vendredi S5'!W20+'Samedi S5'!W20</f>
        <v>0</v>
      </c>
      <c r="X20" s="10">
        <f>+'Luindi S5'!X20+'Mardi S5'!X20+'Mercredi S5'!X20+'Jeudi S5'!X20+'Vendredi S5'!X20+'Samedi S5'!X20</f>
        <v>0</v>
      </c>
      <c r="Y20" s="10">
        <f>+'Luindi S5'!Y20+'Mardi S5'!Y20+'Mercredi S5'!Y20+'Jeudi S5'!Y20+'Vendredi S5'!Y20+'Samedi S5'!Y20</f>
        <v>0</v>
      </c>
      <c r="Z20" s="10">
        <f>+'Luindi S5'!Z20+'Mardi S5'!Z20+'Mercredi S5'!Z20+'Jeudi S5'!Z20+'Vendredi S5'!Z20+'Samedi S5'!Z20</f>
        <v>0</v>
      </c>
      <c r="AA20" s="11">
        <f>+'Luindi S5'!AA20+'Mardi S5'!AA20+'Mercredi S5'!AA20+'Jeudi S5'!AA20+'Vendredi S5'!AA20+'Samedi S5'!AA20</f>
        <v>0</v>
      </c>
      <c r="AB20" s="9">
        <f>+'Luindi S5'!AB20+'Mardi S5'!AB20+'Mercredi S5'!AB20+'Jeudi S5'!AB20+'Vendredi S5'!AB20+'Samedi S5'!AB20</f>
        <v>0</v>
      </c>
      <c r="AC20" s="10">
        <f>+'Luindi S5'!AC20+'Mardi S5'!AC20+'Mercredi S5'!AC20+'Jeudi S5'!AC20+'Vendredi S5'!AC20+'Samedi S5'!AC20</f>
        <v>0</v>
      </c>
      <c r="AD20" s="10">
        <f>+'Luindi S5'!AD20+'Mardi S5'!AD20+'Mercredi S5'!AD20+'Jeudi S5'!AD20+'Vendredi S5'!AD20+'Samedi S5'!AD20</f>
        <v>0</v>
      </c>
      <c r="AE20" s="10">
        <f>+'Luindi S5'!AE20+'Mardi S5'!AE20+'Mercredi S5'!AE20+'Jeudi S5'!AE20+'Vendredi S5'!AE20+'Samedi S5'!AE20</f>
        <v>0</v>
      </c>
      <c r="AF20" s="11">
        <f>+'Luindi S5'!AF20+'Mardi S5'!AF20+'Mercredi S5'!AF20+'Jeudi S5'!AF20+'Vendredi S5'!AF20+'Samedi S5'!AF20</f>
        <v>0</v>
      </c>
      <c r="AG20" s="9">
        <f>+'Luindi S5'!AG20+'Mardi S5'!AG20+'Mercredi S5'!AG20+'Jeudi S5'!AG20+'Vendredi S5'!AG20+'Samedi S5'!AG20</f>
        <v>0</v>
      </c>
      <c r="AH20" s="10">
        <f>+'Luindi S5'!AH20+'Mardi S5'!AH20+'Mercredi S5'!AH20+'Jeudi S5'!AH20+'Vendredi S5'!AH20+'Samedi S5'!AH20</f>
        <v>0</v>
      </c>
      <c r="AI20" s="10">
        <f>+'Luindi S5'!AI20+'Mardi S5'!AI20+'Mercredi S5'!AI20+'Jeudi S5'!AI20+'Vendredi S5'!AI20+'Samedi S5'!AI20</f>
        <v>0</v>
      </c>
      <c r="AJ20" s="10">
        <f>+'Luindi S5'!AJ20+'Mardi S5'!AJ20+'Mercredi S5'!AJ20+'Jeudi S5'!AJ20+'Vendredi S5'!AJ20+'Samedi S5'!AJ20</f>
        <v>0</v>
      </c>
      <c r="AK20" s="11">
        <f>+'Luindi S5'!AK20+'Mardi S5'!AK20+'Mercredi S5'!AK20+'Jeudi S5'!AK20+'Vendredi S5'!AK20+'Samedi S5'!AK20</f>
        <v>0</v>
      </c>
      <c r="AL20" s="9">
        <f>+'Luindi S5'!AL20+'Mardi S5'!AL20+'Mercredi S5'!AL20+'Jeudi S5'!AL20+'Vendredi S5'!AL20+'Samedi S5'!AL20</f>
        <v>0</v>
      </c>
      <c r="AM20" s="10">
        <f>+'Luindi S5'!AM20+'Mardi S5'!AM20+'Mercredi S5'!AM20+'Jeudi S5'!AM20+'Vendredi S5'!AM20+'Samedi S5'!AM20</f>
        <v>0</v>
      </c>
      <c r="AN20" s="10">
        <f>+'Luindi S5'!AN20+'Mardi S5'!AN20+'Mercredi S5'!AN20+'Jeudi S5'!AN20+'Vendredi S5'!AN20+'Samedi S5'!AN20</f>
        <v>0</v>
      </c>
      <c r="AO20" s="10">
        <f>+'Luindi S5'!AO20+'Mardi S5'!AO20+'Mercredi S5'!AO20+'Jeudi S5'!AO20+'Vendredi S5'!AO20+'Samedi S5'!AO20</f>
        <v>0</v>
      </c>
      <c r="AP20" s="11">
        <f>+'Luindi S5'!AP20+'Mardi S5'!AP20+'Mercredi S5'!AP20+'Jeudi S5'!AP20+'Vendredi S5'!AP20+'Samedi S5'!AP20</f>
        <v>0</v>
      </c>
      <c r="AQ20" s="9">
        <f>+'Luindi S5'!AQ20+'Mardi S5'!AQ20+'Mercredi S5'!AQ20+'Jeudi S5'!AQ20+'Vendredi S5'!AQ20+'Samedi S5'!AQ20</f>
        <v>0</v>
      </c>
      <c r="AR20" s="10">
        <f>+'Luindi S5'!AR20+'Mardi S5'!AR20+'Mercredi S5'!AR20+'Jeudi S5'!AR20+'Vendredi S5'!AR20+'Samedi S5'!AR20</f>
        <v>0</v>
      </c>
      <c r="AS20" s="11">
        <f>+'Luindi S5'!AS20+'Mardi S5'!AS20+'Mercredi S5'!AS20+'Jeudi S5'!AS20+'Vendredi S5'!AS20+'Samedi S5'!AS20</f>
        <v>0</v>
      </c>
      <c r="AT20" s="22"/>
      <c r="AU20" s="14"/>
    </row>
    <row r="21" spans="1:47" ht="31.9" customHeight="1" x14ac:dyDescent="0.2">
      <c r="A21" s="26">
        <v>15</v>
      </c>
      <c r="B21" s="19"/>
      <c r="C21" s="9">
        <f>+'Luindi S5'!C21+'Mardi S5'!C21+'Mercredi S5'!C21+'Jeudi S5'!C21+'Vendredi S5'!C21+'Samedi S5'!C21</f>
        <v>90</v>
      </c>
      <c r="D21" s="10">
        <f>+'Luindi S5'!D21+'Mardi S5'!D21+'Mercredi S5'!D21+'Jeudi S5'!D21+'Vendredi S5'!D21+'Samedi S5'!D21</f>
        <v>18</v>
      </c>
      <c r="E21" s="10">
        <f>+'Luindi S5'!E21+'Mardi S5'!E21+'Mercredi S5'!E21+'Jeudi S5'!E21+'Vendredi S5'!E21+'Samedi S5'!E21</f>
        <v>30</v>
      </c>
      <c r="F21" s="10">
        <f>+'Luindi S5'!F21+'Mardi S5'!F21+'Mercredi S5'!F21+'Jeudi S5'!F21+'Vendredi S5'!F21+'Samedi S5'!F21</f>
        <v>12</v>
      </c>
      <c r="G21" s="11">
        <f>+'Luindi S5'!G21+'Mardi S5'!G21+'Mercredi S5'!G21+'Jeudi S5'!G21+'Vendredi S5'!G21+'Samedi S5'!G21</f>
        <v>30</v>
      </c>
      <c r="H21" s="9">
        <f>+'Luindi S5'!H21+'Mardi S5'!H21+'Mercredi S5'!H21+'Jeudi S5'!H21+'Vendredi S5'!H21+'Samedi S5'!H21</f>
        <v>18</v>
      </c>
      <c r="I21" s="10">
        <f>+'Luindi S5'!I21+'Mardi S5'!I21+'Mercredi S5'!I21+'Jeudi S5'!I21+'Vendredi S5'!I21+'Samedi S5'!I21</f>
        <v>6</v>
      </c>
      <c r="J21" s="10">
        <f>+'Luindi S5'!J21+'Mardi S5'!J21+'Mercredi S5'!J21+'Jeudi S5'!J21+'Vendredi S5'!J21+'Samedi S5'!J21</f>
        <v>6</v>
      </c>
      <c r="K21" s="10">
        <f>+'Luindi S5'!K21+'Mardi S5'!K21+'Mercredi S5'!K21+'Jeudi S5'!K21+'Vendredi S5'!K21+'Samedi S5'!K21</f>
        <v>6</v>
      </c>
      <c r="L21" s="11">
        <f>+'Luindi S5'!L21+'Mardi S5'!L21+'Mercredi S5'!L21+'Jeudi S5'!L21+'Vendredi S5'!L21+'Samedi S5'!L21</f>
        <v>6</v>
      </c>
      <c r="M21" s="9">
        <f>+'Luindi S5'!M21+'Mardi S5'!M21+'Mercredi S5'!M21+'Jeudi S5'!M21+'Vendredi S5'!M21+'Samedi S5'!M21</f>
        <v>18</v>
      </c>
      <c r="N21" s="10">
        <f>+'Luindi S5'!N21+'Mardi S5'!N21+'Mercredi S5'!N21+'Jeudi S5'!N21+'Vendredi S5'!N21+'Samedi S5'!N21</f>
        <v>6</v>
      </c>
      <c r="O21" s="10">
        <f>+'Luindi S5'!O21+'Mardi S5'!O21+'Mercredi S5'!O21+'Jeudi S5'!O21+'Vendredi S5'!O21+'Samedi S5'!O21</f>
        <v>18</v>
      </c>
      <c r="P21" s="10">
        <f>+'Luindi S5'!P21+'Mardi S5'!P21+'Mercredi S5'!P21+'Jeudi S5'!P21+'Vendredi S5'!P21+'Samedi S5'!P21</f>
        <v>0</v>
      </c>
      <c r="Q21" s="11">
        <f>+'Luindi S5'!Q21+'Mardi S5'!Q21+'Mercredi S5'!Q21+'Jeudi S5'!Q21+'Vendredi S5'!Q21+'Samedi S5'!Q21</f>
        <v>0</v>
      </c>
      <c r="R21" s="61">
        <f>+'Luindi S5'!R21+'Mardi S5'!R21+'Mercredi S5'!R21+'Jeudi S5'!R21+'Vendredi S5'!R21+'Samedi S5'!R21</f>
        <v>3</v>
      </c>
      <c r="S21" s="62">
        <f>+'Luindi S5'!S21+'Mardi S5'!S21+'Mercredi S5'!S21+'Jeudi S5'!S21+'Vendredi S5'!S21+'Samedi S5'!S21</f>
        <v>0.99999999999999989</v>
      </c>
      <c r="T21" s="62">
        <f>+'Luindi S5'!T21+'Mardi S5'!T21+'Mercredi S5'!T21+'Jeudi S5'!T21+'Vendredi S5'!T21+'Samedi S5'!T21</f>
        <v>0.6</v>
      </c>
      <c r="U21" s="62">
        <f>+'Luindi S5'!U21+'Mardi S5'!U21+'Mercredi S5'!U21+'Jeudi S5'!U21+'Vendredi S5'!U21+'Samedi S5'!U21</f>
        <v>3.6</v>
      </c>
      <c r="V21" s="63">
        <f>+'Luindi S5'!V21+'Mardi S5'!V21+'Mercredi S5'!V21+'Jeudi S5'!V21+'Vendredi S5'!V21+'Samedi S5'!V21</f>
        <v>0.9</v>
      </c>
      <c r="W21" s="9">
        <f>+'Luindi S5'!W21+'Mardi S5'!W21+'Mercredi S5'!W21+'Jeudi S5'!W21+'Vendredi S5'!W21+'Samedi S5'!W21</f>
        <v>0</v>
      </c>
      <c r="X21" s="10">
        <f>+'Luindi S5'!X21+'Mardi S5'!X21+'Mercredi S5'!X21+'Jeudi S5'!X21+'Vendredi S5'!X21+'Samedi S5'!X21</f>
        <v>0</v>
      </c>
      <c r="Y21" s="10">
        <f>+'Luindi S5'!Y21+'Mardi S5'!Y21+'Mercredi S5'!Y21+'Jeudi S5'!Y21+'Vendredi S5'!Y21+'Samedi S5'!Y21</f>
        <v>0</v>
      </c>
      <c r="Z21" s="10">
        <f>+'Luindi S5'!Z21+'Mardi S5'!Z21+'Mercredi S5'!Z21+'Jeudi S5'!Z21+'Vendredi S5'!Z21+'Samedi S5'!Z21</f>
        <v>0</v>
      </c>
      <c r="AA21" s="11">
        <f>+'Luindi S5'!AA21+'Mardi S5'!AA21+'Mercredi S5'!AA21+'Jeudi S5'!AA21+'Vendredi S5'!AA21+'Samedi S5'!AA21</f>
        <v>0</v>
      </c>
      <c r="AB21" s="9">
        <f>+'Luindi S5'!AB21+'Mardi S5'!AB21+'Mercredi S5'!AB21+'Jeudi S5'!AB21+'Vendredi S5'!AB21+'Samedi S5'!AB21</f>
        <v>0</v>
      </c>
      <c r="AC21" s="10">
        <f>+'Luindi S5'!AC21+'Mardi S5'!AC21+'Mercredi S5'!AC21+'Jeudi S5'!AC21+'Vendredi S5'!AC21+'Samedi S5'!AC21</f>
        <v>0</v>
      </c>
      <c r="AD21" s="10">
        <f>+'Luindi S5'!AD21+'Mardi S5'!AD21+'Mercredi S5'!AD21+'Jeudi S5'!AD21+'Vendredi S5'!AD21+'Samedi S5'!AD21</f>
        <v>0</v>
      </c>
      <c r="AE21" s="10">
        <f>+'Luindi S5'!AE21+'Mardi S5'!AE21+'Mercredi S5'!AE21+'Jeudi S5'!AE21+'Vendredi S5'!AE21+'Samedi S5'!AE21</f>
        <v>0</v>
      </c>
      <c r="AF21" s="11">
        <f>+'Luindi S5'!AF21+'Mardi S5'!AF21+'Mercredi S5'!AF21+'Jeudi S5'!AF21+'Vendredi S5'!AF21+'Samedi S5'!AF21</f>
        <v>0</v>
      </c>
      <c r="AG21" s="9">
        <f>+'Luindi S5'!AG21+'Mardi S5'!AG21+'Mercredi S5'!AG21+'Jeudi S5'!AG21+'Vendredi S5'!AG21+'Samedi S5'!AG21</f>
        <v>0</v>
      </c>
      <c r="AH21" s="10">
        <f>+'Luindi S5'!AH21+'Mardi S5'!AH21+'Mercredi S5'!AH21+'Jeudi S5'!AH21+'Vendredi S5'!AH21+'Samedi S5'!AH21</f>
        <v>0</v>
      </c>
      <c r="AI21" s="10">
        <f>+'Luindi S5'!AI21+'Mardi S5'!AI21+'Mercredi S5'!AI21+'Jeudi S5'!AI21+'Vendredi S5'!AI21+'Samedi S5'!AI21</f>
        <v>0</v>
      </c>
      <c r="AJ21" s="10">
        <f>+'Luindi S5'!AJ21+'Mardi S5'!AJ21+'Mercredi S5'!AJ21+'Jeudi S5'!AJ21+'Vendredi S5'!AJ21+'Samedi S5'!AJ21</f>
        <v>0</v>
      </c>
      <c r="AK21" s="11">
        <f>+'Luindi S5'!AK21+'Mardi S5'!AK21+'Mercredi S5'!AK21+'Jeudi S5'!AK21+'Vendredi S5'!AK21+'Samedi S5'!AK21</f>
        <v>0</v>
      </c>
      <c r="AL21" s="9">
        <f>+'Luindi S5'!AL21+'Mardi S5'!AL21+'Mercredi S5'!AL21+'Jeudi S5'!AL21+'Vendredi S5'!AL21+'Samedi S5'!AL21</f>
        <v>0</v>
      </c>
      <c r="AM21" s="10">
        <f>+'Luindi S5'!AM21+'Mardi S5'!AM21+'Mercredi S5'!AM21+'Jeudi S5'!AM21+'Vendredi S5'!AM21+'Samedi S5'!AM21</f>
        <v>0</v>
      </c>
      <c r="AN21" s="10">
        <f>+'Luindi S5'!AN21+'Mardi S5'!AN21+'Mercredi S5'!AN21+'Jeudi S5'!AN21+'Vendredi S5'!AN21+'Samedi S5'!AN21</f>
        <v>0</v>
      </c>
      <c r="AO21" s="10">
        <f>+'Luindi S5'!AO21+'Mardi S5'!AO21+'Mercredi S5'!AO21+'Jeudi S5'!AO21+'Vendredi S5'!AO21+'Samedi S5'!AO21</f>
        <v>0</v>
      </c>
      <c r="AP21" s="11">
        <f>+'Luindi S5'!AP21+'Mardi S5'!AP21+'Mercredi S5'!AP21+'Jeudi S5'!AP21+'Vendredi S5'!AP21+'Samedi S5'!AP21</f>
        <v>0</v>
      </c>
      <c r="AQ21" s="9">
        <f>+'Luindi S5'!AQ21+'Mardi S5'!AQ21+'Mercredi S5'!AQ21+'Jeudi S5'!AQ21+'Vendredi S5'!AQ21+'Samedi S5'!AQ21</f>
        <v>0</v>
      </c>
      <c r="AR21" s="10">
        <f>+'Luindi S5'!AR21+'Mardi S5'!AR21+'Mercredi S5'!AR21+'Jeudi S5'!AR21+'Vendredi S5'!AR21+'Samedi S5'!AR21</f>
        <v>0</v>
      </c>
      <c r="AS21" s="11">
        <f>+'Luindi S5'!AS21+'Mardi S5'!AS21+'Mercredi S5'!AS21+'Jeudi S5'!AS21+'Vendredi S5'!AS21+'Samedi S5'!AS21</f>
        <v>0</v>
      </c>
      <c r="AT21" s="22"/>
      <c r="AU21" s="14"/>
    </row>
    <row r="22" spans="1:47" ht="31.9" customHeight="1" x14ac:dyDescent="0.2">
      <c r="A22" s="26">
        <v>16</v>
      </c>
      <c r="B22" s="19"/>
      <c r="C22" s="9">
        <f>+'Luindi S5'!C22+'Mardi S5'!C22+'Mercredi S5'!C22+'Jeudi S5'!C22+'Vendredi S5'!C22+'Samedi S5'!C22</f>
        <v>90</v>
      </c>
      <c r="D22" s="10">
        <f>+'Luindi S5'!D22+'Mardi S5'!D22+'Mercredi S5'!D22+'Jeudi S5'!D22+'Vendredi S5'!D22+'Samedi S5'!D22</f>
        <v>18</v>
      </c>
      <c r="E22" s="10">
        <f>+'Luindi S5'!E22+'Mardi S5'!E22+'Mercredi S5'!E22+'Jeudi S5'!E22+'Vendredi S5'!E22+'Samedi S5'!E22</f>
        <v>30</v>
      </c>
      <c r="F22" s="10">
        <f>+'Luindi S5'!F22+'Mardi S5'!F22+'Mercredi S5'!F22+'Jeudi S5'!F22+'Vendredi S5'!F22+'Samedi S5'!F22</f>
        <v>12</v>
      </c>
      <c r="G22" s="11">
        <f>+'Luindi S5'!G22+'Mardi S5'!G22+'Mercredi S5'!G22+'Jeudi S5'!G22+'Vendredi S5'!G22+'Samedi S5'!G22</f>
        <v>30</v>
      </c>
      <c r="H22" s="9">
        <f>+'Luindi S5'!H22+'Mardi S5'!H22+'Mercredi S5'!H22+'Jeudi S5'!H22+'Vendredi S5'!H22+'Samedi S5'!H22</f>
        <v>18</v>
      </c>
      <c r="I22" s="10">
        <f>+'Luindi S5'!I22+'Mardi S5'!I22+'Mercredi S5'!I22+'Jeudi S5'!I22+'Vendredi S5'!I22+'Samedi S5'!I22</f>
        <v>6</v>
      </c>
      <c r="J22" s="10">
        <f>+'Luindi S5'!J22+'Mardi S5'!J22+'Mercredi S5'!J22+'Jeudi S5'!J22+'Vendredi S5'!J22+'Samedi S5'!J22</f>
        <v>6</v>
      </c>
      <c r="K22" s="10">
        <f>+'Luindi S5'!K22+'Mardi S5'!K22+'Mercredi S5'!K22+'Jeudi S5'!K22+'Vendredi S5'!K22+'Samedi S5'!K22</f>
        <v>6</v>
      </c>
      <c r="L22" s="11">
        <f>+'Luindi S5'!L22+'Mardi S5'!L22+'Mercredi S5'!L22+'Jeudi S5'!L22+'Vendredi S5'!L22+'Samedi S5'!L22</f>
        <v>6</v>
      </c>
      <c r="M22" s="9">
        <f>+'Luindi S5'!M22+'Mardi S5'!M22+'Mercredi S5'!M22+'Jeudi S5'!M22+'Vendredi S5'!M22+'Samedi S5'!M22</f>
        <v>18</v>
      </c>
      <c r="N22" s="10">
        <f>+'Luindi S5'!N22+'Mardi S5'!N22+'Mercredi S5'!N22+'Jeudi S5'!N22+'Vendredi S5'!N22+'Samedi S5'!N22</f>
        <v>6</v>
      </c>
      <c r="O22" s="10">
        <f>+'Luindi S5'!O22+'Mardi S5'!O22+'Mercredi S5'!O22+'Jeudi S5'!O22+'Vendredi S5'!O22+'Samedi S5'!O22</f>
        <v>18</v>
      </c>
      <c r="P22" s="10">
        <f>+'Luindi S5'!P22+'Mardi S5'!P22+'Mercredi S5'!P22+'Jeudi S5'!P22+'Vendredi S5'!P22+'Samedi S5'!P22</f>
        <v>0</v>
      </c>
      <c r="Q22" s="11">
        <f>+'Luindi S5'!Q22+'Mardi S5'!Q22+'Mercredi S5'!Q22+'Jeudi S5'!Q22+'Vendredi S5'!Q22+'Samedi S5'!Q22</f>
        <v>0</v>
      </c>
      <c r="R22" s="61">
        <f>+'Luindi S5'!R22+'Mardi S5'!R22+'Mercredi S5'!R22+'Jeudi S5'!R22+'Vendredi S5'!R22+'Samedi S5'!R22</f>
        <v>3</v>
      </c>
      <c r="S22" s="62">
        <f>+'Luindi S5'!S22+'Mardi S5'!S22+'Mercredi S5'!S22+'Jeudi S5'!S22+'Vendredi S5'!S22+'Samedi S5'!S22</f>
        <v>0.99999999999999989</v>
      </c>
      <c r="T22" s="62">
        <f>+'Luindi S5'!T22+'Mardi S5'!T22+'Mercredi S5'!T22+'Jeudi S5'!T22+'Vendredi S5'!T22+'Samedi S5'!T22</f>
        <v>0.6</v>
      </c>
      <c r="U22" s="62">
        <f>+'Luindi S5'!U22+'Mardi S5'!U22+'Mercredi S5'!U22+'Jeudi S5'!U22+'Vendredi S5'!U22+'Samedi S5'!U22</f>
        <v>3.6</v>
      </c>
      <c r="V22" s="63">
        <f>+'Luindi S5'!V22+'Mardi S5'!V22+'Mercredi S5'!V22+'Jeudi S5'!V22+'Vendredi S5'!V22+'Samedi S5'!V22</f>
        <v>0.9</v>
      </c>
      <c r="W22" s="9">
        <f>+'Luindi S5'!W22+'Mardi S5'!W22+'Mercredi S5'!W22+'Jeudi S5'!W22+'Vendredi S5'!W22+'Samedi S5'!W22</f>
        <v>0</v>
      </c>
      <c r="X22" s="10">
        <f>+'Luindi S5'!X22+'Mardi S5'!X22+'Mercredi S5'!X22+'Jeudi S5'!X22+'Vendredi S5'!X22+'Samedi S5'!X22</f>
        <v>0</v>
      </c>
      <c r="Y22" s="10">
        <f>+'Luindi S5'!Y22+'Mardi S5'!Y22+'Mercredi S5'!Y22+'Jeudi S5'!Y22+'Vendredi S5'!Y22+'Samedi S5'!Y22</f>
        <v>0</v>
      </c>
      <c r="Z22" s="10">
        <f>+'Luindi S5'!Z22+'Mardi S5'!Z22+'Mercredi S5'!Z22+'Jeudi S5'!Z22+'Vendredi S5'!Z22+'Samedi S5'!Z22</f>
        <v>0</v>
      </c>
      <c r="AA22" s="11">
        <f>+'Luindi S5'!AA22+'Mardi S5'!AA22+'Mercredi S5'!AA22+'Jeudi S5'!AA22+'Vendredi S5'!AA22+'Samedi S5'!AA22</f>
        <v>0</v>
      </c>
      <c r="AB22" s="9">
        <f>+'Luindi S5'!AB22+'Mardi S5'!AB22+'Mercredi S5'!AB22+'Jeudi S5'!AB22+'Vendredi S5'!AB22+'Samedi S5'!AB22</f>
        <v>0</v>
      </c>
      <c r="AC22" s="10">
        <f>+'Luindi S5'!AC22+'Mardi S5'!AC22+'Mercredi S5'!AC22+'Jeudi S5'!AC22+'Vendredi S5'!AC22+'Samedi S5'!AC22</f>
        <v>0</v>
      </c>
      <c r="AD22" s="10">
        <f>+'Luindi S5'!AD22+'Mardi S5'!AD22+'Mercredi S5'!AD22+'Jeudi S5'!AD22+'Vendredi S5'!AD22+'Samedi S5'!AD22</f>
        <v>0</v>
      </c>
      <c r="AE22" s="10">
        <f>+'Luindi S5'!AE22+'Mardi S5'!AE22+'Mercredi S5'!AE22+'Jeudi S5'!AE22+'Vendredi S5'!AE22+'Samedi S5'!AE22</f>
        <v>0</v>
      </c>
      <c r="AF22" s="11">
        <f>+'Luindi S5'!AF22+'Mardi S5'!AF22+'Mercredi S5'!AF22+'Jeudi S5'!AF22+'Vendredi S5'!AF22+'Samedi S5'!AF22</f>
        <v>0</v>
      </c>
      <c r="AG22" s="9">
        <f>+'Luindi S5'!AG22+'Mardi S5'!AG22+'Mercredi S5'!AG22+'Jeudi S5'!AG22+'Vendredi S5'!AG22+'Samedi S5'!AG22</f>
        <v>0</v>
      </c>
      <c r="AH22" s="10">
        <f>+'Luindi S5'!AH22+'Mardi S5'!AH22+'Mercredi S5'!AH22+'Jeudi S5'!AH22+'Vendredi S5'!AH22+'Samedi S5'!AH22</f>
        <v>0</v>
      </c>
      <c r="AI22" s="10">
        <f>+'Luindi S5'!AI22+'Mardi S5'!AI22+'Mercredi S5'!AI22+'Jeudi S5'!AI22+'Vendredi S5'!AI22+'Samedi S5'!AI22</f>
        <v>0</v>
      </c>
      <c r="AJ22" s="10">
        <f>+'Luindi S5'!AJ22+'Mardi S5'!AJ22+'Mercredi S5'!AJ22+'Jeudi S5'!AJ22+'Vendredi S5'!AJ22+'Samedi S5'!AJ22</f>
        <v>0</v>
      </c>
      <c r="AK22" s="11">
        <f>+'Luindi S5'!AK22+'Mardi S5'!AK22+'Mercredi S5'!AK22+'Jeudi S5'!AK22+'Vendredi S5'!AK22+'Samedi S5'!AK22</f>
        <v>0</v>
      </c>
      <c r="AL22" s="9">
        <f>+'Luindi S5'!AL22+'Mardi S5'!AL22+'Mercredi S5'!AL22+'Jeudi S5'!AL22+'Vendredi S5'!AL22+'Samedi S5'!AL22</f>
        <v>0</v>
      </c>
      <c r="AM22" s="10">
        <f>+'Luindi S5'!AM22+'Mardi S5'!AM22+'Mercredi S5'!AM22+'Jeudi S5'!AM22+'Vendredi S5'!AM22+'Samedi S5'!AM22</f>
        <v>0</v>
      </c>
      <c r="AN22" s="10">
        <f>+'Luindi S5'!AN22+'Mardi S5'!AN22+'Mercredi S5'!AN22+'Jeudi S5'!AN22+'Vendredi S5'!AN22+'Samedi S5'!AN22</f>
        <v>0</v>
      </c>
      <c r="AO22" s="10">
        <f>+'Luindi S5'!AO22+'Mardi S5'!AO22+'Mercredi S5'!AO22+'Jeudi S5'!AO22+'Vendredi S5'!AO22+'Samedi S5'!AO22</f>
        <v>0</v>
      </c>
      <c r="AP22" s="11">
        <f>+'Luindi S5'!AP22+'Mardi S5'!AP22+'Mercredi S5'!AP22+'Jeudi S5'!AP22+'Vendredi S5'!AP22+'Samedi S5'!AP22</f>
        <v>0</v>
      </c>
      <c r="AQ22" s="9">
        <f>+'Luindi S5'!AQ22+'Mardi S5'!AQ22+'Mercredi S5'!AQ22+'Jeudi S5'!AQ22+'Vendredi S5'!AQ22+'Samedi S5'!AQ22</f>
        <v>0</v>
      </c>
      <c r="AR22" s="10">
        <f>+'Luindi S5'!AR22+'Mardi S5'!AR22+'Mercredi S5'!AR22+'Jeudi S5'!AR22+'Vendredi S5'!AR22+'Samedi S5'!AR22</f>
        <v>0</v>
      </c>
      <c r="AS22" s="11">
        <f>+'Luindi S5'!AS22+'Mardi S5'!AS22+'Mercredi S5'!AS22+'Jeudi S5'!AS22+'Vendredi S5'!AS22+'Samedi S5'!AS22</f>
        <v>0</v>
      </c>
      <c r="AT22" s="22"/>
      <c r="AU22" s="14"/>
    </row>
    <row r="23" spans="1:47" ht="31.9" customHeight="1" x14ac:dyDescent="0.2">
      <c r="A23" s="26">
        <v>17</v>
      </c>
      <c r="B23" s="19"/>
      <c r="C23" s="9">
        <f>+'Luindi S5'!C23+'Mardi S5'!C23+'Mercredi S5'!C23+'Jeudi S5'!C23+'Vendredi S5'!C23+'Samedi S5'!C23</f>
        <v>90</v>
      </c>
      <c r="D23" s="10">
        <f>+'Luindi S5'!D23+'Mardi S5'!D23+'Mercredi S5'!D23+'Jeudi S5'!D23+'Vendredi S5'!D23+'Samedi S5'!D23</f>
        <v>18</v>
      </c>
      <c r="E23" s="10">
        <f>+'Luindi S5'!E23+'Mardi S5'!E23+'Mercredi S5'!E23+'Jeudi S5'!E23+'Vendredi S5'!E23+'Samedi S5'!E23</f>
        <v>30</v>
      </c>
      <c r="F23" s="10">
        <f>+'Luindi S5'!F23+'Mardi S5'!F23+'Mercredi S5'!F23+'Jeudi S5'!F23+'Vendredi S5'!F23+'Samedi S5'!F23</f>
        <v>12</v>
      </c>
      <c r="G23" s="11">
        <f>+'Luindi S5'!G23+'Mardi S5'!G23+'Mercredi S5'!G23+'Jeudi S5'!G23+'Vendredi S5'!G23+'Samedi S5'!G23</f>
        <v>30</v>
      </c>
      <c r="H23" s="9">
        <f>+'Luindi S5'!H23+'Mardi S5'!H23+'Mercredi S5'!H23+'Jeudi S5'!H23+'Vendredi S5'!H23+'Samedi S5'!H23</f>
        <v>18</v>
      </c>
      <c r="I23" s="10">
        <f>+'Luindi S5'!I23+'Mardi S5'!I23+'Mercredi S5'!I23+'Jeudi S5'!I23+'Vendredi S5'!I23+'Samedi S5'!I23</f>
        <v>6</v>
      </c>
      <c r="J23" s="10">
        <f>+'Luindi S5'!J23+'Mardi S5'!J23+'Mercredi S5'!J23+'Jeudi S5'!J23+'Vendredi S5'!J23+'Samedi S5'!J23</f>
        <v>6</v>
      </c>
      <c r="K23" s="10">
        <f>+'Luindi S5'!K23+'Mardi S5'!K23+'Mercredi S5'!K23+'Jeudi S5'!K23+'Vendredi S5'!K23+'Samedi S5'!K23</f>
        <v>6</v>
      </c>
      <c r="L23" s="11">
        <f>+'Luindi S5'!L23+'Mardi S5'!L23+'Mercredi S5'!L23+'Jeudi S5'!L23+'Vendredi S5'!L23+'Samedi S5'!L23</f>
        <v>6</v>
      </c>
      <c r="M23" s="9">
        <f>+'Luindi S5'!M23+'Mardi S5'!M23+'Mercredi S5'!M23+'Jeudi S5'!M23+'Vendredi S5'!M23+'Samedi S5'!M23</f>
        <v>18</v>
      </c>
      <c r="N23" s="10">
        <f>+'Luindi S5'!N23+'Mardi S5'!N23+'Mercredi S5'!N23+'Jeudi S5'!N23+'Vendredi S5'!N23+'Samedi S5'!N23</f>
        <v>6</v>
      </c>
      <c r="O23" s="10">
        <f>+'Luindi S5'!O23+'Mardi S5'!O23+'Mercredi S5'!O23+'Jeudi S5'!O23+'Vendredi S5'!O23+'Samedi S5'!O23</f>
        <v>18</v>
      </c>
      <c r="P23" s="10">
        <f>+'Luindi S5'!P23+'Mardi S5'!P23+'Mercredi S5'!P23+'Jeudi S5'!P23+'Vendredi S5'!P23+'Samedi S5'!P23</f>
        <v>0</v>
      </c>
      <c r="Q23" s="11">
        <f>+'Luindi S5'!Q23+'Mardi S5'!Q23+'Mercredi S5'!Q23+'Jeudi S5'!Q23+'Vendredi S5'!Q23+'Samedi S5'!Q23</f>
        <v>0</v>
      </c>
      <c r="R23" s="61">
        <f>+'Luindi S5'!R23+'Mardi S5'!R23+'Mercredi S5'!R23+'Jeudi S5'!R23+'Vendredi S5'!R23+'Samedi S5'!R23</f>
        <v>3</v>
      </c>
      <c r="S23" s="62">
        <f>+'Luindi S5'!S23+'Mardi S5'!S23+'Mercredi S5'!S23+'Jeudi S5'!S23+'Vendredi S5'!S23+'Samedi S5'!S23</f>
        <v>0.99999999999999989</v>
      </c>
      <c r="T23" s="62">
        <f>+'Luindi S5'!T23+'Mardi S5'!T23+'Mercredi S5'!T23+'Jeudi S5'!T23+'Vendredi S5'!T23+'Samedi S5'!T23</f>
        <v>0.6</v>
      </c>
      <c r="U23" s="62">
        <f>+'Luindi S5'!U23+'Mardi S5'!U23+'Mercredi S5'!U23+'Jeudi S5'!U23+'Vendredi S5'!U23+'Samedi S5'!U23</f>
        <v>3.6</v>
      </c>
      <c r="V23" s="63">
        <f>+'Luindi S5'!V23+'Mardi S5'!V23+'Mercredi S5'!V23+'Jeudi S5'!V23+'Vendredi S5'!V23+'Samedi S5'!V23</f>
        <v>0.9</v>
      </c>
      <c r="W23" s="9">
        <f>+'Luindi S5'!W23+'Mardi S5'!W23+'Mercredi S5'!W23+'Jeudi S5'!W23+'Vendredi S5'!W23+'Samedi S5'!W23</f>
        <v>0</v>
      </c>
      <c r="X23" s="10">
        <f>+'Luindi S5'!X23+'Mardi S5'!X23+'Mercredi S5'!X23+'Jeudi S5'!X23+'Vendredi S5'!X23+'Samedi S5'!X23</f>
        <v>0</v>
      </c>
      <c r="Y23" s="10">
        <f>+'Luindi S5'!Y23+'Mardi S5'!Y23+'Mercredi S5'!Y23+'Jeudi S5'!Y23+'Vendredi S5'!Y23+'Samedi S5'!Y23</f>
        <v>0</v>
      </c>
      <c r="Z23" s="10">
        <f>+'Luindi S5'!Z23+'Mardi S5'!Z23+'Mercredi S5'!Z23+'Jeudi S5'!Z23+'Vendredi S5'!Z23+'Samedi S5'!Z23</f>
        <v>0</v>
      </c>
      <c r="AA23" s="11">
        <f>+'Luindi S5'!AA23+'Mardi S5'!AA23+'Mercredi S5'!AA23+'Jeudi S5'!AA23+'Vendredi S5'!AA23+'Samedi S5'!AA23</f>
        <v>0</v>
      </c>
      <c r="AB23" s="9">
        <f>+'Luindi S5'!AB23+'Mardi S5'!AB23+'Mercredi S5'!AB23+'Jeudi S5'!AB23+'Vendredi S5'!AB23+'Samedi S5'!AB23</f>
        <v>0</v>
      </c>
      <c r="AC23" s="10">
        <f>+'Luindi S5'!AC23+'Mardi S5'!AC23+'Mercredi S5'!AC23+'Jeudi S5'!AC23+'Vendredi S5'!AC23+'Samedi S5'!AC23</f>
        <v>0</v>
      </c>
      <c r="AD23" s="10">
        <f>+'Luindi S5'!AD23+'Mardi S5'!AD23+'Mercredi S5'!AD23+'Jeudi S5'!AD23+'Vendredi S5'!AD23+'Samedi S5'!AD23</f>
        <v>0</v>
      </c>
      <c r="AE23" s="10">
        <f>+'Luindi S5'!AE23+'Mardi S5'!AE23+'Mercredi S5'!AE23+'Jeudi S5'!AE23+'Vendredi S5'!AE23+'Samedi S5'!AE23</f>
        <v>0</v>
      </c>
      <c r="AF23" s="11">
        <f>+'Luindi S5'!AF23+'Mardi S5'!AF23+'Mercredi S5'!AF23+'Jeudi S5'!AF23+'Vendredi S5'!AF23+'Samedi S5'!AF23</f>
        <v>0</v>
      </c>
      <c r="AG23" s="9">
        <f>+'Luindi S5'!AG23+'Mardi S5'!AG23+'Mercredi S5'!AG23+'Jeudi S5'!AG23+'Vendredi S5'!AG23+'Samedi S5'!AG23</f>
        <v>0</v>
      </c>
      <c r="AH23" s="10">
        <f>+'Luindi S5'!AH23+'Mardi S5'!AH23+'Mercredi S5'!AH23+'Jeudi S5'!AH23+'Vendredi S5'!AH23+'Samedi S5'!AH23</f>
        <v>0</v>
      </c>
      <c r="AI23" s="10">
        <f>+'Luindi S5'!AI23+'Mardi S5'!AI23+'Mercredi S5'!AI23+'Jeudi S5'!AI23+'Vendredi S5'!AI23+'Samedi S5'!AI23</f>
        <v>0</v>
      </c>
      <c r="AJ23" s="10">
        <f>+'Luindi S5'!AJ23+'Mardi S5'!AJ23+'Mercredi S5'!AJ23+'Jeudi S5'!AJ23+'Vendredi S5'!AJ23+'Samedi S5'!AJ23</f>
        <v>0</v>
      </c>
      <c r="AK23" s="11">
        <f>+'Luindi S5'!AK23+'Mardi S5'!AK23+'Mercredi S5'!AK23+'Jeudi S5'!AK23+'Vendredi S5'!AK23+'Samedi S5'!AK23</f>
        <v>0</v>
      </c>
      <c r="AL23" s="9">
        <f>+'Luindi S5'!AL23+'Mardi S5'!AL23+'Mercredi S5'!AL23+'Jeudi S5'!AL23+'Vendredi S5'!AL23+'Samedi S5'!AL23</f>
        <v>0</v>
      </c>
      <c r="AM23" s="10">
        <f>+'Luindi S5'!AM23+'Mardi S5'!AM23+'Mercredi S5'!AM23+'Jeudi S5'!AM23+'Vendredi S5'!AM23+'Samedi S5'!AM23</f>
        <v>0</v>
      </c>
      <c r="AN23" s="10">
        <f>+'Luindi S5'!AN23+'Mardi S5'!AN23+'Mercredi S5'!AN23+'Jeudi S5'!AN23+'Vendredi S5'!AN23+'Samedi S5'!AN23</f>
        <v>0</v>
      </c>
      <c r="AO23" s="10">
        <f>+'Luindi S5'!AO23+'Mardi S5'!AO23+'Mercredi S5'!AO23+'Jeudi S5'!AO23+'Vendredi S5'!AO23+'Samedi S5'!AO23</f>
        <v>0</v>
      </c>
      <c r="AP23" s="11">
        <f>+'Luindi S5'!AP23+'Mardi S5'!AP23+'Mercredi S5'!AP23+'Jeudi S5'!AP23+'Vendredi S5'!AP23+'Samedi S5'!AP23</f>
        <v>0</v>
      </c>
      <c r="AQ23" s="9">
        <f>+'Luindi S5'!AQ23+'Mardi S5'!AQ23+'Mercredi S5'!AQ23+'Jeudi S5'!AQ23+'Vendredi S5'!AQ23+'Samedi S5'!AQ23</f>
        <v>0</v>
      </c>
      <c r="AR23" s="10">
        <f>+'Luindi S5'!AR23+'Mardi S5'!AR23+'Mercredi S5'!AR23+'Jeudi S5'!AR23+'Vendredi S5'!AR23+'Samedi S5'!AR23</f>
        <v>0</v>
      </c>
      <c r="AS23" s="11">
        <f>+'Luindi S5'!AS23+'Mardi S5'!AS23+'Mercredi S5'!AS23+'Jeudi S5'!AS23+'Vendredi S5'!AS23+'Samedi S5'!AS23</f>
        <v>0</v>
      </c>
      <c r="AT23" s="22"/>
      <c r="AU23" s="14"/>
    </row>
    <row r="24" spans="1:47" ht="31.9" customHeight="1" x14ac:dyDescent="0.2">
      <c r="A24" s="26">
        <v>18</v>
      </c>
      <c r="B24" s="19"/>
      <c r="C24" s="9">
        <f>+'Luindi S5'!C24+'Mardi S5'!C24+'Mercredi S5'!C24+'Jeudi S5'!C24+'Vendredi S5'!C24+'Samedi S5'!C24</f>
        <v>90</v>
      </c>
      <c r="D24" s="10">
        <f>+'Luindi S5'!D24+'Mardi S5'!D24+'Mercredi S5'!D24+'Jeudi S5'!D24+'Vendredi S5'!D24+'Samedi S5'!D24</f>
        <v>18</v>
      </c>
      <c r="E24" s="10">
        <f>+'Luindi S5'!E24+'Mardi S5'!E24+'Mercredi S5'!E24+'Jeudi S5'!E24+'Vendredi S5'!E24+'Samedi S5'!E24</f>
        <v>30</v>
      </c>
      <c r="F24" s="10">
        <f>+'Luindi S5'!F24+'Mardi S5'!F24+'Mercredi S5'!F24+'Jeudi S5'!F24+'Vendredi S5'!F24+'Samedi S5'!F24</f>
        <v>12</v>
      </c>
      <c r="G24" s="11">
        <f>+'Luindi S5'!G24+'Mardi S5'!G24+'Mercredi S5'!G24+'Jeudi S5'!G24+'Vendredi S5'!G24+'Samedi S5'!G24</f>
        <v>30</v>
      </c>
      <c r="H24" s="9">
        <f>+'Luindi S5'!H24+'Mardi S5'!H24+'Mercredi S5'!H24+'Jeudi S5'!H24+'Vendredi S5'!H24+'Samedi S5'!H24</f>
        <v>18</v>
      </c>
      <c r="I24" s="10">
        <f>+'Luindi S5'!I24+'Mardi S5'!I24+'Mercredi S5'!I24+'Jeudi S5'!I24+'Vendredi S5'!I24+'Samedi S5'!I24</f>
        <v>6</v>
      </c>
      <c r="J24" s="10">
        <f>+'Luindi S5'!J24+'Mardi S5'!J24+'Mercredi S5'!J24+'Jeudi S5'!J24+'Vendredi S5'!J24+'Samedi S5'!J24</f>
        <v>6</v>
      </c>
      <c r="K24" s="10">
        <f>+'Luindi S5'!K24+'Mardi S5'!K24+'Mercredi S5'!K24+'Jeudi S5'!K24+'Vendredi S5'!K24+'Samedi S5'!K24</f>
        <v>6</v>
      </c>
      <c r="L24" s="11">
        <f>+'Luindi S5'!L24+'Mardi S5'!L24+'Mercredi S5'!L24+'Jeudi S5'!L24+'Vendredi S5'!L24+'Samedi S5'!L24</f>
        <v>6</v>
      </c>
      <c r="M24" s="9">
        <f>+'Luindi S5'!M24+'Mardi S5'!M24+'Mercredi S5'!M24+'Jeudi S5'!M24+'Vendredi S5'!M24+'Samedi S5'!M24</f>
        <v>18</v>
      </c>
      <c r="N24" s="10">
        <f>+'Luindi S5'!N24+'Mardi S5'!N24+'Mercredi S5'!N24+'Jeudi S5'!N24+'Vendredi S5'!N24+'Samedi S5'!N24</f>
        <v>6</v>
      </c>
      <c r="O24" s="10">
        <f>+'Luindi S5'!O24+'Mardi S5'!O24+'Mercredi S5'!O24+'Jeudi S5'!O24+'Vendredi S5'!O24+'Samedi S5'!O24</f>
        <v>18</v>
      </c>
      <c r="P24" s="10">
        <f>+'Luindi S5'!P24+'Mardi S5'!P24+'Mercredi S5'!P24+'Jeudi S5'!P24+'Vendredi S5'!P24+'Samedi S5'!P24</f>
        <v>0</v>
      </c>
      <c r="Q24" s="11">
        <f>+'Luindi S5'!Q24+'Mardi S5'!Q24+'Mercredi S5'!Q24+'Jeudi S5'!Q24+'Vendredi S5'!Q24+'Samedi S5'!Q24</f>
        <v>0</v>
      </c>
      <c r="R24" s="61">
        <f>+'Luindi S5'!R24+'Mardi S5'!R24+'Mercredi S5'!R24+'Jeudi S5'!R24+'Vendredi S5'!R24+'Samedi S5'!R24</f>
        <v>3</v>
      </c>
      <c r="S24" s="62">
        <f>+'Luindi S5'!S24+'Mardi S5'!S24+'Mercredi S5'!S24+'Jeudi S5'!S24+'Vendredi S5'!S24+'Samedi S5'!S24</f>
        <v>0.99999999999999989</v>
      </c>
      <c r="T24" s="62">
        <f>+'Luindi S5'!T24+'Mardi S5'!T24+'Mercredi S5'!T24+'Jeudi S5'!T24+'Vendredi S5'!T24+'Samedi S5'!T24</f>
        <v>0.6</v>
      </c>
      <c r="U24" s="62">
        <f>+'Luindi S5'!U24+'Mardi S5'!U24+'Mercredi S5'!U24+'Jeudi S5'!U24+'Vendredi S5'!U24+'Samedi S5'!U24</f>
        <v>3.6</v>
      </c>
      <c r="V24" s="63">
        <f>+'Luindi S5'!V24+'Mardi S5'!V24+'Mercredi S5'!V24+'Jeudi S5'!V24+'Vendredi S5'!V24+'Samedi S5'!V24</f>
        <v>0.9</v>
      </c>
      <c r="W24" s="9">
        <f>+'Luindi S5'!W24+'Mardi S5'!W24+'Mercredi S5'!W24+'Jeudi S5'!W24+'Vendredi S5'!W24+'Samedi S5'!W24</f>
        <v>0</v>
      </c>
      <c r="X24" s="10">
        <f>+'Luindi S5'!X24+'Mardi S5'!X24+'Mercredi S5'!X24+'Jeudi S5'!X24+'Vendredi S5'!X24+'Samedi S5'!X24</f>
        <v>0</v>
      </c>
      <c r="Y24" s="10">
        <f>+'Luindi S5'!Y24+'Mardi S5'!Y24+'Mercredi S5'!Y24+'Jeudi S5'!Y24+'Vendredi S5'!Y24+'Samedi S5'!Y24</f>
        <v>0</v>
      </c>
      <c r="Z24" s="10">
        <f>+'Luindi S5'!Z24+'Mardi S5'!Z24+'Mercredi S5'!Z24+'Jeudi S5'!Z24+'Vendredi S5'!Z24+'Samedi S5'!Z24</f>
        <v>0</v>
      </c>
      <c r="AA24" s="11">
        <f>+'Luindi S5'!AA24+'Mardi S5'!AA24+'Mercredi S5'!AA24+'Jeudi S5'!AA24+'Vendredi S5'!AA24+'Samedi S5'!AA24</f>
        <v>0</v>
      </c>
      <c r="AB24" s="9">
        <f>+'Luindi S5'!AB24+'Mardi S5'!AB24+'Mercredi S5'!AB24+'Jeudi S5'!AB24+'Vendredi S5'!AB24+'Samedi S5'!AB24</f>
        <v>0</v>
      </c>
      <c r="AC24" s="10">
        <f>+'Luindi S5'!AC24+'Mardi S5'!AC24+'Mercredi S5'!AC24+'Jeudi S5'!AC24+'Vendredi S5'!AC24+'Samedi S5'!AC24</f>
        <v>0</v>
      </c>
      <c r="AD24" s="10">
        <f>+'Luindi S5'!AD24+'Mardi S5'!AD24+'Mercredi S5'!AD24+'Jeudi S5'!AD24+'Vendredi S5'!AD24+'Samedi S5'!AD24</f>
        <v>0</v>
      </c>
      <c r="AE24" s="10">
        <f>+'Luindi S5'!AE24+'Mardi S5'!AE24+'Mercredi S5'!AE24+'Jeudi S5'!AE24+'Vendredi S5'!AE24+'Samedi S5'!AE24</f>
        <v>0</v>
      </c>
      <c r="AF24" s="11">
        <f>+'Luindi S5'!AF24+'Mardi S5'!AF24+'Mercredi S5'!AF24+'Jeudi S5'!AF24+'Vendredi S5'!AF24+'Samedi S5'!AF24</f>
        <v>0</v>
      </c>
      <c r="AG24" s="9">
        <f>+'Luindi S5'!AG24+'Mardi S5'!AG24+'Mercredi S5'!AG24+'Jeudi S5'!AG24+'Vendredi S5'!AG24+'Samedi S5'!AG24</f>
        <v>0</v>
      </c>
      <c r="AH24" s="10">
        <f>+'Luindi S5'!AH24+'Mardi S5'!AH24+'Mercredi S5'!AH24+'Jeudi S5'!AH24+'Vendredi S5'!AH24+'Samedi S5'!AH24</f>
        <v>0</v>
      </c>
      <c r="AI24" s="10">
        <f>+'Luindi S5'!AI24+'Mardi S5'!AI24+'Mercredi S5'!AI24+'Jeudi S5'!AI24+'Vendredi S5'!AI24+'Samedi S5'!AI24</f>
        <v>0</v>
      </c>
      <c r="AJ24" s="10">
        <f>+'Luindi S5'!AJ24+'Mardi S5'!AJ24+'Mercredi S5'!AJ24+'Jeudi S5'!AJ24+'Vendredi S5'!AJ24+'Samedi S5'!AJ24</f>
        <v>0</v>
      </c>
      <c r="AK24" s="11">
        <f>+'Luindi S5'!AK24+'Mardi S5'!AK24+'Mercredi S5'!AK24+'Jeudi S5'!AK24+'Vendredi S5'!AK24+'Samedi S5'!AK24</f>
        <v>0</v>
      </c>
      <c r="AL24" s="9">
        <f>+'Luindi S5'!AL24+'Mardi S5'!AL24+'Mercredi S5'!AL24+'Jeudi S5'!AL24+'Vendredi S5'!AL24+'Samedi S5'!AL24</f>
        <v>0</v>
      </c>
      <c r="AM24" s="10">
        <f>+'Luindi S5'!AM24+'Mardi S5'!AM24+'Mercredi S5'!AM24+'Jeudi S5'!AM24+'Vendredi S5'!AM24+'Samedi S5'!AM24</f>
        <v>0</v>
      </c>
      <c r="AN24" s="10">
        <f>+'Luindi S5'!AN24+'Mardi S5'!AN24+'Mercredi S5'!AN24+'Jeudi S5'!AN24+'Vendredi S5'!AN24+'Samedi S5'!AN24</f>
        <v>0</v>
      </c>
      <c r="AO24" s="10">
        <f>+'Luindi S5'!AO24+'Mardi S5'!AO24+'Mercredi S5'!AO24+'Jeudi S5'!AO24+'Vendredi S5'!AO24+'Samedi S5'!AO24</f>
        <v>0</v>
      </c>
      <c r="AP24" s="11">
        <f>+'Luindi S5'!AP24+'Mardi S5'!AP24+'Mercredi S5'!AP24+'Jeudi S5'!AP24+'Vendredi S5'!AP24+'Samedi S5'!AP24</f>
        <v>0</v>
      </c>
      <c r="AQ24" s="9">
        <f>+'Luindi S5'!AQ24+'Mardi S5'!AQ24+'Mercredi S5'!AQ24+'Jeudi S5'!AQ24+'Vendredi S5'!AQ24+'Samedi S5'!AQ24</f>
        <v>0</v>
      </c>
      <c r="AR24" s="10">
        <f>+'Luindi S5'!AR24+'Mardi S5'!AR24+'Mercredi S5'!AR24+'Jeudi S5'!AR24+'Vendredi S5'!AR24+'Samedi S5'!AR24</f>
        <v>0</v>
      </c>
      <c r="AS24" s="11">
        <f>+'Luindi S5'!AS24+'Mardi S5'!AS24+'Mercredi S5'!AS24+'Jeudi S5'!AS24+'Vendredi S5'!AS24+'Samedi S5'!AS24</f>
        <v>0</v>
      </c>
      <c r="AT24" s="22"/>
      <c r="AU24" s="14"/>
    </row>
    <row r="25" spans="1:47" ht="31.9" customHeight="1" x14ac:dyDescent="0.2">
      <c r="A25" s="26">
        <v>19</v>
      </c>
      <c r="B25" s="19"/>
      <c r="C25" s="9">
        <f>+'Luindi S5'!C25+'Mardi S5'!C25+'Mercredi S5'!C25+'Jeudi S5'!C25+'Vendredi S5'!C25+'Samedi S5'!C25</f>
        <v>90</v>
      </c>
      <c r="D25" s="10">
        <f>+'Luindi S5'!D25+'Mardi S5'!D25+'Mercredi S5'!D25+'Jeudi S5'!D25+'Vendredi S5'!D25+'Samedi S5'!D25</f>
        <v>18</v>
      </c>
      <c r="E25" s="10">
        <f>+'Luindi S5'!E25+'Mardi S5'!E25+'Mercredi S5'!E25+'Jeudi S5'!E25+'Vendredi S5'!E25+'Samedi S5'!E25</f>
        <v>30</v>
      </c>
      <c r="F25" s="10">
        <f>+'Luindi S5'!F25+'Mardi S5'!F25+'Mercredi S5'!F25+'Jeudi S5'!F25+'Vendredi S5'!F25+'Samedi S5'!F25</f>
        <v>12</v>
      </c>
      <c r="G25" s="11">
        <f>+'Luindi S5'!G25+'Mardi S5'!G25+'Mercredi S5'!G25+'Jeudi S5'!G25+'Vendredi S5'!G25+'Samedi S5'!G25</f>
        <v>30</v>
      </c>
      <c r="H25" s="9">
        <f>+'Luindi S5'!H25+'Mardi S5'!H25+'Mercredi S5'!H25+'Jeudi S5'!H25+'Vendredi S5'!H25+'Samedi S5'!H25</f>
        <v>18</v>
      </c>
      <c r="I25" s="10">
        <f>+'Luindi S5'!I25+'Mardi S5'!I25+'Mercredi S5'!I25+'Jeudi S5'!I25+'Vendredi S5'!I25+'Samedi S5'!I25</f>
        <v>6</v>
      </c>
      <c r="J25" s="10">
        <f>+'Luindi S5'!J25+'Mardi S5'!J25+'Mercredi S5'!J25+'Jeudi S5'!J25+'Vendredi S5'!J25+'Samedi S5'!J25</f>
        <v>6</v>
      </c>
      <c r="K25" s="10">
        <f>+'Luindi S5'!K25+'Mardi S5'!K25+'Mercredi S5'!K25+'Jeudi S5'!K25+'Vendredi S5'!K25+'Samedi S5'!K25</f>
        <v>6</v>
      </c>
      <c r="L25" s="11">
        <f>+'Luindi S5'!L25+'Mardi S5'!L25+'Mercredi S5'!L25+'Jeudi S5'!L25+'Vendredi S5'!L25+'Samedi S5'!L25</f>
        <v>6</v>
      </c>
      <c r="M25" s="9">
        <f>+'Luindi S5'!M25+'Mardi S5'!M25+'Mercredi S5'!M25+'Jeudi S5'!M25+'Vendredi S5'!M25+'Samedi S5'!M25</f>
        <v>18</v>
      </c>
      <c r="N25" s="10">
        <f>+'Luindi S5'!N25+'Mardi S5'!N25+'Mercredi S5'!N25+'Jeudi S5'!N25+'Vendredi S5'!N25+'Samedi S5'!N25</f>
        <v>6</v>
      </c>
      <c r="O25" s="10">
        <f>+'Luindi S5'!O25+'Mardi S5'!O25+'Mercredi S5'!O25+'Jeudi S5'!O25+'Vendredi S5'!O25+'Samedi S5'!O25</f>
        <v>18</v>
      </c>
      <c r="P25" s="10">
        <f>+'Luindi S5'!P25+'Mardi S5'!P25+'Mercredi S5'!P25+'Jeudi S5'!P25+'Vendredi S5'!P25+'Samedi S5'!P25</f>
        <v>0</v>
      </c>
      <c r="Q25" s="11">
        <f>+'Luindi S5'!Q25+'Mardi S5'!Q25+'Mercredi S5'!Q25+'Jeudi S5'!Q25+'Vendredi S5'!Q25+'Samedi S5'!Q25</f>
        <v>0</v>
      </c>
      <c r="R25" s="61">
        <f>+'Luindi S5'!R25+'Mardi S5'!R25+'Mercredi S5'!R25+'Jeudi S5'!R25+'Vendredi S5'!R25+'Samedi S5'!R25</f>
        <v>3</v>
      </c>
      <c r="S25" s="62">
        <f>+'Luindi S5'!S25+'Mardi S5'!S25+'Mercredi S5'!S25+'Jeudi S5'!S25+'Vendredi S5'!S25+'Samedi S5'!S25</f>
        <v>0.99999999999999989</v>
      </c>
      <c r="T25" s="62">
        <f>+'Luindi S5'!T25+'Mardi S5'!T25+'Mercredi S5'!T25+'Jeudi S5'!T25+'Vendredi S5'!T25+'Samedi S5'!T25</f>
        <v>0.6</v>
      </c>
      <c r="U25" s="62">
        <f>+'Luindi S5'!U25+'Mardi S5'!U25+'Mercredi S5'!U25+'Jeudi S5'!U25+'Vendredi S5'!U25+'Samedi S5'!U25</f>
        <v>3.6</v>
      </c>
      <c r="V25" s="63">
        <f>+'Luindi S5'!V25+'Mardi S5'!V25+'Mercredi S5'!V25+'Jeudi S5'!V25+'Vendredi S5'!V25+'Samedi S5'!V25</f>
        <v>0.9</v>
      </c>
      <c r="W25" s="9">
        <f>+'Luindi S5'!W25+'Mardi S5'!W25+'Mercredi S5'!W25+'Jeudi S5'!W25+'Vendredi S5'!W25+'Samedi S5'!W25</f>
        <v>0</v>
      </c>
      <c r="X25" s="10">
        <f>+'Luindi S5'!X25+'Mardi S5'!X25+'Mercredi S5'!X25+'Jeudi S5'!X25+'Vendredi S5'!X25+'Samedi S5'!X25</f>
        <v>0</v>
      </c>
      <c r="Y25" s="10">
        <f>+'Luindi S5'!Y25+'Mardi S5'!Y25+'Mercredi S5'!Y25+'Jeudi S5'!Y25+'Vendredi S5'!Y25+'Samedi S5'!Y25</f>
        <v>0</v>
      </c>
      <c r="Z25" s="10">
        <f>+'Luindi S5'!Z25+'Mardi S5'!Z25+'Mercredi S5'!Z25+'Jeudi S5'!Z25+'Vendredi S5'!Z25+'Samedi S5'!Z25</f>
        <v>0</v>
      </c>
      <c r="AA25" s="11">
        <f>+'Luindi S5'!AA25+'Mardi S5'!AA25+'Mercredi S5'!AA25+'Jeudi S5'!AA25+'Vendredi S5'!AA25+'Samedi S5'!AA25</f>
        <v>0</v>
      </c>
      <c r="AB25" s="9">
        <f>+'Luindi S5'!AB25+'Mardi S5'!AB25+'Mercredi S5'!AB25+'Jeudi S5'!AB25+'Vendredi S5'!AB25+'Samedi S5'!AB25</f>
        <v>0</v>
      </c>
      <c r="AC25" s="10">
        <f>+'Luindi S5'!AC25+'Mardi S5'!AC25+'Mercredi S5'!AC25+'Jeudi S5'!AC25+'Vendredi S5'!AC25+'Samedi S5'!AC25</f>
        <v>0</v>
      </c>
      <c r="AD25" s="10">
        <f>+'Luindi S5'!AD25+'Mardi S5'!AD25+'Mercredi S5'!AD25+'Jeudi S5'!AD25+'Vendredi S5'!AD25+'Samedi S5'!AD25</f>
        <v>0</v>
      </c>
      <c r="AE25" s="10">
        <f>+'Luindi S5'!AE25+'Mardi S5'!AE25+'Mercredi S5'!AE25+'Jeudi S5'!AE25+'Vendredi S5'!AE25+'Samedi S5'!AE25</f>
        <v>0</v>
      </c>
      <c r="AF25" s="11">
        <f>+'Luindi S5'!AF25+'Mardi S5'!AF25+'Mercredi S5'!AF25+'Jeudi S5'!AF25+'Vendredi S5'!AF25+'Samedi S5'!AF25</f>
        <v>0</v>
      </c>
      <c r="AG25" s="9">
        <f>+'Luindi S5'!AG25+'Mardi S5'!AG25+'Mercredi S5'!AG25+'Jeudi S5'!AG25+'Vendredi S5'!AG25+'Samedi S5'!AG25</f>
        <v>0</v>
      </c>
      <c r="AH25" s="10">
        <f>+'Luindi S5'!AH25+'Mardi S5'!AH25+'Mercredi S5'!AH25+'Jeudi S5'!AH25+'Vendredi S5'!AH25+'Samedi S5'!AH25</f>
        <v>0</v>
      </c>
      <c r="AI25" s="10">
        <f>+'Luindi S5'!AI25+'Mardi S5'!AI25+'Mercredi S5'!AI25+'Jeudi S5'!AI25+'Vendredi S5'!AI25+'Samedi S5'!AI25</f>
        <v>0</v>
      </c>
      <c r="AJ25" s="10">
        <f>+'Luindi S5'!AJ25+'Mardi S5'!AJ25+'Mercredi S5'!AJ25+'Jeudi S5'!AJ25+'Vendredi S5'!AJ25+'Samedi S5'!AJ25</f>
        <v>0</v>
      </c>
      <c r="AK25" s="11">
        <f>+'Luindi S5'!AK25+'Mardi S5'!AK25+'Mercredi S5'!AK25+'Jeudi S5'!AK25+'Vendredi S5'!AK25+'Samedi S5'!AK25</f>
        <v>0</v>
      </c>
      <c r="AL25" s="9">
        <f>+'Luindi S5'!AL25+'Mardi S5'!AL25+'Mercredi S5'!AL25+'Jeudi S5'!AL25+'Vendredi S5'!AL25+'Samedi S5'!AL25</f>
        <v>0</v>
      </c>
      <c r="AM25" s="10">
        <f>+'Luindi S5'!AM25+'Mardi S5'!AM25+'Mercredi S5'!AM25+'Jeudi S5'!AM25+'Vendredi S5'!AM25+'Samedi S5'!AM25</f>
        <v>0</v>
      </c>
      <c r="AN25" s="10">
        <f>+'Luindi S5'!AN25+'Mardi S5'!AN25+'Mercredi S5'!AN25+'Jeudi S5'!AN25+'Vendredi S5'!AN25+'Samedi S5'!AN25</f>
        <v>0</v>
      </c>
      <c r="AO25" s="10">
        <f>+'Luindi S5'!AO25+'Mardi S5'!AO25+'Mercredi S5'!AO25+'Jeudi S5'!AO25+'Vendredi S5'!AO25+'Samedi S5'!AO25</f>
        <v>0</v>
      </c>
      <c r="AP25" s="11">
        <f>+'Luindi S5'!AP25+'Mardi S5'!AP25+'Mercredi S5'!AP25+'Jeudi S5'!AP25+'Vendredi S5'!AP25+'Samedi S5'!AP25</f>
        <v>0</v>
      </c>
      <c r="AQ25" s="9">
        <f>+'Luindi S5'!AQ25+'Mardi S5'!AQ25+'Mercredi S5'!AQ25+'Jeudi S5'!AQ25+'Vendredi S5'!AQ25+'Samedi S5'!AQ25</f>
        <v>0</v>
      </c>
      <c r="AR25" s="10">
        <f>+'Luindi S5'!AR25+'Mardi S5'!AR25+'Mercredi S5'!AR25+'Jeudi S5'!AR25+'Vendredi S5'!AR25+'Samedi S5'!AR25</f>
        <v>0</v>
      </c>
      <c r="AS25" s="11">
        <f>+'Luindi S5'!AS25+'Mardi S5'!AS25+'Mercredi S5'!AS25+'Jeudi S5'!AS25+'Vendredi S5'!AS25+'Samedi S5'!AS25</f>
        <v>0</v>
      </c>
      <c r="AT25" s="22"/>
      <c r="AU25" s="14"/>
    </row>
    <row r="26" spans="1:47" ht="31.9" customHeight="1" x14ac:dyDescent="0.2">
      <c r="A26" s="26">
        <v>20</v>
      </c>
      <c r="B26" s="19"/>
      <c r="C26" s="9">
        <f>+'Luindi S5'!C26+'Mardi S5'!C26+'Mercredi S5'!C26+'Jeudi S5'!C26+'Vendredi S5'!C26+'Samedi S5'!C26</f>
        <v>90</v>
      </c>
      <c r="D26" s="10">
        <f>+'Luindi S5'!D26+'Mardi S5'!D26+'Mercredi S5'!D26+'Jeudi S5'!D26+'Vendredi S5'!D26+'Samedi S5'!D26</f>
        <v>18</v>
      </c>
      <c r="E26" s="10">
        <f>+'Luindi S5'!E26+'Mardi S5'!E26+'Mercredi S5'!E26+'Jeudi S5'!E26+'Vendredi S5'!E26+'Samedi S5'!E26</f>
        <v>30</v>
      </c>
      <c r="F26" s="10">
        <f>+'Luindi S5'!F26+'Mardi S5'!F26+'Mercredi S5'!F26+'Jeudi S5'!F26+'Vendredi S5'!F26+'Samedi S5'!F26</f>
        <v>12</v>
      </c>
      <c r="G26" s="11">
        <f>+'Luindi S5'!G26+'Mardi S5'!G26+'Mercredi S5'!G26+'Jeudi S5'!G26+'Vendredi S5'!G26+'Samedi S5'!G26</f>
        <v>30</v>
      </c>
      <c r="H26" s="9">
        <f>+'Luindi S5'!H26+'Mardi S5'!H26+'Mercredi S5'!H26+'Jeudi S5'!H26+'Vendredi S5'!H26+'Samedi S5'!H26</f>
        <v>18</v>
      </c>
      <c r="I26" s="10">
        <f>+'Luindi S5'!I26+'Mardi S5'!I26+'Mercredi S5'!I26+'Jeudi S5'!I26+'Vendredi S5'!I26+'Samedi S5'!I26</f>
        <v>6</v>
      </c>
      <c r="J26" s="10">
        <f>+'Luindi S5'!J26+'Mardi S5'!J26+'Mercredi S5'!J26+'Jeudi S5'!J26+'Vendredi S5'!J26+'Samedi S5'!J26</f>
        <v>6</v>
      </c>
      <c r="K26" s="10">
        <f>+'Luindi S5'!K26+'Mardi S5'!K26+'Mercredi S5'!K26+'Jeudi S5'!K26+'Vendredi S5'!K26+'Samedi S5'!K26</f>
        <v>6</v>
      </c>
      <c r="L26" s="11">
        <f>+'Luindi S5'!L26+'Mardi S5'!L26+'Mercredi S5'!L26+'Jeudi S5'!L26+'Vendredi S5'!L26+'Samedi S5'!L26</f>
        <v>6</v>
      </c>
      <c r="M26" s="9">
        <f>+'Luindi S5'!M26+'Mardi S5'!M26+'Mercredi S5'!M26+'Jeudi S5'!M26+'Vendredi S5'!M26+'Samedi S5'!M26</f>
        <v>18</v>
      </c>
      <c r="N26" s="10">
        <f>+'Luindi S5'!N26+'Mardi S5'!N26+'Mercredi S5'!N26+'Jeudi S5'!N26+'Vendredi S5'!N26+'Samedi S5'!N26</f>
        <v>6</v>
      </c>
      <c r="O26" s="10">
        <f>+'Luindi S5'!O26+'Mardi S5'!O26+'Mercredi S5'!O26+'Jeudi S5'!O26+'Vendredi S5'!O26+'Samedi S5'!O26</f>
        <v>18</v>
      </c>
      <c r="P26" s="10">
        <f>+'Luindi S5'!P26+'Mardi S5'!P26+'Mercredi S5'!P26+'Jeudi S5'!P26+'Vendredi S5'!P26+'Samedi S5'!P26</f>
        <v>0</v>
      </c>
      <c r="Q26" s="11">
        <f>+'Luindi S5'!Q26+'Mardi S5'!Q26+'Mercredi S5'!Q26+'Jeudi S5'!Q26+'Vendredi S5'!Q26+'Samedi S5'!Q26</f>
        <v>0</v>
      </c>
      <c r="R26" s="61">
        <f>+'Luindi S5'!R26+'Mardi S5'!R26+'Mercredi S5'!R26+'Jeudi S5'!R26+'Vendredi S5'!R26+'Samedi S5'!R26</f>
        <v>3</v>
      </c>
      <c r="S26" s="62">
        <f>+'Luindi S5'!S26+'Mardi S5'!S26+'Mercredi S5'!S26+'Jeudi S5'!S26+'Vendredi S5'!S26+'Samedi S5'!S26</f>
        <v>0.99999999999999989</v>
      </c>
      <c r="T26" s="62">
        <f>+'Luindi S5'!T26+'Mardi S5'!T26+'Mercredi S5'!T26+'Jeudi S5'!T26+'Vendredi S5'!T26+'Samedi S5'!T26</f>
        <v>0.6</v>
      </c>
      <c r="U26" s="62">
        <f>+'Luindi S5'!U26+'Mardi S5'!U26+'Mercredi S5'!U26+'Jeudi S5'!U26+'Vendredi S5'!U26+'Samedi S5'!U26</f>
        <v>3.6</v>
      </c>
      <c r="V26" s="63">
        <f>+'Luindi S5'!V26+'Mardi S5'!V26+'Mercredi S5'!V26+'Jeudi S5'!V26+'Vendredi S5'!V26+'Samedi S5'!V26</f>
        <v>0.9</v>
      </c>
      <c r="W26" s="9">
        <f>+'Luindi S5'!W26+'Mardi S5'!W26+'Mercredi S5'!W26+'Jeudi S5'!W26+'Vendredi S5'!W26+'Samedi S5'!W26</f>
        <v>0</v>
      </c>
      <c r="X26" s="10">
        <f>+'Luindi S5'!X26+'Mardi S5'!X26+'Mercredi S5'!X26+'Jeudi S5'!X26+'Vendredi S5'!X26+'Samedi S5'!X26</f>
        <v>0</v>
      </c>
      <c r="Y26" s="10">
        <f>+'Luindi S5'!Y26+'Mardi S5'!Y26+'Mercredi S5'!Y26+'Jeudi S5'!Y26+'Vendredi S5'!Y26+'Samedi S5'!Y26</f>
        <v>0</v>
      </c>
      <c r="Z26" s="10">
        <f>+'Luindi S5'!Z26+'Mardi S5'!Z26+'Mercredi S5'!Z26+'Jeudi S5'!Z26+'Vendredi S5'!Z26+'Samedi S5'!Z26</f>
        <v>0</v>
      </c>
      <c r="AA26" s="11">
        <f>+'Luindi S5'!AA26+'Mardi S5'!AA26+'Mercredi S5'!AA26+'Jeudi S5'!AA26+'Vendredi S5'!AA26+'Samedi S5'!AA26</f>
        <v>0</v>
      </c>
      <c r="AB26" s="9">
        <f>+'Luindi S5'!AB26+'Mardi S5'!AB26+'Mercredi S5'!AB26+'Jeudi S5'!AB26+'Vendredi S5'!AB26+'Samedi S5'!AB26</f>
        <v>0</v>
      </c>
      <c r="AC26" s="10">
        <f>+'Luindi S5'!AC26+'Mardi S5'!AC26+'Mercredi S5'!AC26+'Jeudi S5'!AC26+'Vendredi S5'!AC26+'Samedi S5'!AC26</f>
        <v>0</v>
      </c>
      <c r="AD26" s="10">
        <f>+'Luindi S5'!AD26+'Mardi S5'!AD26+'Mercredi S5'!AD26+'Jeudi S5'!AD26+'Vendredi S5'!AD26+'Samedi S5'!AD26</f>
        <v>0</v>
      </c>
      <c r="AE26" s="10">
        <f>+'Luindi S5'!AE26+'Mardi S5'!AE26+'Mercredi S5'!AE26+'Jeudi S5'!AE26+'Vendredi S5'!AE26+'Samedi S5'!AE26</f>
        <v>0</v>
      </c>
      <c r="AF26" s="11">
        <f>+'Luindi S5'!AF26+'Mardi S5'!AF26+'Mercredi S5'!AF26+'Jeudi S5'!AF26+'Vendredi S5'!AF26+'Samedi S5'!AF26</f>
        <v>0</v>
      </c>
      <c r="AG26" s="9">
        <f>+'Luindi S5'!AG26+'Mardi S5'!AG26+'Mercredi S5'!AG26+'Jeudi S5'!AG26+'Vendredi S5'!AG26+'Samedi S5'!AG26</f>
        <v>0</v>
      </c>
      <c r="AH26" s="10">
        <f>+'Luindi S5'!AH26+'Mardi S5'!AH26+'Mercredi S5'!AH26+'Jeudi S5'!AH26+'Vendredi S5'!AH26+'Samedi S5'!AH26</f>
        <v>0</v>
      </c>
      <c r="AI26" s="10">
        <f>+'Luindi S5'!AI26+'Mardi S5'!AI26+'Mercredi S5'!AI26+'Jeudi S5'!AI26+'Vendredi S5'!AI26+'Samedi S5'!AI26</f>
        <v>0</v>
      </c>
      <c r="AJ26" s="10">
        <f>+'Luindi S5'!AJ26+'Mardi S5'!AJ26+'Mercredi S5'!AJ26+'Jeudi S5'!AJ26+'Vendredi S5'!AJ26+'Samedi S5'!AJ26</f>
        <v>0</v>
      </c>
      <c r="AK26" s="11">
        <f>+'Luindi S5'!AK26+'Mardi S5'!AK26+'Mercredi S5'!AK26+'Jeudi S5'!AK26+'Vendredi S5'!AK26+'Samedi S5'!AK26</f>
        <v>0</v>
      </c>
      <c r="AL26" s="9">
        <f>+'Luindi S5'!AL26+'Mardi S5'!AL26+'Mercredi S5'!AL26+'Jeudi S5'!AL26+'Vendredi S5'!AL26+'Samedi S5'!AL26</f>
        <v>0</v>
      </c>
      <c r="AM26" s="10">
        <f>+'Luindi S5'!AM26+'Mardi S5'!AM26+'Mercredi S5'!AM26+'Jeudi S5'!AM26+'Vendredi S5'!AM26+'Samedi S5'!AM26</f>
        <v>0</v>
      </c>
      <c r="AN26" s="10">
        <f>+'Luindi S5'!AN26+'Mardi S5'!AN26+'Mercredi S5'!AN26+'Jeudi S5'!AN26+'Vendredi S5'!AN26+'Samedi S5'!AN26</f>
        <v>0</v>
      </c>
      <c r="AO26" s="10">
        <f>+'Luindi S5'!AO26+'Mardi S5'!AO26+'Mercredi S5'!AO26+'Jeudi S5'!AO26+'Vendredi S5'!AO26+'Samedi S5'!AO26</f>
        <v>0</v>
      </c>
      <c r="AP26" s="11">
        <f>+'Luindi S5'!AP26+'Mardi S5'!AP26+'Mercredi S5'!AP26+'Jeudi S5'!AP26+'Vendredi S5'!AP26+'Samedi S5'!AP26</f>
        <v>0</v>
      </c>
      <c r="AQ26" s="9">
        <f>+'Luindi S5'!AQ26+'Mardi S5'!AQ26+'Mercredi S5'!AQ26+'Jeudi S5'!AQ26+'Vendredi S5'!AQ26+'Samedi S5'!AQ26</f>
        <v>0</v>
      </c>
      <c r="AR26" s="10">
        <f>+'Luindi S5'!AR26+'Mardi S5'!AR26+'Mercredi S5'!AR26+'Jeudi S5'!AR26+'Vendredi S5'!AR26+'Samedi S5'!AR26</f>
        <v>0</v>
      </c>
      <c r="AS26" s="11">
        <f>+'Luindi S5'!AS26+'Mardi S5'!AS26+'Mercredi S5'!AS26+'Jeudi S5'!AS26+'Vendredi S5'!AS26+'Samedi S5'!AS26</f>
        <v>0</v>
      </c>
      <c r="AT26" s="22"/>
      <c r="AU26" s="14"/>
    </row>
    <row r="27" spans="1:47" ht="31.9" customHeight="1" x14ac:dyDescent="0.2">
      <c r="A27" s="26">
        <v>21</v>
      </c>
      <c r="B27" s="19"/>
      <c r="C27" s="9">
        <f>+'Luindi S5'!C27+'Mardi S5'!C27+'Mercredi S5'!C27+'Jeudi S5'!C27+'Vendredi S5'!C27+'Samedi S5'!C27</f>
        <v>90</v>
      </c>
      <c r="D27" s="10">
        <f>+'Luindi S5'!D27+'Mardi S5'!D27+'Mercredi S5'!D27+'Jeudi S5'!D27+'Vendredi S5'!D27+'Samedi S5'!D27</f>
        <v>18</v>
      </c>
      <c r="E27" s="10">
        <f>+'Luindi S5'!E27+'Mardi S5'!E27+'Mercredi S5'!E27+'Jeudi S5'!E27+'Vendredi S5'!E27+'Samedi S5'!E27</f>
        <v>30</v>
      </c>
      <c r="F27" s="10">
        <f>+'Luindi S5'!F27+'Mardi S5'!F27+'Mercredi S5'!F27+'Jeudi S5'!F27+'Vendredi S5'!F27+'Samedi S5'!F27</f>
        <v>12</v>
      </c>
      <c r="G27" s="11">
        <f>+'Luindi S5'!G27+'Mardi S5'!G27+'Mercredi S5'!G27+'Jeudi S5'!G27+'Vendredi S5'!G27+'Samedi S5'!G27</f>
        <v>30</v>
      </c>
      <c r="H27" s="9">
        <f>+'Luindi S5'!H27+'Mardi S5'!H27+'Mercredi S5'!H27+'Jeudi S5'!H27+'Vendredi S5'!H27+'Samedi S5'!H27</f>
        <v>18</v>
      </c>
      <c r="I27" s="10">
        <f>+'Luindi S5'!I27+'Mardi S5'!I27+'Mercredi S5'!I27+'Jeudi S5'!I27+'Vendredi S5'!I27+'Samedi S5'!I27</f>
        <v>6</v>
      </c>
      <c r="J27" s="10">
        <f>+'Luindi S5'!J27+'Mardi S5'!J27+'Mercredi S5'!J27+'Jeudi S5'!J27+'Vendredi S5'!J27+'Samedi S5'!J27</f>
        <v>6</v>
      </c>
      <c r="K27" s="10">
        <f>+'Luindi S5'!K27+'Mardi S5'!K27+'Mercredi S5'!K27+'Jeudi S5'!K27+'Vendredi S5'!K27+'Samedi S5'!K27</f>
        <v>6</v>
      </c>
      <c r="L27" s="11">
        <f>+'Luindi S5'!L27+'Mardi S5'!L27+'Mercredi S5'!L27+'Jeudi S5'!L27+'Vendredi S5'!L27+'Samedi S5'!L27</f>
        <v>6</v>
      </c>
      <c r="M27" s="9">
        <f>+'Luindi S5'!M27+'Mardi S5'!M27+'Mercredi S5'!M27+'Jeudi S5'!M27+'Vendredi S5'!M27+'Samedi S5'!M27</f>
        <v>18</v>
      </c>
      <c r="N27" s="10">
        <f>+'Luindi S5'!N27+'Mardi S5'!N27+'Mercredi S5'!N27+'Jeudi S5'!N27+'Vendredi S5'!N27+'Samedi S5'!N27</f>
        <v>6</v>
      </c>
      <c r="O27" s="10">
        <f>+'Luindi S5'!O27+'Mardi S5'!O27+'Mercredi S5'!O27+'Jeudi S5'!O27+'Vendredi S5'!O27+'Samedi S5'!O27</f>
        <v>18</v>
      </c>
      <c r="P27" s="10">
        <f>+'Luindi S5'!P27+'Mardi S5'!P27+'Mercredi S5'!P27+'Jeudi S5'!P27+'Vendredi S5'!P27+'Samedi S5'!P27</f>
        <v>0</v>
      </c>
      <c r="Q27" s="11">
        <f>+'Luindi S5'!Q27+'Mardi S5'!Q27+'Mercredi S5'!Q27+'Jeudi S5'!Q27+'Vendredi S5'!Q27+'Samedi S5'!Q27</f>
        <v>0</v>
      </c>
      <c r="R27" s="61">
        <f>+'Luindi S5'!R27+'Mardi S5'!R27+'Mercredi S5'!R27+'Jeudi S5'!R27+'Vendredi S5'!R27+'Samedi S5'!R27</f>
        <v>3</v>
      </c>
      <c r="S27" s="62">
        <f>+'Luindi S5'!S27+'Mardi S5'!S27+'Mercredi S5'!S27+'Jeudi S5'!S27+'Vendredi S5'!S27+'Samedi S5'!S27</f>
        <v>0.99999999999999989</v>
      </c>
      <c r="T27" s="62">
        <f>+'Luindi S5'!T27+'Mardi S5'!T27+'Mercredi S5'!T27+'Jeudi S5'!T27+'Vendredi S5'!T27+'Samedi S5'!T27</f>
        <v>0.6</v>
      </c>
      <c r="U27" s="62">
        <f>+'Luindi S5'!U27+'Mardi S5'!U27+'Mercredi S5'!U27+'Jeudi S5'!U27+'Vendredi S5'!U27+'Samedi S5'!U27</f>
        <v>3.6</v>
      </c>
      <c r="V27" s="63">
        <f>+'Luindi S5'!V27+'Mardi S5'!V27+'Mercredi S5'!V27+'Jeudi S5'!V27+'Vendredi S5'!V27+'Samedi S5'!V27</f>
        <v>0.9</v>
      </c>
      <c r="W27" s="9">
        <f>+'Luindi S5'!W27+'Mardi S5'!W27+'Mercredi S5'!W27+'Jeudi S5'!W27+'Vendredi S5'!W27+'Samedi S5'!W27</f>
        <v>0</v>
      </c>
      <c r="X27" s="10">
        <f>+'Luindi S5'!X27+'Mardi S5'!X27+'Mercredi S5'!X27+'Jeudi S5'!X27+'Vendredi S5'!X27+'Samedi S5'!X27</f>
        <v>0</v>
      </c>
      <c r="Y27" s="10">
        <f>+'Luindi S5'!Y27+'Mardi S5'!Y27+'Mercredi S5'!Y27+'Jeudi S5'!Y27+'Vendredi S5'!Y27+'Samedi S5'!Y27</f>
        <v>0</v>
      </c>
      <c r="Z27" s="10">
        <f>+'Luindi S5'!Z27+'Mardi S5'!Z27+'Mercredi S5'!Z27+'Jeudi S5'!Z27+'Vendredi S5'!Z27+'Samedi S5'!Z27</f>
        <v>0</v>
      </c>
      <c r="AA27" s="11">
        <f>+'Luindi S5'!AA27+'Mardi S5'!AA27+'Mercredi S5'!AA27+'Jeudi S5'!AA27+'Vendredi S5'!AA27+'Samedi S5'!AA27</f>
        <v>0</v>
      </c>
      <c r="AB27" s="9">
        <f>+'Luindi S5'!AB27+'Mardi S5'!AB27+'Mercredi S5'!AB27+'Jeudi S5'!AB27+'Vendredi S5'!AB27+'Samedi S5'!AB27</f>
        <v>0</v>
      </c>
      <c r="AC27" s="10">
        <f>+'Luindi S5'!AC27+'Mardi S5'!AC27+'Mercredi S5'!AC27+'Jeudi S5'!AC27+'Vendredi S5'!AC27+'Samedi S5'!AC27</f>
        <v>0</v>
      </c>
      <c r="AD27" s="10">
        <f>+'Luindi S5'!AD27+'Mardi S5'!AD27+'Mercredi S5'!AD27+'Jeudi S5'!AD27+'Vendredi S5'!AD27+'Samedi S5'!AD27</f>
        <v>0</v>
      </c>
      <c r="AE27" s="10">
        <f>+'Luindi S5'!AE27+'Mardi S5'!AE27+'Mercredi S5'!AE27+'Jeudi S5'!AE27+'Vendredi S5'!AE27+'Samedi S5'!AE27</f>
        <v>0</v>
      </c>
      <c r="AF27" s="11">
        <f>+'Luindi S5'!AF27+'Mardi S5'!AF27+'Mercredi S5'!AF27+'Jeudi S5'!AF27+'Vendredi S5'!AF27+'Samedi S5'!AF27</f>
        <v>0</v>
      </c>
      <c r="AG27" s="9">
        <f>+'Luindi S5'!AG27+'Mardi S5'!AG27+'Mercredi S5'!AG27+'Jeudi S5'!AG27+'Vendredi S5'!AG27+'Samedi S5'!AG27</f>
        <v>0</v>
      </c>
      <c r="AH27" s="10">
        <f>+'Luindi S5'!AH27+'Mardi S5'!AH27+'Mercredi S5'!AH27+'Jeudi S5'!AH27+'Vendredi S5'!AH27+'Samedi S5'!AH27</f>
        <v>0</v>
      </c>
      <c r="AI27" s="10">
        <f>+'Luindi S5'!AI27+'Mardi S5'!AI27+'Mercredi S5'!AI27+'Jeudi S5'!AI27+'Vendredi S5'!AI27+'Samedi S5'!AI27</f>
        <v>0</v>
      </c>
      <c r="AJ27" s="10">
        <f>+'Luindi S5'!AJ27+'Mardi S5'!AJ27+'Mercredi S5'!AJ27+'Jeudi S5'!AJ27+'Vendredi S5'!AJ27+'Samedi S5'!AJ27</f>
        <v>0</v>
      </c>
      <c r="AK27" s="11">
        <f>+'Luindi S5'!AK27+'Mardi S5'!AK27+'Mercredi S5'!AK27+'Jeudi S5'!AK27+'Vendredi S5'!AK27+'Samedi S5'!AK27</f>
        <v>0</v>
      </c>
      <c r="AL27" s="9">
        <f>+'Luindi S5'!AL27+'Mardi S5'!AL27+'Mercredi S5'!AL27+'Jeudi S5'!AL27+'Vendredi S5'!AL27+'Samedi S5'!AL27</f>
        <v>0</v>
      </c>
      <c r="AM27" s="10">
        <f>+'Luindi S5'!AM27+'Mardi S5'!AM27+'Mercredi S5'!AM27+'Jeudi S5'!AM27+'Vendredi S5'!AM27+'Samedi S5'!AM27</f>
        <v>0</v>
      </c>
      <c r="AN27" s="10">
        <f>+'Luindi S5'!AN27+'Mardi S5'!AN27+'Mercredi S5'!AN27+'Jeudi S5'!AN27+'Vendredi S5'!AN27+'Samedi S5'!AN27</f>
        <v>0</v>
      </c>
      <c r="AO27" s="10">
        <f>+'Luindi S5'!AO27+'Mardi S5'!AO27+'Mercredi S5'!AO27+'Jeudi S5'!AO27+'Vendredi S5'!AO27+'Samedi S5'!AO27</f>
        <v>0</v>
      </c>
      <c r="AP27" s="11">
        <f>+'Luindi S5'!AP27+'Mardi S5'!AP27+'Mercredi S5'!AP27+'Jeudi S5'!AP27+'Vendredi S5'!AP27+'Samedi S5'!AP27</f>
        <v>0</v>
      </c>
      <c r="AQ27" s="9">
        <f>+'Luindi S5'!AQ27+'Mardi S5'!AQ27+'Mercredi S5'!AQ27+'Jeudi S5'!AQ27+'Vendredi S5'!AQ27+'Samedi S5'!AQ27</f>
        <v>0</v>
      </c>
      <c r="AR27" s="10">
        <f>+'Luindi S5'!AR27+'Mardi S5'!AR27+'Mercredi S5'!AR27+'Jeudi S5'!AR27+'Vendredi S5'!AR27+'Samedi S5'!AR27</f>
        <v>0</v>
      </c>
      <c r="AS27" s="11">
        <f>+'Luindi S5'!AS27+'Mardi S5'!AS27+'Mercredi S5'!AS27+'Jeudi S5'!AS27+'Vendredi S5'!AS27+'Samedi S5'!AS27</f>
        <v>0</v>
      </c>
      <c r="AT27" s="22"/>
      <c r="AU27" s="14"/>
    </row>
    <row r="28" spans="1:47" ht="31.9" customHeight="1" x14ac:dyDescent="0.2">
      <c r="A28" s="26">
        <v>22</v>
      </c>
      <c r="B28" s="19"/>
      <c r="C28" s="9">
        <f>+'Luindi S5'!C28+'Mardi S5'!C28+'Mercredi S5'!C28+'Jeudi S5'!C28+'Vendredi S5'!C28+'Samedi S5'!C28</f>
        <v>90</v>
      </c>
      <c r="D28" s="10">
        <f>+'Luindi S5'!D28+'Mardi S5'!D28+'Mercredi S5'!D28+'Jeudi S5'!D28+'Vendredi S5'!D28+'Samedi S5'!D28</f>
        <v>18</v>
      </c>
      <c r="E28" s="10">
        <f>+'Luindi S5'!E28+'Mardi S5'!E28+'Mercredi S5'!E28+'Jeudi S5'!E28+'Vendredi S5'!E28+'Samedi S5'!E28</f>
        <v>30</v>
      </c>
      <c r="F28" s="10">
        <f>+'Luindi S5'!F28+'Mardi S5'!F28+'Mercredi S5'!F28+'Jeudi S5'!F28+'Vendredi S5'!F28+'Samedi S5'!F28</f>
        <v>12</v>
      </c>
      <c r="G28" s="11">
        <f>+'Luindi S5'!G28+'Mardi S5'!G28+'Mercredi S5'!G28+'Jeudi S5'!G28+'Vendredi S5'!G28+'Samedi S5'!G28</f>
        <v>30</v>
      </c>
      <c r="H28" s="9">
        <f>+'Luindi S5'!H28+'Mardi S5'!H28+'Mercredi S5'!H28+'Jeudi S5'!H28+'Vendredi S5'!H28+'Samedi S5'!H28</f>
        <v>18</v>
      </c>
      <c r="I28" s="10">
        <f>+'Luindi S5'!I28+'Mardi S5'!I28+'Mercredi S5'!I28+'Jeudi S5'!I28+'Vendredi S5'!I28+'Samedi S5'!I28</f>
        <v>6</v>
      </c>
      <c r="J28" s="10">
        <f>+'Luindi S5'!J28+'Mardi S5'!J28+'Mercredi S5'!J28+'Jeudi S5'!J28+'Vendredi S5'!J28+'Samedi S5'!J28</f>
        <v>6</v>
      </c>
      <c r="K28" s="10">
        <f>+'Luindi S5'!K28+'Mardi S5'!K28+'Mercredi S5'!K28+'Jeudi S5'!K28+'Vendredi S5'!K28+'Samedi S5'!K28</f>
        <v>6</v>
      </c>
      <c r="L28" s="11">
        <f>+'Luindi S5'!L28+'Mardi S5'!L28+'Mercredi S5'!L28+'Jeudi S5'!L28+'Vendredi S5'!L28+'Samedi S5'!L28</f>
        <v>6</v>
      </c>
      <c r="M28" s="9">
        <f>+'Luindi S5'!M28+'Mardi S5'!M28+'Mercredi S5'!M28+'Jeudi S5'!M28+'Vendredi S5'!M28+'Samedi S5'!M28</f>
        <v>18</v>
      </c>
      <c r="N28" s="10">
        <f>+'Luindi S5'!N28+'Mardi S5'!N28+'Mercredi S5'!N28+'Jeudi S5'!N28+'Vendredi S5'!N28+'Samedi S5'!N28</f>
        <v>6</v>
      </c>
      <c r="O28" s="10">
        <f>+'Luindi S5'!O28+'Mardi S5'!O28+'Mercredi S5'!O28+'Jeudi S5'!O28+'Vendredi S5'!O28+'Samedi S5'!O28</f>
        <v>18</v>
      </c>
      <c r="P28" s="10">
        <f>+'Luindi S5'!P28+'Mardi S5'!P28+'Mercredi S5'!P28+'Jeudi S5'!P28+'Vendredi S5'!P28+'Samedi S5'!P28</f>
        <v>0</v>
      </c>
      <c r="Q28" s="11">
        <f>+'Luindi S5'!Q28+'Mardi S5'!Q28+'Mercredi S5'!Q28+'Jeudi S5'!Q28+'Vendredi S5'!Q28+'Samedi S5'!Q28</f>
        <v>0</v>
      </c>
      <c r="R28" s="61">
        <f>+'Luindi S5'!R28+'Mardi S5'!R28+'Mercredi S5'!R28+'Jeudi S5'!R28+'Vendredi S5'!R28+'Samedi S5'!R28</f>
        <v>3</v>
      </c>
      <c r="S28" s="62">
        <f>+'Luindi S5'!S28+'Mardi S5'!S28+'Mercredi S5'!S28+'Jeudi S5'!S28+'Vendredi S5'!S28+'Samedi S5'!S28</f>
        <v>0.99999999999999989</v>
      </c>
      <c r="T28" s="62">
        <f>+'Luindi S5'!T28+'Mardi S5'!T28+'Mercredi S5'!T28+'Jeudi S5'!T28+'Vendredi S5'!T28+'Samedi S5'!T28</f>
        <v>0.6</v>
      </c>
      <c r="U28" s="62">
        <f>+'Luindi S5'!U28+'Mardi S5'!U28+'Mercredi S5'!U28+'Jeudi S5'!U28+'Vendredi S5'!U28+'Samedi S5'!U28</f>
        <v>3.6</v>
      </c>
      <c r="V28" s="63">
        <f>+'Luindi S5'!V28+'Mardi S5'!V28+'Mercredi S5'!V28+'Jeudi S5'!V28+'Vendredi S5'!V28+'Samedi S5'!V28</f>
        <v>0.9</v>
      </c>
      <c r="W28" s="9">
        <f>+'Luindi S5'!W28+'Mardi S5'!W28+'Mercredi S5'!W28+'Jeudi S5'!W28+'Vendredi S5'!W28+'Samedi S5'!W28</f>
        <v>0</v>
      </c>
      <c r="X28" s="10">
        <f>+'Luindi S5'!X28+'Mardi S5'!X28+'Mercredi S5'!X28+'Jeudi S5'!X28+'Vendredi S5'!X28+'Samedi S5'!X28</f>
        <v>0</v>
      </c>
      <c r="Y28" s="10">
        <f>+'Luindi S5'!Y28+'Mardi S5'!Y28+'Mercredi S5'!Y28+'Jeudi S5'!Y28+'Vendredi S5'!Y28+'Samedi S5'!Y28</f>
        <v>0</v>
      </c>
      <c r="Z28" s="10">
        <f>+'Luindi S5'!Z28+'Mardi S5'!Z28+'Mercredi S5'!Z28+'Jeudi S5'!Z28+'Vendredi S5'!Z28+'Samedi S5'!Z28</f>
        <v>0</v>
      </c>
      <c r="AA28" s="11">
        <f>+'Luindi S5'!AA28+'Mardi S5'!AA28+'Mercredi S5'!AA28+'Jeudi S5'!AA28+'Vendredi S5'!AA28+'Samedi S5'!AA28</f>
        <v>0</v>
      </c>
      <c r="AB28" s="9">
        <f>+'Luindi S5'!AB28+'Mardi S5'!AB28+'Mercredi S5'!AB28+'Jeudi S5'!AB28+'Vendredi S5'!AB28+'Samedi S5'!AB28</f>
        <v>0</v>
      </c>
      <c r="AC28" s="10">
        <f>+'Luindi S5'!AC28+'Mardi S5'!AC28+'Mercredi S5'!AC28+'Jeudi S5'!AC28+'Vendredi S5'!AC28+'Samedi S5'!AC28</f>
        <v>0</v>
      </c>
      <c r="AD28" s="10">
        <f>+'Luindi S5'!AD28+'Mardi S5'!AD28+'Mercredi S5'!AD28+'Jeudi S5'!AD28+'Vendredi S5'!AD28+'Samedi S5'!AD28</f>
        <v>0</v>
      </c>
      <c r="AE28" s="10">
        <f>+'Luindi S5'!AE28+'Mardi S5'!AE28+'Mercredi S5'!AE28+'Jeudi S5'!AE28+'Vendredi S5'!AE28+'Samedi S5'!AE28</f>
        <v>0</v>
      </c>
      <c r="AF28" s="11">
        <f>+'Luindi S5'!AF28+'Mardi S5'!AF28+'Mercredi S5'!AF28+'Jeudi S5'!AF28+'Vendredi S5'!AF28+'Samedi S5'!AF28</f>
        <v>0</v>
      </c>
      <c r="AG28" s="9">
        <f>+'Luindi S5'!AG28+'Mardi S5'!AG28+'Mercredi S5'!AG28+'Jeudi S5'!AG28+'Vendredi S5'!AG28+'Samedi S5'!AG28</f>
        <v>0</v>
      </c>
      <c r="AH28" s="10">
        <f>+'Luindi S5'!AH28+'Mardi S5'!AH28+'Mercredi S5'!AH28+'Jeudi S5'!AH28+'Vendredi S5'!AH28+'Samedi S5'!AH28</f>
        <v>0</v>
      </c>
      <c r="AI28" s="10">
        <f>+'Luindi S5'!AI28+'Mardi S5'!AI28+'Mercredi S5'!AI28+'Jeudi S5'!AI28+'Vendredi S5'!AI28+'Samedi S5'!AI28</f>
        <v>0</v>
      </c>
      <c r="AJ28" s="10">
        <f>+'Luindi S5'!AJ28+'Mardi S5'!AJ28+'Mercredi S5'!AJ28+'Jeudi S5'!AJ28+'Vendredi S5'!AJ28+'Samedi S5'!AJ28</f>
        <v>0</v>
      </c>
      <c r="AK28" s="11">
        <f>+'Luindi S5'!AK28+'Mardi S5'!AK28+'Mercredi S5'!AK28+'Jeudi S5'!AK28+'Vendredi S5'!AK28+'Samedi S5'!AK28</f>
        <v>0</v>
      </c>
      <c r="AL28" s="9">
        <f>+'Luindi S5'!AL28+'Mardi S5'!AL28+'Mercredi S5'!AL28+'Jeudi S5'!AL28+'Vendredi S5'!AL28+'Samedi S5'!AL28</f>
        <v>0</v>
      </c>
      <c r="AM28" s="10">
        <f>+'Luindi S5'!AM28+'Mardi S5'!AM28+'Mercredi S5'!AM28+'Jeudi S5'!AM28+'Vendredi S5'!AM28+'Samedi S5'!AM28</f>
        <v>0</v>
      </c>
      <c r="AN28" s="10">
        <f>+'Luindi S5'!AN28+'Mardi S5'!AN28+'Mercredi S5'!AN28+'Jeudi S5'!AN28+'Vendredi S5'!AN28+'Samedi S5'!AN28</f>
        <v>0</v>
      </c>
      <c r="AO28" s="10">
        <f>+'Luindi S5'!AO28+'Mardi S5'!AO28+'Mercredi S5'!AO28+'Jeudi S5'!AO28+'Vendredi S5'!AO28+'Samedi S5'!AO28</f>
        <v>0</v>
      </c>
      <c r="AP28" s="11">
        <f>+'Luindi S5'!AP28+'Mardi S5'!AP28+'Mercredi S5'!AP28+'Jeudi S5'!AP28+'Vendredi S5'!AP28+'Samedi S5'!AP28</f>
        <v>0</v>
      </c>
      <c r="AQ28" s="9">
        <f>+'Luindi S5'!AQ28+'Mardi S5'!AQ28+'Mercredi S5'!AQ28+'Jeudi S5'!AQ28+'Vendredi S5'!AQ28+'Samedi S5'!AQ28</f>
        <v>0</v>
      </c>
      <c r="AR28" s="10">
        <f>+'Luindi S5'!AR28+'Mardi S5'!AR28+'Mercredi S5'!AR28+'Jeudi S5'!AR28+'Vendredi S5'!AR28+'Samedi S5'!AR28</f>
        <v>0</v>
      </c>
      <c r="AS28" s="11">
        <f>+'Luindi S5'!AS28+'Mardi S5'!AS28+'Mercredi S5'!AS28+'Jeudi S5'!AS28+'Vendredi S5'!AS28+'Samedi S5'!AS28</f>
        <v>0</v>
      </c>
      <c r="AT28" s="22"/>
      <c r="AU28" s="14"/>
    </row>
    <row r="29" spans="1:47" ht="31.9" customHeight="1" x14ac:dyDescent="0.2">
      <c r="A29" s="26">
        <v>23</v>
      </c>
      <c r="B29" s="19"/>
      <c r="C29" s="9">
        <f>+'Luindi S5'!C29+'Mardi S5'!C29+'Mercredi S5'!C29+'Jeudi S5'!C29+'Vendredi S5'!C29+'Samedi S5'!C29</f>
        <v>90</v>
      </c>
      <c r="D29" s="10">
        <f>+'Luindi S5'!D29+'Mardi S5'!D29+'Mercredi S5'!D29+'Jeudi S5'!D29+'Vendredi S5'!D29+'Samedi S5'!D29</f>
        <v>18</v>
      </c>
      <c r="E29" s="10">
        <f>+'Luindi S5'!E29+'Mardi S5'!E29+'Mercredi S5'!E29+'Jeudi S5'!E29+'Vendredi S5'!E29+'Samedi S5'!E29</f>
        <v>30</v>
      </c>
      <c r="F29" s="10">
        <f>+'Luindi S5'!F29+'Mardi S5'!F29+'Mercredi S5'!F29+'Jeudi S5'!F29+'Vendredi S5'!F29+'Samedi S5'!F29</f>
        <v>12</v>
      </c>
      <c r="G29" s="11">
        <f>+'Luindi S5'!G29+'Mardi S5'!G29+'Mercredi S5'!G29+'Jeudi S5'!G29+'Vendredi S5'!G29+'Samedi S5'!G29</f>
        <v>30</v>
      </c>
      <c r="H29" s="9">
        <f>+'Luindi S5'!H29+'Mardi S5'!H29+'Mercredi S5'!H29+'Jeudi S5'!H29+'Vendredi S5'!H29+'Samedi S5'!H29</f>
        <v>18</v>
      </c>
      <c r="I29" s="10">
        <f>+'Luindi S5'!I29+'Mardi S5'!I29+'Mercredi S5'!I29+'Jeudi S5'!I29+'Vendredi S5'!I29+'Samedi S5'!I29</f>
        <v>6</v>
      </c>
      <c r="J29" s="10">
        <f>+'Luindi S5'!J29+'Mardi S5'!J29+'Mercredi S5'!J29+'Jeudi S5'!J29+'Vendredi S5'!J29+'Samedi S5'!J29</f>
        <v>6</v>
      </c>
      <c r="K29" s="10">
        <f>+'Luindi S5'!K29+'Mardi S5'!K29+'Mercredi S5'!K29+'Jeudi S5'!K29+'Vendredi S5'!K29+'Samedi S5'!K29</f>
        <v>6</v>
      </c>
      <c r="L29" s="11">
        <f>+'Luindi S5'!L29+'Mardi S5'!L29+'Mercredi S5'!L29+'Jeudi S5'!L29+'Vendredi S5'!L29+'Samedi S5'!L29</f>
        <v>6</v>
      </c>
      <c r="M29" s="9">
        <f>+'Luindi S5'!M29+'Mardi S5'!M29+'Mercredi S5'!M29+'Jeudi S5'!M29+'Vendredi S5'!M29+'Samedi S5'!M29</f>
        <v>18</v>
      </c>
      <c r="N29" s="10">
        <f>+'Luindi S5'!N29+'Mardi S5'!N29+'Mercredi S5'!N29+'Jeudi S5'!N29+'Vendredi S5'!N29+'Samedi S5'!N29</f>
        <v>6</v>
      </c>
      <c r="O29" s="10">
        <f>+'Luindi S5'!O29+'Mardi S5'!O29+'Mercredi S5'!O29+'Jeudi S5'!O29+'Vendredi S5'!O29+'Samedi S5'!O29</f>
        <v>18</v>
      </c>
      <c r="P29" s="10">
        <f>+'Luindi S5'!P29+'Mardi S5'!P29+'Mercredi S5'!P29+'Jeudi S5'!P29+'Vendredi S5'!P29+'Samedi S5'!P29</f>
        <v>0</v>
      </c>
      <c r="Q29" s="11">
        <f>+'Luindi S5'!Q29+'Mardi S5'!Q29+'Mercredi S5'!Q29+'Jeudi S5'!Q29+'Vendredi S5'!Q29+'Samedi S5'!Q29</f>
        <v>0</v>
      </c>
      <c r="R29" s="61">
        <f>+'Luindi S5'!R29+'Mardi S5'!R29+'Mercredi S5'!R29+'Jeudi S5'!R29+'Vendredi S5'!R29+'Samedi S5'!R29</f>
        <v>3</v>
      </c>
      <c r="S29" s="62">
        <f>+'Luindi S5'!S29+'Mardi S5'!S29+'Mercredi S5'!S29+'Jeudi S5'!S29+'Vendredi S5'!S29+'Samedi S5'!S29</f>
        <v>0.99999999999999989</v>
      </c>
      <c r="T29" s="62">
        <f>+'Luindi S5'!T29+'Mardi S5'!T29+'Mercredi S5'!T29+'Jeudi S5'!T29+'Vendredi S5'!T29+'Samedi S5'!T29</f>
        <v>0.6</v>
      </c>
      <c r="U29" s="62">
        <f>+'Luindi S5'!U29+'Mardi S5'!U29+'Mercredi S5'!U29+'Jeudi S5'!U29+'Vendredi S5'!U29+'Samedi S5'!U29</f>
        <v>3.6</v>
      </c>
      <c r="V29" s="63">
        <f>+'Luindi S5'!V29+'Mardi S5'!V29+'Mercredi S5'!V29+'Jeudi S5'!V29+'Vendredi S5'!V29+'Samedi S5'!V29</f>
        <v>0.9</v>
      </c>
      <c r="W29" s="9">
        <f>+'Luindi S5'!W29+'Mardi S5'!W29+'Mercredi S5'!W29+'Jeudi S5'!W29+'Vendredi S5'!W29+'Samedi S5'!W29</f>
        <v>0</v>
      </c>
      <c r="X29" s="10">
        <f>+'Luindi S5'!X29+'Mardi S5'!X29+'Mercredi S5'!X29+'Jeudi S5'!X29+'Vendredi S5'!X29+'Samedi S5'!X29</f>
        <v>0</v>
      </c>
      <c r="Y29" s="10">
        <f>+'Luindi S5'!Y29+'Mardi S5'!Y29+'Mercredi S5'!Y29+'Jeudi S5'!Y29+'Vendredi S5'!Y29+'Samedi S5'!Y29</f>
        <v>0</v>
      </c>
      <c r="Z29" s="10">
        <f>+'Luindi S5'!Z29+'Mardi S5'!Z29+'Mercredi S5'!Z29+'Jeudi S5'!Z29+'Vendredi S5'!Z29+'Samedi S5'!Z29</f>
        <v>0</v>
      </c>
      <c r="AA29" s="11">
        <f>+'Luindi S5'!AA29+'Mardi S5'!AA29+'Mercredi S5'!AA29+'Jeudi S5'!AA29+'Vendredi S5'!AA29+'Samedi S5'!AA29</f>
        <v>0</v>
      </c>
      <c r="AB29" s="9">
        <f>+'Luindi S5'!AB29+'Mardi S5'!AB29+'Mercredi S5'!AB29+'Jeudi S5'!AB29+'Vendredi S5'!AB29+'Samedi S5'!AB29</f>
        <v>0</v>
      </c>
      <c r="AC29" s="10">
        <f>+'Luindi S5'!AC29+'Mardi S5'!AC29+'Mercredi S5'!AC29+'Jeudi S5'!AC29+'Vendredi S5'!AC29+'Samedi S5'!AC29</f>
        <v>0</v>
      </c>
      <c r="AD29" s="10">
        <f>+'Luindi S5'!AD29+'Mardi S5'!AD29+'Mercredi S5'!AD29+'Jeudi S5'!AD29+'Vendredi S5'!AD29+'Samedi S5'!AD29</f>
        <v>0</v>
      </c>
      <c r="AE29" s="10">
        <f>+'Luindi S5'!AE29+'Mardi S5'!AE29+'Mercredi S5'!AE29+'Jeudi S5'!AE29+'Vendredi S5'!AE29+'Samedi S5'!AE29</f>
        <v>0</v>
      </c>
      <c r="AF29" s="11">
        <f>+'Luindi S5'!AF29+'Mardi S5'!AF29+'Mercredi S5'!AF29+'Jeudi S5'!AF29+'Vendredi S5'!AF29+'Samedi S5'!AF29</f>
        <v>0</v>
      </c>
      <c r="AG29" s="9">
        <f>+'Luindi S5'!AG29+'Mardi S5'!AG29+'Mercredi S5'!AG29+'Jeudi S5'!AG29+'Vendredi S5'!AG29+'Samedi S5'!AG29</f>
        <v>0</v>
      </c>
      <c r="AH29" s="10">
        <f>+'Luindi S5'!AH29+'Mardi S5'!AH29+'Mercredi S5'!AH29+'Jeudi S5'!AH29+'Vendredi S5'!AH29+'Samedi S5'!AH29</f>
        <v>0</v>
      </c>
      <c r="AI29" s="10">
        <f>+'Luindi S5'!AI29+'Mardi S5'!AI29+'Mercredi S5'!AI29+'Jeudi S5'!AI29+'Vendredi S5'!AI29+'Samedi S5'!AI29</f>
        <v>0</v>
      </c>
      <c r="AJ29" s="10">
        <f>+'Luindi S5'!AJ29+'Mardi S5'!AJ29+'Mercredi S5'!AJ29+'Jeudi S5'!AJ29+'Vendredi S5'!AJ29+'Samedi S5'!AJ29</f>
        <v>0</v>
      </c>
      <c r="AK29" s="11">
        <f>+'Luindi S5'!AK29+'Mardi S5'!AK29+'Mercredi S5'!AK29+'Jeudi S5'!AK29+'Vendredi S5'!AK29+'Samedi S5'!AK29</f>
        <v>0</v>
      </c>
      <c r="AL29" s="9">
        <f>+'Luindi S5'!AL29+'Mardi S5'!AL29+'Mercredi S5'!AL29+'Jeudi S5'!AL29+'Vendredi S5'!AL29+'Samedi S5'!AL29</f>
        <v>0</v>
      </c>
      <c r="AM29" s="10">
        <f>+'Luindi S5'!AM29+'Mardi S5'!AM29+'Mercredi S5'!AM29+'Jeudi S5'!AM29+'Vendredi S5'!AM29+'Samedi S5'!AM29</f>
        <v>0</v>
      </c>
      <c r="AN29" s="10">
        <f>+'Luindi S5'!AN29+'Mardi S5'!AN29+'Mercredi S5'!AN29+'Jeudi S5'!AN29+'Vendredi S5'!AN29+'Samedi S5'!AN29</f>
        <v>0</v>
      </c>
      <c r="AO29" s="10">
        <f>+'Luindi S5'!AO29+'Mardi S5'!AO29+'Mercredi S5'!AO29+'Jeudi S5'!AO29+'Vendredi S5'!AO29+'Samedi S5'!AO29</f>
        <v>0</v>
      </c>
      <c r="AP29" s="11">
        <f>+'Luindi S5'!AP29+'Mardi S5'!AP29+'Mercredi S5'!AP29+'Jeudi S5'!AP29+'Vendredi S5'!AP29+'Samedi S5'!AP29</f>
        <v>0</v>
      </c>
      <c r="AQ29" s="9">
        <f>+'Luindi S5'!AQ29+'Mardi S5'!AQ29+'Mercredi S5'!AQ29+'Jeudi S5'!AQ29+'Vendredi S5'!AQ29+'Samedi S5'!AQ29</f>
        <v>0</v>
      </c>
      <c r="AR29" s="10">
        <f>+'Luindi S5'!AR29+'Mardi S5'!AR29+'Mercredi S5'!AR29+'Jeudi S5'!AR29+'Vendredi S5'!AR29+'Samedi S5'!AR29</f>
        <v>0</v>
      </c>
      <c r="AS29" s="11">
        <f>+'Luindi S5'!AS29+'Mardi S5'!AS29+'Mercredi S5'!AS29+'Jeudi S5'!AS29+'Vendredi S5'!AS29+'Samedi S5'!AS29</f>
        <v>0</v>
      </c>
      <c r="AT29" s="22"/>
      <c r="AU29" s="14"/>
    </row>
    <row r="30" spans="1:47" ht="31.9" customHeight="1" x14ac:dyDescent="0.2">
      <c r="A30" s="26">
        <v>24</v>
      </c>
      <c r="B30" s="19"/>
      <c r="C30" s="9">
        <f>+'Luindi S5'!C30+'Mardi S5'!C30+'Mercredi S5'!C30+'Jeudi S5'!C30+'Vendredi S5'!C30+'Samedi S5'!C30</f>
        <v>90</v>
      </c>
      <c r="D30" s="10">
        <f>+'Luindi S5'!D30+'Mardi S5'!D30+'Mercredi S5'!D30+'Jeudi S5'!D30+'Vendredi S5'!D30+'Samedi S5'!D30</f>
        <v>18</v>
      </c>
      <c r="E30" s="10">
        <f>+'Luindi S5'!E30+'Mardi S5'!E30+'Mercredi S5'!E30+'Jeudi S5'!E30+'Vendredi S5'!E30+'Samedi S5'!E30</f>
        <v>30</v>
      </c>
      <c r="F30" s="10">
        <f>+'Luindi S5'!F30+'Mardi S5'!F30+'Mercredi S5'!F30+'Jeudi S5'!F30+'Vendredi S5'!F30+'Samedi S5'!F30</f>
        <v>12</v>
      </c>
      <c r="G30" s="11">
        <f>+'Luindi S5'!G30+'Mardi S5'!G30+'Mercredi S5'!G30+'Jeudi S5'!G30+'Vendredi S5'!G30+'Samedi S5'!G30</f>
        <v>30</v>
      </c>
      <c r="H30" s="9">
        <f>+'Luindi S5'!H30+'Mardi S5'!H30+'Mercredi S5'!H30+'Jeudi S5'!H30+'Vendredi S5'!H30+'Samedi S5'!H30</f>
        <v>18</v>
      </c>
      <c r="I30" s="10">
        <f>+'Luindi S5'!I30+'Mardi S5'!I30+'Mercredi S5'!I30+'Jeudi S5'!I30+'Vendredi S5'!I30+'Samedi S5'!I30</f>
        <v>6</v>
      </c>
      <c r="J30" s="10">
        <f>+'Luindi S5'!J30+'Mardi S5'!J30+'Mercredi S5'!J30+'Jeudi S5'!J30+'Vendredi S5'!J30+'Samedi S5'!J30</f>
        <v>6</v>
      </c>
      <c r="K30" s="10">
        <f>+'Luindi S5'!K30+'Mardi S5'!K30+'Mercredi S5'!K30+'Jeudi S5'!K30+'Vendredi S5'!K30+'Samedi S5'!K30</f>
        <v>6</v>
      </c>
      <c r="L30" s="11">
        <f>+'Luindi S5'!L30+'Mardi S5'!L30+'Mercredi S5'!L30+'Jeudi S5'!L30+'Vendredi S5'!L30+'Samedi S5'!L30</f>
        <v>6</v>
      </c>
      <c r="M30" s="9">
        <f>+'Luindi S5'!M30+'Mardi S5'!M30+'Mercredi S5'!M30+'Jeudi S5'!M30+'Vendredi S5'!M30+'Samedi S5'!M30</f>
        <v>18</v>
      </c>
      <c r="N30" s="10">
        <f>+'Luindi S5'!N30+'Mardi S5'!N30+'Mercredi S5'!N30+'Jeudi S5'!N30+'Vendredi S5'!N30+'Samedi S5'!N30</f>
        <v>6</v>
      </c>
      <c r="O30" s="10">
        <f>+'Luindi S5'!O30+'Mardi S5'!O30+'Mercredi S5'!O30+'Jeudi S5'!O30+'Vendredi S5'!O30+'Samedi S5'!O30</f>
        <v>18</v>
      </c>
      <c r="P30" s="10">
        <f>+'Luindi S5'!P30+'Mardi S5'!P30+'Mercredi S5'!P30+'Jeudi S5'!P30+'Vendredi S5'!P30+'Samedi S5'!P30</f>
        <v>0</v>
      </c>
      <c r="Q30" s="11">
        <f>+'Luindi S5'!Q30+'Mardi S5'!Q30+'Mercredi S5'!Q30+'Jeudi S5'!Q30+'Vendredi S5'!Q30+'Samedi S5'!Q30</f>
        <v>0</v>
      </c>
      <c r="R30" s="61">
        <f>+'Luindi S5'!R30+'Mardi S5'!R30+'Mercredi S5'!R30+'Jeudi S5'!R30+'Vendredi S5'!R30+'Samedi S5'!R30</f>
        <v>3</v>
      </c>
      <c r="S30" s="62">
        <f>+'Luindi S5'!S30+'Mardi S5'!S30+'Mercredi S5'!S30+'Jeudi S5'!S30+'Vendredi S5'!S30+'Samedi S5'!S30</f>
        <v>0.99999999999999989</v>
      </c>
      <c r="T30" s="62">
        <f>+'Luindi S5'!T30+'Mardi S5'!T30+'Mercredi S5'!T30+'Jeudi S5'!T30+'Vendredi S5'!T30+'Samedi S5'!T30</f>
        <v>0.6</v>
      </c>
      <c r="U30" s="62">
        <f>+'Luindi S5'!U30+'Mardi S5'!U30+'Mercredi S5'!U30+'Jeudi S5'!U30+'Vendredi S5'!U30+'Samedi S5'!U30</f>
        <v>3.6</v>
      </c>
      <c r="V30" s="63">
        <f>+'Luindi S5'!V30+'Mardi S5'!V30+'Mercredi S5'!V30+'Jeudi S5'!V30+'Vendredi S5'!V30+'Samedi S5'!V30</f>
        <v>0.9</v>
      </c>
      <c r="W30" s="9">
        <f>+'Luindi S5'!W30+'Mardi S5'!W30+'Mercredi S5'!W30+'Jeudi S5'!W30+'Vendredi S5'!W30+'Samedi S5'!W30</f>
        <v>0</v>
      </c>
      <c r="X30" s="10">
        <f>+'Luindi S5'!X30+'Mardi S5'!X30+'Mercredi S5'!X30+'Jeudi S5'!X30+'Vendredi S5'!X30+'Samedi S5'!X30</f>
        <v>0</v>
      </c>
      <c r="Y30" s="10">
        <f>+'Luindi S5'!Y30+'Mardi S5'!Y30+'Mercredi S5'!Y30+'Jeudi S5'!Y30+'Vendredi S5'!Y30+'Samedi S5'!Y30</f>
        <v>0</v>
      </c>
      <c r="Z30" s="10">
        <f>+'Luindi S5'!Z30+'Mardi S5'!Z30+'Mercredi S5'!Z30+'Jeudi S5'!Z30+'Vendredi S5'!Z30+'Samedi S5'!Z30</f>
        <v>0</v>
      </c>
      <c r="AA30" s="11">
        <f>+'Luindi S5'!AA30+'Mardi S5'!AA30+'Mercredi S5'!AA30+'Jeudi S5'!AA30+'Vendredi S5'!AA30+'Samedi S5'!AA30</f>
        <v>0</v>
      </c>
      <c r="AB30" s="9">
        <f>+'Luindi S5'!AB30+'Mardi S5'!AB30+'Mercredi S5'!AB30+'Jeudi S5'!AB30+'Vendredi S5'!AB30+'Samedi S5'!AB30</f>
        <v>0</v>
      </c>
      <c r="AC30" s="10">
        <f>+'Luindi S5'!AC30+'Mardi S5'!AC30+'Mercredi S5'!AC30+'Jeudi S5'!AC30+'Vendredi S5'!AC30+'Samedi S5'!AC30</f>
        <v>0</v>
      </c>
      <c r="AD30" s="10">
        <f>+'Luindi S5'!AD30+'Mardi S5'!AD30+'Mercredi S5'!AD30+'Jeudi S5'!AD30+'Vendredi S5'!AD30+'Samedi S5'!AD30</f>
        <v>0</v>
      </c>
      <c r="AE30" s="10">
        <f>+'Luindi S5'!AE30+'Mardi S5'!AE30+'Mercredi S5'!AE30+'Jeudi S5'!AE30+'Vendredi S5'!AE30+'Samedi S5'!AE30</f>
        <v>0</v>
      </c>
      <c r="AF30" s="11">
        <f>+'Luindi S5'!AF30+'Mardi S5'!AF30+'Mercredi S5'!AF30+'Jeudi S5'!AF30+'Vendredi S5'!AF30+'Samedi S5'!AF30</f>
        <v>0</v>
      </c>
      <c r="AG30" s="9">
        <f>+'Luindi S5'!AG30+'Mardi S5'!AG30+'Mercredi S5'!AG30+'Jeudi S5'!AG30+'Vendredi S5'!AG30+'Samedi S5'!AG30</f>
        <v>0</v>
      </c>
      <c r="AH30" s="10">
        <f>+'Luindi S5'!AH30+'Mardi S5'!AH30+'Mercredi S5'!AH30+'Jeudi S5'!AH30+'Vendredi S5'!AH30+'Samedi S5'!AH30</f>
        <v>0</v>
      </c>
      <c r="AI30" s="10">
        <f>+'Luindi S5'!AI30+'Mardi S5'!AI30+'Mercredi S5'!AI30+'Jeudi S5'!AI30+'Vendredi S5'!AI30+'Samedi S5'!AI30</f>
        <v>0</v>
      </c>
      <c r="AJ30" s="10">
        <f>+'Luindi S5'!AJ30+'Mardi S5'!AJ30+'Mercredi S5'!AJ30+'Jeudi S5'!AJ30+'Vendredi S5'!AJ30+'Samedi S5'!AJ30</f>
        <v>0</v>
      </c>
      <c r="AK30" s="11">
        <f>+'Luindi S5'!AK30+'Mardi S5'!AK30+'Mercredi S5'!AK30+'Jeudi S5'!AK30+'Vendredi S5'!AK30+'Samedi S5'!AK30</f>
        <v>0</v>
      </c>
      <c r="AL30" s="9">
        <f>+'Luindi S5'!AL30+'Mardi S5'!AL30+'Mercredi S5'!AL30+'Jeudi S5'!AL30+'Vendredi S5'!AL30+'Samedi S5'!AL30</f>
        <v>0</v>
      </c>
      <c r="AM30" s="10">
        <f>+'Luindi S5'!AM30+'Mardi S5'!AM30+'Mercredi S5'!AM30+'Jeudi S5'!AM30+'Vendredi S5'!AM30+'Samedi S5'!AM30</f>
        <v>0</v>
      </c>
      <c r="AN30" s="10">
        <f>+'Luindi S5'!AN30+'Mardi S5'!AN30+'Mercredi S5'!AN30+'Jeudi S5'!AN30+'Vendredi S5'!AN30+'Samedi S5'!AN30</f>
        <v>0</v>
      </c>
      <c r="AO30" s="10">
        <f>+'Luindi S5'!AO30+'Mardi S5'!AO30+'Mercredi S5'!AO30+'Jeudi S5'!AO30+'Vendredi S5'!AO30+'Samedi S5'!AO30</f>
        <v>0</v>
      </c>
      <c r="AP30" s="11">
        <f>+'Luindi S5'!AP30+'Mardi S5'!AP30+'Mercredi S5'!AP30+'Jeudi S5'!AP30+'Vendredi S5'!AP30+'Samedi S5'!AP30</f>
        <v>0</v>
      </c>
      <c r="AQ30" s="9">
        <f>+'Luindi S5'!AQ30+'Mardi S5'!AQ30+'Mercredi S5'!AQ30+'Jeudi S5'!AQ30+'Vendredi S5'!AQ30+'Samedi S5'!AQ30</f>
        <v>0</v>
      </c>
      <c r="AR30" s="10">
        <f>+'Luindi S5'!AR30+'Mardi S5'!AR30+'Mercredi S5'!AR30+'Jeudi S5'!AR30+'Vendredi S5'!AR30+'Samedi S5'!AR30</f>
        <v>0</v>
      </c>
      <c r="AS30" s="11">
        <f>+'Luindi S5'!AS30+'Mardi S5'!AS30+'Mercredi S5'!AS30+'Jeudi S5'!AS30+'Vendredi S5'!AS30+'Samedi S5'!AS30</f>
        <v>0</v>
      </c>
      <c r="AT30" s="22"/>
      <c r="AU30" s="14"/>
    </row>
    <row r="31" spans="1:47" ht="31.9" customHeight="1" x14ac:dyDescent="0.2">
      <c r="A31" s="26">
        <v>25</v>
      </c>
      <c r="B31" s="19"/>
      <c r="C31" s="9">
        <f>+'Luindi S5'!C31+'Mardi S5'!C31+'Mercredi S5'!C31+'Jeudi S5'!C31+'Vendredi S5'!C31+'Samedi S5'!C31</f>
        <v>90</v>
      </c>
      <c r="D31" s="10">
        <f>+'Luindi S5'!D31+'Mardi S5'!D31+'Mercredi S5'!D31+'Jeudi S5'!D31+'Vendredi S5'!D31+'Samedi S5'!D31</f>
        <v>18</v>
      </c>
      <c r="E31" s="10">
        <f>+'Luindi S5'!E31+'Mardi S5'!E31+'Mercredi S5'!E31+'Jeudi S5'!E31+'Vendredi S5'!E31+'Samedi S5'!E31</f>
        <v>30</v>
      </c>
      <c r="F31" s="10">
        <f>+'Luindi S5'!F31+'Mardi S5'!F31+'Mercredi S5'!F31+'Jeudi S5'!F31+'Vendredi S5'!F31+'Samedi S5'!F31</f>
        <v>12</v>
      </c>
      <c r="G31" s="11">
        <f>+'Luindi S5'!G31+'Mardi S5'!G31+'Mercredi S5'!G31+'Jeudi S5'!G31+'Vendredi S5'!G31+'Samedi S5'!G31</f>
        <v>30</v>
      </c>
      <c r="H31" s="9">
        <f>+'Luindi S5'!H31+'Mardi S5'!H31+'Mercredi S5'!H31+'Jeudi S5'!H31+'Vendredi S5'!H31+'Samedi S5'!H31</f>
        <v>18</v>
      </c>
      <c r="I31" s="10">
        <f>+'Luindi S5'!I31+'Mardi S5'!I31+'Mercredi S5'!I31+'Jeudi S5'!I31+'Vendredi S5'!I31+'Samedi S5'!I31</f>
        <v>6</v>
      </c>
      <c r="J31" s="10">
        <f>+'Luindi S5'!J31+'Mardi S5'!J31+'Mercredi S5'!J31+'Jeudi S5'!J31+'Vendredi S5'!J31+'Samedi S5'!J31</f>
        <v>6</v>
      </c>
      <c r="K31" s="10">
        <f>+'Luindi S5'!K31+'Mardi S5'!K31+'Mercredi S5'!K31+'Jeudi S5'!K31+'Vendredi S5'!K31+'Samedi S5'!K31</f>
        <v>6</v>
      </c>
      <c r="L31" s="11">
        <f>+'Luindi S5'!L31+'Mardi S5'!L31+'Mercredi S5'!L31+'Jeudi S5'!L31+'Vendredi S5'!L31+'Samedi S5'!L31</f>
        <v>6</v>
      </c>
      <c r="M31" s="9">
        <f>+'Luindi S5'!M31+'Mardi S5'!M31+'Mercredi S5'!M31+'Jeudi S5'!M31+'Vendredi S5'!M31+'Samedi S5'!M31</f>
        <v>18</v>
      </c>
      <c r="N31" s="10">
        <f>+'Luindi S5'!N31+'Mardi S5'!N31+'Mercredi S5'!N31+'Jeudi S5'!N31+'Vendredi S5'!N31+'Samedi S5'!N31</f>
        <v>6</v>
      </c>
      <c r="O31" s="10">
        <f>+'Luindi S5'!O31+'Mardi S5'!O31+'Mercredi S5'!O31+'Jeudi S5'!O31+'Vendredi S5'!O31+'Samedi S5'!O31</f>
        <v>18</v>
      </c>
      <c r="P31" s="10">
        <f>+'Luindi S5'!P31+'Mardi S5'!P31+'Mercredi S5'!P31+'Jeudi S5'!P31+'Vendredi S5'!P31+'Samedi S5'!P31</f>
        <v>0</v>
      </c>
      <c r="Q31" s="11">
        <f>+'Luindi S5'!Q31+'Mardi S5'!Q31+'Mercredi S5'!Q31+'Jeudi S5'!Q31+'Vendredi S5'!Q31+'Samedi S5'!Q31</f>
        <v>0</v>
      </c>
      <c r="R31" s="61">
        <f>+'Luindi S5'!R31+'Mardi S5'!R31+'Mercredi S5'!R31+'Jeudi S5'!R31+'Vendredi S5'!R31+'Samedi S5'!R31</f>
        <v>3</v>
      </c>
      <c r="S31" s="62">
        <f>+'Luindi S5'!S31+'Mardi S5'!S31+'Mercredi S5'!S31+'Jeudi S5'!S31+'Vendredi S5'!S31+'Samedi S5'!S31</f>
        <v>0.99999999999999989</v>
      </c>
      <c r="T31" s="62">
        <f>+'Luindi S5'!T31+'Mardi S5'!T31+'Mercredi S5'!T31+'Jeudi S5'!T31+'Vendredi S5'!T31+'Samedi S5'!T31</f>
        <v>0.6</v>
      </c>
      <c r="U31" s="62">
        <f>+'Luindi S5'!U31+'Mardi S5'!U31+'Mercredi S5'!U31+'Jeudi S5'!U31+'Vendredi S5'!U31+'Samedi S5'!U31</f>
        <v>3.6</v>
      </c>
      <c r="V31" s="63">
        <f>+'Luindi S5'!V31+'Mardi S5'!V31+'Mercredi S5'!V31+'Jeudi S5'!V31+'Vendredi S5'!V31+'Samedi S5'!V31</f>
        <v>0.9</v>
      </c>
      <c r="W31" s="9">
        <f>+'Luindi S5'!W31+'Mardi S5'!W31+'Mercredi S5'!W31+'Jeudi S5'!W31+'Vendredi S5'!W31+'Samedi S5'!W31</f>
        <v>0</v>
      </c>
      <c r="X31" s="10">
        <f>+'Luindi S5'!X31+'Mardi S5'!X31+'Mercredi S5'!X31+'Jeudi S5'!X31+'Vendredi S5'!X31+'Samedi S5'!X31</f>
        <v>0</v>
      </c>
      <c r="Y31" s="10">
        <f>+'Luindi S5'!Y31+'Mardi S5'!Y31+'Mercredi S5'!Y31+'Jeudi S5'!Y31+'Vendredi S5'!Y31+'Samedi S5'!Y31</f>
        <v>0</v>
      </c>
      <c r="Z31" s="10">
        <f>+'Luindi S5'!Z31+'Mardi S5'!Z31+'Mercredi S5'!Z31+'Jeudi S5'!Z31+'Vendredi S5'!Z31+'Samedi S5'!Z31</f>
        <v>0</v>
      </c>
      <c r="AA31" s="11">
        <f>+'Luindi S5'!AA31+'Mardi S5'!AA31+'Mercredi S5'!AA31+'Jeudi S5'!AA31+'Vendredi S5'!AA31+'Samedi S5'!AA31</f>
        <v>0</v>
      </c>
      <c r="AB31" s="9">
        <f>+'Luindi S5'!AB31+'Mardi S5'!AB31+'Mercredi S5'!AB31+'Jeudi S5'!AB31+'Vendredi S5'!AB31+'Samedi S5'!AB31</f>
        <v>0</v>
      </c>
      <c r="AC31" s="10">
        <f>+'Luindi S5'!AC31+'Mardi S5'!AC31+'Mercredi S5'!AC31+'Jeudi S5'!AC31+'Vendredi S5'!AC31+'Samedi S5'!AC31</f>
        <v>0</v>
      </c>
      <c r="AD31" s="10">
        <f>+'Luindi S5'!AD31+'Mardi S5'!AD31+'Mercredi S5'!AD31+'Jeudi S5'!AD31+'Vendredi S5'!AD31+'Samedi S5'!AD31</f>
        <v>0</v>
      </c>
      <c r="AE31" s="10">
        <f>+'Luindi S5'!AE31+'Mardi S5'!AE31+'Mercredi S5'!AE31+'Jeudi S5'!AE31+'Vendredi S5'!AE31+'Samedi S5'!AE31</f>
        <v>0</v>
      </c>
      <c r="AF31" s="11">
        <f>+'Luindi S5'!AF31+'Mardi S5'!AF31+'Mercredi S5'!AF31+'Jeudi S5'!AF31+'Vendredi S5'!AF31+'Samedi S5'!AF31</f>
        <v>0</v>
      </c>
      <c r="AG31" s="9">
        <f>+'Luindi S5'!AG31+'Mardi S5'!AG31+'Mercredi S5'!AG31+'Jeudi S5'!AG31+'Vendredi S5'!AG31+'Samedi S5'!AG31</f>
        <v>0</v>
      </c>
      <c r="AH31" s="10">
        <f>+'Luindi S5'!AH31+'Mardi S5'!AH31+'Mercredi S5'!AH31+'Jeudi S5'!AH31+'Vendredi S5'!AH31+'Samedi S5'!AH31</f>
        <v>0</v>
      </c>
      <c r="AI31" s="10">
        <f>+'Luindi S5'!AI31+'Mardi S5'!AI31+'Mercredi S5'!AI31+'Jeudi S5'!AI31+'Vendredi S5'!AI31+'Samedi S5'!AI31</f>
        <v>0</v>
      </c>
      <c r="AJ31" s="10">
        <f>+'Luindi S5'!AJ31+'Mardi S5'!AJ31+'Mercredi S5'!AJ31+'Jeudi S5'!AJ31+'Vendredi S5'!AJ31+'Samedi S5'!AJ31</f>
        <v>0</v>
      </c>
      <c r="AK31" s="11">
        <f>+'Luindi S5'!AK31+'Mardi S5'!AK31+'Mercredi S5'!AK31+'Jeudi S5'!AK31+'Vendredi S5'!AK31+'Samedi S5'!AK31</f>
        <v>0</v>
      </c>
      <c r="AL31" s="9">
        <f>+'Luindi S5'!AL31+'Mardi S5'!AL31+'Mercredi S5'!AL31+'Jeudi S5'!AL31+'Vendredi S5'!AL31+'Samedi S5'!AL31</f>
        <v>0</v>
      </c>
      <c r="AM31" s="10">
        <f>+'Luindi S5'!AM31+'Mardi S5'!AM31+'Mercredi S5'!AM31+'Jeudi S5'!AM31+'Vendredi S5'!AM31+'Samedi S5'!AM31</f>
        <v>0</v>
      </c>
      <c r="AN31" s="10">
        <f>+'Luindi S5'!AN31+'Mardi S5'!AN31+'Mercredi S5'!AN31+'Jeudi S5'!AN31+'Vendredi S5'!AN31+'Samedi S5'!AN31</f>
        <v>0</v>
      </c>
      <c r="AO31" s="10">
        <f>+'Luindi S5'!AO31+'Mardi S5'!AO31+'Mercredi S5'!AO31+'Jeudi S5'!AO31+'Vendredi S5'!AO31+'Samedi S5'!AO31</f>
        <v>0</v>
      </c>
      <c r="AP31" s="11">
        <f>+'Luindi S5'!AP31+'Mardi S5'!AP31+'Mercredi S5'!AP31+'Jeudi S5'!AP31+'Vendredi S5'!AP31+'Samedi S5'!AP31</f>
        <v>0</v>
      </c>
      <c r="AQ31" s="9">
        <f>+'Luindi S5'!AQ31+'Mardi S5'!AQ31+'Mercredi S5'!AQ31+'Jeudi S5'!AQ31+'Vendredi S5'!AQ31+'Samedi S5'!AQ31</f>
        <v>0</v>
      </c>
      <c r="AR31" s="10">
        <f>+'Luindi S5'!AR31+'Mardi S5'!AR31+'Mercredi S5'!AR31+'Jeudi S5'!AR31+'Vendredi S5'!AR31+'Samedi S5'!AR31</f>
        <v>0</v>
      </c>
      <c r="AS31" s="11">
        <f>+'Luindi S5'!AS31+'Mardi S5'!AS31+'Mercredi S5'!AS31+'Jeudi S5'!AS31+'Vendredi S5'!AS31+'Samedi S5'!AS31</f>
        <v>0</v>
      </c>
      <c r="AT31" s="22"/>
      <c r="AU31" s="14"/>
    </row>
    <row r="32" spans="1:47" ht="31.9" customHeight="1" x14ac:dyDescent="0.2">
      <c r="A32" s="26">
        <v>26</v>
      </c>
      <c r="B32" s="19"/>
      <c r="C32" s="9">
        <f>+'Luindi S5'!C32+'Mardi S5'!C32+'Mercredi S5'!C32+'Jeudi S5'!C32+'Vendredi S5'!C32+'Samedi S5'!C32</f>
        <v>90</v>
      </c>
      <c r="D32" s="10">
        <f>+'Luindi S5'!D32+'Mardi S5'!D32+'Mercredi S5'!D32+'Jeudi S5'!D32+'Vendredi S5'!D32+'Samedi S5'!D32</f>
        <v>18</v>
      </c>
      <c r="E32" s="10">
        <f>+'Luindi S5'!E32+'Mardi S5'!E32+'Mercredi S5'!E32+'Jeudi S5'!E32+'Vendredi S5'!E32+'Samedi S5'!E32</f>
        <v>30</v>
      </c>
      <c r="F32" s="10">
        <f>+'Luindi S5'!F32+'Mardi S5'!F32+'Mercredi S5'!F32+'Jeudi S5'!F32+'Vendredi S5'!F32+'Samedi S5'!F32</f>
        <v>12</v>
      </c>
      <c r="G32" s="11">
        <f>+'Luindi S5'!G32+'Mardi S5'!G32+'Mercredi S5'!G32+'Jeudi S5'!G32+'Vendredi S5'!G32+'Samedi S5'!G32</f>
        <v>30</v>
      </c>
      <c r="H32" s="9">
        <f>+'Luindi S5'!H32+'Mardi S5'!H32+'Mercredi S5'!H32+'Jeudi S5'!H32+'Vendredi S5'!H32+'Samedi S5'!H32</f>
        <v>18</v>
      </c>
      <c r="I32" s="10">
        <f>+'Luindi S5'!I32+'Mardi S5'!I32+'Mercredi S5'!I32+'Jeudi S5'!I32+'Vendredi S5'!I32+'Samedi S5'!I32</f>
        <v>6</v>
      </c>
      <c r="J32" s="10">
        <f>+'Luindi S5'!J32+'Mardi S5'!J32+'Mercredi S5'!J32+'Jeudi S5'!J32+'Vendredi S5'!J32+'Samedi S5'!J32</f>
        <v>6</v>
      </c>
      <c r="K32" s="10">
        <f>+'Luindi S5'!K32+'Mardi S5'!K32+'Mercredi S5'!K32+'Jeudi S5'!K32+'Vendredi S5'!K32+'Samedi S5'!K32</f>
        <v>6</v>
      </c>
      <c r="L32" s="11">
        <f>+'Luindi S5'!L32+'Mardi S5'!L32+'Mercredi S5'!L32+'Jeudi S5'!L32+'Vendredi S5'!L32+'Samedi S5'!L32</f>
        <v>6</v>
      </c>
      <c r="M32" s="9">
        <f>+'Luindi S5'!M32+'Mardi S5'!M32+'Mercredi S5'!M32+'Jeudi S5'!M32+'Vendredi S5'!M32+'Samedi S5'!M32</f>
        <v>18</v>
      </c>
      <c r="N32" s="10">
        <f>+'Luindi S5'!N32+'Mardi S5'!N32+'Mercredi S5'!N32+'Jeudi S5'!N32+'Vendredi S5'!N32+'Samedi S5'!N32</f>
        <v>6</v>
      </c>
      <c r="O32" s="10">
        <f>+'Luindi S5'!O32+'Mardi S5'!O32+'Mercredi S5'!O32+'Jeudi S5'!O32+'Vendredi S5'!O32+'Samedi S5'!O32</f>
        <v>18</v>
      </c>
      <c r="P32" s="10">
        <f>+'Luindi S5'!P32+'Mardi S5'!P32+'Mercredi S5'!P32+'Jeudi S5'!P32+'Vendredi S5'!P32+'Samedi S5'!P32</f>
        <v>0</v>
      </c>
      <c r="Q32" s="11">
        <f>+'Luindi S5'!Q32+'Mardi S5'!Q32+'Mercredi S5'!Q32+'Jeudi S5'!Q32+'Vendredi S5'!Q32+'Samedi S5'!Q32</f>
        <v>0</v>
      </c>
      <c r="R32" s="61">
        <f>+'Luindi S5'!R32+'Mardi S5'!R32+'Mercredi S5'!R32+'Jeudi S5'!R32+'Vendredi S5'!R32+'Samedi S5'!R32</f>
        <v>3</v>
      </c>
      <c r="S32" s="62">
        <f>+'Luindi S5'!S32+'Mardi S5'!S32+'Mercredi S5'!S32+'Jeudi S5'!S32+'Vendredi S5'!S32+'Samedi S5'!S32</f>
        <v>0.99999999999999989</v>
      </c>
      <c r="T32" s="62">
        <f>+'Luindi S5'!T32+'Mardi S5'!T32+'Mercredi S5'!T32+'Jeudi S5'!T32+'Vendredi S5'!T32+'Samedi S5'!T32</f>
        <v>0.6</v>
      </c>
      <c r="U32" s="62">
        <f>+'Luindi S5'!U32+'Mardi S5'!U32+'Mercredi S5'!U32+'Jeudi S5'!U32+'Vendredi S5'!U32+'Samedi S5'!U32</f>
        <v>3.6</v>
      </c>
      <c r="V32" s="63">
        <f>+'Luindi S5'!V32+'Mardi S5'!V32+'Mercredi S5'!V32+'Jeudi S5'!V32+'Vendredi S5'!V32+'Samedi S5'!V32</f>
        <v>0.9</v>
      </c>
      <c r="W32" s="9">
        <f>+'Luindi S5'!W32+'Mardi S5'!W32+'Mercredi S5'!W32+'Jeudi S5'!W32+'Vendredi S5'!W32+'Samedi S5'!W32</f>
        <v>0</v>
      </c>
      <c r="X32" s="10">
        <f>+'Luindi S5'!X32+'Mardi S5'!X32+'Mercredi S5'!X32+'Jeudi S5'!X32+'Vendredi S5'!X32+'Samedi S5'!X32</f>
        <v>0</v>
      </c>
      <c r="Y32" s="10">
        <f>+'Luindi S5'!Y32+'Mardi S5'!Y32+'Mercredi S5'!Y32+'Jeudi S5'!Y32+'Vendredi S5'!Y32+'Samedi S5'!Y32</f>
        <v>0</v>
      </c>
      <c r="Z32" s="10">
        <f>+'Luindi S5'!Z32+'Mardi S5'!Z32+'Mercredi S5'!Z32+'Jeudi S5'!Z32+'Vendredi S5'!Z32+'Samedi S5'!Z32</f>
        <v>0</v>
      </c>
      <c r="AA32" s="11">
        <f>+'Luindi S5'!AA32+'Mardi S5'!AA32+'Mercredi S5'!AA32+'Jeudi S5'!AA32+'Vendredi S5'!AA32+'Samedi S5'!AA32</f>
        <v>0</v>
      </c>
      <c r="AB32" s="9">
        <f>+'Luindi S5'!AB32+'Mardi S5'!AB32+'Mercredi S5'!AB32+'Jeudi S5'!AB32+'Vendredi S5'!AB32+'Samedi S5'!AB32</f>
        <v>0</v>
      </c>
      <c r="AC32" s="10">
        <f>+'Luindi S5'!AC32+'Mardi S5'!AC32+'Mercredi S5'!AC32+'Jeudi S5'!AC32+'Vendredi S5'!AC32+'Samedi S5'!AC32</f>
        <v>0</v>
      </c>
      <c r="AD32" s="10">
        <f>+'Luindi S5'!AD32+'Mardi S5'!AD32+'Mercredi S5'!AD32+'Jeudi S5'!AD32+'Vendredi S5'!AD32+'Samedi S5'!AD32</f>
        <v>0</v>
      </c>
      <c r="AE32" s="10">
        <f>+'Luindi S5'!AE32+'Mardi S5'!AE32+'Mercredi S5'!AE32+'Jeudi S5'!AE32+'Vendredi S5'!AE32+'Samedi S5'!AE32</f>
        <v>0</v>
      </c>
      <c r="AF32" s="11">
        <f>+'Luindi S5'!AF32+'Mardi S5'!AF32+'Mercredi S5'!AF32+'Jeudi S5'!AF32+'Vendredi S5'!AF32+'Samedi S5'!AF32</f>
        <v>0</v>
      </c>
      <c r="AG32" s="9">
        <f>+'Luindi S5'!AG32+'Mardi S5'!AG32+'Mercredi S5'!AG32+'Jeudi S5'!AG32+'Vendredi S5'!AG32+'Samedi S5'!AG32</f>
        <v>0</v>
      </c>
      <c r="AH32" s="10">
        <f>+'Luindi S5'!AH32+'Mardi S5'!AH32+'Mercredi S5'!AH32+'Jeudi S5'!AH32+'Vendredi S5'!AH32+'Samedi S5'!AH32</f>
        <v>0</v>
      </c>
      <c r="AI32" s="10">
        <f>+'Luindi S5'!AI32+'Mardi S5'!AI32+'Mercredi S5'!AI32+'Jeudi S5'!AI32+'Vendredi S5'!AI32+'Samedi S5'!AI32</f>
        <v>0</v>
      </c>
      <c r="AJ32" s="10">
        <f>+'Luindi S5'!AJ32+'Mardi S5'!AJ32+'Mercredi S5'!AJ32+'Jeudi S5'!AJ32+'Vendredi S5'!AJ32+'Samedi S5'!AJ32</f>
        <v>0</v>
      </c>
      <c r="AK32" s="11">
        <f>+'Luindi S5'!AK32+'Mardi S5'!AK32+'Mercredi S5'!AK32+'Jeudi S5'!AK32+'Vendredi S5'!AK32+'Samedi S5'!AK32</f>
        <v>0</v>
      </c>
      <c r="AL32" s="9">
        <f>+'Luindi S5'!AL32+'Mardi S5'!AL32+'Mercredi S5'!AL32+'Jeudi S5'!AL32+'Vendredi S5'!AL32+'Samedi S5'!AL32</f>
        <v>0</v>
      </c>
      <c r="AM32" s="10">
        <f>+'Luindi S5'!AM32+'Mardi S5'!AM32+'Mercredi S5'!AM32+'Jeudi S5'!AM32+'Vendredi S5'!AM32+'Samedi S5'!AM32</f>
        <v>0</v>
      </c>
      <c r="AN32" s="10">
        <f>+'Luindi S5'!AN32+'Mardi S5'!AN32+'Mercredi S5'!AN32+'Jeudi S5'!AN32+'Vendredi S5'!AN32+'Samedi S5'!AN32</f>
        <v>0</v>
      </c>
      <c r="AO32" s="10">
        <f>+'Luindi S5'!AO32+'Mardi S5'!AO32+'Mercredi S5'!AO32+'Jeudi S5'!AO32+'Vendredi S5'!AO32+'Samedi S5'!AO32</f>
        <v>0</v>
      </c>
      <c r="AP32" s="11">
        <f>+'Luindi S5'!AP32+'Mardi S5'!AP32+'Mercredi S5'!AP32+'Jeudi S5'!AP32+'Vendredi S5'!AP32+'Samedi S5'!AP32</f>
        <v>0</v>
      </c>
      <c r="AQ32" s="9">
        <f>+'Luindi S5'!AQ32+'Mardi S5'!AQ32+'Mercredi S5'!AQ32+'Jeudi S5'!AQ32+'Vendredi S5'!AQ32+'Samedi S5'!AQ32</f>
        <v>0</v>
      </c>
      <c r="AR32" s="10">
        <f>+'Luindi S5'!AR32+'Mardi S5'!AR32+'Mercredi S5'!AR32+'Jeudi S5'!AR32+'Vendredi S5'!AR32+'Samedi S5'!AR32</f>
        <v>0</v>
      </c>
      <c r="AS32" s="11">
        <f>+'Luindi S5'!AS32+'Mardi S5'!AS32+'Mercredi S5'!AS32+'Jeudi S5'!AS32+'Vendredi S5'!AS32+'Samedi S5'!AS32</f>
        <v>0</v>
      </c>
      <c r="AT32" s="22"/>
      <c r="AU32" s="14"/>
    </row>
    <row r="33" spans="1:47" ht="31.9" customHeight="1" x14ac:dyDescent="0.2">
      <c r="A33" s="26">
        <v>27</v>
      </c>
      <c r="B33" s="19"/>
      <c r="C33" s="9">
        <f>+'Luindi S5'!C33+'Mardi S5'!C33+'Mercredi S5'!C33+'Jeudi S5'!C33+'Vendredi S5'!C33+'Samedi S5'!C33</f>
        <v>90</v>
      </c>
      <c r="D33" s="10">
        <f>+'Luindi S5'!D33+'Mardi S5'!D33+'Mercredi S5'!D33+'Jeudi S5'!D33+'Vendredi S5'!D33+'Samedi S5'!D33</f>
        <v>18</v>
      </c>
      <c r="E33" s="10">
        <f>+'Luindi S5'!E33+'Mardi S5'!E33+'Mercredi S5'!E33+'Jeudi S5'!E33+'Vendredi S5'!E33+'Samedi S5'!E33</f>
        <v>30</v>
      </c>
      <c r="F33" s="10">
        <f>+'Luindi S5'!F33+'Mardi S5'!F33+'Mercredi S5'!F33+'Jeudi S5'!F33+'Vendredi S5'!F33+'Samedi S5'!F33</f>
        <v>12</v>
      </c>
      <c r="G33" s="11">
        <f>+'Luindi S5'!G33+'Mardi S5'!G33+'Mercredi S5'!G33+'Jeudi S5'!G33+'Vendredi S5'!G33+'Samedi S5'!G33</f>
        <v>30</v>
      </c>
      <c r="H33" s="9">
        <f>+'Luindi S5'!H33+'Mardi S5'!H33+'Mercredi S5'!H33+'Jeudi S5'!H33+'Vendredi S5'!H33+'Samedi S5'!H33</f>
        <v>18</v>
      </c>
      <c r="I33" s="10">
        <f>+'Luindi S5'!I33+'Mardi S5'!I33+'Mercredi S5'!I33+'Jeudi S5'!I33+'Vendredi S5'!I33+'Samedi S5'!I33</f>
        <v>6</v>
      </c>
      <c r="J33" s="10">
        <f>+'Luindi S5'!J33+'Mardi S5'!J33+'Mercredi S5'!J33+'Jeudi S5'!J33+'Vendredi S5'!J33+'Samedi S5'!J33</f>
        <v>6</v>
      </c>
      <c r="K33" s="10">
        <f>+'Luindi S5'!K33+'Mardi S5'!K33+'Mercredi S5'!K33+'Jeudi S5'!K33+'Vendredi S5'!K33+'Samedi S5'!K33</f>
        <v>6</v>
      </c>
      <c r="L33" s="11">
        <f>+'Luindi S5'!L33+'Mardi S5'!L33+'Mercredi S5'!L33+'Jeudi S5'!L33+'Vendredi S5'!L33+'Samedi S5'!L33</f>
        <v>6</v>
      </c>
      <c r="M33" s="9">
        <f>+'Luindi S5'!M33+'Mardi S5'!M33+'Mercredi S5'!M33+'Jeudi S5'!M33+'Vendredi S5'!M33+'Samedi S5'!M33</f>
        <v>18</v>
      </c>
      <c r="N33" s="10">
        <f>+'Luindi S5'!N33+'Mardi S5'!N33+'Mercredi S5'!N33+'Jeudi S5'!N33+'Vendredi S5'!N33+'Samedi S5'!N33</f>
        <v>6</v>
      </c>
      <c r="O33" s="10">
        <f>+'Luindi S5'!O33+'Mardi S5'!O33+'Mercredi S5'!O33+'Jeudi S5'!O33+'Vendredi S5'!O33+'Samedi S5'!O33</f>
        <v>18</v>
      </c>
      <c r="P33" s="10">
        <f>+'Luindi S5'!P33+'Mardi S5'!P33+'Mercredi S5'!P33+'Jeudi S5'!P33+'Vendredi S5'!P33+'Samedi S5'!P33</f>
        <v>0</v>
      </c>
      <c r="Q33" s="11">
        <f>+'Luindi S5'!Q33+'Mardi S5'!Q33+'Mercredi S5'!Q33+'Jeudi S5'!Q33+'Vendredi S5'!Q33+'Samedi S5'!Q33</f>
        <v>0</v>
      </c>
      <c r="R33" s="61">
        <f>+'Luindi S5'!R33+'Mardi S5'!R33+'Mercredi S5'!R33+'Jeudi S5'!R33+'Vendredi S5'!R33+'Samedi S5'!R33</f>
        <v>3</v>
      </c>
      <c r="S33" s="62">
        <f>+'Luindi S5'!S33+'Mardi S5'!S33+'Mercredi S5'!S33+'Jeudi S5'!S33+'Vendredi S5'!S33+'Samedi S5'!S33</f>
        <v>0.99999999999999989</v>
      </c>
      <c r="T33" s="62">
        <f>+'Luindi S5'!T33+'Mardi S5'!T33+'Mercredi S5'!T33+'Jeudi S5'!T33+'Vendredi S5'!T33+'Samedi S5'!T33</f>
        <v>0.6</v>
      </c>
      <c r="U33" s="62">
        <f>+'Luindi S5'!U33+'Mardi S5'!U33+'Mercredi S5'!U33+'Jeudi S5'!U33+'Vendredi S5'!U33+'Samedi S5'!U33</f>
        <v>3.6</v>
      </c>
      <c r="V33" s="63">
        <f>+'Luindi S5'!V33+'Mardi S5'!V33+'Mercredi S5'!V33+'Jeudi S5'!V33+'Vendredi S5'!V33+'Samedi S5'!V33</f>
        <v>0.9</v>
      </c>
      <c r="W33" s="9">
        <f>+'Luindi S5'!W33+'Mardi S5'!W33+'Mercredi S5'!W33+'Jeudi S5'!W33+'Vendredi S5'!W33+'Samedi S5'!W33</f>
        <v>0</v>
      </c>
      <c r="X33" s="10">
        <f>+'Luindi S5'!X33+'Mardi S5'!X33+'Mercredi S5'!X33+'Jeudi S5'!X33+'Vendredi S5'!X33+'Samedi S5'!X33</f>
        <v>0</v>
      </c>
      <c r="Y33" s="10">
        <f>+'Luindi S5'!Y33+'Mardi S5'!Y33+'Mercredi S5'!Y33+'Jeudi S5'!Y33+'Vendredi S5'!Y33+'Samedi S5'!Y33</f>
        <v>0</v>
      </c>
      <c r="Z33" s="10">
        <f>+'Luindi S5'!Z33+'Mardi S5'!Z33+'Mercredi S5'!Z33+'Jeudi S5'!Z33+'Vendredi S5'!Z33+'Samedi S5'!Z33</f>
        <v>0</v>
      </c>
      <c r="AA33" s="11">
        <f>+'Luindi S5'!AA33+'Mardi S5'!AA33+'Mercredi S5'!AA33+'Jeudi S5'!AA33+'Vendredi S5'!AA33+'Samedi S5'!AA33</f>
        <v>0</v>
      </c>
      <c r="AB33" s="9">
        <f>+'Luindi S5'!AB33+'Mardi S5'!AB33+'Mercredi S5'!AB33+'Jeudi S5'!AB33+'Vendredi S5'!AB33+'Samedi S5'!AB33</f>
        <v>0</v>
      </c>
      <c r="AC33" s="10">
        <f>+'Luindi S5'!AC33+'Mardi S5'!AC33+'Mercredi S5'!AC33+'Jeudi S5'!AC33+'Vendredi S5'!AC33+'Samedi S5'!AC33</f>
        <v>0</v>
      </c>
      <c r="AD33" s="10">
        <f>+'Luindi S5'!AD33+'Mardi S5'!AD33+'Mercredi S5'!AD33+'Jeudi S5'!AD33+'Vendredi S5'!AD33+'Samedi S5'!AD33</f>
        <v>0</v>
      </c>
      <c r="AE33" s="10">
        <f>+'Luindi S5'!AE33+'Mardi S5'!AE33+'Mercredi S5'!AE33+'Jeudi S5'!AE33+'Vendredi S5'!AE33+'Samedi S5'!AE33</f>
        <v>0</v>
      </c>
      <c r="AF33" s="11">
        <f>+'Luindi S5'!AF33+'Mardi S5'!AF33+'Mercredi S5'!AF33+'Jeudi S5'!AF33+'Vendredi S5'!AF33+'Samedi S5'!AF33</f>
        <v>0</v>
      </c>
      <c r="AG33" s="9">
        <f>+'Luindi S5'!AG33+'Mardi S5'!AG33+'Mercredi S5'!AG33+'Jeudi S5'!AG33+'Vendredi S5'!AG33+'Samedi S5'!AG33</f>
        <v>0</v>
      </c>
      <c r="AH33" s="10">
        <f>+'Luindi S5'!AH33+'Mardi S5'!AH33+'Mercredi S5'!AH33+'Jeudi S5'!AH33+'Vendredi S5'!AH33+'Samedi S5'!AH33</f>
        <v>0</v>
      </c>
      <c r="AI33" s="10">
        <f>+'Luindi S5'!AI33+'Mardi S5'!AI33+'Mercredi S5'!AI33+'Jeudi S5'!AI33+'Vendredi S5'!AI33+'Samedi S5'!AI33</f>
        <v>0</v>
      </c>
      <c r="AJ33" s="10">
        <f>+'Luindi S5'!AJ33+'Mardi S5'!AJ33+'Mercredi S5'!AJ33+'Jeudi S5'!AJ33+'Vendredi S5'!AJ33+'Samedi S5'!AJ33</f>
        <v>0</v>
      </c>
      <c r="AK33" s="11">
        <f>+'Luindi S5'!AK33+'Mardi S5'!AK33+'Mercredi S5'!AK33+'Jeudi S5'!AK33+'Vendredi S5'!AK33+'Samedi S5'!AK33</f>
        <v>0</v>
      </c>
      <c r="AL33" s="9">
        <f>+'Luindi S5'!AL33+'Mardi S5'!AL33+'Mercredi S5'!AL33+'Jeudi S5'!AL33+'Vendredi S5'!AL33+'Samedi S5'!AL33</f>
        <v>0</v>
      </c>
      <c r="AM33" s="10">
        <f>+'Luindi S5'!AM33+'Mardi S5'!AM33+'Mercredi S5'!AM33+'Jeudi S5'!AM33+'Vendredi S5'!AM33+'Samedi S5'!AM33</f>
        <v>0</v>
      </c>
      <c r="AN33" s="10">
        <f>+'Luindi S5'!AN33+'Mardi S5'!AN33+'Mercredi S5'!AN33+'Jeudi S5'!AN33+'Vendredi S5'!AN33+'Samedi S5'!AN33</f>
        <v>0</v>
      </c>
      <c r="AO33" s="10">
        <f>+'Luindi S5'!AO33+'Mardi S5'!AO33+'Mercredi S5'!AO33+'Jeudi S5'!AO33+'Vendredi S5'!AO33+'Samedi S5'!AO33</f>
        <v>0</v>
      </c>
      <c r="AP33" s="11">
        <f>+'Luindi S5'!AP33+'Mardi S5'!AP33+'Mercredi S5'!AP33+'Jeudi S5'!AP33+'Vendredi S5'!AP33+'Samedi S5'!AP33</f>
        <v>0</v>
      </c>
      <c r="AQ33" s="9">
        <f>+'Luindi S5'!AQ33+'Mardi S5'!AQ33+'Mercredi S5'!AQ33+'Jeudi S5'!AQ33+'Vendredi S5'!AQ33+'Samedi S5'!AQ33</f>
        <v>0</v>
      </c>
      <c r="AR33" s="10">
        <f>+'Luindi S5'!AR33+'Mardi S5'!AR33+'Mercredi S5'!AR33+'Jeudi S5'!AR33+'Vendredi S5'!AR33+'Samedi S5'!AR33</f>
        <v>0</v>
      </c>
      <c r="AS33" s="11">
        <f>+'Luindi S5'!AS33+'Mardi S5'!AS33+'Mercredi S5'!AS33+'Jeudi S5'!AS33+'Vendredi S5'!AS33+'Samedi S5'!AS33</f>
        <v>0</v>
      </c>
      <c r="AT33" s="23"/>
      <c r="AU33" s="14"/>
    </row>
    <row r="34" spans="1:47" ht="31.9" customHeight="1" x14ac:dyDescent="0.2">
      <c r="A34" s="26">
        <v>28</v>
      </c>
      <c r="B34" s="19"/>
      <c r="C34" s="9">
        <f>+'Luindi S5'!C34+'Mardi S5'!C34+'Mercredi S5'!C34+'Jeudi S5'!C34+'Vendredi S5'!C34+'Samedi S5'!C34</f>
        <v>90</v>
      </c>
      <c r="D34" s="10">
        <f>+'Luindi S5'!D34+'Mardi S5'!D34+'Mercredi S5'!D34+'Jeudi S5'!D34+'Vendredi S5'!D34+'Samedi S5'!D34</f>
        <v>18</v>
      </c>
      <c r="E34" s="10">
        <f>+'Luindi S5'!E34+'Mardi S5'!E34+'Mercredi S5'!E34+'Jeudi S5'!E34+'Vendredi S5'!E34+'Samedi S5'!E34</f>
        <v>30</v>
      </c>
      <c r="F34" s="10">
        <f>+'Luindi S5'!F34+'Mardi S5'!F34+'Mercredi S5'!F34+'Jeudi S5'!F34+'Vendredi S5'!F34+'Samedi S5'!F34</f>
        <v>12</v>
      </c>
      <c r="G34" s="11">
        <f>+'Luindi S5'!G34+'Mardi S5'!G34+'Mercredi S5'!G34+'Jeudi S5'!G34+'Vendredi S5'!G34+'Samedi S5'!G34</f>
        <v>30</v>
      </c>
      <c r="H34" s="9">
        <f>+'Luindi S5'!H34+'Mardi S5'!H34+'Mercredi S5'!H34+'Jeudi S5'!H34+'Vendredi S5'!H34+'Samedi S5'!H34</f>
        <v>18</v>
      </c>
      <c r="I34" s="10">
        <f>+'Luindi S5'!I34+'Mardi S5'!I34+'Mercredi S5'!I34+'Jeudi S5'!I34+'Vendredi S5'!I34+'Samedi S5'!I34</f>
        <v>6</v>
      </c>
      <c r="J34" s="10">
        <f>+'Luindi S5'!J34+'Mardi S5'!J34+'Mercredi S5'!J34+'Jeudi S5'!J34+'Vendredi S5'!J34+'Samedi S5'!J34</f>
        <v>6</v>
      </c>
      <c r="K34" s="10">
        <f>+'Luindi S5'!K34+'Mardi S5'!K34+'Mercredi S5'!K34+'Jeudi S5'!K34+'Vendredi S5'!K34+'Samedi S5'!K34</f>
        <v>6</v>
      </c>
      <c r="L34" s="11">
        <f>+'Luindi S5'!L34+'Mardi S5'!L34+'Mercredi S5'!L34+'Jeudi S5'!L34+'Vendredi S5'!L34+'Samedi S5'!L34</f>
        <v>6</v>
      </c>
      <c r="M34" s="9">
        <f>+'Luindi S5'!M34+'Mardi S5'!M34+'Mercredi S5'!M34+'Jeudi S5'!M34+'Vendredi S5'!M34+'Samedi S5'!M34</f>
        <v>18</v>
      </c>
      <c r="N34" s="10">
        <f>+'Luindi S5'!N34+'Mardi S5'!N34+'Mercredi S5'!N34+'Jeudi S5'!N34+'Vendredi S5'!N34+'Samedi S5'!N34</f>
        <v>6</v>
      </c>
      <c r="O34" s="10">
        <f>+'Luindi S5'!O34+'Mardi S5'!O34+'Mercredi S5'!O34+'Jeudi S5'!O34+'Vendredi S5'!O34+'Samedi S5'!O34</f>
        <v>18</v>
      </c>
      <c r="P34" s="10">
        <f>+'Luindi S5'!P34+'Mardi S5'!P34+'Mercredi S5'!P34+'Jeudi S5'!P34+'Vendredi S5'!P34+'Samedi S5'!P34</f>
        <v>0</v>
      </c>
      <c r="Q34" s="11">
        <f>+'Luindi S5'!Q34+'Mardi S5'!Q34+'Mercredi S5'!Q34+'Jeudi S5'!Q34+'Vendredi S5'!Q34+'Samedi S5'!Q34</f>
        <v>0</v>
      </c>
      <c r="R34" s="61">
        <f>+'Luindi S5'!R34+'Mardi S5'!R34+'Mercredi S5'!R34+'Jeudi S5'!R34+'Vendredi S5'!R34+'Samedi S5'!R34</f>
        <v>3</v>
      </c>
      <c r="S34" s="62">
        <f>+'Luindi S5'!S34+'Mardi S5'!S34+'Mercredi S5'!S34+'Jeudi S5'!S34+'Vendredi S5'!S34+'Samedi S5'!S34</f>
        <v>0.99999999999999989</v>
      </c>
      <c r="T34" s="62">
        <f>+'Luindi S5'!T34+'Mardi S5'!T34+'Mercredi S5'!T34+'Jeudi S5'!T34+'Vendredi S5'!T34+'Samedi S5'!T34</f>
        <v>0.6</v>
      </c>
      <c r="U34" s="62">
        <f>+'Luindi S5'!U34+'Mardi S5'!U34+'Mercredi S5'!U34+'Jeudi S5'!U34+'Vendredi S5'!U34+'Samedi S5'!U34</f>
        <v>3.6</v>
      </c>
      <c r="V34" s="63">
        <f>+'Luindi S5'!V34+'Mardi S5'!V34+'Mercredi S5'!V34+'Jeudi S5'!V34+'Vendredi S5'!V34+'Samedi S5'!V34</f>
        <v>0.9</v>
      </c>
      <c r="W34" s="9">
        <f>+'Luindi S5'!W34+'Mardi S5'!W34+'Mercredi S5'!W34+'Jeudi S5'!W34+'Vendredi S5'!W34+'Samedi S5'!W34</f>
        <v>0</v>
      </c>
      <c r="X34" s="10">
        <f>+'Luindi S5'!X34+'Mardi S5'!X34+'Mercredi S5'!X34+'Jeudi S5'!X34+'Vendredi S5'!X34+'Samedi S5'!X34</f>
        <v>0</v>
      </c>
      <c r="Y34" s="10">
        <f>+'Luindi S5'!Y34+'Mardi S5'!Y34+'Mercredi S5'!Y34+'Jeudi S5'!Y34+'Vendredi S5'!Y34+'Samedi S5'!Y34</f>
        <v>0</v>
      </c>
      <c r="Z34" s="10">
        <f>+'Luindi S5'!Z34+'Mardi S5'!Z34+'Mercredi S5'!Z34+'Jeudi S5'!Z34+'Vendredi S5'!Z34+'Samedi S5'!Z34</f>
        <v>0</v>
      </c>
      <c r="AA34" s="11">
        <f>+'Luindi S5'!AA34+'Mardi S5'!AA34+'Mercredi S5'!AA34+'Jeudi S5'!AA34+'Vendredi S5'!AA34+'Samedi S5'!AA34</f>
        <v>0</v>
      </c>
      <c r="AB34" s="9">
        <f>+'Luindi S5'!AB34+'Mardi S5'!AB34+'Mercredi S5'!AB34+'Jeudi S5'!AB34+'Vendredi S5'!AB34+'Samedi S5'!AB34</f>
        <v>0</v>
      </c>
      <c r="AC34" s="10">
        <f>+'Luindi S5'!AC34+'Mardi S5'!AC34+'Mercredi S5'!AC34+'Jeudi S5'!AC34+'Vendredi S5'!AC34+'Samedi S5'!AC34</f>
        <v>0</v>
      </c>
      <c r="AD34" s="10">
        <f>+'Luindi S5'!AD34+'Mardi S5'!AD34+'Mercredi S5'!AD34+'Jeudi S5'!AD34+'Vendredi S5'!AD34+'Samedi S5'!AD34</f>
        <v>0</v>
      </c>
      <c r="AE34" s="10">
        <f>+'Luindi S5'!AE34+'Mardi S5'!AE34+'Mercredi S5'!AE34+'Jeudi S5'!AE34+'Vendredi S5'!AE34+'Samedi S5'!AE34</f>
        <v>0</v>
      </c>
      <c r="AF34" s="11">
        <f>+'Luindi S5'!AF34+'Mardi S5'!AF34+'Mercredi S5'!AF34+'Jeudi S5'!AF34+'Vendredi S5'!AF34+'Samedi S5'!AF34</f>
        <v>0</v>
      </c>
      <c r="AG34" s="9">
        <f>+'Luindi S5'!AG34+'Mardi S5'!AG34+'Mercredi S5'!AG34+'Jeudi S5'!AG34+'Vendredi S5'!AG34+'Samedi S5'!AG34</f>
        <v>0</v>
      </c>
      <c r="AH34" s="10">
        <f>+'Luindi S5'!AH34+'Mardi S5'!AH34+'Mercredi S5'!AH34+'Jeudi S5'!AH34+'Vendredi S5'!AH34+'Samedi S5'!AH34</f>
        <v>0</v>
      </c>
      <c r="AI34" s="10">
        <f>+'Luindi S5'!AI34+'Mardi S5'!AI34+'Mercredi S5'!AI34+'Jeudi S5'!AI34+'Vendredi S5'!AI34+'Samedi S5'!AI34</f>
        <v>0</v>
      </c>
      <c r="AJ34" s="10">
        <f>+'Luindi S5'!AJ34+'Mardi S5'!AJ34+'Mercredi S5'!AJ34+'Jeudi S5'!AJ34+'Vendredi S5'!AJ34+'Samedi S5'!AJ34</f>
        <v>0</v>
      </c>
      <c r="AK34" s="11">
        <f>+'Luindi S5'!AK34+'Mardi S5'!AK34+'Mercredi S5'!AK34+'Jeudi S5'!AK34+'Vendredi S5'!AK34+'Samedi S5'!AK34</f>
        <v>0</v>
      </c>
      <c r="AL34" s="9">
        <f>+'Luindi S5'!AL34+'Mardi S5'!AL34+'Mercredi S5'!AL34+'Jeudi S5'!AL34+'Vendredi S5'!AL34+'Samedi S5'!AL34</f>
        <v>0</v>
      </c>
      <c r="AM34" s="10">
        <f>+'Luindi S5'!AM34+'Mardi S5'!AM34+'Mercredi S5'!AM34+'Jeudi S5'!AM34+'Vendredi S5'!AM34+'Samedi S5'!AM34</f>
        <v>0</v>
      </c>
      <c r="AN34" s="10">
        <f>+'Luindi S5'!AN34+'Mardi S5'!AN34+'Mercredi S5'!AN34+'Jeudi S5'!AN34+'Vendredi S5'!AN34+'Samedi S5'!AN34</f>
        <v>0</v>
      </c>
      <c r="AO34" s="10">
        <f>+'Luindi S5'!AO34+'Mardi S5'!AO34+'Mercredi S5'!AO34+'Jeudi S5'!AO34+'Vendredi S5'!AO34+'Samedi S5'!AO34</f>
        <v>0</v>
      </c>
      <c r="AP34" s="11">
        <f>+'Luindi S5'!AP34+'Mardi S5'!AP34+'Mercredi S5'!AP34+'Jeudi S5'!AP34+'Vendredi S5'!AP34+'Samedi S5'!AP34</f>
        <v>0</v>
      </c>
      <c r="AQ34" s="9">
        <f>+'Luindi S5'!AQ34+'Mardi S5'!AQ34+'Mercredi S5'!AQ34+'Jeudi S5'!AQ34+'Vendredi S5'!AQ34+'Samedi S5'!AQ34</f>
        <v>0</v>
      </c>
      <c r="AR34" s="10">
        <f>+'Luindi S5'!AR34+'Mardi S5'!AR34+'Mercredi S5'!AR34+'Jeudi S5'!AR34+'Vendredi S5'!AR34+'Samedi S5'!AR34</f>
        <v>0</v>
      </c>
      <c r="AS34" s="11">
        <f>+'Luindi S5'!AS34+'Mardi S5'!AS34+'Mercredi S5'!AS34+'Jeudi S5'!AS34+'Vendredi S5'!AS34+'Samedi S5'!AS34</f>
        <v>0</v>
      </c>
      <c r="AT34" s="24"/>
      <c r="AU34" s="13"/>
    </row>
    <row r="35" spans="1:47" ht="31.9" customHeight="1" x14ac:dyDescent="0.2">
      <c r="A35" s="26">
        <v>29</v>
      </c>
      <c r="B35" s="19"/>
      <c r="C35" s="9">
        <f>+'Luindi S5'!C35+'Mardi S5'!C35+'Mercredi S5'!C35+'Jeudi S5'!C35+'Vendredi S5'!C35+'Samedi S5'!C35</f>
        <v>90</v>
      </c>
      <c r="D35" s="10">
        <f>+'Luindi S5'!D35+'Mardi S5'!D35+'Mercredi S5'!D35+'Jeudi S5'!D35+'Vendredi S5'!D35+'Samedi S5'!D35</f>
        <v>18</v>
      </c>
      <c r="E35" s="10">
        <f>+'Luindi S5'!E35+'Mardi S5'!E35+'Mercredi S5'!E35+'Jeudi S5'!E35+'Vendredi S5'!E35+'Samedi S5'!E35</f>
        <v>30</v>
      </c>
      <c r="F35" s="10">
        <f>+'Luindi S5'!F35+'Mardi S5'!F35+'Mercredi S5'!F35+'Jeudi S5'!F35+'Vendredi S5'!F35+'Samedi S5'!F35</f>
        <v>12</v>
      </c>
      <c r="G35" s="11">
        <f>+'Luindi S5'!G35+'Mardi S5'!G35+'Mercredi S5'!G35+'Jeudi S5'!G35+'Vendredi S5'!G35+'Samedi S5'!G35</f>
        <v>30</v>
      </c>
      <c r="H35" s="9">
        <f>+'Luindi S5'!H35+'Mardi S5'!H35+'Mercredi S5'!H35+'Jeudi S5'!H35+'Vendredi S5'!H35+'Samedi S5'!H35</f>
        <v>18</v>
      </c>
      <c r="I35" s="10">
        <f>+'Luindi S5'!I35+'Mardi S5'!I35+'Mercredi S5'!I35+'Jeudi S5'!I35+'Vendredi S5'!I35+'Samedi S5'!I35</f>
        <v>6</v>
      </c>
      <c r="J35" s="10">
        <f>+'Luindi S5'!J35+'Mardi S5'!J35+'Mercredi S5'!J35+'Jeudi S5'!J35+'Vendredi S5'!J35+'Samedi S5'!J35</f>
        <v>6</v>
      </c>
      <c r="K35" s="10">
        <f>+'Luindi S5'!K35+'Mardi S5'!K35+'Mercredi S5'!K35+'Jeudi S5'!K35+'Vendredi S5'!K35+'Samedi S5'!K35</f>
        <v>6</v>
      </c>
      <c r="L35" s="11">
        <f>+'Luindi S5'!L35+'Mardi S5'!L35+'Mercredi S5'!L35+'Jeudi S5'!L35+'Vendredi S5'!L35+'Samedi S5'!L35</f>
        <v>6</v>
      </c>
      <c r="M35" s="9">
        <f>+'Luindi S5'!M35+'Mardi S5'!M35+'Mercredi S5'!M35+'Jeudi S5'!M35+'Vendredi S5'!M35+'Samedi S5'!M35</f>
        <v>18</v>
      </c>
      <c r="N35" s="10">
        <f>+'Luindi S5'!N35+'Mardi S5'!N35+'Mercredi S5'!N35+'Jeudi S5'!N35+'Vendredi S5'!N35+'Samedi S5'!N35</f>
        <v>6</v>
      </c>
      <c r="O35" s="10">
        <f>+'Luindi S5'!O35+'Mardi S5'!O35+'Mercredi S5'!O35+'Jeudi S5'!O35+'Vendredi S5'!O35+'Samedi S5'!O35</f>
        <v>18</v>
      </c>
      <c r="P35" s="10">
        <f>+'Luindi S5'!P35+'Mardi S5'!P35+'Mercredi S5'!P35+'Jeudi S5'!P35+'Vendredi S5'!P35+'Samedi S5'!P35</f>
        <v>0</v>
      </c>
      <c r="Q35" s="11">
        <f>+'Luindi S5'!Q35+'Mardi S5'!Q35+'Mercredi S5'!Q35+'Jeudi S5'!Q35+'Vendredi S5'!Q35+'Samedi S5'!Q35</f>
        <v>0</v>
      </c>
      <c r="R35" s="61">
        <f>+'Luindi S5'!R35+'Mardi S5'!R35+'Mercredi S5'!R35+'Jeudi S5'!R35+'Vendredi S5'!R35+'Samedi S5'!R35</f>
        <v>3</v>
      </c>
      <c r="S35" s="62">
        <f>+'Luindi S5'!S35+'Mardi S5'!S35+'Mercredi S5'!S35+'Jeudi S5'!S35+'Vendredi S5'!S35+'Samedi S5'!S35</f>
        <v>0.99999999999999989</v>
      </c>
      <c r="T35" s="62">
        <f>+'Luindi S5'!T35+'Mardi S5'!T35+'Mercredi S5'!T35+'Jeudi S5'!T35+'Vendredi S5'!T35+'Samedi S5'!T35</f>
        <v>0.6</v>
      </c>
      <c r="U35" s="62">
        <f>+'Luindi S5'!U35+'Mardi S5'!U35+'Mercredi S5'!U35+'Jeudi S5'!U35+'Vendredi S5'!U35+'Samedi S5'!U35</f>
        <v>3.6</v>
      </c>
      <c r="V35" s="63">
        <f>+'Luindi S5'!V35+'Mardi S5'!V35+'Mercredi S5'!V35+'Jeudi S5'!V35+'Vendredi S5'!V35+'Samedi S5'!V35</f>
        <v>0.9</v>
      </c>
      <c r="W35" s="9">
        <f>+'Luindi S5'!W35+'Mardi S5'!W35+'Mercredi S5'!W35+'Jeudi S5'!W35+'Vendredi S5'!W35+'Samedi S5'!W35</f>
        <v>0</v>
      </c>
      <c r="X35" s="10">
        <f>+'Luindi S5'!X35+'Mardi S5'!X35+'Mercredi S5'!X35+'Jeudi S5'!X35+'Vendredi S5'!X35+'Samedi S5'!X35</f>
        <v>0</v>
      </c>
      <c r="Y35" s="10">
        <f>+'Luindi S5'!Y35+'Mardi S5'!Y35+'Mercredi S5'!Y35+'Jeudi S5'!Y35+'Vendredi S5'!Y35+'Samedi S5'!Y35</f>
        <v>0</v>
      </c>
      <c r="Z35" s="10">
        <f>+'Luindi S5'!Z35+'Mardi S5'!Z35+'Mercredi S5'!Z35+'Jeudi S5'!Z35+'Vendredi S5'!Z35+'Samedi S5'!Z35</f>
        <v>0</v>
      </c>
      <c r="AA35" s="11">
        <f>+'Luindi S5'!AA35+'Mardi S5'!AA35+'Mercredi S5'!AA35+'Jeudi S5'!AA35+'Vendredi S5'!AA35+'Samedi S5'!AA35</f>
        <v>0</v>
      </c>
      <c r="AB35" s="9">
        <f>+'Luindi S5'!AB35+'Mardi S5'!AB35+'Mercredi S5'!AB35+'Jeudi S5'!AB35+'Vendredi S5'!AB35+'Samedi S5'!AB35</f>
        <v>0</v>
      </c>
      <c r="AC35" s="10">
        <f>+'Luindi S5'!AC35+'Mardi S5'!AC35+'Mercredi S5'!AC35+'Jeudi S5'!AC35+'Vendredi S5'!AC35+'Samedi S5'!AC35</f>
        <v>0</v>
      </c>
      <c r="AD35" s="10">
        <f>+'Luindi S5'!AD35+'Mardi S5'!AD35+'Mercredi S5'!AD35+'Jeudi S5'!AD35+'Vendredi S5'!AD35+'Samedi S5'!AD35</f>
        <v>0</v>
      </c>
      <c r="AE35" s="10">
        <f>+'Luindi S5'!AE35+'Mardi S5'!AE35+'Mercredi S5'!AE35+'Jeudi S5'!AE35+'Vendredi S5'!AE35+'Samedi S5'!AE35</f>
        <v>0</v>
      </c>
      <c r="AF35" s="11">
        <f>+'Luindi S5'!AF35+'Mardi S5'!AF35+'Mercredi S5'!AF35+'Jeudi S5'!AF35+'Vendredi S5'!AF35+'Samedi S5'!AF35</f>
        <v>0</v>
      </c>
      <c r="AG35" s="9">
        <f>+'Luindi S5'!AG35+'Mardi S5'!AG35+'Mercredi S5'!AG35+'Jeudi S5'!AG35+'Vendredi S5'!AG35+'Samedi S5'!AG35</f>
        <v>0</v>
      </c>
      <c r="AH35" s="10">
        <f>+'Luindi S5'!AH35+'Mardi S5'!AH35+'Mercredi S5'!AH35+'Jeudi S5'!AH35+'Vendredi S5'!AH35+'Samedi S5'!AH35</f>
        <v>0</v>
      </c>
      <c r="AI35" s="10">
        <f>+'Luindi S5'!AI35+'Mardi S5'!AI35+'Mercredi S5'!AI35+'Jeudi S5'!AI35+'Vendredi S5'!AI35+'Samedi S5'!AI35</f>
        <v>0</v>
      </c>
      <c r="AJ35" s="10">
        <f>+'Luindi S5'!AJ35+'Mardi S5'!AJ35+'Mercredi S5'!AJ35+'Jeudi S5'!AJ35+'Vendredi S5'!AJ35+'Samedi S5'!AJ35</f>
        <v>0</v>
      </c>
      <c r="AK35" s="11">
        <f>+'Luindi S5'!AK35+'Mardi S5'!AK35+'Mercredi S5'!AK35+'Jeudi S5'!AK35+'Vendredi S5'!AK35+'Samedi S5'!AK35</f>
        <v>0</v>
      </c>
      <c r="AL35" s="9">
        <f>+'Luindi S5'!AL35+'Mardi S5'!AL35+'Mercredi S5'!AL35+'Jeudi S5'!AL35+'Vendredi S5'!AL35+'Samedi S5'!AL35</f>
        <v>0</v>
      </c>
      <c r="AM35" s="10">
        <f>+'Luindi S5'!AM35+'Mardi S5'!AM35+'Mercredi S5'!AM35+'Jeudi S5'!AM35+'Vendredi S5'!AM35+'Samedi S5'!AM35</f>
        <v>0</v>
      </c>
      <c r="AN35" s="10">
        <f>+'Luindi S5'!AN35+'Mardi S5'!AN35+'Mercredi S5'!AN35+'Jeudi S5'!AN35+'Vendredi S5'!AN35+'Samedi S5'!AN35</f>
        <v>0</v>
      </c>
      <c r="AO35" s="10">
        <f>+'Luindi S5'!AO35+'Mardi S5'!AO35+'Mercredi S5'!AO35+'Jeudi S5'!AO35+'Vendredi S5'!AO35+'Samedi S5'!AO35</f>
        <v>0</v>
      </c>
      <c r="AP35" s="11">
        <f>+'Luindi S5'!AP35+'Mardi S5'!AP35+'Mercredi S5'!AP35+'Jeudi S5'!AP35+'Vendredi S5'!AP35+'Samedi S5'!AP35</f>
        <v>0</v>
      </c>
      <c r="AQ35" s="9">
        <f>+'Luindi S5'!AQ35+'Mardi S5'!AQ35+'Mercredi S5'!AQ35+'Jeudi S5'!AQ35+'Vendredi S5'!AQ35+'Samedi S5'!AQ35</f>
        <v>0</v>
      </c>
      <c r="AR35" s="10">
        <f>+'Luindi S5'!AR35+'Mardi S5'!AR35+'Mercredi S5'!AR35+'Jeudi S5'!AR35+'Vendredi S5'!AR35+'Samedi S5'!AR35</f>
        <v>0</v>
      </c>
      <c r="AS35" s="11">
        <f>+'Luindi S5'!AS35+'Mardi S5'!AS35+'Mercredi S5'!AS35+'Jeudi S5'!AS35+'Vendredi S5'!AS35+'Samedi S5'!AS35</f>
        <v>0</v>
      </c>
      <c r="AT35" s="24"/>
      <c r="AU35" s="12"/>
    </row>
    <row r="36" spans="1:47" ht="31.9" customHeight="1" thickBot="1" x14ac:dyDescent="0.25">
      <c r="A36" s="27">
        <v>30</v>
      </c>
      <c r="B36" s="28"/>
      <c r="C36" s="29">
        <f>+'Luindi S5'!C36+'Mardi S5'!C36+'Mercredi S5'!C36+'Jeudi S5'!C36+'Vendredi S5'!C36+'Samedi S5'!C36</f>
        <v>90</v>
      </c>
      <c r="D36" s="30">
        <f>+'Luindi S5'!D36+'Mardi S5'!D36+'Mercredi S5'!D36+'Jeudi S5'!D36+'Vendredi S5'!D36+'Samedi S5'!D36</f>
        <v>18</v>
      </c>
      <c r="E36" s="30">
        <f>+'Luindi S5'!E36+'Mardi S5'!E36+'Mercredi S5'!E36+'Jeudi S5'!E36+'Vendredi S5'!E36+'Samedi S5'!E36</f>
        <v>30</v>
      </c>
      <c r="F36" s="30">
        <f>+'Luindi S5'!F36+'Mardi S5'!F36+'Mercredi S5'!F36+'Jeudi S5'!F36+'Vendredi S5'!F36+'Samedi S5'!F36</f>
        <v>12</v>
      </c>
      <c r="G36" s="31">
        <f>+'Luindi S5'!G36+'Mardi S5'!G36+'Mercredi S5'!G36+'Jeudi S5'!G36+'Vendredi S5'!G36+'Samedi S5'!G36</f>
        <v>30</v>
      </c>
      <c r="H36" s="29">
        <f>+'Luindi S5'!H36+'Mardi S5'!H36+'Mercredi S5'!H36+'Jeudi S5'!H36+'Vendredi S5'!H36+'Samedi S5'!H36</f>
        <v>18</v>
      </c>
      <c r="I36" s="30">
        <f>+'Luindi S5'!I36+'Mardi S5'!I36+'Mercredi S5'!I36+'Jeudi S5'!I36+'Vendredi S5'!I36+'Samedi S5'!I36</f>
        <v>6</v>
      </c>
      <c r="J36" s="30">
        <f>+'Luindi S5'!J36+'Mardi S5'!J36+'Mercredi S5'!J36+'Jeudi S5'!J36+'Vendredi S5'!J36+'Samedi S5'!J36</f>
        <v>6</v>
      </c>
      <c r="K36" s="30">
        <f>+'Luindi S5'!K36+'Mardi S5'!K36+'Mercredi S5'!K36+'Jeudi S5'!K36+'Vendredi S5'!K36+'Samedi S5'!K36</f>
        <v>6</v>
      </c>
      <c r="L36" s="31">
        <f>+'Luindi S5'!L36+'Mardi S5'!L36+'Mercredi S5'!L36+'Jeudi S5'!L36+'Vendredi S5'!L36+'Samedi S5'!L36</f>
        <v>6</v>
      </c>
      <c r="M36" s="29">
        <f>+'Luindi S5'!M36+'Mardi S5'!M36+'Mercredi S5'!M36+'Jeudi S5'!M36+'Vendredi S5'!M36+'Samedi S5'!M36</f>
        <v>18</v>
      </c>
      <c r="N36" s="30">
        <f>+'Luindi S5'!N36+'Mardi S5'!N36+'Mercredi S5'!N36+'Jeudi S5'!N36+'Vendredi S5'!N36+'Samedi S5'!N36</f>
        <v>6</v>
      </c>
      <c r="O36" s="30">
        <f>+'Luindi S5'!O36+'Mardi S5'!O36+'Mercredi S5'!O36+'Jeudi S5'!O36+'Vendredi S5'!O36+'Samedi S5'!O36</f>
        <v>18</v>
      </c>
      <c r="P36" s="30">
        <f>+'Luindi S5'!P36+'Mardi S5'!P36+'Mercredi S5'!P36+'Jeudi S5'!P36+'Vendredi S5'!P36+'Samedi S5'!P36</f>
        <v>0</v>
      </c>
      <c r="Q36" s="31">
        <f>+'Luindi S5'!Q36+'Mardi S5'!Q36+'Mercredi S5'!Q36+'Jeudi S5'!Q36+'Vendredi S5'!Q36+'Samedi S5'!Q36</f>
        <v>0</v>
      </c>
      <c r="R36" s="64">
        <f>+'Luindi S5'!R36+'Mardi S5'!R36+'Mercredi S5'!R36+'Jeudi S5'!R36+'Vendredi S5'!R36+'Samedi S5'!R36</f>
        <v>3</v>
      </c>
      <c r="S36" s="65">
        <f>+'Luindi S5'!S36+'Mardi S5'!S36+'Mercredi S5'!S36+'Jeudi S5'!S36+'Vendredi S5'!S36+'Samedi S5'!S36</f>
        <v>0.99999999999999989</v>
      </c>
      <c r="T36" s="65">
        <f>+'Luindi S5'!T36+'Mardi S5'!T36+'Mercredi S5'!T36+'Jeudi S5'!T36+'Vendredi S5'!T36+'Samedi S5'!T36</f>
        <v>0.6</v>
      </c>
      <c r="U36" s="65">
        <f>+'Luindi S5'!U36+'Mardi S5'!U36+'Mercredi S5'!U36+'Jeudi S5'!U36+'Vendredi S5'!U36+'Samedi S5'!U36</f>
        <v>3.6</v>
      </c>
      <c r="V36" s="66">
        <f>+'Luindi S5'!V36+'Mardi S5'!V36+'Mercredi S5'!V36+'Jeudi S5'!V36+'Vendredi S5'!V36+'Samedi S5'!V36</f>
        <v>0.9</v>
      </c>
      <c r="W36" s="29">
        <f>+'Luindi S5'!W36+'Mardi S5'!W36+'Mercredi S5'!W36+'Jeudi S5'!W36+'Vendredi S5'!W36+'Samedi S5'!W36</f>
        <v>0</v>
      </c>
      <c r="X36" s="30">
        <f>+'Luindi S5'!X36+'Mardi S5'!X36+'Mercredi S5'!X36+'Jeudi S5'!X36+'Vendredi S5'!X36+'Samedi S5'!X36</f>
        <v>0</v>
      </c>
      <c r="Y36" s="30">
        <f>+'Luindi S5'!Y36+'Mardi S5'!Y36+'Mercredi S5'!Y36+'Jeudi S5'!Y36+'Vendredi S5'!Y36+'Samedi S5'!Y36</f>
        <v>0</v>
      </c>
      <c r="Z36" s="30">
        <f>+'Luindi S5'!Z36+'Mardi S5'!Z36+'Mercredi S5'!Z36+'Jeudi S5'!Z36+'Vendredi S5'!Z36+'Samedi S5'!Z36</f>
        <v>0</v>
      </c>
      <c r="AA36" s="31">
        <f>+'Luindi S5'!AA36+'Mardi S5'!AA36+'Mercredi S5'!AA36+'Jeudi S5'!AA36+'Vendredi S5'!AA36+'Samedi S5'!AA36</f>
        <v>0</v>
      </c>
      <c r="AB36" s="29">
        <f>+'Luindi S5'!AB36+'Mardi S5'!AB36+'Mercredi S5'!AB36+'Jeudi S5'!AB36+'Vendredi S5'!AB36+'Samedi S5'!AB36</f>
        <v>0</v>
      </c>
      <c r="AC36" s="30">
        <f>+'Luindi S5'!AC36+'Mardi S5'!AC36+'Mercredi S5'!AC36+'Jeudi S5'!AC36+'Vendredi S5'!AC36+'Samedi S5'!AC36</f>
        <v>0</v>
      </c>
      <c r="AD36" s="30">
        <f>+'Luindi S5'!AD36+'Mardi S5'!AD36+'Mercredi S5'!AD36+'Jeudi S5'!AD36+'Vendredi S5'!AD36+'Samedi S5'!AD36</f>
        <v>0</v>
      </c>
      <c r="AE36" s="30">
        <f>+'Luindi S5'!AE36+'Mardi S5'!AE36+'Mercredi S5'!AE36+'Jeudi S5'!AE36+'Vendredi S5'!AE36+'Samedi S5'!AE36</f>
        <v>0</v>
      </c>
      <c r="AF36" s="31">
        <f>+'Luindi S5'!AF36+'Mardi S5'!AF36+'Mercredi S5'!AF36+'Jeudi S5'!AF36+'Vendredi S5'!AF36+'Samedi S5'!AF36</f>
        <v>0</v>
      </c>
      <c r="AG36" s="29">
        <f>+'Luindi S5'!AG36+'Mardi S5'!AG36+'Mercredi S5'!AG36+'Jeudi S5'!AG36+'Vendredi S5'!AG36+'Samedi S5'!AG36</f>
        <v>0</v>
      </c>
      <c r="AH36" s="30">
        <f>+'Luindi S5'!AH36+'Mardi S5'!AH36+'Mercredi S5'!AH36+'Jeudi S5'!AH36+'Vendredi S5'!AH36+'Samedi S5'!AH36</f>
        <v>0</v>
      </c>
      <c r="AI36" s="30">
        <f>+'Luindi S5'!AI36+'Mardi S5'!AI36+'Mercredi S5'!AI36+'Jeudi S5'!AI36+'Vendredi S5'!AI36+'Samedi S5'!AI36</f>
        <v>0</v>
      </c>
      <c r="AJ36" s="30">
        <f>+'Luindi S5'!AJ36+'Mardi S5'!AJ36+'Mercredi S5'!AJ36+'Jeudi S5'!AJ36+'Vendredi S5'!AJ36+'Samedi S5'!AJ36</f>
        <v>0</v>
      </c>
      <c r="AK36" s="31">
        <f>+'Luindi S5'!AK36+'Mardi S5'!AK36+'Mercredi S5'!AK36+'Jeudi S5'!AK36+'Vendredi S5'!AK36+'Samedi S5'!AK36</f>
        <v>0</v>
      </c>
      <c r="AL36" s="29">
        <f>+'Luindi S5'!AL36+'Mardi S5'!AL36+'Mercredi S5'!AL36+'Jeudi S5'!AL36+'Vendredi S5'!AL36+'Samedi S5'!AL36</f>
        <v>0</v>
      </c>
      <c r="AM36" s="30">
        <f>+'Luindi S5'!AM36+'Mardi S5'!AM36+'Mercredi S5'!AM36+'Jeudi S5'!AM36+'Vendredi S5'!AM36+'Samedi S5'!AM36</f>
        <v>0</v>
      </c>
      <c r="AN36" s="30">
        <f>+'Luindi S5'!AN36+'Mardi S5'!AN36+'Mercredi S5'!AN36+'Jeudi S5'!AN36+'Vendredi S5'!AN36+'Samedi S5'!AN36</f>
        <v>0</v>
      </c>
      <c r="AO36" s="30">
        <f>+'Luindi S5'!AO36+'Mardi S5'!AO36+'Mercredi S5'!AO36+'Jeudi S5'!AO36+'Vendredi S5'!AO36+'Samedi S5'!AO36</f>
        <v>0</v>
      </c>
      <c r="AP36" s="31">
        <f>+'Luindi S5'!AP36+'Mardi S5'!AP36+'Mercredi S5'!AP36+'Jeudi S5'!AP36+'Vendredi S5'!AP36+'Samedi S5'!AP36</f>
        <v>0</v>
      </c>
      <c r="AQ36" s="29">
        <f>+'Luindi S5'!AQ36+'Mardi S5'!AQ36+'Mercredi S5'!AQ36+'Jeudi S5'!AQ36+'Vendredi S5'!AQ36+'Samedi S5'!AQ36</f>
        <v>0</v>
      </c>
      <c r="AR36" s="30">
        <f>+'Luindi S5'!AR36+'Mardi S5'!AR36+'Mercredi S5'!AR36+'Jeudi S5'!AR36+'Vendredi S5'!AR36+'Samedi S5'!AR36</f>
        <v>0</v>
      </c>
      <c r="AS36" s="31">
        <f>+'Luindi S5'!AS36+'Mardi S5'!AS36+'Mercredi S5'!AS36+'Jeudi S5'!AS36+'Vendredi S5'!AS36+'Samedi S5'!AS36</f>
        <v>0</v>
      </c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2700</v>
      </c>
      <c r="D37" s="40">
        <f t="shared" ref="D37:AS37" si="0">SUM(D7:D36)</f>
        <v>540</v>
      </c>
      <c r="E37" s="40">
        <f t="shared" si="0"/>
        <v>900</v>
      </c>
      <c r="F37" s="40">
        <f t="shared" si="0"/>
        <v>360</v>
      </c>
      <c r="G37" s="41">
        <f t="shared" si="0"/>
        <v>900</v>
      </c>
      <c r="H37" s="39">
        <f t="shared" si="0"/>
        <v>540</v>
      </c>
      <c r="I37" s="40">
        <f t="shared" si="0"/>
        <v>180</v>
      </c>
      <c r="J37" s="40">
        <f t="shared" si="0"/>
        <v>180</v>
      </c>
      <c r="K37" s="40">
        <f t="shared" si="0"/>
        <v>180</v>
      </c>
      <c r="L37" s="41">
        <f t="shared" si="0"/>
        <v>180</v>
      </c>
      <c r="M37" s="39">
        <f t="shared" si="0"/>
        <v>540</v>
      </c>
      <c r="N37" s="40">
        <f t="shared" si="0"/>
        <v>180</v>
      </c>
      <c r="O37" s="40">
        <f t="shared" si="0"/>
        <v>540</v>
      </c>
      <c r="P37" s="40">
        <f t="shared" si="0"/>
        <v>0</v>
      </c>
      <c r="Q37" s="41">
        <f t="shared" si="0"/>
        <v>0</v>
      </c>
      <c r="R37" s="39">
        <f>SUM(R7:R36)</f>
        <v>90</v>
      </c>
      <c r="S37" s="40">
        <f t="shared" si="0"/>
        <v>29.999999999999996</v>
      </c>
      <c r="T37" s="40">
        <f t="shared" si="0"/>
        <v>18</v>
      </c>
      <c r="U37" s="40">
        <f t="shared" si="0"/>
        <v>107.99999999999994</v>
      </c>
      <c r="V37" s="41">
        <f t="shared" si="0"/>
        <v>26.999999999999986</v>
      </c>
      <c r="W37" s="39">
        <f t="shared" si="0"/>
        <v>6</v>
      </c>
      <c r="X37" s="40">
        <f t="shared" si="0"/>
        <v>6</v>
      </c>
      <c r="Y37" s="40">
        <f t="shared" si="0"/>
        <v>6</v>
      </c>
      <c r="Z37" s="40">
        <f t="shared" si="0"/>
        <v>6</v>
      </c>
      <c r="AA37" s="41">
        <f t="shared" si="0"/>
        <v>6</v>
      </c>
      <c r="AB37" s="39">
        <f t="shared" si="0"/>
        <v>6</v>
      </c>
      <c r="AC37" s="40">
        <f t="shared" si="0"/>
        <v>6</v>
      </c>
      <c r="AD37" s="40">
        <f t="shared" si="0"/>
        <v>6</v>
      </c>
      <c r="AE37" s="40">
        <f t="shared" si="0"/>
        <v>6</v>
      </c>
      <c r="AF37" s="41">
        <f t="shared" si="0"/>
        <v>6</v>
      </c>
      <c r="AG37" s="39">
        <f t="shared" si="0"/>
        <v>6</v>
      </c>
      <c r="AH37" s="40">
        <f t="shared" si="0"/>
        <v>6</v>
      </c>
      <c r="AI37" s="40">
        <f t="shared" si="0"/>
        <v>6</v>
      </c>
      <c r="AJ37" s="40">
        <f t="shared" si="0"/>
        <v>6</v>
      </c>
      <c r="AK37" s="41">
        <f t="shared" si="0"/>
        <v>6</v>
      </c>
      <c r="AL37" s="39">
        <f t="shared" si="0"/>
        <v>6</v>
      </c>
      <c r="AM37" s="40">
        <f t="shared" si="0"/>
        <v>6</v>
      </c>
      <c r="AN37" s="40">
        <f t="shared" si="0"/>
        <v>6</v>
      </c>
      <c r="AO37" s="40">
        <f t="shared" si="0"/>
        <v>6</v>
      </c>
      <c r="AP37" s="41">
        <f t="shared" si="0"/>
        <v>6</v>
      </c>
      <c r="AQ37" s="39">
        <f t="shared" si="0"/>
        <v>6</v>
      </c>
      <c r="AR37" s="40">
        <f t="shared" si="0"/>
        <v>6</v>
      </c>
      <c r="AS37" s="41">
        <f t="shared" si="0"/>
        <v>6</v>
      </c>
      <c r="AT37" s="25">
        <f t="shared" ref="AT37:AU37" si="1">SUM(AT7:AT36)</f>
        <v>0</v>
      </c>
      <c r="AU37" s="2">
        <f t="shared" si="1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45DA-0628-4F8B-87D7-5E6971793909}">
  <dimension ref="A2:AU37"/>
  <sheetViews>
    <sheetView zoomScale="56" zoomScaleNormal="56" workbookViewId="0">
      <pane xSplit="2" ySplit="6" topLeftCell="C30" activePane="bottomRight" state="frozen"/>
      <selection activeCell="Z30" sqref="Z30"/>
      <selection pane="topRight" activeCell="Z30" sqref="Z30"/>
      <selection pane="bottomLeft" activeCell="Z30" sqref="Z30"/>
      <selection pane="bottomRight" activeCell="I38" sqref="I38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45" width="8.85546875" style="38" customWidth="1"/>
    <col min="46" max="46" width="60.7109375" style="5" customWidth="1"/>
    <col min="47" max="47" width="62.85546875" style="5" customWidth="1"/>
    <col min="48" max="48" width="36.5703125" style="1" customWidth="1"/>
    <col min="49" max="16384" width="9.28515625" style="1"/>
  </cols>
  <sheetData>
    <row r="2" spans="1:47" x14ac:dyDescent="0.25">
      <c r="C2" s="38">
        <f>+'Lundi S1'!C3</f>
        <v>15</v>
      </c>
      <c r="D2" s="38">
        <f>+'Lundi S1'!D3</f>
        <v>3</v>
      </c>
      <c r="E2" s="38">
        <f>+'Lundi S1'!E3</f>
        <v>5</v>
      </c>
      <c r="F2" s="38">
        <f>+'Lundi S1'!F3</f>
        <v>2</v>
      </c>
      <c r="G2" s="38">
        <f>+'Lundi S1'!G3</f>
        <v>5</v>
      </c>
      <c r="H2" s="38">
        <f>+'Lundi S1'!H3</f>
        <v>3</v>
      </c>
      <c r="I2" s="38">
        <f>+'Lundi S1'!I3</f>
        <v>1</v>
      </c>
      <c r="J2" s="38">
        <f>+'Lundi S1'!J3</f>
        <v>1</v>
      </c>
      <c r="K2" s="38">
        <f>+'Lundi S1'!K3</f>
        <v>1</v>
      </c>
      <c r="L2" s="38">
        <f>+'Lundi S1'!L3</f>
        <v>1</v>
      </c>
      <c r="M2" s="38">
        <f>+'Lundi S1'!M3</f>
        <v>3</v>
      </c>
      <c r="N2" s="38">
        <f>+'Lundi S1'!N3</f>
        <v>1</v>
      </c>
      <c r="O2" s="38">
        <f>+'Lundi S1'!O3</f>
        <v>3</v>
      </c>
      <c r="P2" s="38">
        <f>+'Lundi S1'!P3</f>
        <v>0</v>
      </c>
      <c r="Q2" s="38">
        <f>+'Lundi S1'!Q3</f>
        <v>0</v>
      </c>
      <c r="R2" s="42">
        <f>+'Lundi S1'!R3</f>
        <v>0.5</v>
      </c>
      <c r="S2" s="42">
        <f>+'Lundi S1'!S3</f>
        <v>0.16666666666666666</v>
      </c>
      <c r="T2" s="38">
        <f>+'Lundi S1'!T3</f>
        <v>0.1</v>
      </c>
      <c r="U2" s="42">
        <f>+'Lundi S1'!U3</f>
        <v>0.6</v>
      </c>
      <c r="V2" s="42">
        <f>+'Lundi S1'!V3</f>
        <v>0.15</v>
      </c>
    </row>
    <row r="3" spans="1:47" ht="18.75" thickBot="1" x14ac:dyDescent="0.3"/>
    <row r="4" spans="1:47" ht="57.75" customHeight="1" thickBot="1" x14ac:dyDescent="0.25">
      <c r="C4" s="135" t="s">
        <v>1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2" t="s">
        <v>25</v>
      </c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4"/>
      <c r="AT4" s="120" t="s">
        <v>6</v>
      </c>
      <c r="AU4" s="120" t="s">
        <v>7</v>
      </c>
    </row>
    <row r="5" spans="1:47" ht="69.75" customHeight="1" thickBot="1" x14ac:dyDescent="0.25">
      <c r="A5" s="124" t="s">
        <v>28</v>
      </c>
      <c r="B5" s="124" t="s">
        <v>10</v>
      </c>
      <c r="C5" s="137" t="s">
        <v>11</v>
      </c>
      <c r="D5" s="138"/>
      <c r="E5" s="138"/>
      <c r="F5" s="138"/>
      <c r="G5" s="139"/>
      <c r="H5" s="137" t="s">
        <v>17</v>
      </c>
      <c r="I5" s="138"/>
      <c r="J5" s="138"/>
      <c r="K5" s="138"/>
      <c r="L5" s="139"/>
      <c r="M5" s="126" t="s">
        <v>18</v>
      </c>
      <c r="N5" s="127"/>
      <c r="O5" s="127"/>
      <c r="P5" s="127"/>
      <c r="Q5" s="128"/>
      <c r="R5" s="126" t="s">
        <v>29</v>
      </c>
      <c r="S5" s="127"/>
      <c r="T5" s="127"/>
      <c r="U5" s="127"/>
      <c r="V5" s="128"/>
      <c r="W5" s="117" t="s">
        <v>11</v>
      </c>
      <c r="X5" s="118"/>
      <c r="Y5" s="118"/>
      <c r="Z5" s="118"/>
      <c r="AA5" s="119"/>
      <c r="AB5" s="117" t="s">
        <v>17</v>
      </c>
      <c r="AC5" s="118"/>
      <c r="AD5" s="118"/>
      <c r="AE5" s="118"/>
      <c r="AF5" s="119"/>
      <c r="AG5" s="129" t="s">
        <v>18</v>
      </c>
      <c r="AH5" s="130"/>
      <c r="AI5" s="130"/>
      <c r="AJ5" s="130"/>
      <c r="AK5" s="131"/>
      <c r="AL5" s="129" t="s">
        <v>29</v>
      </c>
      <c r="AM5" s="130"/>
      <c r="AN5" s="130"/>
      <c r="AO5" s="130"/>
      <c r="AP5" s="131"/>
      <c r="AQ5" s="129" t="s">
        <v>26</v>
      </c>
      <c r="AR5" s="130"/>
      <c r="AS5" s="131"/>
      <c r="AT5" s="121"/>
      <c r="AU5" s="121"/>
    </row>
    <row r="6" spans="1:47" ht="222.75" customHeight="1" thickBot="1" x14ac:dyDescent="0.25">
      <c r="A6" s="125"/>
      <c r="B6" s="125"/>
      <c r="C6" s="34" t="s">
        <v>12</v>
      </c>
      <c r="D6" s="17" t="s">
        <v>13</v>
      </c>
      <c r="E6" s="17" t="s">
        <v>14</v>
      </c>
      <c r="F6" s="17" t="s">
        <v>15</v>
      </c>
      <c r="G6" s="35" t="s">
        <v>16</v>
      </c>
      <c r="H6" s="34" t="s">
        <v>12</v>
      </c>
      <c r="I6" s="17" t="s">
        <v>13</v>
      </c>
      <c r="J6" s="17" t="s">
        <v>14</v>
      </c>
      <c r="K6" s="17" t="s">
        <v>15</v>
      </c>
      <c r="L6" s="35" t="s">
        <v>16</v>
      </c>
      <c r="M6" s="34" t="s">
        <v>23</v>
      </c>
      <c r="N6" s="17" t="s">
        <v>24</v>
      </c>
      <c r="O6" s="17" t="s">
        <v>20</v>
      </c>
      <c r="P6" s="17" t="s">
        <v>21</v>
      </c>
      <c r="Q6" s="35" t="s">
        <v>22</v>
      </c>
      <c r="R6" s="34" t="s">
        <v>2</v>
      </c>
      <c r="S6" s="17" t="s">
        <v>3</v>
      </c>
      <c r="T6" s="17" t="s">
        <v>27</v>
      </c>
      <c r="U6" s="17" t="s">
        <v>4</v>
      </c>
      <c r="V6" s="35" t="s">
        <v>5</v>
      </c>
      <c r="W6" s="36" t="s">
        <v>12</v>
      </c>
      <c r="X6" s="18" t="s">
        <v>13</v>
      </c>
      <c r="Y6" s="18" t="s">
        <v>14</v>
      </c>
      <c r="Z6" s="18" t="s">
        <v>15</v>
      </c>
      <c r="AA6" s="37" t="s">
        <v>16</v>
      </c>
      <c r="AB6" s="36" t="s">
        <v>12</v>
      </c>
      <c r="AC6" s="18" t="s">
        <v>13</v>
      </c>
      <c r="AD6" s="18" t="s">
        <v>14</v>
      </c>
      <c r="AE6" s="18" t="s">
        <v>15</v>
      </c>
      <c r="AF6" s="37" t="s">
        <v>16</v>
      </c>
      <c r="AG6" s="36" t="s">
        <v>23</v>
      </c>
      <c r="AH6" s="18" t="s">
        <v>24</v>
      </c>
      <c r="AI6" s="18" t="s">
        <v>20</v>
      </c>
      <c r="AJ6" s="18" t="s">
        <v>21</v>
      </c>
      <c r="AK6" s="37" t="s">
        <v>22</v>
      </c>
      <c r="AL6" s="36" t="s">
        <v>2</v>
      </c>
      <c r="AM6" s="18" t="s">
        <v>3</v>
      </c>
      <c r="AN6" s="18" t="s">
        <v>27</v>
      </c>
      <c r="AO6" s="18" t="s">
        <v>4</v>
      </c>
      <c r="AP6" s="37" t="s">
        <v>5</v>
      </c>
      <c r="AQ6" s="36" t="s">
        <v>2</v>
      </c>
      <c r="AR6" s="18" t="s">
        <v>27</v>
      </c>
      <c r="AS6" s="37" t="s">
        <v>4</v>
      </c>
      <c r="AT6" s="122"/>
      <c r="AU6" s="122"/>
    </row>
    <row r="7" spans="1:47" ht="31.9" customHeight="1" x14ac:dyDescent="0.2">
      <c r="A7" s="26">
        <v>1</v>
      </c>
      <c r="B7" s="19"/>
      <c r="C7" s="6">
        <f>'Synthèse S1'!C7+'Synthèse S2'!C7+'Synthèse S3'!C7+'Synthèse S4'!C7+'Synthèse S5'!C7</f>
        <v>450</v>
      </c>
      <c r="D7" s="7">
        <f>'Synthèse S1'!D7+'Synthèse S2'!D7+'Synthèse S3'!D7+'Synthèse S4'!D7+'Synthèse S5'!D7</f>
        <v>90</v>
      </c>
      <c r="E7" s="7">
        <f>'Synthèse S1'!E7+'Synthèse S2'!E7+'Synthèse S3'!E7+'Synthèse S4'!E7+'Synthèse S5'!E7</f>
        <v>150</v>
      </c>
      <c r="F7" s="7">
        <f>'Synthèse S1'!F7+'Synthèse S2'!F7+'Synthèse S3'!F7+'Synthèse S4'!F7+'Synthèse S5'!F7</f>
        <v>60</v>
      </c>
      <c r="G7" s="8">
        <f>'Synthèse S1'!G7+'Synthèse S2'!G7+'Synthèse S3'!G7+'Synthèse S4'!G7+'Synthèse S5'!G7</f>
        <v>150</v>
      </c>
      <c r="H7" s="6">
        <f>'Synthèse S1'!H7+'Synthèse S2'!H7+'Synthèse S3'!H7+'Synthèse S4'!H7+'Synthèse S5'!H7</f>
        <v>90</v>
      </c>
      <c r="I7" s="7">
        <f>'Synthèse S1'!I7+'Synthèse S2'!I7+'Synthèse S3'!I7+'Synthèse S4'!I7+'Synthèse S5'!I7</f>
        <v>30</v>
      </c>
      <c r="J7" s="7">
        <f>'Synthèse S1'!J7+'Synthèse S2'!J7+'Synthèse S3'!J7+'Synthèse S4'!J7+'Synthèse S5'!J7</f>
        <v>30</v>
      </c>
      <c r="K7" s="7">
        <f>'Synthèse S1'!K7+'Synthèse S2'!K7+'Synthèse S3'!K7+'Synthèse S4'!K7+'Synthèse S5'!K7</f>
        <v>30</v>
      </c>
      <c r="L7" s="8">
        <f>'Synthèse S1'!L7+'Synthèse S2'!L7+'Synthèse S3'!L7+'Synthèse S4'!L7+'Synthèse S5'!L7</f>
        <v>30</v>
      </c>
      <c r="M7" s="6">
        <f>'Synthèse S1'!M7+'Synthèse S2'!M7+'Synthèse S3'!M7+'Synthèse S4'!M7+'Synthèse S5'!M7</f>
        <v>90</v>
      </c>
      <c r="N7" s="7">
        <f>'Synthèse S1'!N7+'Synthèse S2'!N7+'Synthèse S3'!N7+'Synthèse S4'!N7+'Synthèse S5'!N7</f>
        <v>30</v>
      </c>
      <c r="O7" s="7">
        <f>'Synthèse S1'!O7+'Synthèse S2'!O7+'Synthèse S3'!O7+'Synthèse S4'!O7+'Synthèse S5'!O7</f>
        <v>90</v>
      </c>
      <c r="P7" s="7">
        <f>'Synthèse S1'!P7+'Synthèse S2'!P7+'Synthèse S3'!P7+'Synthèse S4'!P7+'Synthèse S5'!P7</f>
        <v>0</v>
      </c>
      <c r="Q7" s="8">
        <f>'Synthèse S1'!Q7+'Synthèse S2'!Q7+'Synthèse S3'!Q7+'Synthèse S4'!Q7+'Synthèse S5'!Q7</f>
        <v>0</v>
      </c>
      <c r="R7" s="67">
        <f>'Synthèse S1'!R7+'Synthèse S2'!R7+'Synthèse S3'!R7+'Synthèse S4'!R7+'Synthèse S5'!R7</f>
        <v>15</v>
      </c>
      <c r="S7" s="68">
        <f>'Synthèse S1'!S7+'Synthèse S2'!S7+'Synthèse S3'!S7+'Synthèse S4'!S7+'Synthèse S5'!S7</f>
        <v>4.9999999999999991</v>
      </c>
      <c r="T7" s="68">
        <f>'Synthèse S1'!T7+'Synthèse S2'!T7+'Synthèse S3'!T7+'Synthèse S4'!T7+'Synthèse S5'!T7</f>
        <v>3</v>
      </c>
      <c r="U7" s="68">
        <f>'Synthèse S1'!U7+'Synthèse S2'!U7+'Synthèse S3'!U7+'Synthèse S4'!U7+'Synthèse S5'!U7</f>
        <v>18</v>
      </c>
      <c r="V7" s="69">
        <f>'Synthèse S1'!V7+'Synthèse S2'!V7+'Synthèse S3'!V7+'Synthèse S4'!V7+'Synthèse S5'!V7</f>
        <v>4.5</v>
      </c>
      <c r="W7" s="6">
        <f>'Synthèse S1'!W7+'Synthèse S2'!W7+'Synthèse S3'!W7+'Synthèse S4'!W7+'Synthèse S5'!W7</f>
        <v>150</v>
      </c>
      <c r="X7" s="7">
        <f>'Synthèse S1'!X7+'Synthèse S2'!X7+'Synthèse S3'!X7+'Synthèse S4'!X7+'Synthèse S5'!X7</f>
        <v>29</v>
      </c>
      <c r="Y7" s="7">
        <f>'Synthèse S1'!Y7+'Synthèse S2'!Y7+'Synthèse S3'!Y7+'Synthèse S4'!Y7+'Synthèse S5'!Y7</f>
        <v>27</v>
      </c>
      <c r="Z7" s="7">
        <f>'Synthèse S1'!Z7+'Synthèse S2'!Z7+'Synthèse S3'!Z7+'Synthèse S4'!Z7+'Synthèse S5'!Z7</f>
        <v>40</v>
      </c>
      <c r="AA7" s="8">
        <f>'Synthèse S1'!AA7+'Synthèse S2'!AA7+'Synthèse S3'!AA7+'Synthèse S4'!AA7+'Synthèse S5'!AA7</f>
        <v>34</v>
      </c>
      <c r="AB7" s="6">
        <f>'Synthèse S1'!AB7+'Synthèse S2'!AB7+'Synthèse S3'!AB7+'Synthèse S4'!AB7+'Synthèse S5'!AB7</f>
        <v>92</v>
      </c>
      <c r="AC7" s="7">
        <f>'Synthèse S1'!AC7+'Synthèse S2'!AC7+'Synthèse S3'!AC7+'Synthèse S4'!AC7+'Synthèse S5'!AC7</f>
        <v>25</v>
      </c>
      <c r="AD7" s="7">
        <f>'Synthèse S1'!AD7+'Synthèse S2'!AD7+'Synthèse S3'!AD7+'Synthèse S4'!AD7+'Synthèse S5'!AD7</f>
        <v>26</v>
      </c>
      <c r="AE7" s="7">
        <f>'Synthèse S1'!AE7+'Synthèse S2'!AE7+'Synthèse S3'!AE7+'Synthèse S4'!AE7+'Synthèse S5'!AE7</f>
        <v>31</v>
      </c>
      <c r="AF7" s="8">
        <f>'Synthèse S1'!AF7+'Synthèse S2'!AF7+'Synthèse S3'!AF7+'Synthèse S4'!AF7+'Synthèse S5'!AF7</f>
        <v>27</v>
      </c>
      <c r="AG7" s="6">
        <f>'Synthèse S1'!AG7+'Synthèse S2'!AG7+'Synthèse S3'!AG7+'Synthèse S4'!AG7+'Synthèse S5'!AG7</f>
        <v>50</v>
      </c>
      <c r="AH7" s="7">
        <f>'Synthèse S1'!AH7+'Synthèse S2'!AH7+'Synthèse S3'!AH7+'Synthèse S4'!AH7+'Synthèse S5'!AH7</f>
        <v>25</v>
      </c>
      <c r="AI7" s="7">
        <f>'Synthèse S1'!AI7+'Synthèse S2'!AI7+'Synthèse S3'!AI7+'Synthèse S4'!AI7+'Synthèse S5'!AI7</f>
        <v>50</v>
      </c>
      <c r="AJ7" s="7">
        <f>'Synthèse S1'!AJ7+'Synthèse S2'!AJ7+'Synthèse S3'!AJ7+'Synthèse S4'!AJ7+'Synthèse S5'!AJ7</f>
        <v>25</v>
      </c>
      <c r="AK7" s="8">
        <f>'Synthèse S1'!AK7+'Synthèse S2'!AK7+'Synthèse S3'!AK7+'Synthèse S4'!AK7+'Synthèse S5'!AK7</f>
        <v>25</v>
      </c>
      <c r="AL7" s="6">
        <f>'Synthèse S1'!AL7+'Synthèse S2'!AL7+'Synthèse S3'!AL7+'Synthèse S4'!AL7+'Synthèse S5'!AL7</f>
        <v>27.59</v>
      </c>
      <c r="AM7" s="7">
        <f>'Synthèse S1'!AM7+'Synthèse S2'!AM7+'Synthèse S3'!AM7+'Synthèse S4'!AM7+'Synthèse S5'!AM7</f>
        <v>25</v>
      </c>
      <c r="AN7" s="7">
        <f>'Synthèse S1'!AN7+'Synthèse S2'!AN7+'Synthèse S3'!AN7+'Synthèse S4'!AN7+'Synthèse S5'!AN7</f>
        <v>25.25</v>
      </c>
      <c r="AO7" s="7">
        <f>'Synthèse S1'!AO7+'Synthèse S2'!AO7+'Synthèse S3'!AO7+'Synthèse S4'!AO7+'Synthèse S5'!AO7</f>
        <v>27.7</v>
      </c>
      <c r="AP7" s="8">
        <f>'Synthèse S1'!AP7+'Synthèse S2'!AP7+'Synthèse S3'!AP7+'Synthèse S4'!AP7+'Synthèse S5'!AP7</f>
        <v>29</v>
      </c>
      <c r="AQ7" s="6">
        <f>'Synthèse S1'!AQ7+'Synthèse S2'!AQ7+'Synthèse S3'!AQ7+'Synthèse S4'!AQ7+'Synthèse S5'!AQ7</f>
        <v>61</v>
      </c>
      <c r="AR7" s="7">
        <f>'Synthèse S1'!AR7+'Synthèse S2'!AR7+'Synthèse S3'!AR7+'Synthèse S4'!AR7+'Synthèse S5'!AR7</f>
        <v>25</v>
      </c>
      <c r="AS7" s="8">
        <f>'Synthèse S1'!AS7+'Synthèse S2'!AS7+'Synthèse S3'!AS7+'Synthèse S4'!AS7+'Synthèse S5'!AS7</f>
        <v>92</v>
      </c>
      <c r="AT7" s="20"/>
      <c r="AU7" s="15"/>
    </row>
    <row r="8" spans="1:47" ht="31.9" customHeight="1" x14ac:dyDescent="0.2">
      <c r="A8" s="26">
        <v>2</v>
      </c>
      <c r="B8" s="19"/>
      <c r="C8" s="9">
        <f>'Synthèse S1'!C8+'Synthèse S2'!C8+'Synthèse S3'!C8+'Synthèse S4'!C8+'Synthèse S5'!C8</f>
        <v>450</v>
      </c>
      <c r="D8" s="10">
        <f>'Synthèse S1'!D8+'Synthèse S2'!D8+'Synthèse S3'!D8+'Synthèse S4'!D8+'Synthèse S5'!D8</f>
        <v>90</v>
      </c>
      <c r="E8" s="10">
        <f>'Synthèse S1'!E8+'Synthèse S2'!E8+'Synthèse S3'!E8+'Synthèse S4'!E8+'Synthèse S5'!E8</f>
        <v>150</v>
      </c>
      <c r="F8" s="10">
        <f>'Synthèse S1'!F8+'Synthèse S2'!F8+'Synthèse S3'!F8+'Synthèse S4'!F8+'Synthèse S5'!F8</f>
        <v>60</v>
      </c>
      <c r="G8" s="11">
        <f>'Synthèse S1'!G8+'Synthèse S2'!G8+'Synthèse S3'!G8+'Synthèse S4'!G8+'Synthèse S5'!G8</f>
        <v>150</v>
      </c>
      <c r="H8" s="9">
        <f>'Synthèse S1'!H8+'Synthèse S2'!H8+'Synthèse S3'!H8+'Synthèse S4'!H8+'Synthèse S5'!H8</f>
        <v>90</v>
      </c>
      <c r="I8" s="10">
        <f>'Synthèse S1'!I8+'Synthèse S2'!I8+'Synthèse S3'!I8+'Synthèse S4'!I8+'Synthèse S5'!I8</f>
        <v>30</v>
      </c>
      <c r="J8" s="10">
        <f>'Synthèse S1'!J8+'Synthèse S2'!J8+'Synthèse S3'!J8+'Synthèse S4'!J8+'Synthèse S5'!J8</f>
        <v>30</v>
      </c>
      <c r="K8" s="10">
        <f>'Synthèse S1'!K8+'Synthèse S2'!K8+'Synthèse S3'!K8+'Synthèse S4'!K8+'Synthèse S5'!K8</f>
        <v>30</v>
      </c>
      <c r="L8" s="11">
        <f>'Synthèse S1'!L8+'Synthèse S2'!L8+'Synthèse S3'!L8+'Synthèse S4'!L8+'Synthèse S5'!L8</f>
        <v>30</v>
      </c>
      <c r="M8" s="9">
        <f>'Synthèse S1'!M8+'Synthèse S2'!M8+'Synthèse S3'!M8+'Synthèse S4'!M8+'Synthèse S5'!M8</f>
        <v>90</v>
      </c>
      <c r="N8" s="10">
        <f>'Synthèse S1'!N8+'Synthèse S2'!N8+'Synthèse S3'!N8+'Synthèse S4'!N8+'Synthèse S5'!N8</f>
        <v>30</v>
      </c>
      <c r="O8" s="10">
        <f>'Synthèse S1'!O8+'Synthèse S2'!O8+'Synthèse S3'!O8+'Synthèse S4'!O8+'Synthèse S5'!O8</f>
        <v>90</v>
      </c>
      <c r="P8" s="10">
        <f>'Synthèse S1'!P8+'Synthèse S2'!P8+'Synthèse S3'!P8+'Synthèse S4'!P8+'Synthèse S5'!P8</f>
        <v>0</v>
      </c>
      <c r="Q8" s="11">
        <f>'Synthèse S1'!Q8+'Synthèse S2'!Q8+'Synthèse S3'!Q8+'Synthèse S4'!Q8+'Synthèse S5'!Q8</f>
        <v>0</v>
      </c>
      <c r="R8" s="70">
        <f>'Synthèse S1'!R8+'Synthèse S2'!R8+'Synthèse S3'!R8+'Synthèse S4'!R8+'Synthèse S5'!R8</f>
        <v>15</v>
      </c>
      <c r="S8" s="71">
        <f>'Synthèse S1'!S8+'Synthèse S2'!S8+'Synthèse S3'!S8+'Synthèse S4'!S8+'Synthèse S5'!S8</f>
        <v>4.9999999999999991</v>
      </c>
      <c r="T8" s="71">
        <f>'Synthèse S1'!T8+'Synthèse S2'!T8+'Synthèse S3'!T8+'Synthèse S4'!T8+'Synthèse S5'!T8</f>
        <v>3</v>
      </c>
      <c r="U8" s="71">
        <f>'Synthèse S1'!U8+'Synthèse S2'!U8+'Synthèse S3'!U8+'Synthèse S4'!U8+'Synthèse S5'!U8</f>
        <v>18</v>
      </c>
      <c r="V8" s="72">
        <f>'Synthèse S1'!V8+'Synthèse S2'!V8+'Synthèse S3'!V8+'Synthèse S4'!V8+'Synthèse S5'!V8</f>
        <v>4.5</v>
      </c>
      <c r="W8" s="9">
        <f>'Synthèse S1'!W8+'Synthèse S2'!W8+'Synthèse S3'!W8+'Synthèse S4'!W8+'Synthèse S5'!W8</f>
        <v>129</v>
      </c>
      <c r="X8" s="10">
        <f>'Synthèse S1'!X8+'Synthèse S2'!X8+'Synthèse S3'!X8+'Synthèse S4'!X8+'Synthèse S5'!X8</f>
        <v>0</v>
      </c>
      <c r="Y8" s="10">
        <f>'Synthèse S1'!Y8+'Synthèse S2'!Y8+'Synthèse S3'!Y8+'Synthèse S4'!Y8+'Synthèse S5'!Y8</f>
        <v>2</v>
      </c>
      <c r="Z8" s="10">
        <f>'Synthèse S1'!Z8+'Synthèse S2'!Z8+'Synthèse S3'!Z8+'Synthèse S4'!Z8+'Synthèse S5'!Z8</f>
        <v>15</v>
      </c>
      <c r="AA8" s="11">
        <f>'Synthèse S1'!AA8+'Synthèse S2'!AA8+'Synthèse S3'!AA8+'Synthèse S4'!AA8+'Synthèse S5'!AA8</f>
        <v>1</v>
      </c>
      <c r="AB8" s="9">
        <f>'Synthèse S1'!AB8+'Synthèse S2'!AB8+'Synthèse S3'!AB8+'Synthèse S4'!AB8+'Synthèse S5'!AB8</f>
        <v>55</v>
      </c>
      <c r="AC8" s="10">
        <f>'Synthèse S1'!AC8+'Synthèse S2'!AC8+'Synthèse S3'!AC8+'Synthèse S4'!AC8+'Synthèse S5'!AC8</f>
        <v>0</v>
      </c>
      <c r="AD8" s="10">
        <f>'Synthèse S1'!AD8+'Synthèse S2'!AD8+'Synthèse S3'!AD8+'Synthèse S4'!AD8+'Synthèse S5'!AD8</f>
        <v>2</v>
      </c>
      <c r="AE8" s="10">
        <f>'Synthèse S1'!AE8+'Synthèse S2'!AE8+'Synthèse S3'!AE8+'Synthèse S4'!AE8+'Synthèse S5'!AE8</f>
        <v>4</v>
      </c>
      <c r="AF8" s="11">
        <f>'Synthèse S1'!AF8+'Synthèse S2'!AF8+'Synthèse S3'!AF8+'Synthèse S4'!AF8+'Synthèse S5'!AF8</f>
        <v>0</v>
      </c>
      <c r="AG8" s="9">
        <f>'Synthèse S1'!AG8+'Synthèse S2'!AG8+'Synthèse S3'!AG8+'Synthèse S4'!AG8+'Synthèse S5'!AG8</f>
        <v>25</v>
      </c>
      <c r="AH8" s="10">
        <f>'Synthèse S1'!AH8+'Synthèse S2'!AH8+'Synthèse S3'!AH8+'Synthèse S4'!AH8+'Synthèse S5'!AH8</f>
        <v>0</v>
      </c>
      <c r="AI8" s="10">
        <f>'Synthèse S1'!AI8+'Synthèse S2'!AI8+'Synthèse S3'!AI8+'Synthèse S4'!AI8+'Synthèse S5'!AI8</f>
        <v>25</v>
      </c>
      <c r="AJ8" s="10">
        <f>'Synthèse S1'!AJ8+'Synthèse S2'!AJ8+'Synthèse S3'!AJ8+'Synthèse S4'!AJ8+'Synthèse S5'!AJ8</f>
        <v>0</v>
      </c>
      <c r="AK8" s="11">
        <f>'Synthèse S1'!AK8+'Synthèse S2'!AK8+'Synthèse S3'!AK8+'Synthèse S4'!AK8+'Synthèse S5'!AK8</f>
        <v>0</v>
      </c>
      <c r="AL8" s="9">
        <f>'Synthèse S1'!AL8+'Synthèse S2'!AL8+'Synthèse S3'!AL8+'Synthèse S4'!AL8+'Synthèse S5'!AL8</f>
        <v>2.42</v>
      </c>
      <c r="AM8" s="10">
        <f>'Synthèse S1'!AM8+'Synthèse S2'!AM8+'Synthèse S3'!AM8+'Synthèse S4'!AM8+'Synthèse S5'!AM8</f>
        <v>0</v>
      </c>
      <c r="AN8" s="10">
        <f>'Synthèse S1'!AN8+'Synthèse S2'!AN8+'Synthèse S3'!AN8+'Synthèse S4'!AN8+'Synthèse S5'!AN8</f>
        <v>0.75</v>
      </c>
      <c r="AO8" s="10">
        <f>'Synthèse S1'!AO8+'Synthèse S2'!AO8+'Synthèse S3'!AO8+'Synthèse S4'!AO8+'Synthèse S5'!AO8</f>
        <v>1.5</v>
      </c>
      <c r="AP8" s="11">
        <f>'Synthèse S1'!AP8+'Synthèse S2'!AP8+'Synthèse S3'!AP8+'Synthèse S4'!AP8+'Synthèse S5'!AP8</f>
        <v>1.7</v>
      </c>
      <c r="AQ8" s="9">
        <f>'Synthèse S1'!AQ8+'Synthèse S2'!AQ8+'Synthèse S3'!AQ8+'Synthèse S4'!AQ8+'Synthèse S5'!AQ8</f>
        <v>49</v>
      </c>
      <c r="AR8" s="10">
        <f>'Synthèse S1'!AR8+'Synthèse S2'!AR8+'Synthèse S3'!AR8+'Synthèse S4'!AR8+'Synthèse S5'!AR8</f>
        <v>0</v>
      </c>
      <c r="AS8" s="11">
        <f>'Synthèse S1'!AS8+'Synthèse S2'!AS8+'Synthèse S3'!AS8+'Synthèse S4'!AS8+'Synthèse S5'!AS8</f>
        <v>28</v>
      </c>
      <c r="AT8" s="21"/>
      <c r="AU8" s="14"/>
    </row>
    <row r="9" spans="1:47" ht="31.9" customHeight="1" x14ac:dyDescent="0.2">
      <c r="A9" s="26">
        <v>3</v>
      </c>
      <c r="B9" s="19"/>
      <c r="C9" s="9">
        <f>'Synthèse S1'!C9+'Synthèse S2'!C9+'Synthèse S3'!C9+'Synthèse S4'!C9+'Synthèse S5'!C9</f>
        <v>450</v>
      </c>
      <c r="D9" s="10">
        <f>'Synthèse S1'!D9+'Synthèse S2'!D9+'Synthèse S3'!D9+'Synthèse S4'!D9+'Synthèse S5'!D9</f>
        <v>90</v>
      </c>
      <c r="E9" s="10">
        <f>'Synthèse S1'!E9+'Synthèse S2'!E9+'Synthèse S3'!E9+'Synthèse S4'!E9+'Synthèse S5'!E9</f>
        <v>150</v>
      </c>
      <c r="F9" s="10">
        <f>'Synthèse S1'!F9+'Synthèse S2'!F9+'Synthèse S3'!F9+'Synthèse S4'!F9+'Synthèse S5'!F9</f>
        <v>60</v>
      </c>
      <c r="G9" s="11">
        <f>'Synthèse S1'!G9+'Synthèse S2'!G9+'Synthèse S3'!G9+'Synthèse S4'!G9+'Synthèse S5'!G9</f>
        <v>150</v>
      </c>
      <c r="H9" s="9">
        <f>'Synthèse S1'!H9+'Synthèse S2'!H9+'Synthèse S3'!H9+'Synthèse S4'!H9+'Synthèse S5'!H9</f>
        <v>90</v>
      </c>
      <c r="I9" s="10">
        <f>'Synthèse S1'!I9+'Synthèse S2'!I9+'Synthèse S3'!I9+'Synthèse S4'!I9+'Synthèse S5'!I9</f>
        <v>30</v>
      </c>
      <c r="J9" s="10">
        <f>'Synthèse S1'!J9+'Synthèse S2'!J9+'Synthèse S3'!J9+'Synthèse S4'!J9+'Synthèse S5'!J9</f>
        <v>30</v>
      </c>
      <c r="K9" s="10">
        <f>'Synthèse S1'!K9+'Synthèse S2'!K9+'Synthèse S3'!K9+'Synthèse S4'!K9+'Synthèse S5'!K9</f>
        <v>30</v>
      </c>
      <c r="L9" s="11">
        <f>'Synthèse S1'!L9+'Synthèse S2'!L9+'Synthèse S3'!L9+'Synthèse S4'!L9+'Synthèse S5'!L9</f>
        <v>30</v>
      </c>
      <c r="M9" s="9">
        <f>'Synthèse S1'!M9+'Synthèse S2'!M9+'Synthèse S3'!M9+'Synthèse S4'!M9+'Synthèse S5'!M9</f>
        <v>90</v>
      </c>
      <c r="N9" s="10">
        <f>'Synthèse S1'!N9+'Synthèse S2'!N9+'Synthèse S3'!N9+'Synthèse S4'!N9+'Synthèse S5'!N9</f>
        <v>30</v>
      </c>
      <c r="O9" s="10">
        <f>'Synthèse S1'!O9+'Synthèse S2'!O9+'Synthèse S3'!O9+'Synthèse S4'!O9+'Synthèse S5'!O9</f>
        <v>90</v>
      </c>
      <c r="P9" s="10">
        <f>'Synthèse S1'!P9+'Synthèse S2'!P9+'Synthèse S3'!P9+'Synthèse S4'!P9+'Synthèse S5'!P9</f>
        <v>0</v>
      </c>
      <c r="Q9" s="11">
        <f>'Synthèse S1'!Q9+'Synthèse S2'!Q9+'Synthèse S3'!Q9+'Synthèse S4'!Q9+'Synthèse S5'!Q9</f>
        <v>0</v>
      </c>
      <c r="R9" s="70">
        <f>'Synthèse S1'!R9+'Synthèse S2'!R9+'Synthèse S3'!R9+'Synthèse S4'!R9+'Synthèse S5'!R9</f>
        <v>15</v>
      </c>
      <c r="S9" s="71">
        <f>'Synthèse S1'!S9+'Synthèse S2'!S9+'Synthèse S3'!S9+'Synthèse S4'!S9+'Synthèse S5'!S9</f>
        <v>4.9999999999999991</v>
      </c>
      <c r="T9" s="71">
        <f>'Synthèse S1'!T9+'Synthèse S2'!T9+'Synthèse S3'!T9+'Synthèse S4'!T9+'Synthèse S5'!T9</f>
        <v>3</v>
      </c>
      <c r="U9" s="71">
        <f>'Synthèse S1'!U9+'Synthèse S2'!U9+'Synthèse S3'!U9+'Synthèse S4'!U9+'Synthèse S5'!U9</f>
        <v>18</v>
      </c>
      <c r="V9" s="72">
        <f>'Synthèse S1'!V9+'Synthèse S2'!V9+'Synthèse S3'!V9+'Synthèse S4'!V9+'Synthèse S5'!V9</f>
        <v>4.5</v>
      </c>
      <c r="W9" s="9">
        <f>'Synthèse S1'!W9+'Synthèse S2'!W9+'Synthèse S3'!W9+'Synthèse S4'!W9+'Synthèse S5'!W9</f>
        <v>134</v>
      </c>
      <c r="X9" s="10">
        <f>'Synthèse S1'!X9+'Synthèse S2'!X9+'Synthèse S3'!X9+'Synthèse S4'!X9+'Synthèse S5'!X9</f>
        <v>1</v>
      </c>
      <c r="Y9" s="10">
        <f>'Synthèse S1'!Y9+'Synthèse S2'!Y9+'Synthèse S3'!Y9+'Synthèse S4'!Y9+'Synthèse S5'!Y9</f>
        <v>5</v>
      </c>
      <c r="Z9" s="10">
        <f>'Synthèse S1'!Z9+'Synthèse S2'!Z9+'Synthèse S3'!Z9+'Synthèse S4'!Z9+'Synthèse S5'!Z9</f>
        <v>8</v>
      </c>
      <c r="AA9" s="11">
        <f>'Synthèse S1'!AA9+'Synthèse S2'!AA9+'Synthèse S3'!AA9+'Synthèse S4'!AA9+'Synthèse S5'!AA9</f>
        <v>3</v>
      </c>
      <c r="AB9" s="9">
        <f>'Synthèse S1'!AB9+'Synthèse S2'!AB9+'Synthèse S3'!AB9+'Synthèse S4'!AB9+'Synthèse S5'!AB9</f>
        <v>62</v>
      </c>
      <c r="AC9" s="10">
        <f>'Synthèse S1'!AC9+'Synthèse S2'!AC9+'Synthèse S3'!AC9+'Synthèse S4'!AC9+'Synthèse S5'!AC9</f>
        <v>0</v>
      </c>
      <c r="AD9" s="10">
        <f>'Synthèse S1'!AD9+'Synthèse S2'!AD9+'Synthèse S3'!AD9+'Synthèse S4'!AD9+'Synthèse S5'!AD9</f>
        <v>0</v>
      </c>
      <c r="AE9" s="10">
        <f>'Synthèse S1'!AE9+'Synthèse S2'!AE9+'Synthèse S3'!AE9+'Synthèse S4'!AE9+'Synthèse S5'!AE9</f>
        <v>3</v>
      </c>
      <c r="AF9" s="11">
        <f>'Synthèse S1'!AF9+'Synthèse S2'!AF9+'Synthèse S3'!AF9+'Synthèse S4'!AF9+'Synthèse S5'!AF9</f>
        <v>1</v>
      </c>
      <c r="AG9" s="9">
        <f>'Synthèse S1'!AG9+'Synthèse S2'!AG9+'Synthèse S3'!AG9+'Synthèse S4'!AG9+'Synthèse S5'!AG9</f>
        <v>25</v>
      </c>
      <c r="AH9" s="10">
        <f>'Synthèse S1'!AH9+'Synthèse S2'!AH9+'Synthèse S3'!AH9+'Synthèse S4'!AH9+'Synthèse S5'!AH9</f>
        <v>0</v>
      </c>
      <c r="AI9" s="10">
        <f>'Synthèse S1'!AI9+'Synthèse S2'!AI9+'Synthèse S3'!AI9+'Synthèse S4'!AI9+'Synthèse S5'!AI9</f>
        <v>25</v>
      </c>
      <c r="AJ9" s="10">
        <f>'Synthèse S1'!AJ9+'Synthèse S2'!AJ9+'Synthèse S3'!AJ9+'Synthèse S4'!AJ9+'Synthèse S5'!AJ9</f>
        <v>0</v>
      </c>
      <c r="AK9" s="11">
        <f>'Synthèse S1'!AK9+'Synthèse S2'!AK9+'Synthèse S3'!AK9+'Synthèse S4'!AK9+'Synthèse S5'!AK9</f>
        <v>0</v>
      </c>
      <c r="AL9" s="9">
        <f>'Synthèse S1'!AL9+'Synthèse S2'!AL9+'Synthèse S3'!AL9+'Synthèse S4'!AL9+'Synthèse S5'!AL9</f>
        <v>2.42</v>
      </c>
      <c r="AM9" s="10">
        <f>'Synthèse S1'!AM9+'Synthèse S2'!AM9+'Synthèse S3'!AM9+'Synthèse S4'!AM9+'Synthèse S5'!AM9</f>
        <v>0</v>
      </c>
      <c r="AN9" s="10">
        <f>'Synthèse S1'!AN9+'Synthèse S2'!AN9+'Synthèse S3'!AN9+'Synthèse S4'!AN9+'Synthèse S5'!AN9</f>
        <v>0.4</v>
      </c>
      <c r="AO9" s="10">
        <f>'Synthèse S1'!AO9+'Synthèse S2'!AO9+'Synthèse S3'!AO9+'Synthèse S4'!AO9+'Synthèse S5'!AO9</f>
        <v>2.3000000000000003</v>
      </c>
      <c r="AP9" s="11">
        <f>'Synthèse S1'!AP9+'Synthèse S2'!AP9+'Synthèse S3'!AP9+'Synthèse S4'!AP9+'Synthèse S5'!AP9</f>
        <v>4</v>
      </c>
      <c r="AQ9" s="9">
        <f>'Synthèse S1'!AQ9+'Synthèse S2'!AQ9+'Synthèse S3'!AQ9+'Synthèse S4'!AQ9+'Synthèse S5'!AQ9</f>
        <v>34</v>
      </c>
      <c r="AR9" s="10">
        <f>'Synthèse S1'!AR9+'Synthèse S2'!AR9+'Synthèse S3'!AR9+'Synthèse S4'!AR9+'Synthèse S5'!AR9</f>
        <v>0</v>
      </c>
      <c r="AS9" s="11">
        <f>'Synthèse S1'!AS9+'Synthèse S2'!AS9+'Synthèse S3'!AS9+'Synthèse S4'!AS9+'Synthèse S5'!AS9</f>
        <v>61</v>
      </c>
      <c r="AT9" s="22"/>
      <c r="AU9" s="14"/>
    </row>
    <row r="10" spans="1:47" ht="31.9" customHeight="1" x14ac:dyDescent="0.2">
      <c r="A10" s="26">
        <v>4</v>
      </c>
      <c r="B10" s="19"/>
      <c r="C10" s="9">
        <f>'Synthèse S1'!C10+'Synthèse S2'!C10+'Synthèse S3'!C10+'Synthèse S4'!C10+'Synthèse S5'!C10</f>
        <v>450</v>
      </c>
      <c r="D10" s="10">
        <f>'Synthèse S1'!D10+'Synthèse S2'!D10+'Synthèse S3'!D10+'Synthèse S4'!D10+'Synthèse S5'!D10</f>
        <v>90</v>
      </c>
      <c r="E10" s="10">
        <f>'Synthèse S1'!E10+'Synthèse S2'!E10+'Synthèse S3'!E10+'Synthèse S4'!E10+'Synthèse S5'!E10</f>
        <v>150</v>
      </c>
      <c r="F10" s="10">
        <f>'Synthèse S1'!F10+'Synthèse S2'!F10+'Synthèse S3'!F10+'Synthèse S4'!F10+'Synthèse S5'!F10</f>
        <v>60</v>
      </c>
      <c r="G10" s="11">
        <f>'Synthèse S1'!G10+'Synthèse S2'!G10+'Synthèse S3'!G10+'Synthèse S4'!G10+'Synthèse S5'!G10</f>
        <v>150</v>
      </c>
      <c r="H10" s="9">
        <f>'Synthèse S1'!H10+'Synthèse S2'!H10+'Synthèse S3'!H10+'Synthèse S4'!H10+'Synthèse S5'!H10</f>
        <v>90</v>
      </c>
      <c r="I10" s="10">
        <f>'Synthèse S1'!I10+'Synthèse S2'!I10+'Synthèse S3'!I10+'Synthèse S4'!I10+'Synthèse S5'!I10</f>
        <v>30</v>
      </c>
      <c r="J10" s="10">
        <f>'Synthèse S1'!J10+'Synthèse S2'!J10+'Synthèse S3'!J10+'Synthèse S4'!J10+'Synthèse S5'!J10</f>
        <v>30</v>
      </c>
      <c r="K10" s="10">
        <f>'Synthèse S1'!K10+'Synthèse S2'!K10+'Synthèse S3'!K10+'Synthèse S4'!K10+'Synthèse S5'!K10</f>
        <v>30</v>
      </c>
      <c r="L10" s="11">
        <f>'Synthèse S1'!L10+'Synthèse S2'!L10+'Synthèse S3'!L10+'Synthèse S4'!L10+'Synthèse S5'!L10</f>
        <v>30</v>
      </c>
      <c r="M10" s="9">
        <f>'Synthèse S1'!M10+'Synthèse S2'!M10+'Synthèse S3'!M10+'Synthèse S4'!M10+'Synthèse S5'!M10</f>
        <v>90</v>
      </c>
      <c r="N10" s="10">
        <f>'Synthèse S1'!N10+'Synthèse S2'!N10+'Synthèse S3'!N10+'Synthèse S4'!N10+'Synthèse S5'!N10</f>
        <v>30</v>
      </c>
      <c r="O10" s="10">
        <f>'Synthèse S1'!O10+'Synthèse S2'!O10+'Synthèse S3'!O10+'Synthèse S4'!O10+'Synthèse S5'!O10</f>
        <v>90</v>
      </c>
      <c r="P10" s="10">
        <f>'Synthèse S1'!P10+'Synthèse S2'!P10+'Synthèse S3'!P10+'Synthèse S4'!P10+'Synthèse S5'!P10</f>
        <v>0</v>
      </c>
      <c r="Q10" s="11">
        <f>'Synthèse S1'!Q10+'Synthèse S2'!Q10+'Synthèse S3'!Q10+'Synthèse S4'!Q10+'Synthèse S5'!Q10</f>
        <v>0</v>
      </c>
      <c r="R10" s="70">
        <f>'Synthèse S1'!R10+'Synthèse S2'!R10+'Synthèse S3'!R10+'Synthèse S4'!R10+'Synthèse S5'!R10</f>
        <v>15</v>
      </c>
      <c r="S10" s="71">
        <f>'Synthèse S1'!S10+'Synthèse S2'!S10+'Synthèse S3'!S10+'Synthèse S4'!S10+'Synthèse S5'!S10</f>
        <v>4.9999999999999991</v>
      </c>
      <c r="T10" s="71">
        <f>'Synthèse S1'!T10+'Synthèse S2'!T10+'Synthèse S3'!T10+'Synthèse S4'!T10+'Synthèse S5'!T10</f>
        <v>3</v>
      </c>
      <c r="U10" s="71">
        <f>'Synthèse S1'!U10+'Synthèse S2'!U10+'Synthèse S3'!U10+'Synthèse S4'!U10+'Synthèse S5'!U10</f>
        <v>18</v>
      </c>
      <c r="V10" s="72">
        <f>'Synthèse S1'!V10+'Synthèse S2'!V10+'Synthèse S3'!V10+'Synthèse S4'!V10+'Synthèse S5'!V10</f>
        <v>4.5</v>
      </c>
      <c r="W10" s="9">
        <f>'Synthèse S1'!W10+'Synthèse S2'!W10+'Synthèse S3'!W10+'Synthèse S4'!W10+'Synthèse S5'!W10</f>
        <v>142</v>
      </c>
      <c r="X10" s="10">
        <f>'Synthèse S1'!X10+'Synthèse S2'!X10+'Synthèse S3'!X10+'Synthèse S4'!X10+'Synthèse S5'!X10</f>
        <v>1</v>
      </c>
      <c r="Y10" s="10">
        <f>'Synthèse S1'!Y10+'Synthèse S2'!Y10+'Synthèse S3'!Y10+'Synthèse S4'!Y10+'Synthèse S5'!Y10</f>
        <v>3</v>
      </c>
      <c r="Z10" s="10">
        <f>'Synthèse S1'!Z10+'Synthèse S2'!Z10+'Synthèse S3'!Z10+'Synthèse S4'!Z10+'Synthèse S5'!Z10</f>
        <v>7</v>
      </c>
      <c r="AA10" s="11">
        <f>'Synthèse S1'!AA10+'Synthèse S2'!AA10+'Synthèse S3'!AA10+'Synthèse S4'!AA10+'Synthèse S5'!AA10</f>
        <v>1</v>
      </c>
      <c r="AB10" s="9">
        <f>'Synthèse S1'!AB10+'Synthèse S2'!AB10+'Synthèse S3'!AB10+'Synthèse S4'!AB10+'Synthèse S5'!AB10</f>
        <v>58</v>
      </c>
      <c r="AC10" s="10">
        <f>'Synthèse S1'!AC10+'Synthèse S2'!AC10+'Synthèse S3'!AC10+'Synthèse S4'!AC10+'Synthèse S5'!AC10</f>
        <v>0</v>
      </c>
      <c r="AD10" s="10">
        <f>'Synthèse S1'!AD10+'Synthèse S2'!AD10+'Synthèse S3'!AD10+'Synthèse S4'!AD10+'Synthèse S5'!AD10</f>
        <v>1</v>
      </c>
      <c r="AE10" s="10">
        <f>'Synthèse S1'!AE10+'Synthèse S2'!AE10+'Synthèse S3'!AE10+'Synthèse S4'!AE10+'Synthèse S5'!AE10</f>
        <v>2</v>
      </c>
      <c r="AF10" s="11">
        <f>'Synthèse S1'!AF10+'Synthèse S2'!AF10+'Synthèse S3'!AF10+'Synthèse S4'!AF10+'Synthèse S5'!AF10</f>
        <v>4</v>
      </c>
      <c r="AG10" s="9">
        <f>'Synthèse S1'!AG10+'Synthèse S2'!AG10+'Synthèse S3'!AG10+'Synthèse S4'!AG10+'Synthèse S5'!AG10</f>
        <v>25</v>
      </c>
      <c r="AH10" s="10">
        <f>'Synthèse S1'!AH10+'Synthèse S2'!AH10+'Synthèse S3'!AH10+'Synthèse S4'!AH10+'Synthèse S5'!AH10</f>
        <v>0</v>
      </c>
      <c r="AI10" s="10">
        <f>'Synthèse S1'!AI10+'Synthèse S2'!AI10+'Synthèse S3'!AI10+'Synthèse S4'!AI10+'Synthèse S5'!AI10</f>
        <v>25</v>
      </c>
      <c r="AJ10" s="10">
        <f>'Synthèse S1'!AJ10+'Synthèse S2'!AJ10+'Synthèse S3'!AJ10+'Synthèse S4'!AJ10+'Synthèse S5'!AJ10</f>
        <v>0</v>
      </c>
      <c r="AK10" s="11">
        <f>'Synthèse S1'!AK10+'Synthèse S2'!AK10+'Synthèse S3'!AK10+'Synthèse S4'!AK10+'Synthèse S5'!AK10</f>
        <v>0</v>
      </c>
      <c r="AL10" s="9">
        <f>'Synthèse S1'!AL10+'Synthèse S2'!AL10+'Synthèse S3'!AL10+'Synthèse S4'!AL10+'Synthèse S5'!AL10</f>
        <v>2.58</v>
      </c>
      <c r="AM10" s="10">
        <f>'Synthèse S1'!AM10+'Synthèse S2'!AM10+'Synthèse S3'!AM10+'Synthèse S4'!AM10+'Synthèse S5'!AM10</f>
        <v>0</v>
      </c>
      <c r="AN10" s="10">
        <f>'Synthèse S1'!AN10+'Synthèse S2'!AN10+'Synthèse S3'!AN10+'Synthèse S4'!AN10+'Synthèse S5'!AN10</f>
        <v>0.70000000000000007</v>
      </c>
      <c r="AO10" s="10">
        <f>'Synthèse S1'!AO10+'Synthèse S2'!AO10+'Synthèse S3'!AO10+'Synthèse S4'!AO10+'Synthèse S5'!AO10</f>
        <v>2.2000000000000002</v>
      </c>
      <c r="AP10" s="11">
        <f>'Synthèse S1'!AP10+'Synthèse S2'!AP10+'Synthèse S3'!AP10+'Synthèse S4'!AP10+'Synthèse S5'!AP10</f>
        <v>3.5</v>
      </c>
      <c r="AQ10" s="9">
        <f>'Synthèse S1'!AQ10+'Synthèse S2'!AQ10+'Synthèse S3'!AQ10+'Synthèse S4'!AQ10+'Synthèse S5'!AQ10</f>
        <v>46</v>
      </c>
      <c r="AR10" s="10">
        <f>'Synthèse S1'!AR10+'Synthèse S2'!AR10+'Synthèse S3'!AR10+'Synthèse S4'!AR10+'Synthèse S5'!AR10</f>
        <v>0</v>
      </c>
      <c r="AS10" s="11">
        <f>'Synthèse S1'!AS10+'Synthèse S2'!AS10+'Synthèse S3'!AS10+'Synthèse S4'!AS10+'Synthèse S5'!AS10</f>
        <v>56</v>
      </c>
      <c r="AT10" s="22"/>
      <c r="AU10" s="14"/>
    </row>
    <row r="11" spans="1:47" ht="31.9" customHeight="1" x14ac:dyDescent="0.2">
      <c r="A11" s="26">
        <v>5</v>
      </c>
      <c r="B11" s="19"/>
      <c r="C11" s="9">
        <f>'Synthèse S1'!C11+'Synthèse S2'!C11+'Synthèse S3'!C11+'Synthèse S4'!C11+'Synthèse S5'!C11</f>
        <v>450</v>
      </c>
      <c r="D11" s="10">
        <f>'Synthèse S1'!D11+'Synthèse S2'!D11+'Synthèse S3'!D11+'Synthèse S4'!D11+'Synthèse S5'!D11</f>
        <v>90</v>
      </c>
      <c r="E11" s="10">
        <f>'Synthèse S1'!E11+'Synthèse S2'!E11+'Synthèse S3'!E11+'Synthèse S4'!E11+'Synthèse S5'!E11</f>
        <v>150</v>
      </c>
      <c r="F11" s="10">
        <f>'Synthèse S1'!F11+'Synthèse S2'!F11+'Synthèse S3'!F11+'Synthèse S4'!F11+'Synthèse S5'!F11</f>
        <v>60</v>
      </c>
      <c r="G11" s="11">
        <f>'Synthèse S1'!G11+'Synthèse S2'!G11+'Synthèse S3'!G11+'Synthèse S4'!G11+'Synthèse S5'!G11</f>
        <v>150</v>
      </c>
      <c r="H11" s="9">
        <f>'Synthèse S1'!H11+'Synthèse S2'!H11+'Synthèse S3'!H11+'Synthèse S4'!H11+'Synthèse S5'!H11</f>
        <v>90</v>
      </c>
      <c r="I11" s="10">
        <f>'Synthèse S1'!I11+'Synthèse S2'!I11+'Synthèse S3'!I11+'Synthèse S4'!I11+'Synthèse S5'!I11</f>
        <v>30</v>
      </c>
      <c r="J11" s="10">
        <f>'Synthèse S1'!J11+'Synthèse S2'!J11+'Synthèse S3'!J11+'Synthèse S4'!J11+'Synthèse S5'!J11</f>
        <v>30</v>
      </c>
      <c r="K11" s="10">
        <f>'Synthèse S1'!K11+'Synthèse S2'!K11+'Synthèse S3'!K11+'Synthèse S4'!K11+'Synthèse S5'!K11</f>
        <v>30</v>
      </c>
      <c r="L11" s="11">
        <f>'Synthèse S1'!L11+'Synthèse S2'!L11+'Synthèse S3'!L11+'Synthèse S4'!L11+'Synthèse S5'!L11</f>
        <v>30</v>
      </c>
      <c r="M11" s="9">
        <f>'Synthèse S1'!M11+'Synthèse S2'!M11+'Synthèse S3'!M11+'Synthèse S4'!M11+'Synthèse S5'!M11</f>
        <v>90</v>
      </c>
      <c r="N11" s="10">
        <f>'Synthèse S1'!N11+'Synthèse S2'!N11+'Synthèse S3'!N11+'Synthèse S4'!N11+'Synthèse S5'!N11</f>
        <v>30</v>
      </c>
      <c r="O11" s="10">
        <f>'Synthèse S1'!O11+'Synthèse S2'!O11+'Synthèse S3'!O11+'Synthèse S4'!O11+'Synthèse S5'!O11</f>
        <v>90</v>
      </c>
      <c r="P11" s="10">
        <f>'Synthèse S1'!P11+'Synthèse S2'!P11+'Synthèse S3'!P11+'Synthèse S4'!P11+'Synthèse S5'!P11</f>
        <v>0</v>
      </c>
      <c r="Q11" s="11">
        <f>'Synthèse S1'!Q11+'Synthèse S2'!Q11+'Synthèse S3'!Q11+'Synthèse S4'!Q11+'Synthèse S5'!Q11</f>
        <v>0</v>
      </c>
      <c r="R11" s="70">
        <f>'Synthèse S1'!R11+'Synthèse S2'!R11+'Synthèse S3'!R11+'Synthèse S4'!R11+'Synthèse S5'!R11</f>
        <v>15</v>
      </c>
      <c r="S11" s="71">
        <f>'Synthèse S1'!S11+'Synthèse S2'!S11+'Synthèse S3'!S11+'Synthèse S4'!S11+'Synthèse S5'!S11</f>
        <v>4.9999999999999991</v>
      </c>
      <c r="T11" s="71">
        <f>'Synthèse S1'!T11+'Synthèse S2'!T11+'Synthèse S3'!T11+'Synthèse S4'!T11+'Synthèse S5'!T11</f>
        <v>3</v>
      </c>
      <c r="U11" s="71">
        <f>'Synthèse S1'!U11+'Synthèse S2'!U11+'Synthèse S3'!U11+'Synthèse S4'!U11+'Synthèse S5'!U11</f>
        <v>18</v>
      </c>
      <c r="V11" s="72">
        <f>'Synthèse S1'!V11+'Synthèse S2'!V11+'Synthèse S3'!V11+'Synthèse S4'!V11+'Synthèse S5'!V11</f>
        <v>4.5</v>
      </c>
      <c r="W11" s="9">
        <f>'Synthèse S1'!W11+'Synthèse S2'!W11+'Synthèse S3'!W11+'Synthèse S4'!W11+'Synthèse S5'!W11</f>
        <v>140</v>
      </c>
      <c r="X11" s="10">
        <f>'Synthèse S1'!X11+'Synthèse S2'!X11+'Synthèse S3'!X11+'Synthèse S4'!X11+'Synthèse S5'!X11</f>
        <v>0</v>
      </c>
      <c r="Y11" s="10">
        <f>'Synthèse S1'!Y11+'Synthèse S2'!Y11+'Synthèse S3'!Y11+'Synthèse S4'!Y11+'Synthèse S5'!Y11</f>
        <v>2</v>
      </c>
      <c r="Z11" s="10">
        <f>'Synthèse S1'!Z11+'Synthèse S2'!Z11+'Synthèse S3'!Z11+'Synthèse S4'!Z11+'Synthèse S5'!Z11</f>
        <v>1</v>
      </c>
      <c r="AA11" s="11">
        <f>'Synthèse S1'!AA11+'Synthèse S2'!AA11+'Synthèse S3'!AA11+'Synthèse S4'!AA11+'Synthèse S5'!AA11</f>
        <v>3</v>
      </c>
      <c r="AB11" s="9">
        <f>'Synthèse S1'!AB11+'Synthèse S2'!AB11+'Synthèse S3'!AB11+'Synthèse S4'!AB11+'Synthèse S5'!AB11</f>
        <v>60</v>
      </c>
      <c r="AC11" s="10">
        <f>'Synthèse S1'!AC11+'Synthèse S2'!AC11+'Synthèse S3'!AC11+'Synthèse S4'!AC11+'Synthèse S5'!AC11</f>
        <v>0</v>
      </c>
      <c r="AD11" s="10">
        <f>'Synthèse S1'!AD11+'Synthèse S2'!AD11+'Synthèse S3'!AD11+'Synthèse S4'!AD11+'Synthèse S5'!AD11</f>
        <v>1</v>
      </c>
      <c r="AE11" s="10">
        <f>'Synthèse S1'!AE11+'Synthèse S2'!AE11+'Synthèse S3'!AE11+'Synthèse S4'!AE11+'Synthèse S5'!AE11</f>
        <v>0</v>
      </c>
      <c r="AF11" s="11">
        <f>'Synthèse S1'!AF11+'Synthèse S2'!AF11+'Synthèse S3'!AF11+'Synthèse S4'!AF11+'Synthèse S5'!AF11</f>
        <v>0</v>
      </c>
      <c r="AG11" s="9">
        <f>'Synthèse S1'!AG11+'Synthèse S2'!AG11+'Synthèse S3'!AG11+'Synthèse S4'!AG11+'Synthèse S5'!AG11</f>
        <v>25</v>
      </c>
      <c r="AH11" s="10">
        <f>'Synthèse S1'!AH11+'Synthèse S2'!AH11+'Synthèse S3'!AH11+'Synthèse S4'!AH11+'Synthèse S5'!AH11</f>
        <v>0</v>
      </c>
      <c r="AI11" s="10">
        <f>'Synthèse S1'!AI11+'Synthèse S2'!AI11+'Synthèse S3'!AI11+'Synthèse S4'!AI11+'Synthèse S5'!AI11</f>
        <v>25</v>
      </c>
      <c r="AJ11" s="10">
        <f>'Synthèse S1'!AJ11+'Synthèse S2'!AJ11+'Synthèse S3'!AJ11+'Synthèse S4'!AJ11+'Synthèse S5'!AJ11</f>
        <v>0</v>
      </c>
      <c r="AK11" s="11">
        <f>'Synthèse S1'!AK11+'Synthèse S2'!AK11+'Synthèse S3'!AK11+'Synthèse S4'!AK11+'Synthèse S5'!AK11</f>
        <v>0</v>
      </c>
      <c r="AL11" s="9">
        <f>'Synthèse S1'!AL11+'Synthèse S2'!AL11+'Synthèse S3'!AL11+'Synthèse S4'!AL11+'Synthèse S5'!AL11</f>
        <v>1.92</v>
      </c>
      <c r="AM11" s="10">
        <f>'Synthèse S1'!AM11+'Synthèse S2'!AM11+'Synthèse S3'!AM11+'Synthèse S4'!AM11+'Synthèse S5'!AM11</f>
        <v>0</v>
      </c>
      <c r="AN11" s="10">
        <f>'Synthèse S1'!AN11+'Synthèse S2'!AN11+'Synthèse S3'!AN11+'Synthèse S4'!AN11+'Synthèse S5'!AN11</f>
        <v>0.25</v>
      </c>
      <c r="AO11" s="10">
        <f>'Synthèse S1'!AO11+'Synthèse S2'!AO11+'Synthèse S3'!AO11+'Synthèse S4'!AO11+'Synthèse S5'!AO11</f>
        <v>3.1</v>
      </c>
      <c r="AP11" s="11">
        <f>'Synthèse S1'!AP11+'Synthèse S2'!AP11+'Synthèse S3'!AP11+'Synthèse S4'!AP11+'Synthèse S5'!AP11</f>
        <v>5.3</v>
      </c>
      <c r="AQ11" s="9">
        <f>'Synthèse S1'!AQ11+'Synthèse S2'!AQ11+'Synthèse S3'!AQ11+'Synthèse S4'!AQ11+'Synthèse S5'!AQ11</f>
        <v>28</v>
      </c>
      <c r="AR11" s="10">
        <f>'Synthèse S1'!AR11+'Synthèse S2'!AR11+'Synthèse S3'!AR11+'Synthèse S4'!AR11+'Synthèse S5'!AR11</f>
        <v>0</v>
      </c>
      <c r="AS11" s="11">
        <f>'Synthèse S1'!AS11+'Synthèse S2'!AS11+'Synthèse S3'!AS11+'Synthèse S4'!AS11+'Synthèse S5'!AS11</f>
        <v>83</v>
      </c>
      <c r="AT11" s="22"/>
      <c r="AU11" s="14"/>
    </row>
    <row r="12" spans="1:47" ht="31.9" customHeight="1" x14ac:dyDescent="0.2">
      <c r="A12" s="26">
        <v>6</v>
      </c>
      <c r="B12" s="19"/>
      <c r="C12" s="9">
        <f>'Synthèse S1'!C12+'Synthèse S2'!C12+'Synthèse S3'!C12+'Synthèse S4'!C12+'Synthèse S5'!C12</f>
        <v>450</v>
      </c>
      <c r="D12" s="10">
        <f>'Synthèse S1'!D12+'Synthèse S2'!D12+'Synthèse S3'!D12+'Synthèse S4'!D12+'Synthèse S5'!D12</f>
        <v>90</v>
      </c>
      <c r="E12" s="10">
        <f>'Synthèse S1'!E12+'Synthèse S2'!E12+'Synthèse S3'!E12+'Synthèse S4'!E12+'Synthèse S5'!E12</f>
        <v>150</v>
      </c>
      <c r="F12" s="10">
        <f>'Synthèse S1'!F12+'Synthèse S2'!F12+'Synthèse S3'!F12+'Synthèse S4'!F12+'Synthèse S5'!F12</f>
        <v>60</v>
      </c>
      <c r="G12" s="11">
        <f>'Synthèse S1'!G12+'Synthèse S2'!G12+'Synthèse S3'!G12+'Synthèse S4'!G12+'Synthèse S5'!G12</f>
        <v>150</v>
      </c>
      <c r="H12" s="9">
        <f>'Synthèse S1'!H12+'Synthèse S2'!H12+'Synthèse S3'!H12+'Synthèse S4'!H12+'Synthèse S5'!H12</f>
        <v>90</v>
      </c>
      <c r="I12" s="10">
        <f>'Synthèse S1'!I12+'Synthèse S2'!I12+'Synthèse S3'!I12+'Synthèse S4'!I12+'Synthèse S5'!I12</f>
        <v>30</v>
      </c>
      <c r="J12" s="10">
        <f>'Synthèse S1'!J12+'Synthèse S2'!J12+'Synthèse S3'!J12+'Synthèse S4'!J12+'Synthèse S5'!J12</f>
        <v>30</v>
      </c>
      <c r="K12" s="10">
        <f>'Synthèse S1'!K12+'Synthèse S2'!K12+'Synthèse S3'!K12+'Synthèse S4'!K12+'Synthèse S5'!K12</f>
        <v>30</v>
      </c>
      <c r="L12" s="11">
        <f>'Synthèse S1'!L12+'Synthèse S2'!L12+'Synthèse S3'!L12+'Synthèse S4'!L12+'Synthèse S5'!L12</f>
        <v>30</v>
      </c>
      <c r="M12" s="9">
        <f>'Synthèse S1'!M12+'Synthèse S2'!M12+'Synthèse S3'!M12+'Synthèse S4'!M12+'Synthèse S5'!M12</f>
        <v>90</v>
      </c>
      <c r="N12" s="10">
        <f>'Synthèse S1'!N12+'Synthèse S2'!N12+'Synthèse S3'!N12+'Synthèse S4'!N12+'Synthèse S5'!N12</f>
        <v>30</v>
      </c>
      <c r="O12" s="10">
        <f>'Synthèse S1'!O12+'Synthèse S2'!O12+'Synthèse S3'!O12+'Synthèse S4'!O12+'Synthèse S5'!O12</f>
        <v>90</v>
      </c>
      <c r="P12" s="10">
        <f>'Synthèse S1'!P12+'Synthèse S2'!P12+'Synthèse S3'!P12+'Synthèse S4'!P12+'Synthèse S5'!P12</f>
        <v>0</v>
      </c>
      <c r="Q12" s="11">
        <f>'Synthèse S1'!Q12+'Synthèse S2'!Q12+'Synthèse S3'!Q12+'Synthèse S4'!Q12+'Synthèse S5'!Q12</f>
        <v>0</v>
      </c>
      <c r="R12" s="70">
        <f>'Synthèse S1'!R12+'Synthèse S2'!R12+'Synthèse S3'!R12+'Synthèse S4'!R12+'Synthèse S5'!R12</f>
        <v>15</v>
      </c>
      <c r="S12" s="71">
        <f>'Synthèse S1'!S12+'Synthèse S2'!S12+'Synthèse S3'!S12+'Synthèse S4'!S12+'Synthèse S5'!S12</f>
        <v>4.9999999999999991</v>
      </c>
      <c r="T12" s="71">
        <f>'Synthèse S1'!T12+'Synthèse S2'!T12+'Synthèse S3'!T12+'Synthèse S4'!T12+'Synthèse S5'!T12</f>
        <v>3</v>
      </c>
      <c r="U12" s="71">
        <f>'Synthèse S1'!U12+'Synthèse S2'!U12+'Synthèse S3'!U12+'Synthèse S4'!U12+'Synthèse S5'!U12</f>
        <v>18</v>
      </c>
      <c r="V12" s="72">
        <f>'Synthèse S1'!V12+'Synthèse S2'!V12+'Synthèse S3'!V12+'Synthèse S4'!V12+'Synthèse S5'!V12</f>
        <v>4.5</v>
      </c>
      <c r="W12" s="9">
        <f>'Synthèse S1'!W12+'Synthèse S2'!W12+'Synthèse S3'!W12+'Synthèse S4'!W12+'Synthèse S5'!W12</f>
        <v>139</v>
      </c>
      <c r="X12" s="10">
        <f>'Synthèse S1'!X12+'Synthèse S2'!X12+'Synthèse S3'!X12+'Synthèse S4'!X12+'Synthèse S5'!X12</f>
        <v>1</v>
      </c>
      <c r="Y12" s="10">
        <f>'Synthèse S1'!Y12+'Synthèse S2'!Y12+'Synthèse S3'!Y12+'Synthèse S4'!Y12+'Synthèse S5'!Y12</f>
        <v>2</v>
      </c>
      <c r="Z12" s="10">
        <f>'Synthèse S1'!Z12+'Synthèse S2'!Z12+'Synthèse S3'!Z12+'Synthèse S4'!Z12+'Synthèse S5'!Z12</f>
        <v>7</v>
      </c>
      <c r="AA12" s="11">
        <f>'Synthèse S1'!AA12+'Synthèse S2'!AA12+'Synthèse S3'!AA12+'Synthèse S4'!AA12+'Synthèse S5'!AA12</f>
        <v>0</v>
      </c>
      <c r="AB12" s="9">
        <f>'Synthèse S1'!AB12+'Synthèse S2'!AB12+'Synthèse S3'!AB12+'Synthèse S4'!AB12+'Synthèse S5'!AB12</f>
        <v>60</v>
      </c>
      <c r="AC12" s="10">
        <f>'Synthèse S1'!AC12+'Synthèse S2'!AC12+'Synthèse S3'!AC12+'Synthèse S4'!AC12+'Synthèse S5'!AC12</f>
        <v>0</v>
      </c>
      <c r="AD12" s="10">
        <f>'Synthèse S1'!AD12+'Synthèse S2'!AD12+'Synthèse S3'!AD12+'Synthèse S4'!AD12+'Synthèse S5'!AD12</f>
        <v>3</v>
      </c>
      <c r="AE12" s="10">
        <f>'Synthèse S1'!AE12+'Synthèse S2'!AE12+'Synthèse S3'!AE12+'Synthèse S4'!AE12+'Synthèse S5'!AE12</f>
        <v>3</v>
      </c>
      <c r="AF12" s="11">
        <f>'Synthèse S1'!AF12+'Synthèse S2'!AF12+'Synthèse S3'!AF12+'Synthèse S4'!AF12+'Synthèse S5'!AF12</f>
        <v>0</v>
      </c>
      <c r="AG12" s="9">
        <f>'Synthèse S1'!AG12+'Synthèse S2'!AG12+'Synthèse S3'!AG12+'Synthèse S4'!AG12+'Synthèse S5'!AG12</f>
        <v>25</v>
      </c>
      <c r="AH12" s="10">
        <f>'Synthèse S1'!AH12+'Synthèse S2'!AH12+'Synthèse S3'!AH12+'Synthèse S4'!AH12+'Synthèse S5'!AH12</f>
        <v>0</v>
      </c>
      <c r="AI12" s="10">
        <f>'Synthèse S1'!AI12+'Synthèse S2'!AI12+'Synthèse S3'!AI12+'Synthèse S4'!AI12+'Synthèse S5'!AI12</f>
        <v>25</v>
      </c>
      <c r="AJ12" s="10">
        <f>'Synthèse S1'!AJ12+'Synthèse S2'!AJ12+'Synthèse S3'!AJ12+'Synthèse S4'!AJ12+'Synthèse S5'!AJ12</f>
        <v>0</v>
      </c>
      <c r="AK12" s="11">
        <f>'Synthèse S1'!AK12+'Synthèse S2'!AK12+'Synthèse S3'!AK12+'Synthèse S4'!AK12+'Synthèse S5'!AK12</f>
        <v>0</v>
      </c>
      <c r="AL12" s="9">
        <f>'Synthèse S1'!AL12+'Synthèse S2'!AL12+'Synthèse S3'!AL12+'Synthèse S4'!AL12+'Synthèse S5'!AL12</f>
        <v>2</v>
      </c>
      <c r="AM12" s="10">
        <f>'Synthèse S1'!AM12+'Synthèse S2'!AM12+'Synthèse S3'!AM12+'Synthèse S4'!AM12+'Synthèse S5'!AM12</f>
        <v>0</v>
      </c>
      <c r="AN12" s="10">
        <f>'Synthèse S1'!AN12+'Synthèse S2'!AN12+'Synthèse S3'!AN12+'Synthèse S4'!AN12+'Synthèse S5'!AN12</f>
        <v>0.75</v>
      </c>
      <c r="AO12" s="10">
        <f>'Synthèse S1'!AO12+'Synthèse S2'!AO12+'Synthèse S3'!AO12+'Synthèse S4'!AO12+'Synthèse S5'!AO12</f>
        <v>1.6</v>
      </c>
      <c r="AP12" s="11">
        <f>'Synthèse S1'!AP12+'Synthèse S2'!AP12+'Synthèse S3'!AP12+'Synthèse S4'!AP12+'Synthèse S5'!AP12</f>
        <v>2.35</v>
      </c>
      <c r="AQ12" s="9">
        <f>'Synthèse S1'!AQ12+'Synthèse S2'!AQ12+'Synthèse S3'!AQ12+'Synthèse S4'!AQ12+'Synthèse S5'!AQ12</f>
        <v>44</v>
      </c>
      <c r="AR12" s="10">
        <f>'Synthèse S1'!AR12+'Synthèse S2'!AR12+'Synthèse S3'!AR12+'Synthèse S4'!AR12+'Synthèse S5'!AR12</f>
        <v>0</v>
      </c>
      <c r="AS12" s="11">
        <f>'Synthèse S1'!AS12+'Synthèse S2'!AS12+'Synthèse S3'!AS12+'Synthèse S4'!AS12+'Synthèse S5'!AS12</f>
        <v>34</v>
      </c>
      <c r="AT12" s="22"/>
      <c r="AU12" s="14"/>
    </row>
    <row r="13" spans="1:47" ht="31.9" customHeight="1" x14ac:dyDescent="0.2">
      <c r="A13" s="26">
        <v>7</v>
      </c>
      <c r="B13" s="19"/>
      <c r="C13" s="9">
        <f>'Synthèse S1'!C13+'Synthèse S2'!C13+'Synthèse S3'!C13+'Synthèse S4'!C13+'Synthèse S5'!C13</f>
        <v>450</v>
      </c>
      <c r="D13" s="10">
        <f>'Synthèse S1'!D13+'Synthèse S2'!D13+'Synthèse S3'!D13+'Synthèse S4'!D13+'Synthèse S5'!D13</f>
        <v>90</v>
      </c>
      <c r="E13" s="10">
        <f>'Synthèse S1'!E13+'Synthèse S2'!E13+'Synthèse S3'!E13+'Synthèse S4'!E13+'Synthèse S5'!E13</f>
        <v>150</v>
      </c>
      <c r="F13" s="10">
        <f>'Synthèse S1'!F13+'Synthèse S2'!F13+'Synthèse S3'!F13+'Synthèse S4'!F13+'Synthèse S5'!F13</f>
        <v>60</v>
      </c>
      <c r="G13" s="11">
        <f>'Synthèse S1'!G13+'Synthèse S2'!G13+'Synthèse S3'!G13+'Synthèse S4'!G13+'Synthèse S5'!G13</f>
        <v>150</v>
      </c>
      <c r="H13" s="9">
        <f>'Synthèse S1'!H13+'Synthèse S2'!H13+'Synthèse S3'!H13+'Synthèse S4'!H13+'Synthèse S5'!H13</f>
        <v>90</v>
      </c>
      <c r="I13" s="10">
        <f>'Synthèse S1'!I13+'Synthèse S2'!I13+'Synthèse S3'!I13+'Synthèse S4'!I13+'Synthèse S5'!I13</f>
        <v>30</v>
      </c>
      <c r="J13" s="10">
        <f>'Synthèse S1'!J13+'Synthèse S2'!J13+'Synthèse S3'!J13+'Synthèse S4'!J13+'Synthèse S5'!J13</f>
        <v>30</v>
      </c>
      <c r="K13" s="10">
        <f>'Synthèse S1'!K13+'Synthèse S2'!K13+'Synthèse S3'!K13+'Synthèse S4'!K13+'Synthèse S5'!K13</f>
        <v>30</v>
      </c>
      <c r="L13" s="11">
        <f>'Synthèse S1'!L13+'Synthèse S2'!L13+'Synthèse S3'!L13+'Synthèse S4'!L13+'Synthèse S5'!L13</f>
        <v>30</v>
      </c>
      <c r="M13" s="9">
        <f>'Synthèse S1'!M13+'Synthèse S2'!M13+'Synthèse S3'!M13+'Synthèse S4'!M13+'Synthèse S5'!M13</f>
        <v>90</v>
      </c>
      <c r="N13" s="10">
        <f>'Synthèse S1'!N13+'Synthèse S2'!N13+'Synthèse S3'!N13+'Synthèse S4'!N13+'Synthèse S5'!N13</f>
        <v>30</v>
      </c>
      <c r="O13" s="10">
        <f>'Synthèse S1'!O13+'Synthèse S2'!O13+'Synthèse S3'!O13+'Synthèse S4'!O13+'Synthèse S5'!O13</f>
        <v>90</v>
      </c>
      <c r="P13" s="10">
        <f>'Synthèse S1'!P13+'Synthèse S2'!P13+'Synthèse S3'!P13+'Synthèse S4'!P13+'Synthèse S5'!P13</f>
        <v>0</v>
      </c>
      <c r="Q13" s="11">
        <f>'Synthèse S1'!Q13+'Synthèse S2'!Q13+'Synthèse S3'!Q13+'Synthèse S4'!Q13+'Synthèse S5'!Q13</f>
        <v>0</v>
      </c>
      <c r="R13" s="70">
        <f>'Synthèse S1'!R13+'Synthèse S2'!R13+'Synthèse S3'!R13+'Synthèse S4'!R13+'Synthèse S5'!R13</f>
        <v>15</v>
      </c>
      <c r="S13" s="71">
        <f>'Synthèse S1'!S13+'Synthèse S2'!S13+'Synthèse S3'!S13+'Synthèse S4'!S13+'Synthèse S5'!S13</f>
        <v>4.9999999999999991</v>
      </c>
      <c r="T13" s="71">
        <f>'Synthèse S1'!T13+'Synthèse S2'!T13+'Synthèse S3'!T13+'Synthèse S4'!T13+'Synthèse S5'!T13</f>
        <v>3</v>
      </c>
      <c r="U13" s="71">
        <f>'Synthèse S1'!U13+'Synthèse S2'!U13+'Synthèse S3'!U13+'Synthèse S4'!U13+'Synthèse S5'!U13</f>
        <v>18</v>
      </c>
      <c r="V13" s="72">
        <f>'Synthèse S1'!V13+'Synthèse S2'!V13+'Synthèse S3'!V13+'Synthèse S4'!V13+'Synthèse S5'!V13</f>
        <v>4.5</v>
      </c>
      <c r="W13" s="9">
        <f>'Synthèse S1'!W13+'Synthèse S2'!W13+'Synthèse S3'!W13+'Synthèse S4'!W13+'Synthèse S5'!W13</f>
        <v>146</v>
      </c>
      <c r="X13" s="10">
        <f>'Synthèse S1'!X13+'Synthèse S2'!X13+'Synthèse S3'!X13+'Synthèse S4'!X13+'Synthèse S5'!X13</f>
        <v>3</v>
      </c>
      <c r="Y13" s="10">
        <f>'Synthèse S1'!Y13+'Synthèse S2'!Y13+'Synthèse S3'!Y13+'Synthèse S4'!Y13+'Synthèse S5'!Y13</f>
        <v>3</v>
      </c>
      <c r="Z13" s="10">
        <f>'Synthèse S1'!Z13+'Synthèse S2'!Z13+'Synthèse S3'!Z13+'Synthèse S4'!Z13+'Synthèse S5'!Z13</f>
        <v>0</v>
      </c>
      <c r="AA13" s="11">
        <f>'Synthèse S1'!AA13+'Synthèse S2'!AA13+'Synthèse S3'!AA13+'Synthèse S4'!AA13+'Synthèse S5'!AA13</f>
        <v>2</v>
      </c>
      <c r="AB13" s="9">
        <f>'Synthèse S1'!AB13+'Synthèse S2'!AB13+'Synthèse S3'!AB13+'Synthèse S4'!AB13+'Synthèse S5'!AB13</f>
        <v>69</v>
      </c>
      <c r="AC13" s="10">
        <f>'Synthèse S1'!AC13+'Synthèse S2'!AC13+'Synthèse S3'!AC13+'Synthèse S4'!AC13+'Synthèse S5'!AC13</f>
        <v>0</v>
      </c>
      <c r="AD13" s="10">
        <f>'Synthèse S1'!AD13+'Synthèse S2'!AD13+'Synthèse S3'!AD13+'Synthèse S4'!AD13+'Synthèse S5'!AD13</f>
        <v>2</v>
      </c>
      <c r="AE13" s="10">
        <f>'Synthèse S1'!AE13+'Synthèse S2'!AE13+'Synthèse S3'!AE13+'Synthèse S4'!AE13+'Synthèse S5'!AE13</f>
        <v>0</v>
      </c>
      <c r="AF13" s="11">
        <f>'Synthèse S1'!AF13+'Synthèse S2'!AF13+'Synthèse S3'!AF13+'Synthèse S4'!AF13+'Synthèse S5'!AF13</f>
        <v>1</v>
      </c>
      <c r="AG13" s="9">
        <f>'Synthèse S1'!AG13+'Synthèse S2'!AG13+'Synthèse S3'!AG13+'Synthèse S4'!AG13+'Synthèse S5'!AG13</f>
        <v>25</v>
      </c>
      <c r="AH13" s="10">
        <f>'Synthèse S1'!AH13+'Synthèse S2'!AH13+'Synthèse S3'!AH13+'Synthèse S4'!AH13+'Synthèse S5'!AH13</f>
        <v>0</v>
      </c>
      <c r="AI13" s="10">
        <f>'Synthèse S1'!AI13+'Synthèse S2'!AI13+'Synthèse S3'!AI13+'Synthèse S4'!AI13+'Synthèse S5'!AI13</f>
        <v>25</v>
      </c>
      <c r="AJ13" s="10">
        <f>'Synthèse S1'!AJ13+'Synthèse S2'!AJ13+'Synthèse S3'!AJ13+'Synthèse S4'!AJ13+'Synthèse S5'!AJ13</f>
        <v>0</v>
      </c>
      <c r="AK13" s="11">
        <f>'Synthèse S1'!AK13+'Synthèse S2'!AK13+'Synthèse S3'!AK13+'Synthèse S4'!AK13+'Synthèse S5'!AK13</f>
        <v>0</v>
      </c>
      <c r="AL13" s="9">
        <f>'Synthèse S1'!AL13+'Synthèse S2'!AL13+'Synthèse S3'!AL13+'Synthèse S4'!AL13+'Synthèse S5'!AL13</f>
        <v>3.08</v>
      </c>
      <c r="AM13" s="10">
        <f>'Synthèse S1'!AM13+'Synthèse S2'!AM13+'Synthèse S3'!AM13+'Synthèse S4'!AM13+'Synthèse S5'!AM13</f>
        <v>0</v>
      </c>
      <c r="AN13" s="10">
        <f>'Synthèse S1'!AN13+'Synthèse S2'!AN13+'Synthèse S3'!AN13+'Synthèse S4'!AN13+'Synthèse S5'!AN13</f>
        <v>0.35</v>
      </c>
      <c r="AO13" s="10">
        <f>'Synthèse S1'!AO13+'Synthèse S2'!AO13+'Synthèse S3'!AO13+'Synthèse S4'!AO13+'Synthèse S5'!AO13</f>
        <v>2.2000000000000002</v>
      </c>
      <c r="AP13" s="11">
        <f>'Synthèse S1'!AP13+'Synthèse S2'!AP13+'Synthèse S3'!AP13+'Synthèse S4'!AP13+'Synthèse S5'!AP13</f>
        <v>3.8</v>
      </c>
      <c r="AQ13" s="9">
        <f>'Synthèse S1'!AQ13+'Synthèse S2'!AQ13+'Synthèse S3'!AQ13+'Synthèse S4'!AQ13+'Synthèse S5'!AQ13</f>
        <v>42</v>
      </c>
      <c r="AR13" s="10">
        <f>'Synthèse S1'!AR13+'Synthèse S2'!AR13+'Synthèse S3'!AR13+'Synthèse S4'!AR13+'Synthèse S5'!AR13</f>
        <v>0</v>
      </c>
      <c r="AS13" s="11">
        <f>'Synthèse S1'!AS13+'Synthèse S2'!AS13+'Synthèse S3'!AS13+'Synthèse S4'!AS13+'Synthèse S5'!AS13</f>
        <v>59</v>
      </c>
      <c r="AT13" s="22"/>
      <c r="AU13" s="14"/>
    </row>
    <row r="14" spans="1:47" ht="31.9" customHeight="1" x14ac:dyDescent="0.2">
      <c r="A14" s="26">
        <v>8</v>
      </c>
      <c r="B14" s="19"/>
      <c r="C14" s="9">
        <f>'Synthèse S1'!C14+'Synthèse S2'!C14+'Synthèse S3'!C14+'Synthèse S4'!C14+'Synthèse S5'!C14</f>
        <v>450</v>
      </c>
      <c r="D14" s="10">
        <f>'Synthèse S1'!D14+'Synthèse S2'!D14+'Synthèse S3'!D14+'Synthèse S4'!D14+'Synthèse S5'!D14</f>
        <v>90</v>
      </c>
      <c r="E14" s="10">
        <f>'Synthèse S1'!E14+'Synthèse S2'!E14+'Synthèse S3'!E14+'Synthèse S4'!E14+'Synthèse S5'!E14</f>
        <v>150</v>
      </c>
      <c r="F14" s="10">
        <f>'Synthèse S1'!F14+'Synthèse S2'!F14+'Synthèse S3'!F14+'Synthèse S4'!F14+'Synthèse S5'!F14</f>
        <v>60</v>
      </c>
      <c r="G14" s="11">
        <f>'Synthèse S1'!G14+'Synthèse S2'!G14+'Synthèse S3'!G14+'Synthèse S4'!G14+'Synthèse S5'!G14</f>
        <v>150</v>
      </c>
      <c r="H14" s="9">
        <f>'Synthèse S1'!H14+'Synthèse S2'!H14+'Synthèse S3'!H14+'Synthèse S4'!H14+'Synthèse S5'!H14</f>
        <v>90</v>
      </c>
      <c r="I14" s="10">
        <f>'Synthèse S1'!I14+'Synthèse S2'!I14+'Synthèse S3'!I14+'Synthèse S4'!I14+'Synthèse S5'!I14</f>
        <v>30</v>
      </c>
      <c r="J14" s="10">
        <f>'Synthèse S1'!J14+'Synthèse S2'!J14+'Synthèse S3'!J14+'Synthèse S4'!J14+'Synthèse S5'!J14</f>
        <v>30</v>
      </c>
      <c r="K14" s="10">
        <f>'Synthèse S1'!K14+'Synthèse S2'!K14+'Synthèse S3'!K14+'Synthèse S4'!K14+'Synthèse S5'!K14</f>
        <v>30</v>
      </c>
      <c r="L14" s="11">
        <f>'Synthèse S1'!L14+'Synthèse S2'!L14+'Synthèse S3'!L14+'Synthèse S4'!L14+'Synthèse S5'!L14</f>
        <v>30</v>
      </c>
      <c r="M14" s="9">
        <f>'Synthèse S1'!M14+'Synthèse S2'!M14+'Synthèse S3'!M14+'Synthèse S4'!M14+'Synthèse S5'!M14</f>
        <v>90</v>
      </c>
      <c r="N14" s="10">
        <f>'Synthèse S1'!N14+'Synthèse S2'!N14+'Synthèse S3'!N14+'Synthèse S4'!N14+'Synthèse S5'!N14</f>
        <v>30</v>
      </c>
      <c r="O14" s="10">
        <f>'Synthèse S1'!O14+'Synthèse S2'!O14+'Synthèse S3'!O14+'Synthèse S4'!O14+'Synthèse S5'!O14</f>
        <v>90</v>
      </c>
      <c r="P14" s="10">
        <f>'Synthèse S1'!P14+'Synthèse S2'!P14+'Synthèse S3'!P14+'Synthèse S4'!P14+'Synthèse S5'!P14</f>
        <v>0</v>
      </c>
      <c r="Q14" s="11">
        <f>'Synthèse S1'!Q14+'Synthèse S2'!Q14+'Synthèse S3'!Q14+'Synthèse S4'!Q14+'Synthèse S5'!Q14</f>
        <v>0</v>
      </c>
      <c r="R14" s="70">
        <f>'Synthèse S1'!R14+'Synthèse S2'!R14+'Synthèse S3'!R14+'Synthèse S4'!R14+'Synthèse S5'!R14</f>
        <v>15</v>
      </c>
      <c r="S14" s="71">
        <f>'Synthèse S1'!S14+'Synthèse S2'!S14+'Synthèse S3'!S14+'Synthèse S4'!S14+'Synthèse S5'!S14</f>
        <v>4.9999999999999991</v>
      </c>
      <c r="T14" s="71">
        <f>'Synthèse S1'!T14+'Synthèse S2'!T14+'Synthèse S3'!T14+'Synthèse S4'!T14+'Synthèse S5'!T14</f>
        <v>3</v>
      </c>
      <c r="U14" s="71">
        <f>'Synthèse S1'!U14+'Synthèse S2'!U14+'Synthèse S3'!U14+'Synthèse S4'!U14+'Synthèse S5'!U14</f>
        <v>18</v>
      </c>
      <c r="V14" s="72">
        <f>'Synthèse S1'!V14+'Synthèse S2'!V14+'Synthèse S3'!V14+'Synthèse S4'!V14+'Synthèse S5'!V14</f>
        <v>4.5</v>
      </c>
      <c r="W14" s="9">
        <f>'Synthèse S1'!W14+'Synthèse S2'!W14+'Synthèse S3'!W14+'Synthèse S4'!W14+'Synthèse S5'!W14</f>
        <v>138</v>
      </c>
      <c r="X14" s="10">
        <f>'Synthèse S1'!X14+'Synthèse S2'!X14+'Synthèse S3'!X14+'Synthèse S4'!X14+'Synthèse S5'!X14</f>
        <v>1</v>
      </c>
      <c r="Y14" s="10">
        <f>'Synthèse S1'!Y14+'Synthèse S2'!Y14+'Synthèse S3'!Y14+'Synthèse S4'!Y14+'Synthèse S5'!Y14</f>
        <v>2</v>
      </c>
      <c r="Z14" s="10">
        <f>'Synthèse S1'!Z14+'Synthèse S2'!Z14+'Synthèse S3'!Z14+'Synthèse S4'!Z14+'Synthèse S5'!Z14</f>
        <v>2</v>
      </c>
      <c r="AA14" s="11">
        <f>'Synthèse S1'!AA14+'Synthèse S2'!AA14+'Synthèse S3'!AA14+'Synthèse S4'!AA14+'Synthèse S5'!AA14</f>
        <v>5</v>
      </c>
      <c r="AB14" s="9">
        <f>'Synthèse S1'!AB14+'Synthèse S2'!AB14+'Synthèse S3'!AB14+'Synthèse S4'!AB14+'Synthèse S5'!AB14</f>
        <v>72</v>
      </c>
      <c r="AC14" s="10">
        <f>'Synthèse S1'!AC14+'Synthèse S2'!AC14+'Synthèse S3'!AC14+'Synthèse S4'!AC14+'Synthèse S5'!AC14</f>
        <v>0</v>
      </c>
      <c r="AD14" s="10">
        <f>'Synthèse S1'!AD14+'Synthèse S2'!AD14+'Synthèse S3'!AD14+'Synthèse S4'!AD14+'Synthèse S5'!AD14</f>
        <v>0</v>
      </c>
      <c r="AE14" s="10">
        <f>'Synthèse S1'!AE14+'Synthèse S2'!AE14+'Synthèse S3'!AE14+'Synthèse S4'!AE14+'Synthèse S5'!AE14</f>
        <v>2</v>
      </c>
      <c r="AF14" s="11">
        <f>'Synthèse S1'!AF14+'Synthèse S2'!AF14+'Synthèse S3'!AF14+'Synthèse S4'!AF14+'Synthèse S5'!AF14</f>
        <v>2</v>
      </c>
      <c r="AG14" s="9">
        <f>'Synthèse S1'!AG14+'Synthèse S2'!AG14+'Synthèse S3'!AG14+'Synthèse S4'!AG14+'Synthèse S5'!AG14</f>
        <v>25</v>
      </c>
      <c r="AH14" s="10">
        <f>'Synthèse S1'!AH14+'Synthèse S2'!AH14+'Synthèse S3'!AH14+'Synthèse S4'!AH14+'Synthèse S5'!AH14</f>
        <v>0</v>
      </c>
      <c r="AI14" s="10">
        <f>'Synthèse S1'!AI14+'Synthèse S2'!AI14+'Synthèse S3'!AI14+'Synthèse S4'!AI14+'Synthèse S5'!AI14</f>
        <v>25</v>
      </c>
      <c r="AJ14" s="10">
        <f>'Synthèse S1'!AJ14+'Synthèse S2'!AJ14+'Synthèse S3'!AJ14+'Synthèse S4'!AJ14+'Synthèse S5'!AJ14</f>
        <v>0</v>
      </c>
      <c r="AK14" s="11">
        <f>'Synthèse S1'!AK14+'Synthèse S2'!AK14+'Synthèse S3'!AK14+'Synthèse S4'!AK14+'Synthèse S5'!AK14</f>
        <v>0</v>
      </c>
      <c r="AL14" s="9">
        <f>'Synthèse S1'!AL14+'Synthèse S2'!AL14+'Synthèse S3'!AL14+'Synthèse S4'!AL14+'Synthèse S5'!AL14</f>
        <v>2.16</v>
      </c>
      <c r="AM14" s="10">
        <f>'Synthèse S1'!AM14+'Synthèse S2'!AM14+'Synthèse S3'!AM14+'Synthèse S4'!AM14+'Synthèse S5'!AM14</f>
        <v>0</v>
      </c>
      <c r="AN14" s="10">
        <f>'Synthèse S1'!AN14+'Synthèse S2'!AN14+'Synthèse S3'!AN14+'Synthèse S4'!AN14+'Synthèse S5'!AN14</f>
        <v>0.35</v>
      </c>
      <c r="AO14" s="10">
        <f>'Synthèse S1'!AO14+'Synthèse S2'!AO14+'Synthèse S3'!AO14+'Synthèse S4'!AO14+'Synthèse S5'!AO14</f>
        <v>2.9</v>
      </c>
      <c r="AP14" s="11">
        <f>'Synthèse S1'!AP14+'Synthèse S2'!AP14+'Synthèse S3'!AP14+'Synthèse S4'!AP14+'Synthèse S5'!AP14</f>
        <v>5.05</v>
      </c>
      <c r="AQ14" s="9">
        <f>'Synthèse S1'!AQ14+'Synthèse S2'!AQ14+'Synthèse S3'!AQ14+'Synthèse S4'!AQ14+'Synthèse S5'!AQ14</f>
        <v>36</v>
      </c>
      <c r="AR14" s="10">
        <f>'Synthèse S1'!AR14+'Synthèse S2'!AR14+'Synthèse S3'!AR14+'Synthèse S4'!AR14+'Synthèse S5'!AR14</f>
        <v>0</v>
      </c>
      <c r="AS14" s="11">
        <f>'Synthèse S1'!AS14+'Synthèse S2'!AS14+'Synthèse S3'!AS14+'Synthèse S4'!AS14+'Synthèse S5'!AS14</f>
        <v>79</v>
      </c>
      <c r="AT14" s="22"/>
      <c r="AU14" s="14"/>
    </row>
    <row r="15" spans="1:47" ht="31.9" customHeight="1" x14ac:dyDescent="0.2">
      <c r="A15" s="26">
        <v>9</v>
      </c>
      <c r="B15" s="19"/>
      <c r="C15" s="9">
        <f>'Synthèse S1'!C15+'Synthèse S2'!C15+'Synthèse S3'!C15+'Synthèse S4'!C15+'Synthèse S5'!C15</f>
        <v>450</v>
      </c>
      <c r="D15" s="10">
        <f>'Synthèse S1'!D15+'Synthèse S2'!D15+'Synthèse S3'!D15+'Synthèse S4'!D15+'Synthèse S5'!D15</f>
        <v>90</v>
      </c>
      <c r="E15" s="10">
        <f>'Synthèse S1'!E15+'Synthèse S2'!E15+'Synthèse S3'!E15+'Synthèse S4'!E15+'Synthèse S5'!E15</f>
        <v>150</v>
      </c>
      <c r="F15" s="10">
        <f>'Synthèse S1'!F15+'Synthèse S2'!F15+'Synthèse S3'!F15+'Synthèse S4'!F15+'Synthèse S5'!F15</f>
        <v>60</v>
      </c>
      <c r="G15" s="11">
        <f>'Synthèse S1'!G15+'Synthèse S2'!G15+'Synthèse S3'!G15+'Synthèse S4'!G15+'Synthèse S5'!G15</f>
        <v>150</v>
      </c>
      <c r="H15" s="9">
        <f>'Synthèse S1'!H15+'Synthèse S2'!H15+'Synthèse S3'!H15+'Synthèse S4'!H15+'Synthèse S5'!H15</f>
        <v>90</v>
      </c>
      <c r="I15" s="10">
        <f>'Synthèse S1'!I15+'Synthèse S2'!I15+'Synthèse S3'!I15+'Synthèse S4'!I15+'Synthèse S5'!I15</f>
        <v>30</v>
      </c>
      <c r="J15" s="10">
        <f>'Synthèse S1'!J15+'Synthèse S2'!J15+'Synthèse S3'!J15+'Synthèse S4'!J15+'Synthèse S5'!J15</f>
        <v>30</v>
      </c>
      <c r="K15" s="10">
        <f>'Synthèse S1'!K15+'Synthèse S2'!K15+'Synthèse S3'!K15+'Synthèse S4'!K15+'Synthèse S5'!K15</f>
        <v>30</v>
      </c>
      <c r="L15" s="11">
        <f>'Synthèse S1'!L15+'Synthèse S2'!L15+'Synthèse S3'!L15+'Synthèse S4'!L15+'Synthèse S5'!L15</f>
        <v>30</v>
      </c>
      <c r="M15" s="9">
        <f>'Synthèse S1'!M15+'Synthèse S2'!M15+'Synthèse S3'!M15+'Synthèse S4'!M15+'Synthèse S5'!M15</f>
        <v>90</v>
      </c>
      <c r="N15" s="10">
        <f>'Synthèse S1'!N15+'Synthèse S2'!N15+'Synthèse S3'!N15+'Synthèse S4'!N15+'Synthèse S5'!N15</f>
        <v>30</v>
      </c>
      <c r="O15" s="10">
        <f>'Synthèse S1'!O15+'Synthèse S2'!O15+'Synthèse S3'!O15+'Synthèse S4'!O15+'Synthèse S5'!O15</f>
        <v>90</v>
      </c>
      <c r="P15" s="10">
        <f>'Synthèse S1'!P15+'Synthèse S2'!P15+'Synthèse S3'!P15+'Synthèse S4'!P15+'Synthèse S5'!P15</f>
        <v>0</v>
      </c>
      <c r="Q15" s="11">
        <f>'Synthèse S1'!Q15+'Synthèse S2'!Q15+'Synthèse S3'!Q15+'Synthèse S4'!Q15+'Synthèse S5'!Q15</f>
        <v>0</v>
      </c>
      <c r="R15" s="70">
        <f>'Synthèse S1'!R15+'Synthèse S2'!R15+'Synthèse S3'!R15+'Synthèse S4'!R15+'Synthèse S5'!R15</f>
        <v>15</v>
      </c>
      <c r="S15" s="71">
        <f>'Synthèse S1'!S15+'Synthèse S2'!S15+'Synthèse S3'!S15+'Synthèse S4'!S15+'Synthèse S5'!S15</f>
        <v>4.9999999999999991</v>
      </c>
      <c r="T15" s="71">
        <f>'Synthèse S1'!T15+'Synthèse S2'!T15+'Synthèse S3'!T15+'Synthèse S4'!T15+'Synthèse S5'!T15</f>
        <v>3</v>
      </c>
      <c r="U15" s="71">
        <f>'Synthèse S1'!U15+'Synthèse S2'!U15+'Synthèse S3'!U15+'Synthèse S4'!U15+'Synthèse S5'!U15</f>
        <v>18</v>
      </c>
      <c r="V15" s="72">
        <f>'Synthèse S1'!V15+'Synthèse S2'!V15+'Synthèse S3'!V15+'Synthèse S4'!V15+'Synthèse S5'!V15</f>
        <v>4.5</v>
      </c>
      <c r="W15" s="9">
        <f>'Synthèse S1'!W15+'Synthèse S2'!W15+'Synthèse S3'!W15+'Synthèse S4'!W15+'Synthèse S5'!W15</f>
        <v>143</v>
      </c>
      <c r="X15" s="10">
        <f>'Synthèse S1'!X15+'Synthèse S2'!X15+'Synthèse S3'!X15+'Synthèse S4'!X15+'Synthèse S5'!X15</f>
        <v>1</v>
      </c>
      <c r="Y15" s="10">
        <f>'Synthèse S1'!Y15+'Synthèse S2'!Y15+'Synthèse S3'!Y15+'Synthèse S4'!Y15+'Synthèse S5'!Y15</f>
        <v>3</v>
      </c>
      <c r="Z15" s="10">
        <f>'Synthèse S1'!Z15+'Synthèse S2'!Z15+'Synthèse S3'!Z15+'Synthèse S4'!Z15+'Synthèse S5'!Z15</f>
        <v>2</v>
      </c>
      <c r="AA15" s="11">
        <f>'Synthèse S1'!AA15+'Synthèse S2'!AA15+'Synthèse S3'!AA15+'Synthèse S4'!AA15+'Synthèse S5'!AA15</f>
        <v>4</v>
      </c>
      <c r="AB15" s="9">
        <f>'Synthèse S1'!AB15+'Synthèse S2'!AB15+'Synthèse S3'!AB15+'Synthèse S4'!AB15+'Synthèse S5'!AB15</f>
        <v>70</v>
      </c>
      <c r="AC15" s="10">
        <f>'Synthèse S1'!AC15+'Synthèse S2'!AC15+'Synthèse S3'!AC15+'Synthèse S4'!AC15+'Synthèse S5'!AC15</f>
        <v>0</v>
      </c>
      <c r="AD15" s="10">
        <f>'Synthèse S1'!AD15+'Synthèse S2'!AD15+'Synthèse S3'!AD15+'Synthèse S4'!AD15+'Synthèse S5'!AD15</f>
        <v>2</v>
      </c>
      <c r="AE15" s="10">
        <f>'Synthèse S1'!AE15+'Synthèse S2'!AE15+'Synthèse S3'!AE15+'Synthèse S4'!AE15+'Synthèse S5'!AE15</f>
        <v>0</v>
      </c>
      <c r="AF15" s="11">
        <f>'Synthèse S1'!AF15+'Synthèse S2'!AF15+'Synthèse S3'!AF15+'Synthèse S4'!AF15+'Synthèse S5'!AF15</f>
        <v>1</v>
      </c>
      <c r="AG15" s="9">
        <f>'Synthèse S1'!AG15+'Synthèse S2'!AG15+'Synthèse S3'!AG15+'Synthèse S4'!AG15+'Synthèse S5'!AG15</f>
        <v>25</v>
      </c>
      <c r="AH15" s="10">
        <f>'Synthèse S1'!AH15+'Synthèse S2'!AH15+'Synthèse S3'!AH15+'Synthèse S4'!AH15+'Synthèse S5'!AH15</f>
        <v>0</v>
      </c>
      <c r="AI15" s="10">
        <f>'Synthèse S1'!AI15+'Synthèse S2'!AI15+'Synthèse S3'!AI15+'Synthèse S4'!AI15+'Synthèse S5'!AI15</f>
        <v>25</v>
      </c>
      <c r="AJ15" s="10">
        <f>'Synthèse S1'!AJ15+'Synthèse S2'!AJ15+'Synthèse S3'!AJ15+'Synthèse S4'!AJ15+'Synthèse S5'!AJ15</f>
        <v>0</v>
      </c>
      <c r="AK15" s="11">
        <f>'Synthèse S1'!AK15+'Synthèse S2'!AK15+'Synthèse S3'!AK15+'Synthèse S4'!AK15+'Synthèse S5'!AK15</f>
        <v>0</v>
      </c>
      <c r="AL15" s="9">
        <f>'Synthèse S1'!AL15+'Synthèse S2'!AL15+'Synthèse S3'!AL15+'Synthèse S4'!AL15+'Synthèse S5'!AL15</f>
        <v>2.09</v>
      </c>
      <c r="AM15" s="10">
        <f>'Synthèse S1'!AM15+'Synthèse S2'!AM15+'Synthèse S3'!AM15+'Synthèse S4'!AM15+'Synthèse S5'!AM15</f>
        <v>0</v>
      </c>
      <c r="AN15" s="10">
        <f>'Synthèse S1'!AN15+'Synthèse S2'!AN15+'Synthèse S3'!AN15+'Synthèse S4'!AN15+'Synthèse S5'!AN15</f>
        <v>0.35</v>
      </c>
      <c r="AO15" s="10">
        <f>'Synthèse S1'!AO15+'Synthèse S2'!AO15+'Synthèse S3'!AO15+'Synthèse S4'!AO15+'Synthèse S5'!AO15</f>
        <v>2.1999999999999997</v>
      </c>
      <c r="AP15" s="11">
        <f>'Synthèse S1'!AP15+'Synthèse S2'!AP15+'Synthèse S3'!AP15+'Synthèse S4'!AP15+'Synthèse S5'!AP15</f>
        <v>3.25</v>
      </c>
      <c r="AQ15" s="9">
        <f>'Synthèse S1'!AQ15+'Synthèse S2'!AQ15+'Synthèse S3'!AQ15+'Synthèse S4'!AQ15+'Synthèse S5'!AQ15</f>
        <v>29</v>
      </c>
      <c r="AR15" s="10">
        <f>'Synthèse S1'!AR15+'Synthèse S2'!AR15+'Synthèse S3'!AR15+'Synthèse S4'!AR15+'Synthèse S5'!AR15</f>
        <v>0</v>
      </c>
      <c r="AS15" s="11">
        <f>'Synthèse S1'!AS15+'Synthèse S2'!AS15+'Synthèse S3'!AS15+'Synthèse S4'!AS15+'Synthèse S5'!AS15</f>
        <v>52</v>
      </c>
      <c r="AT15" s="22"/>
      <c r="AU15" s="14"/>
    </row>
    <row r="16" spans="1:47" ht="31.9" customHeight="1" x14ac:dyDescent="0.2">
      <c r="A16" s="26">
        <v>10</v>
      </c>
      <c r="B16" s="19"/>
      <c r="C16" s="9">
        <f>'Synthèse S1'!C16+'Synthèse S2'!C16+'Synthèse S3'!C16+'Synthèse S4'!C16+'Synthèse S5'!C16</f>
        <v>450</v>
      </c>
      <c r="D16" s="10">
        <f>'Synthèse S1'!D16+'Synthèse S2'!D16+'Synthèse S3'!D16+'Synthèse S4'!D16+'Synthèse S5'!D16</f>
        <v>90</v>
      </c>
      <c r="E16" s="10">
        <f>'Synthèse S1'!E16+'Synthèse S2'!E16+'Synthèse S3'!E16+'Synthèse S4'!E16+'Synthèse S5'!E16</f>
        <v>150</v>
      </c>
      <c r="F16" s="10">
        <f>'Synthèse S1'!F16+'Synthèse S2'!F16+'Synthèse S3'!F16+'Synthèse S4'!F16+'Synthèse S5'!F16</f>
        <v>60</v>
      </c>
      <c r="G16" s="11">
        <f>'Synthèse S1'!G16+'Synthèse S2'!G16+'Synthèse S3'!G16+'Synthèse S4'!G16+'Synthèse S5'!G16</f>
        <v>150</v>
      </c>
      <c r="H16" s="9">
        <f>'Synthèse S1'!H16+'Synthèse S2'!H16+'Synthèse S3'!H16+'Synthèse S4'!H16+'Synthèse S5'!H16</f>
        <v>90</v>
      </c>
      <c r="I16" s="10">
        <f>'Synthèse S1'!I16+'Synthèse S2'!I16+'Synthèse S3'!I16+'Synthèse S4'!I16+'Synthèse S5'!I16</f>
        <v>30</v>
      </c>
      <c r="J16" s="10">
        <f>'Synthèse S1'!J16+'Synthèse S2'!J16+'Synthèse S3'!J16+'Synthèse S4'!J16+'Synthèse S5'!J16</f>
        <v>30</v>
      </c>
      <c r="K16" s="10">
        <f>'Synthèse S1'!K16+'Synthèse S2'!K16+'Synthèse S3'!K16+'Synthèse S4'!K16+'Synthèse S5'!K16</f>
        <v>30</v>
      </c>
      <c r="L16" s="11">
        <f>'Synthèse S1'!L16+'Synthèse S2'!L16+'Synthèse S3'!L16+'Synthèse S4'!L16+'Synthèse S5'!L16</f>
        <v>30</v>
      </c>
      <c r="M16" s="9">
        <f>'Synthèse S1'!M16+'Synthèse S2'!M16+'Synthèse S3'!M16+'Synthèse S4'!M16+'Synthèse S5'!M16</f>
        <v>90</v>
      </c>
      <c r="N16" s="10">
        <f>'Synthèse S1'!N16+'Synthèse S2'!N16+'Synthèse S3'!N16+'Synthèse S4'!N16+'Synthèse S5'!N16</f>
        <v>30</v>
      </c>
      <c r="O16" s="10">
        <f>'Synthèse S1'!O16+'Synthèse S2'!O16+'Synthèse S3'!O16+'Synthèse S4'!O16+'Synthèse S5'!O16</f>
        <v>90</v>
      </c>
      <c r="P16" s="10">
        <f>'Synthèse S1'!P16+'Synthèse S2'!P16+'Synthèse S3'!P16+'Synthèse S4'!P16+'Synthèse S5'!P16</f>
        <v>0</v>
      </c>
      <c r="Q16" s="11">
        <f>'Synthèse S1'!Q16+'Synthèse S2'!Q16+'Synthèse S3'!Q16+'Synthèse S4'!Q16+'Synthèse S5'!Q16</f>
        <v>0</v>
      </c>
      <c r="R16" s="70">
        <f>'Synthèse S1'!R16+'Synthèse S2'!R16+'Synthèse S3'!R16+'Synthèse S4'!R16+'Synthèse S5'!R16</f>
        <v>15</v>
      </c>
      <c r="S16" s="71">
        <f>'Synthèse S1'!S16+'Synthèse S2'!S16+'Synthèse S3'!S16+'Synthèse S4'!S16+'Synthèse S5'!S16</f>
        <v>4.9999999999999991</v>
      </c>
      <c r="T16" s="71">
        <f>'Synthèse S1'!T16+'Synthèse S2'!T16+'Synthèse S3'!T16+'Synthèse S4'!T16+'Synthèse S5'!T16</f>
        <v>3</v>
      </c>
      <c r="U16" s="71">
        <f>'Synthèse S1'!U16+'Synthèse S2'!U16+'Synthèse S3'!U16+'Synthèse S4'!U16+'Synthèse S5'!U16</f>
        <v>18</v>
      </c>
      <c r="V16" s="72">
        <f>'Synthèse S1'!V16+'Synthèse S2'!V16+'Synthèse S3'!V16+'Synthèse S4'!V16+'Synthèse S5'!V16</f>
        <v>4.5</v>
      </c>
      <c r="W16" s="9">
        <f>'Synthèse S1'!W16+'Synthèse S2'!W16+'Synthèse S3'!W16+'Synthèse S4'!W16+'Synthèse S5'!W16</f>
        <v>133</v>
      </c>
      <c r="X16" s="10">
        <f>'Synthèse S1'!X16+'Synthèse S2'!X16+'Synthèse S3'!X16+'Synthèse S4'!X16+'Synthèse S5'!X16</f>
        <v>0</v>
      </c>
      <c r="Y16" s="10">
        <f>'Synthèse S1'!Y16+'Synthèse S2'!Y16+'Synthèse S3'!Y16+'Synthèse S4'!Y16+'Synthèse S5'!Y16</f>
        <v>5</v>
      </c>
      <c r="Z16" s="10">
        <f>'Synthèse S1'!Z16+'Synthèse S2'!Z16+'Synthèse S3'!Z16+'Synthèse S4'!Z16+'Synthèse S5'!Z16</f>
        <v>4</v>
      </c>
      <c r="AA16" s="11">
        <f>'Synthèse S1'!AA16+'Synthèse S2'!AA16+'Synthèse S3'!AA16+'Synthèse S4'!AA16+'Synthèse S5'!AA16</f>
        <v>0</v>
      </c>
      <c r="AB16" s="9">
        <f>'Synthèse S1'!AB16+'Synthèse S2'!AB16+'Synthèse S3'!AB16+'Synthèse S4'!AB16+'Synthèse S5'!AB16</f>
        <v>61</v>
      </c>
      <c r="AC16" s="10">
        <f>'Synthèse S1'!AC16+'Synthèse S2'!AC16+'Synthèse S3'!AC16+'Synthèse S4'!AC16+'Synthèse S5'!AC16</f>
        <v>0</v>
      </c>
      <c r="AD16" s="10">
        <f>'Synthèse S1'!AD16+'Synthèse S2'!AD16+'Synthèse S3'!AD16+'Synthèse S4'!AD16+'Synthèse S5'!AD16</f>
        <v>1</v>
      </c>
      <c r="AE16" s="10">
        <f>'Synthèse S1'!AE16+'Synthèse S2'!AE16+'Synthèse S3'!AE16+'Synthèse S4'!AE16+'Synthèse S5'!AE16</f>
        <v>1</v>
      </c>
      <c r="AF16" s="11">
        <f>'Synthèse S1'!AF16+'Synthèse S2'!AF16+'Synthèse S3'!AF16+'Synthèse S4'!AF16+'Synthèse S5'!AF16</f>
        <v>0</v>
      </c>
      <c r="AG16" s="9">
        <f>'Synthèse S1'!AG16+'Synthèse S2'!AG16+'Synthèse S3'!AG16+'Synthèse S4'!AG16+'Synthèse S5'!AG16</f>
        <v>25</v>
      </c>
      <c r="AH16" s="10">
        <f>'Synthèse S1'!AH16+'Synthèse S2'!AH16+'Synthèse S3'!AH16+'Synthèse S4'!AH16+'Synthèse S5'!AH16</f>
        <v>0</v>
      </c>
      <c r="AI16" s="10">
        <f>'Synthèse S1'!AI16+'Synthèse S2'!AI16+'Synthèse S3'!AI16+'Synthèse S4'!AI16+'Synthèse S5'!AI16</f>
        <v>25</v>
      </c>
      <c r="AJ16" s="10">
        <f>'Synthèse S1'!AJ16+'Synthèse S2'!AJ16+'Synthèse S3'!AJ16+'Synthèse S4'!AJ16+'Synthèse S5'!AJ16</f>
        <v>0</v>
      </c>
      <c r="AK16" s="11">
        <f>'Synthèse S1'!AK16+'Synthèse S2'!AK16+'Synthèse S3'!AK16+'Synthèse S4'!AK16+'Synthèse S5'!AK16</f>
        <v>0</v>
      </c>
      <c r="AL16" s="9">
        <f>'Synthèse S1'!AL16+'Synthèse S2'!AL16+'Synthèse S3'!AL16+'Synthèse S4'!AL16+'Synthèse S5'!AL16</f>
        <v>2.5</v>
      </c>
      <c r="AM16" s="10">
        <f>'Synthèse S1'!AM16+'Synthèse S2'!AM16+'Synthèse S3'!AM16+'Synthèse S4'!AM16+'Synthèse S5'!AM16</f>
        <v>0</v>
      </c>
      <c r="AN16" s="10">
        <f>'Synthèse S1'!AN16+'Synthèse S2'!AN16+'Synthèse S3'!AN16+'Synthèse S4'!AN16+'Synthèse S5'!AN16</f>
        <v>0.55000000000000004</v>
      </c>
      <c r="AO16" s="10">
        <f>'Synthèse S1'!AO16+'Synthèse S2'!AO16+'Synthèse S3'!AO16+'Synthèse S4'!AO16+'Synthèse S5'!AO16</f>
        <v>2.9000000000000004</v>
      </c>
      <c r="AP16" s="11">
        <f>'Synthèse S1'!AP16+'Synthèse S2'!AP16+'Synthèse S3'!AP16+'Synthèse S4'!AP16+'Synthèse S5'!AP16</f>
        <v>2.65</v>
      </c>
      <c r="AQ16" s="9">
        <f>'Synthèse S1'!AQ16+'Synthèse S2'!AQ16+'Synthèse S3'!AQ16+'Synthèse S4'!AQ16+'Synthèse S5'!AQ16</f>
        <v>45</v>
      </c>
      <c r="AR16" s="10">
        <f>'Synthèse S1'!AR16+'Synthèse S2'!AR16+'Synthèse S3'!AR16+'Synthèse S4'!AR16+'Synthèse S5'!AR16</f>
        <v>0</v>
      </c>
      <c r="AS16" s="11">
        <f>'Synthèse S1'!AS16+'Synthèse S2'!AS16+'Synthèse S3'!AS16+'Synthèse S4'!AS16+'Synthèse S5'!AS16</f>
        <v>52</v>
      </c>
      <c r="AT16" s="22"/>
      <c r="AU16" s="14"/>
    </row>
    <row r="17" spans="1:47" ht="31.9" customHeight="1" x14ac:dyDescent="0.2">
      <c r="A17" s="26">
        <v>11</v>
      </c>
      <c r="B17" s="19"/>
      <c r="C17" s="9">
        <f>'Synthèse S1'!C17+'Synthèse S2'!C17+'Synthèse S3'!C17+'Synthèse S4'!C17+'Synthèse S5'!C17</f>
        <v>450</v>
      </c>
      <c r="D17" s="10">
        <f>'Synthèse S1'!D17+'Synthèse S2'!D17+'Synthèse S3'!D17+'Synthèse S4'!D17+'Synthèse S5'!D17</f>
        <v>90</v>
      </c>
      <c r="E17" s="10">
        <f>'Synthèse S1'!E17+'Synthèse S2'!E17+'Synthèse S3'!E17+'Synthèse S4'!E17+'Synthèse S5'!E17</f>
        <v>150</v>
      </c>
      <c r="F17" s="10">
        <f>'Synthèse S1'!F17+'Synthèse S2'!F17+'Synthèse S3'!F17+'Synthèse S4'!F17+'Synthèse S5'!F17</f>
        <v>60</v>
      </c>
      <c r="G17" s="11">
        <f>'Synthèse S1'!G17+'Synthèse S2'!G17+'Synthèse S3'!G17+'Synthèse S4'!G17+'Synthèse S5'!G17</f>
        <v>150</v>
      </c>
      <c r="H17" s="9">
        <f>'Synthèse S1'!H17+'Synthèse S2'!H17+'Synthèse S3'!H17+'Synthèse S4'!H17+'Synthèse S5'!H17</f>
        <v>90</v>
      </c>
      <c r="I17" s="10">
        <f>'Synthèse S1'!I17+'Synthèse S2'!I17+'Synthèse S3'!I17+'Synthèse S4'!I17+'Synthèse S5'!I17</f>
        <v>30</v>
      </c>
      <c r="J17" s="10">
        <f>'Synthèse S1'!J17+'Synthèse S2'!J17+'Synthèse S3'!J17+'Synthèse S4'!J17+'Synthèse S5'!J17</f>
        <v>30</v>
      </c>
      <c r="K17" s="10">
        <f>'Synthèse S1'!K17+'Synthèse S2'!K17+'Synthèse S3'!K17+'Synthèse S4'!K17+'Synthèse S5'!K17</f>
        <v>30</v>
      </c>
      <c r="L17" s="11">
        <f>'Synthèse S1'!L17+'Synthèse S2'!L17+'Synthèse S3'!L17+'Synthèse S4'!L17+'Synthèse S5'!L17</f>
        <v>30</v>
      </c>
      <c r="M17" s="9">
        <f>'Synthèse S1'!M17+'Synthèse S2'!M17+'Synthèse S3'!M17+'Synthèse S4'!M17+'Synthèse S5'!M17</f>
        <v>90</v>
      </c>
      <c r="N17" s="10">
        <f>'Synthèse S1'!N17+'Synthèse S2'!N17+'Synthèse S3'!N17+'Synthèse S4'!N17+'Synthèse S5'!N17</f>
        <v>30</v>
      </c>
      <c r="O17" s="10">
        <f>'Synthèse S1'!O17+'Synthèse S2'!O17+'Synthèse S3'!O17+'Synthèse S4'!O17+'Synthèse S5'!O17</f>
        <v>90</v>
      </c>
      <c r="P17" s="10">
        <f>'Synthèse S1'!P17+'Synthèse S2'!P17+'Synthèse S3'!P17+'Synthèse S4'!P17+'Synthèse S5'!P17</f>
        <v>0</v>
      </c>
      <c r="Q17" s="11">
        <f>'Synthèse S1'!Q17+'Synthèse S2'!Q17+'Synthèse S3'!Q17+'Synthèse S4'!Q17+'Synthèse S5'!Q17</f>
        <v>0</v>
      </c>
      <c r="R17" s="70">
        <f>'Synthèse S1'!R17+'Synthèse S2'!R17+'Synthèse S3'!R17+'Synthèse S4'!R17+'Synthèse S5'!R17</f>
        <v>15</v>
      </c>
      <c r="S17" s="71">
        <f>'Synthèse S1'!S17+'Synthèse S2'!S17+'Synthèse S3'!S17+'Synthèse S4'!S17+'Synthèse S5'!S17</f>
        <v>4.9999999999999991</v>
      </c>
      <c r="T17" s="71">
        <f>'Synthèse S1'!T17+'Synthèse S2'!T17+'Synthèse S3'!T17+'Synthèse S4'!T17+'Synthèse S5'!T17</f>
        <v>3</v>
      </c>
      <c r="U17" s="71">
        <f>'Synthèse S1'!U17+'Synthèse S2'!U17+'Synthèse S3'!U17+'Synthèse S4'!U17+'Synthèse S5'!U17</f>
        <v>18</v>
      </c>
      <c r="V17" s="72">
        <f>'Synthèse S1'!V17+'Synthèse S2'!V17+'Synthèse S3'!V17+'Synthèse S4'!V17+'Synthèse S5'!V17</f>
        <v>4.5</v>
      </c>
      <c r="W17" s="9">
        <f>'Synthèse S1'!W17+'Synthèse S2'!W17+'Synthèse S3'!W17+'Synthèse S4'!W17+'Synthèse S5'!W17</f>
        <v>127</v>
      </c>
      <c r="X17" s="10">
        <f>'Synthèse S1'!X17+'Synthèse S2'!X17+'Synthèse S3'!X17+'Synthèse S4'!X17+'Synthèse S5'!X17</f>
        <v>0</v>
      </c>
      <c r="Y17" s="10">
        <f>'Synthèse S1'!Y17+'Synthèse S2'!Y17+'Synthèse S3'!Y17+'Synthèse S4'!Y17+'Synthèse S5'!Y17</f>
        <v>2</v>
      </c>
      <c r="Z17" s="10">
        <f>'Synthèse S1'!Z17+'Synthèse S2'!Z17+'Synthèse S3'!Z17+'Synthèse S4'!Z17+'Synthèse S5'!Z17</f>
        <v>7</v>
      </c>
      <c r="AA17" s="11">
        <f>'Synthèse S1'!AA17+'Synthèse S2'!AA17+'Synthèse S3'!AA17+'Synthèse S4'!AA17+'Synthèse S5'!AA17</f>
        <v>0</v>
      </c>
      <c r="AB17" s="9">
        <f>'Synthèse S1'!AB17+'Synthèse S2'!AB17+'Synthèse S3'!AB17+'Synthèse S4'!AB17+'Synthèse S5'!AB17</f>
        <v>60</v>
      </c>
      <c r="AC17" s="10">
        <f>'Synthèse S1'!AC17+'Synthèse S2'!AC17+'Synthèse S3'!AC17+'Synthèse S4'!AC17+'Synthèse S5'!AC17</f>
        <v>0</v>
      </c>
      <c r="AD17" s="10">
        <f>'Synthèse S1'!AD17+'Synthèse S2'!AD17+'Synthèse S3'!AD17+'Synthèse S4'!AD17+'Synthèse S5'!AD17</f>
        <v>1</v>
      </c>
      <c r="AE17" s="10">
        <f>'Synthèse S1'!AE17+'Synthèse S2'!AE17+'Synthèse S3'!AE17+'Synthèse S4'!AE17+'Synthèse S5'!AE17</f>
        <v>4</v>
      </c>
      <c r="AF17" s="11">
        <f>'Synthèse S1'!AF17+'Synthèse S2'!AF17+'Synthèse S3'!AF17+'Synthèse S4'!AF17+'Synthèse S5'!AF17</f>
        <v>0</v>
      </c>
      <c r="AG17" s="9">
        <f>'Synthèse S1'!AG17+'Synthèse S2'!AG17+'Synthèse S3'!AG17+'Synthèse S4'!AG17+'Synthèse S5'!AG17</f>
        <v>25</v>
      </c>
      <c r="AH17" s="10">
        <f>'Synthèse S1'!AH17+'Synthèse S2'!AH17+'Synthèse S3'!AH17+'Synthèse S4'!AH17+'Synthèse S5'!AH17</f>
        <v>0</v>
      </c>
      <c r="AI17" s="10">
        <f>'Synthèse S1'!AI17+'Synthèse S2'!AI17+'Synthèse S3'!AI17+'Synthèse S4'!AI17+'Synthèse S5'!AI17</f>
        <v>25</v>
      </c>
      <c r="AJ17" s="10">
        <f>'Synthèse S1'!AJ17+'Synthèse S2'!AJ17+'Synthèse S3'!AJ17+'Synthèse S4'!AJ17+'Synthèse S5'!AJ17</f>
        <v>0</v>
      </c>
      <c r="AK17" s="11">
        <f>'Synthèse S1'!AK17+'Synthèse S2'!AK17+'Synthèse S3'!AK17+'Synthèse S4'!AK17+'Synthèse S5'!AK17</f>
        <v>0</v>
      </c>
      <c r="AL17" s="9">
        <f>'Synthèse S1'!AL17+'Synthèse S2'!AL17+'Synthèse S3'!AL17+'Synthèse S4'!AL17+'Synthèse S5'!AL17</f>
        <v>2.33</v>
      </c>
      <c r="AM17" s="10">
        <f>'Synthèse S1'!AM17+'Synthèse S2'!AM17+'Synthèse S3'!AM17+'Synthèse S4'!AM17+'Synthèse S5'!AM17</f>
        <v>0</v>
      </c>
      <c r="AN17" s="10">
        <f>'Synthèse S1'!AN17+'Synthèse S2'!AN17+'Synthèse S3'!AN17+'Synthèse S4'!AN17+'Synthèse S5'!AN17</f>
        <v>0.5</v>
      </c>
      <c r="AO17" s="10">
        <f>'Synthèse S1'!AO17+'Synthèse S2'!AO17+'Synthèse S3'!AO17+'Synthèse S4'!AO17+'Synthèse S5'!AO17</f>
        <v>3.4</v>
      </c>
      <c r="AP17" s="11">
        <f>'Synthèse S1'!AP17+'Synthèse S2'!AP17+'Synthèse S3'!AP17+'Synthèse S4'!AP17+'Synthèse S5'!AP17</f>
        <v>3.5</v>
      </c>
      <c r="AQ17" s="9">
        <f>'Synthèse S1'!AQ17+'Synthèse S2'!AQ17+'Synthèse S3'!AQ17+'Synthèse S4'!AQ17+'Synthèse S5'!AQ17</f>
        <v>38</v>
      </c>
      <c r="AR17" s="10">
        <f>'Synthèse S1'!AR17+'Synthèse S2'!AR17+'Synthèse S3'!AR17+'Synthèse S4'!AR17+'Synthèse S5'!AR17</f>
        <v>0</v>
      </c>
      <c r="AS17" s="11">
        <f>'Synthèse S1'!AS17+'Synthèse S2'!AS17+'Synthèse S3'!AS17+'Synthèse S4'!AS17+'Synthèse S5'!AS17</f>
        <v>66</v>
      </c>
      <c r="AT17" s="22"/>
      <c r="AU17" s="14"/>
    </row>
    <row r="18" spans="1:47" ht="31.9" customHeight="1" x14ac:dyDescent="0.2">
      <c r="A18" s="26">
        <v>12</v>
      </c>
      <c r="B18" s="19"/>
      <c r="C18" s="9">
        <f>'Synthèse S1'!C18+'Synthèse S2'!C18+'Synthèse S3'!C18+'Synthèse S4'!C18+'Synthèse S5'!C18</f>
        <v>450</v>
      </c>
      <c r="D18" s="10">
        <f>'Synthèse S1'!D18+'Synthèse S2'!D18+'Synthèse S3'!D18+'Synthèse S4'!D18+'Synthèse S5'!D18</f>
        <v>90</v>
      </c>
      <c r="E18" s="10">
        <f>'Synthèse S1'!E18+'Synthèse S2'!E18+'Synthèse S3'!E18+'Synthèse S4'!E18+'Synthèse S5'!E18</f>
        <v>150</v>
      </c>
      <c r="F18" s="10">
        <f>'Synthèse S1'!F18+'Synthèse S2'!F18+'Synthèse S3'!F18+'Synthèse S4'!F18+'Synthèse S5'!F18</f>
        <v>60</v>
      </c>
      <c r="G18" s="11">
        <f>'Synthèse S1'!G18+'Synthèse S2'!G18+'Synthèse S3'!G18+'Synthèse S4'!G18+'Synthèse S5'!G18</f>
        <v>150</v>
      </c>
      <c r="H18" s="9">
        <f>'Synthèse S1'!H18+'Synthèse S2'!H18+'Synthèse S3'!H18+'Synthèse S4'!H18+'Synthèse S5'!H18</f>
        <v>90</v>
      </c>
      <c r="I18" s="10">
        <f>'Synthèse S1'!I18+'Synthèse S2'!I18+'Synthèse S3'!I18+'Synthèse S4'!I18+'Synthèse S5'!I18</f>
        <v>30</v>
      </c>
      <c r="J18" s="10">
        <f>'Synthèse S1'!J18+'Synthèse S2'!J18+'Synthèse S3'!J18+'Synthèse S4'!J18+'Synthèse S5'!J18</f>
        <v>30</v>
      </c>
      <c r="K18" s="10">
        <f>'Synthèse S1'!K18+'Synthèse S2'!K18+'Synthèse S3'!K18+'Synthèse S4'!K18+'Synthèse S5'!K18</f>
        <v>30</v>
      </c>
      <c r="L18" s="11">
        <f>'Synthèse S1'!L18+'Synthèse S2'!L18+'Synthèse S3'!L18+'Synthèse S4'!L18+'Synthèse S5'!L18</f>
        <v>30</v>
      </c>
      <c r="M18" s="9">
        <f>'Synthèse S1'!M18+'Synthèse S2'!M18+'Synthèse S3'!M18+'Synthèse S4'!M18+'Synthèse S5'!M18</f>
        <v>90</v>
      </c>
      <c r="N18" s="10">
        <f>'Synthèse S1'!N18+'Synthèse S2'!N18+'Synthèse S3'!N18+'Synthèse S4'!N18+'Synthèse S5'!N18</f>
        <v>30</v>
      </c>
      <c r="O18" s="10">
        <f>'Synthèse S1'!O18+'Synthèse S2'!O18+'Synthèse S3'!O18+'Synthèse S4'!O18+'Synthèse S5'!O18</f>
        <v>90</v>
      </c>
      <c r="P18" s="10">
        <f>'Synthèse S1'!P18+'Synthèse S2'!P18+'Synthèse S3'!P18+'Synthèse S4'!P18+'Synthèse S5'!P18</f>
        <v>0</v>
      </c>
      <c r="Q18" s="11">
        <f>'Synthèse S1'!Q18+'Synthèse S2'!Q18+'Synthèse S3'!Q18+'Synthèse S4'!Q18+'Synthèse S5'!Q18</f>
        <v>0</v>
      </c>
      <c r="R18" s="70">
        <f>'Synthèse S1'!R18+'Synthèse S2'!R18+'Synthèse S3'!R18+'Synthèse S4'!R18+'Synthèse S5'!R18</f>
        <v>15</v>
      </c>
      <c r="S18" s="71">
        <f>'Synthèse S1'!S18+'Synthèse S2'!S18+'Synthèse S3'!S18+'Synthèse S4'!S18+'Synthèse S5'!S18</f>
        <v>4.9999999999999991</v>
      </c>
      <c r="T18" s="71">
        <f>'Synthèse S1'!T18+'Synthèse S2'!T18+'Synthèse S3'!T18+'Synthèse S4'!T18+'Synthèse S5'!T18</f>
        <v>3</v>
      </c>
      <c r="U18" s="71">
        <f>'Synthèse S1'!U18+'Synthèse S2'!U18+'Synthèse S3'!U18+'Synthèse S4'!U18+'Synthèse S5'!U18</f>
        <v>18</v>
      </c>
      <c r="V18" s="72">
        <f>'Synthèse S1'!V18+'Synthèse S2'!V18+'Synthèse S3'!V18+'Synthèse S4'!V18+'Synthèse S5'!V18</f>
        <v>4.5</v>
      </c>
      <c r="W18" s="9">
        <f>'Synthèse S1'!W18+'Synthèse S2'!W18+'Synthèse S3'!W18+'Synthèse S4'!W18+'Synthèse S5'!W18</f>
        <v>138</v>
      </c>
      <c r="X18" s="10">
        <f>'Synthèse S1'!X18+'Synthèse S2'!X18+'Synthèse S3'!X18+'Synthèse S4'!X18+'Synthèse S5'!X18</f>
        <v>3</v>
      </c>
      <c r="Y18" s="10">
        <f>'Synthèse S1'!Y18+'Synthèse S2'!Y18+'Synthèse S3'!Y18+'Synthèse S4'!Y18+'Synthèse S5'!Y18</f>
        <v>1</v>
      </c>
      <c r="Z18" s="10">
        <f>'Synthèse S1'!Z18+'Synthèse S2'!Z18+'Synthèse S3'!Z18+'Synthèse S4'!Z18+'Synthèse S5'!Z18</f>
        <v>0</v>
      </c>
      <c r="AA18" s="11">
        <f>'Synthèse S1'!AA18+'Synthèse S2'!AA18+'Synthèse S3'!AA18+'Synthèse S4'!AA18+'Synthèse S5'!AA18</f>
        <v>0</v>
      </c>
      <c r="AB18" s="9">
        <f>'Synthèse S1'!AB18+'Synthèse S2'!AB18+'Synthèse S3'!AB18+'Synthèse S4'!AB18+'Synthèse S5'!AB18</f>
        <v>64</v>
      </c>
      <c r="AC18" s="10">
        <f>'Synthèse S1'!AC18+'Synthèse S2'!AC18+'Synthèse S3'!AC18+'Synthèse S4'!AC18+'Synthèse S5'!AC18</f>
        <v>1</v>
      </c>
      <c r="AD18" s="10">
        <f>'Synthèse S1'!AD18+'Synthèse S2'!AD18+'Synthèse S3'!AD18+'Synthèse S4'!AD18+'Synthèse S5'!AD18</f>
        <v>1</v>
      </c>
      <c r="AE18" s="10">
        <f>'Synthèse S1'!AE18+'Synthèse S2'!AE18+'Synthèse S3'!AE18+'Synthèse S4'!AE18+'Synthèse S5'!AE18</f>
        <v>0</v>
      </c>
      <c r="AF18" s="11">
        <f>'Synthèse S1'!AF18+'Synthèse S2'!AF18+'Synthèse S3'!AF18+'Synthèse S4'!AF18+'Synthèse S5'!AF18</f>
        <v>0</v>
      </c>
      <c r="AG18" s="9">
        <f>'Synthèse S1'!AG18+'Synthèse S2'!AG18+'Synthèse S3'!AG18+'Synthèse S4'!AG18+'Synthèse S5'!AG18</f>
        <v>24</v>
      </c>
      <c r="AH18" s="10">
        <f>'Synthèse S1'!AH18+'Synthèse S2'!AH18+'Synthèse S3'!AH18+'Synthèse S4'!AH18+'Synthèse S5'!AH18</f>
        <v>0</v>
      </c>
      <c r="AI18" s="10">
        <f>'Synthèse S1'!AI18+'Synthèse S2'!AI18+'Synthèse S3'!AI18+'Synthèse S4'!AI18+'Synthèse S5'!AI18</f>
        <v>25</v>
      </c>
      <c r="AJ18" s="10">
        <f>'Synthèse S1'!AJ18+'Synthèse S2'!AJ18+'Synthèse S3'!AJ18+'Synthèse S4'!AJ18+'Synthèse S5'!AJ18</f>
        <v>0</v>
      </c>
      <c r="AK18" s="11">
        <f>'Synthèse S1'!AK18+'Synthèse S2'!AK18+'Synthèse S3'!AK18+'Synthèse S4'!AK18+'Synthèse S5'!AK18</f>
        <v>0</v>
      </c>
      <c r="AL18" s="9">
        <f>'Synthèse S1'!AL18+'Synthèse S2'!AL18+'Synthèse S3'!AL18+'Synthèse S4'!AL18+'Synthèse S5'!AL18</f>
        <v>2.1</v>
      </c>
      <c r="AM18" s="10">
        <f>'Synthèse S1'!AM18+'Synthèse S2'!AM18+'Synthèse S3'!AM18+'Synthèse S4'!AM18+'Synthèse S5'!AM18</f>
        <v>0</v>
      </c>
      <c r="AN18" s="10">
        <f>'Synthèse S1'!AN18+'Synthèse S2'!AN18+'Synthèse S3'!AN18+'Synthèse S4'!AN18+'Synthèse S5'!AN18</f>
        <v>0.4</v>
      </c>
      <c r="AO18" s="10">
        <f>'Synthèse S1'!AO18+'Synthèse S2'!AO18+'Synthèse S3'!AO18+'Synthèse S4'!AO18+'Synthèse S5'!AO18</f>
        <v>3.2000000000000006</v>
      </c>
      <c r="AP18" s="11">
        <f>'Synthèse S1'!AP18+'Synthèse S2'!AP18+'Synthèse S3'!AP18+'Synthèse S4'!AP18+'Synthèse S5'!AP18</f>
        <v>3.75</v>
      </c>
      <c r="AQ18" s="9">
        <f>'Synthèse S1'!AQ18+'Synthèse S2'!AQ18+'Synthèse S3'!AQ18+'Synthèse S4'!AQ18+'Synthèse S5'!AQ18</f>
        <v>35</v>
      </c>
      <c r="AR18" s="10">
        <f>'Synthèse S1'!AR18+'Synthèse S2'!AR18+'Synthèse S3'!AR18+'Synthèse S4'!AR18+'Synthèse S5'!AR18</f>
        <v>0</v>
      </c>
      <c r="AS18" s="11">
        <f>'Synthèse S1'!AS18+'Synthèse S2'!AS18+'Synthèse S3'!AS18+'Synthèse S4'!AS18+'Synthèse S5'!AS18</f>
        <v>68</v>
      </c>
      <c r="AT18" s="22"/>
      <c r="AU18" s="14"/>
    </row>
    <row r="19" spans="1:47" ht="31.9" customHeight="1" x14ac:dyDescent="0.2">
      <c r="A19" s="26">
        <v>13</v>
      </c>
      <c r="B19" s="19"/>
      <c r="C19" s="9">
        <f>'Synthèse S1'!C19+'Synthèse S2'!C19+'Synthèse S3'!C19+'Synthèse S4'!C19+'Synthèse S5'!C19</f>
        <v>450</v>
      </c>
      <c r="D19" s="10">
        <f>'Synthèse S1'!D19+'Synthèse S2'!D19+'Synthèse S3'!D19+'Synthèse S4'!D19+'Synthèse S5'!D19</f>
        <v>90</v>
      </c>
      <c r="E19" s="10">
        <f>'Synthèse S1'!E19+'Synthèse S2'!E19+'Synthèse S3'!E19+'Synthèse S4'!E19+'Synthèse S5'!E19</f>
        <v>150</v>
      </c>
      <c r="F19" s="10">
        <f>'Synthèse S1'!F19+'Synthèse S2'!F19+'Synthèse S3'!F19+'Synthèse S4'!F19+'Synthèse S5'!F19</f>
        <v>60</v>
      </c>
      <c r="G19" s="11">
        <f>'Synthèse S1'!G19+'Synthèse S2'!G19+'Synthèse S3'!G19+'Synthèse S4'!G19+'Synthèse S5'!G19</f>
        <v>150</v>
      </c>
      <c r="H19" s="9">
        <f>'Synthèse S1'!H19+'Synthèse S2'!H19+'Synthèse S3'!H19+'Synthèse S4'!H19+'Synthèse S5'!H19</f>
        <v>90</v>
      </c>
      <c r="I19" s="10">
        <f>'Synthèse S1'!I19+'Synthèse S2'!I19+'Synthèse S3'!I19+'Synthèse S4'!I19+'Synthèse S5'!I19</f>
        <v>30</v>
      </c>
      <c r="J19" s="10">
        <f>'Synthèse S1'!J19+'Synthèse S2'!J19+'Synthèse S3'!J19+'Synthèse S4'!J19+'Synthèse S5'!J19</f>
        <v>30</v>
      </c>
      <c r="K19" s="10">
        <f>'Synthèse S1'!K19+'Synthèse S2'!K19+'Synthèse S3'!K19+'Synthèse S4'!K19+'Synthèse S5'!K19</f>
        <v>30</v>
      </c>
      <c r="L19" s="11">
        <f>'Synthèse S1'!L19+'Synthèse S2'!L19+'Synthèse S3'!L19+'Synthèse S4'!L19+'Synthèse S5'!L19</f>
        <v>30</v>
      </c>
      <c r="M19" s="9">
        <f>'Synthèse S1'!M19+'Synthèse S2'!M19+'Synthèse S3'!M19+'Synthèse S4'!M19+'Synthèse S5'!M19</f>
        <v>90</v>
      </c>
      <c r="N19" s="10">
        <f>'Synthèse S1'!N19+'Synthèse S2'!N19+'Synthèse S3'!N19+'Synthèse S4'!N19+'Synthèse S5'!N19</f>
        <v>30</v>
      </c>
      <c r="O19" s="10">
        <f>'Synthèse S1'!O19+'Synthèse S2'!O19+'Synthèse S3'!O19+'Synthèse S4'!O19+'Synthèse S5'!O19</f>
        <v>90</v>
      </c>
      <c r="P19" s="10">
        <f>'Synthèse S1'!P19+'Synthèse S2'!P19+'Synthèse S3'!P19+'Synthèse S4'!P19+'Synthèse S5'!P19</f>
        <v>0</v>
      </c>
      <c r="Q19" s="11">
        <f>'Synthèse S1'!Q19+'Synthèse S2'!Q19+'Synthèse S3'!Q19+'Synthèse S4'!Q19+'Synthèse S5'!Q19</f>
        <v>0</v>
      </c>
      <c r="R19" s="70">
        <f>'Synthèse S1'!R19+'Synthèse S2'!R19+'Synthèse S3'!R19+'Synthèse S4'!R19+'Synthèse S5'!R19</f>
        <v>15</v>
      </c>
      <c r="S19" s="71">
        <f>'Synthèse S1'!S19+'Synthèse S2'!S19+'Synthèse S3'!S19+'Synthèse S4'!S19+'Synthèse S5'!S19</f>
        <v>4.9999999999999991</v>
      </c>
      <c r="T19" s="71">
        <f>'Synthèse S1'!T19+'Synthèse S2'!T19+'Synthèse S3'!T19+'Synthèse S4'!T19+'Synthèse S5'!T19</f>
        <v>3</v>
      </c>
      <c r="U19" s="71">
        <f>'Synthèse S1'!U19+'Synthèse S2'!U19+'Synthèse S3'!U19+'Synthèse S4'!U19+'Synthèse S5'!U19</f>
        <v>18</v>
      </c>
      <c r="V19" s="72">
        <f>'Synthèse S1'!V19+'Synthèse S2'!V19+'Synthèse S3'!V19+'Synthèse S4'!V19+'Synthèse S5'!V19</f>
        <v>4.5</v>
      </c>
      <c r="W19" s="9">
        <f>'Synthèse S1'!W19+'Synthèse S2'!W19+'Synthèse S3'!W19+'Synthèse S4'!W19+'Synthèse S5'!W19</f>
        <v>146</v>
      </c>
      <c r="X19" s="10">
        <f>'Synthèse S1'!X19+'Synthèse S2'!X19+'Synthèse S3'!X19+'Synthèse S4'!X19+'Synthèse S5'!X19</f>
        <v>1</v>
      </c>
      <c r="Y19" s="10">
        <f>'Synthèse S1'!Y19+'Synthèse S2'!Y19+'Synthèse S3'!Y19+'Synthèse S4'!Y19+'Synthèse S5'!Y19</f>
        <v>3</v>
      </c>
      <c r="Z19" s="10">
        <f>'Synthèse S1'!Z19+'Synthèse S2'!Z19+'Synthèse S3'!Z19+'Synthèse S4'!Z19+'Synthèse S5'!Z19</f>
        <v>5</v>
      </c>
      <c r="AA19" s="11">
        <f>'Synthèse S1'!AA19+'Synthèse S2'!AA19+'Synthèse S3'!AA19+'Synthèse S4'!AA19+'Synthèse S5'!AA19</f>
        <v>3</v>
      </c>
      <c r="AB19" s="9">
        <f>'Synthèse S1'!AB19+'Synthèse S2'!AB19+'Synthèse S3'!AB19+'Synthèse S4'!AB19+'Synthèse S5'!AB19</f>
        <v>56</v>
      </c>
      <c r="AC19" s="10">
        <f>'Synthèse S1'!AC19+'Synthèse S2'!AC19+'Synthèse S3'!AC19+'Synthèse S4'!AC19+'Synthèse S5'!AC19</f>
        <v>0</v>
      </c>
      <c r="AD19" s="10">
        <f>'Synthèse S1'!AD19+'Synthèse S2'!AD19+'Synthèse S3'!AD19+'Synthèse S4'!AD19+'Synthèse S5'!AD19</f>
        <v>1</v>
      </c>
      <c r="AE19" s="10">
        <f>'Synthèse S1'!AE19+'Synthèse S2'!AE19+'Synthèse S3'!AE19+'Synthèse S4'!AE19+'Synthèse S5'!AE19</f>
        <v>3</v>
      </c>
      <c r="AF19" s="11">
        <f>'Synthèse S1'!AF19+'Synthèse S2'!AF19+'Synthèse S3'!AF19+'Synthèse S4'!AF19+'Synthèse S5'!AF19</f>
        <v>0</v>
      </c>
      <c r="AG19" s="9">
        <f>'Synthèse S1'!AG19+'Synthèse S2'!AG19+'Synthèse S3'!AG19+'Synthèse S4'!AG19+'Synthèse S5'!AG19</f>
        <v>25</v>
      </c>
      <c r="AH19" s="10">
        <f>'Synthèse S1'!AH19+'Synthèse S2'!AH19+'Synthèse S3'!AH19+'Synthèse S4'!AH19+'Synthèse S5'!AH19</f>
        <v>0</v>
      </c>
      <c r="AI19" s="10">
        <f>'Synthèse S1'!AI19+'Synthèse S2'!AI19+'Synthèse S3'!AI19+'Synthèse S4'!AI19+'Synthèse S5'!AI19</f>
        <v>25</v>
      </c>
      <c r="AJ19" s="10">
        <f>'Synthèse S1'!AJ19+'Synthèse S2'!AJ19+'Synthèse S3'!AJ19+'Synthèse S4'!AJ19+'Synthèse S5'!AJ19</f>
        <v>0</v>
      </c>
      <c r="AK19" s="11">
        <f>'Synthèse S1'!AK19+'Synthèse S2'!AK19+'Synthèse S3'!AK19+'Synthèse S4'!AK19+'Synthèse S5'!AK19</f>
        <v>0</v>
      </c>
      <c r="AL19" s="9">
        <f>'Synthèse S1'!AL19+'Synthèse S2'!AL19+'Synthèse S3'!AL19+'Synthèse S4'!AL19+'Synthèse S5'!AL19</f>
        <v>2.2599999999999998</v>
      </c>
      <c r="AM19" s="10">
        <f>'Synthèse S1'!AM19+'Synthèse S2'!AM19+'Synthèse S3'!AM19+'Synthèse S4'!AM19+'Synthèse S5'!AM19</f>
        <v>0</v>
      </c>
      <c r="AN19" s="10">
        <f>'Synthèse S1'!AN19+'Synthèse S2'!AN19+'Synthèse S3'!AN19+'Synthèse S4'!AN19+'Synthèse S5'!AN19</f>
        <v>0.4</v>
      </c>
      <c r="AO19" s="10">
        <f>'Synthèse S1'!AO19+'Synthèse S2'!AO19+'Synthèse S3'!AO19+'Synthèse S4'!AO19+'Synthèse S5'!AO19</f>
        <v>3.6</v>
      </c>
      <c r="AP19" s="11">
        <f>'Synthèse S1'!AP19+'Synthèse S2'!AP19+'Synthèse S3'!AP19+'Synthèse S4'!AP19+'Synthèse S5'!AP19</f>
        <v>3</v>
      </c>
      <c r="AQ19" s="9">
        <f>'Synthèse S1'!AQ19+'Synthèse S2'!AQ19+'Synthèse S3'!AQ19+'Synthèse S4'!AQ19+'Synthèse S5'!AQ19</f>
        <v>26</v>
      </c>
      <c r="AR19" s="10">
        <f>'Synthèse S1'!AR19+'Synthèse S2'!AR19+'Synthèse S3'!AR19+'Synthèse S4'!AR19+'Synthèse S5'!AR19</f>
        <v>0</v>
      </c>
      <c r="AS19" s="11">
        <f>'Synthèse S1'!AS19+'Synthèse S2'!AS19+'Synthèse S3'!AS19+'Synthèse S4'!AS19+'Synthèse S5'!AS19</f>
        <v>63</v>
      </c>
      <c r="AT19" s="22"/>
      <c r="AU19" s="14"/>
    </row>
    <row r="20" spans="1:47" ht="31.9" customHeight="1" x14ac:dyDescent="0.2">
      <c r="A20" s="26">
        <v>14</v>
      </c>
      <c r="B20" s="19"/>
      <c r="C20" s="9">
        <f>'Synthèse S1'!C20+'Synthèse S2'!C20+'Synthèse S3'!C20+'Synthèse S4'!C20+'Synthèse S5'!C20</f>
        <v>450</v>
      </c>
      <c r="D20" s="10">
        <f>'Synthèse S1'!D20+'Synthèse S2'!D20+'Synthèse S3'!D20+'Synthèse S4'!D20+'Synthèse S5'!D20</f>
        <v>90</v>
      </c>
      <c r="E20" s="10">
        <f>'Synthèse S1'!E20+'Synthèse S2'!E20+'Synthèse S3'!E20+'Synthèse S4'!E20+'Synthèse S5'!E20</f>
        <v>150</v>
      </c>
      <c r="F20" s="10">
        <f>'Synthèse S1'!F20+'Synthèse S2'!F20+'Synthèse S3'!F20+'Synthèse S4'!F20+'Synthèse S5'!F20</f>
        <v>60</v>
      </c>
      <c r="G20" s="11">
        <f>'Synthèse S1'!G20+'Synthèse S2'!G20+'Synthèse S3'!G20+'Synthèse S4'!G20+'Synthèse S5'!G20</f>
        <v>150</v>
      </c>
      <c r="H20" s="9">
        <f>'Synthèse S1'!H20+'Synthèse S2'!H20+'Synthèse S3'!H20+'Synthèse S4'!H20+'Synthèse S5'!H20</f>
        <v>90</v>
      </c>
      <c r="I20" s="10">
        <f>'Synthèse S1'!I20+'Synthèse S2'!I20+'Synthèse S3'!I20+'Synthèse S4'!I20+'Synthèse S5'!I20</f>
        <v>30</v>
      </c>
      <c r="J20" s="10">
        <f>'Synthèse S1'!J20+'Synthèse S2'!J20+'Synthèse S3'!J20+'Synthèse S4'!J20+'Synthèse S5'!J20</f>
        <v>30</v>
      </c>
      <c r="K20" s="10">
        <f>'Synthèse S1'!K20+'Synthèse S2'!K20+'Synthèse S3'!K20+'Synthèse S4'!K20+'Synthèse S5'!K20</f>
        <v>30</v>
      </c>
      <c r="L20" s="11">
        <f>'Synthèse S1'!L20+'Synthèse S2'!L20+'Synthèse S3'!L20+'Synthèse S4'!L20+'Synthèse S5'!L20</f>
        <v>30</v>
      </c>
      <c r="M20" s="9">
        <f>'Synthèse S1'!M20+'Synthèse S2'!M20+'Synthèse S3'!M20+'Synthèse S4'!M20+'Synthèse S5'!M20</f>
        <v>90</v>
      </c>
      <c r="N20" s="10">
        <f>'Synthèse S1'!N20+'Synthèse S2'!N20+'Synthèse S3'!N20+'Synthèse S4'!N20+'Synthèse S5'!N20</f>
        <v>30</v>
      </c>
      <c r="O20" s="10">
        <f>'Synthèse S1'!O20+'Synthèse S2'!O20+'Synthèse S3'!O20+'Synthèse S4'!O20+'Synthèse S5'!O20</f>
        <v>90</v>
      </c>
      <c r="P20" s="10">
        <f>'Synthèse S1'!P20+'Synthèse S2'!P20+'Synthèse S3'!P20+'Synthèse S4'!P20+'Synthèse S5'!P20</f>
        <v>0</v>
      </c>
      <c r="Q20" s="11">
        <f>'Synthèse S1'!Q20+'Synthèse S2'!Q20+'Synthèse S3'!Q20+'Synthèse S4'!Q20+'Synthèse S5'!Q20</f>
        <v>0</v>
      </c>
      <c r="R20" s="70">
        <f>'Synthèse S1'!R20+'Synthèse S2'!R20+'Synthèse S3'!R20+'Synthèse S4'!R20+'Synthèse S5'!R20</f>
        <v>15</v>
      </c>
      <c r="S20" s="71">
        <f>'Synthèse S1'!S20+'Synthèse S2'!S20+'Synthèse S3'!S20+'Synthèse S4'!S20+'Synthèse S5'!S20</f>
        <v>4.9999999999999991</v>
      </c>
      <c r="T20" s="71">
        <f>'Synthèse S1'!T20+'Synthèse S2'!T20+'Synthèse S3'!T20+'Synthèse S4'!T20+'Synthèse S5'!T20</f>
        <v>3</v>
      </c>
      <c r="U20" s="71">
        <f>'Synthèse S1'!U20+'Synthèse S2'!U20+'Synthèse S3'!U20+'Synthèse S4'!U20+'Synthèse S5'!U20</f>
        <v>18</v>
      </c>
      <c r="V20" s="72">
        <f>'Synthèse S1'!V20+'Synthèse S2'!V20+'Synthèse S3'!V20+'Synthèse S4'!V20+'Synthèse S5'!V20</f>
        <v>4.5</v>
      </c>
      <c r="W20" s="9">
        <f>'Synthèse S1'!W20+'Synthèse S2'!W20+'Synthèse S3'!W20+'Synthèse S4'!W20+'Synthèse S5'!W20</f>
        <v>135</v>
      </c>
      <c r="X20" s="10">
        <f>'Synthèse S1'!X20+'Synthèse S2'!X20+'Synthèse S3'!X20+'Synthèse S4'!X20+'Synthèse S5'!X20</f>
        <v>2</v>
      </c>
      <c r="Y20" s="10">
        <f>'Synthèse S1'!Y20+'Synthèse S2'!Y20+'Synthèse S3'!Y20+'Synthèse S4'!Y20+'Synthèse S5'!Y20</f>
        <v>5</v>
      </c>
      <c r="Z20" s="10">
        <f>'Synthèse S1'!Z20+'Synthèse S2'!Z20+'Synthèse S3'!Z20+'Synthèse S4'!Z20+'Synthèse S5'!Z20</f>
        <v>8</v>
      </c>
      <c r="AA20" s="11">
        <f>'Synthèse S1'!AA20+'Synthèse S2'!AA20+'Synthèse S3'!AA20+'Synthèse S4'!AA20+'Synthèse S5'!AA20</f>
        <v>1</v>
      </c>
      <c r="AB20" s="9">
        <f>'Synthèse S1'!AB20+'Synthèse S2'!AB20+'Synthèse S3'!AB20+'Synthèse S4'!AB20+'Synthèse S5'!AB20</f>
        <v>65</v>
      </c>
      <c r="AC20" s="10">
        <f>'Synthèse S1'!AC20+'Synthèse S2'!AC20+'Synthèse S3'!AC20+'Synthèse S4'!AC20+'Synthèse S5'!AC20</f>
        <v>1</v>
      </c>
      <c r="AD20" s="10">
        <f>'Synthèse S1'!AD20+'Synthèse S2'!AD20+'Synthèse S3'!AD20+'Synthèse S4'!AD20+'Synthèse S5'!AD20</f>
        <v>3</v>
      </c>
      <c r="AE20" s="10">
        <f>'Synthèse S1'!AE20+'Synthèse S2'!AE20+'Synthèse S3'!AE20+'Synthèse S4'!AE20+'Synthèse S5'!AE20</f>
        <v>3</v>
      </c>
      <c r="AF20" s="11">
        <f>'Synthèse S1'!AF20+'Synthèse S2'!AF20+'Synthèse S3'!AF20+'Synthèse S4'!AF20+'Synthèse S5'!AF20</f>
        <v>1</v>
      </c>
      <c r="AG20" s="9">
        <f>'Synthèse S1'!AG20+'Synthèse S2'!AG20+'Synthèse S3'!AG20+'Synthèse S4'!AG20+'Synthèse S5'!AG20</f>
        <v>25</v>
      </c>
      <c r="AH20" s="10">
        <f>'Synthèse S1'!AH20+'Synthèse S2'!AH20+'Synthèse S3'!AH20+'Synthèse S4'!AH20+'Synthèse S5'!AH20</f>
        <v>0</v>
      </c>
      <c r="AI20" s="10">
        <f>'Synthèse S1'!AI20+'Synthèse S2'!AI20+'Synthèse S3'!AI20+'Synthèse S4'!AI20+'Synthèse S5'!AI20</f>
        <v>24</v>
      </c>
      <c r="AJ20" s="10">
        <f>'Synthèse S1'!AJ20+'Synthèse S2'!AJ20+'Synthèse S3'!AJ20+'Synthèse S4'!AJ20+'Synthèse S5'!AJ20</f>
        <v>0</v>
      </c>
      <c r="AK20" s="11">
        <f>'Synthèse S1'!AK20+'Synthèse S2'!AK20+'Synthèse S3'!AK20+'Synthèse S4'!AK20+'Synthèse S5'!AK20</f>
        <v>0</v>
      </c>
      <c r="AL20" s="9">
        <f>'Synthèse S1'!AL20+'Synthèse S2'!AL20+'Synthèse S3'!AL20+'Synthèse S4'!AL20+'Synthèse S5'!AL20</f>
        <v>2.25</v>
      </c>
      <c r="AM20" s="10">
        <f>'Synthèse S1'!AM20+'Synthèse S2'!AM20+'Synthèse S3'!AM20+'Synthèse S4'!AM20+'Synthèse S5'!AM20</f>
        <v>0</v>
      </c>
      <c r="AN20" s="10">
        <f>'Synthèse S1'!AN20+'Synthèse S2'!AN20+'Synthèse S3'!AN20+'Synthèse S4'!AN20+'Synthèse S5'!AN20</f>
        <v>0.55000000000000004</v>
      </c>
      <c r="AO20" s="10">
        <f>'Synthèse S1'!AO20+'Synthèse S2'!AO20+'Synthèse S3'!AO20+'Synthèse S4'!AO20+'Synthèse S5'!AO20</f>
        <v>3.3000000000000003</v>
      </c>
      <c r="AP20" s="11">
        <f>'Synthèse S1'!AP20+'Synthèse S2'!AP20+'Synthèse S3'!AP20+'Synthèse S4'!AP20+'Synthèse S5'!AP20</f>
        <v>3.15</v>
      </c>
      <c r="AQ20" s="9">
        <f>'Synthèse S1'!AQ20+'Synthèse S2'!AQ20+'Synthèse S3'!AQ20+'Synthèse S4'!AQ20+'Synthèse S5'!AQ20</f>
        <v>37</v>
      </c>
      <c r="AR20" s="10">
        <f>'Synthèse S1'!AR20+'Synthèse S2'!AR20+'Synthèse S3'!AR20+'Synthèse S4'!AR20+'Synthèse S5'!AR20</f>
        <v>0</v>
      </c>
      <c r="AS20" s="11">
        <f>'Synthèse S1'!AS20+'Synthèse S2'!AS20+'Synthèse S3'!AS20+'Synthèse S4'!AS20+'Synthèse S5'!AS20</f>
        <v>62</v>
      </c>
      <c r="AT20" s="22"/>
      <c r="AU20" s="14"/>
    </row>
    <row r="21" spans="1:47" ht="31.9" customHeight="1" x14ac:dyDescent="0.2">
      <c r="A21" s="26">
        <v>15</v>
      </c>
      <c r="B21" s="19"/>
      <c r="C21" s="9">
        <f>'Synthèse S1'!C21+'Synthèse S2'!C21+'Synthèse S3'!C21+'Synthèse S4'!C21+'Synthèse S5'!C21</f>
        <v>450</v>
      </c>
      <c r="D21" s="10">
        <f>'Synthèse S1'!D21+'Synthèse S2'!D21+'Synthèse S3'!D21+'Synthèse S4'!D21+'Synthèse S5'!D21</f>
        <v>90</v>
      </c>
      <c r="E21" s="10">
        <f>'Synthèse S1'!E21+'Synthèse S2'!E21+'Synthèse S3'!E21+'Synthèse S4'!E21+'Synthèse S5'!E21</f>
        <v>150</v>
      </c>
      <c r="F21" s="10">
        <f>'Synthèse S1'!F21+'Synthèse S2'!F21+'Synthèse S3'!F21+'Synthèse S4'!F21+'Synthèse S5'!F21</f>
        <v>60</v>
      </c>
      <c r="G21" s="11">
        <f>'Synthèse S1'!G21+'Synthèse S2'!G21+'Synthèse S3'!G21+'Synthèse S4'!G21+'Synthèse S5'!G21</f>
        <v>150</v>
      </c>
      <c r="H21" s="9">
        <f>'Synthèse S1'!H21+'Synthèse S2'!H21+'Synthèse S3'!H21+'Synthèse S4'!H21+'Synthèse S5'!H21</f>
        <v>90</v>
      </c>
      <c r="I21" s="10">
        <f>'Synthèse S1'!I21+'Synthèse S2'!I21+'Synthèse S3'!I21+'Synthèse S4'!I21+'Synthèse S5'!I21</f>
        <v>30</v>
      </c>
      <c r="J21" s="10">
        <f>'Synthèse S1'!J21+'Synthèse S2'!J21+'Synthèse S3'!J21+'Synthèse S4'!J21+'Synthèse S5'!J21</f>
        <v>30</v>
      </c>
      <c r="K21" s="10">
        <f>'Synthèse S1'!K21+'Synthèse S2'!K21+'Synthèse S3'!K21+'Synthèse S4'!K21+'Synthèse S5'!K21</f>
        <v>30</v>
      </c>
      <c r="L21" s="11">
        <f>'Synthèse S1'!L21+'Synthèse S2'!L21+'Synthèse S3'!L21+'Synthèse S4'!L21+'Synthèse S5'!L21</f>
        <v>30</v>
      </c>
      <c r="M21" s="9">
        <f>'Synthèse S1'!M21+'Synthèse S2'!M21+'Synthèse S3'!M21+'Synthèse S4'!M21+'Synthèse S5'!M21</f>
        <v>90</v>
      </c>
      <c r="N21" s="10">
        <f>'Synthèse S1'!N21+'Synthèse S2'!N21+'Synthèse S3'!N21+'Synthèse S4'!N21+'Synthèse S5'!N21</f>
        <v>30</v>
      </c>
      <c r="O21" s="10">
        <f>'Synthèse S1'!O21+'Synthèse S2'!O21+'Synthèse S3'!O21+'Synthèse S4'!O21+'Synthèse S5'!O21</f>
        <v>90</v>
      </c>
      <c r="P21" s="10">
        <f>'Synthèse S1'!P21+'Synthèse S2'!P21+'Synthèse S3'!P21+'Synthèse S4'!P21+'Synthèse S5'!P21</f>
        <v>0</v>
      </c>
      <c r="Q21" s="11">
        <f>'Synthèse S1'!Q21+'Synthèse S2'!Q21+'Synthèse S3'!Q21+'Synthèse S4'!Q21+'Synthèse S5'!Q21</f>
        <v>0</v>
      </c>
      <c r="R21" s="70">
        <f>'Synthèse S1'!R21+'Synthèse S2'!R21+'Synthèse S3'!R21+'Synthèse S4'!R21+'Synthèse S5'!R21</f>
        <v>15</v>
      </c>
      <c r="S21" s="71">
        <f>'Synthèse S1'!S21+'Synthèse S2'!S21+'Synthèse S3'!S21+'Synthèse S4'!S21+'Synthèse S5'!S21</f>
        <v>4.9999999999999991</v>
      </c>
      <c r="T21" s="71">
        <f>'Synthèse S1'!T21+'Synthèse S2'!T21+'Synthèse S3'!T21+'Synthèse S4'!T21+'Synthèse S5'!T21</f>
        <v>3</v>
      </c>
      <c r="U21" s="71">
        <f>'Synthèse S1'!U21+'Synthèse S2'!U21+'Synthèse S3'!U21+'Synthèse S4'!U21+'Synthèse S5'!U21</f>
        <v>18</v>
      </c>
      <c r="V21" s="72">
        <f>'Synthèse S1'!V21+'Synthèse S2'!V21+'Synthèse S3'!V21+'Synthèse S4'!V21+'Synthèse S5'!V21</f>
        <v>4.5</v>
      </c>
      <c r="W21" s="9">
        <f>'Synthèse S1'!W21+'Synthèse S2'!W21+'Synthèse S3'!W21+'Synthèse S4'!W21+'Synthèse S5'!W21</f>
        <v>128</v>
      </c>
      <c r="X21" s="10">
        <f>'Synthèse S1'!X21+'Synthèse S2'!X21+'Synthèse S3'!X21+'Synthèse S4'!X21+'Synthèse S5'!X21</f>
        <v>2</v>
      </c>
      <c r="Y21" s="10">
        <f>'Synthèse S1'!Y21+'Synthèse S2'!Y21+'Synthèse S3'!Y21+'Synthèse S4'!Y21+'Synthèse S5'!Y21</f>
        <v>2</v>
      </c>
      <c r="Z21" s="10">
        <f>'Synthèse S1'!Z21+'Synthèse S2'!Z21+'Synthèse S3'!Z21+'Synthèse S4'!Z21+'Synthèse S5'!Z21</f>
        <v>1</v>
      </c>
      <c r="AA21" s="11">
        <f>'Synthèse S1'!AA21+'Synthèse S2'!AA21+'Synthèse S3'!AA21+'Synthèse S4'!AA21+'Synthèse S5'!AA21</f>
        <v>1</v>
      </c>
      <c r="AB21" s="9">
        <f>'Synthèse S1'!AB21+'Synthèse S2'!AB21+'Synthèse S3'!AB21+'Synthèse S4'!AB21+'Synthèse S5'!AB21</f>
        <v>66</v>
      </c>
      <c r="AC21" s="10">
        <f>'Synthèse S1'!AC21+'Synthèse S2'!AC21+'Synthèse S3'!AC21+'Synthèse S4'!AC21+'Synthèse S5'!AC21</f>
        <v>0</v>
      </c>
      <c r="AD21" s="10">
        <f>'Synthèse S1'!AD21+'Synthèse S2'!AD21+'Synthèse S3'!AD21+'Synthèse S4'!AD21+'Synthèse S5'!AD21</f>
        <v>2</v>
      </c>
      <c r="AE21" s="10">
        <f>'Synthèse S1'!AE21+'Synthèse S2'!AE21+'Synthèse S3'!AE21+'Synthèse S4'!AE21+'Synthèse S5'!AE21</f>
        <v>0</v>
      </c>
      <c r="AF21" s="11">
        <f>'Synthèse S1'!AF21+'Synthèse S2'!AF21+'Synthèse S3'!AF21+'Synthèse S4'!AF21+'Synthèse S5'!AF21</f>
        <v>0</v>
      </c>
      <c r="AG21" s="9">
        <f>'Synthèse S1'!AG21+'Synthèse S2'!AG21+'Synthèse S3'!AG21+'Synthèse S4'!AG21+'Synthèse S5'!AG21</f>
        <v>25</v>
      </c>
      <c r="AH21" s="10">
        <f>'Synthèse S1'!AH21+'Synthèse S2'!AH21+'Synthèse S3'!AH21+'Synthèse S4'!AH21+'Synthèse S5'!AH21</f>
        <v>0</v>
      </c>
      <c r="AI21" s="10">
        <f>'Synthèse S1'!AI21+'Synthèse S2'!AI21+'Synthèse S3'!AI21+'Synthèse S4'!AI21+'Synthèse S5'!AI21</f>
        <v>25</v>
      </c>
      <c r="AJ21" s="10">
        <f>'Synthèse S1'!AJ21+'Synthèse S2'!AJ21+'Synthèse S3'!AJ21+'Synthèse S4'!AJ21+'Synthèse S5'!AJ21</f>
        <v>0</v>
      </c>
      <c r="AK21" s="11">
        <f>'Synthèse S1'!AK21+'Synthèse S2'!AK21+'Synthèse S3'!AK21+'Synthèse S4'!AK21+'Synthèse S5'!AK21</f>
        <v>0</v>
      </c>
      <c r="AL21" s="9">
        <f>'Synthèse S1'!AL21+'Synthèse S2'!AL21+'Synthèse S3'!AL21+'Synthèse S4'!AL21+'Synthèse S5'!AL21</f>
        <v>1.76</v>
      </c>
      <c r="AM21" s="10">
        <f>'Synthèse S1'!AM21+'Synthèse S2'!AM21+'Synthèse S3'!AM21+'Synthèse S4'!AM21+'Synthèse S5'!AM21</f>
        <v>0</v>
      </c>
      <c r="AN21" s="10">
        <f>'Synthèse S1'!AN21+'Synthèse S2'!AN21+'Synthèse S3'!AN21+'Synthèse S4'!AN21+'Synthèse S5'!AN21</f>
        <v>0.55000000000000004</v>
      </c>
      <c r="AO21" s="10">
        <f>'Synthèse S1'!AO21+'Synthèse S2'!AO21+'Synthèse S3'!AO21+'Synthèse S4'!AO21+'Synthèse S5'!AO21</f>
        <v>1.9</v>
      </c>
      <c r="AP21" s="11">
        <f>'Synthèse S1'!AP21+'Synthèse S2'!AP21+'Synthèse S3'!AP21+'Synthèse S4'!AP21+'Synthèse S5'!AP21</f>
        <v>4.0999999999999996</v>
      </c>
      <c r="AQ21" s="9">
        <f>'Synthèse S1'!AQ21+'Synthèse S2'!AQ21+'Synthèse S3'!AQ21+'Synthèse S4'!AQ21+'Synthèse S5'!AQ21</f>
        <v>36</v>
      </c>
      <c r="AR21" s="10">
        <f>'Synthèse S1'!AR21+'Synthèse S2'!AR21+'Synthèse S3'!AR21+'Synthèse S4'!AR21+'Synthèse S5'!AR21</f>
        <v>0</v>
      </c>
      <c r="AS21" s="11">
        <f>'Synthèse S1'!AS21+'Synthèse S2'!AS21+'Synthèse S3'!AS21+'Synthèse S4'!AS21+'Synthèse S5'!AS21</f>
        <v>57</v>
      </c>
      <c r="AT21" s="22"/>
      <c r="AU21" s="14"/>
    </row>
    <row r="22" spans="1:47" ht="31.9" customHeight="1" x14ac:dyDescent="0.2">
      <c r="A22" s="26">
        <v>16</v>
      </c>
      <c r="B22" s="19"/>
      <c r="C22" s="9">
        <f>'Synthèse S1'!C22+'Synthèse S2'!C22+'Synthèse S3'!C22+'Synthèse S4'!C22+'Synthèse S5'!C22</f>
        <v>450</v>
      </c>
      <c r="D22" s="10">
        <f>'Synthèse S1'!D22+'Synthèse S2'!D22+'Synthèse S3'!D22+'Synthèse S4'!D22+'Synthèse S5'!D22</f>
        <v>90</v>
      </c>
      <c r="E22" s="10">
        <f>'Synthèse S1'!E22+'Synthèse S2'!E22+'Synthèse S3'!E22+'Synthèse S4'!E22+'Synthèse S5'!E22</f>
        <v>150</v>
      </c>
      <c r="F22" s="10">
        <f>'Synthèse S1'!F22+'Synthèse S2'!F22+'Synthèse S3'!F22+'Synthèse S4'!F22+'Synthèse S5'!F22</f>
        <v>60</v>
      </c>
      <c r="G22" s="11">
        <f>'Synthèse S1'!G22+'Synthèse S2'!G22+'Synthèse S3'!G22+'Synthèse S4'!G22+'Synthèse S5'!G22</f>
        <v>150</v>
      </c>
      <c r="H22" s="9">
        <f>'Synthèse S1'!H22+'Synthèse S2'!H22+'Synthèse S3'!H22+'Synthèse S4'!H22+'Synthèse S5'!H22</f>
        <v>90</v>
      </c>
      <c r="I22" s="10">
        <f>'Synthèse S1'!I22+'Synthèse S2'!I22+'Synthèse S3'!I22+'Synthèse S4'!I22+'Synthèse S5'!I22</f>
        <v>30</v>
      </c>
      <c r="J22" s="10">
        <f>'Synthèse S1'!J22+'Synthèse S2'!J22+'Synthèse S3'!J22+'Synthèse S4'!J22+'Synthèse S5'!J22</f>
        <v>30</v>
      </c>
      <c r="K22" s="10">
        <f>'Synthèse S1'!K22+'Synthèse S2'!K22+'Synthèse S3'!K22+'Synthèse S4'!K22+'Synthèse S5'!K22</f>
        <v>30</v>
      </c>
      <c r="L22" s="11">
        <f>'Synthèse S1'!L22+'Synthèse S2'!L22+'Synthèse S3'!L22+'Synthèse S4'!L22+'Synthèse S5'!L22</f>
        <v>30</v>
      </c>
      <c r="M22" s="9">
        <f>'Synthèse S1'!M22+'Synthèse S2'!M22+'Synthèse S3'!M22+'Synthèse S4'!M22+'Synthèse S5'!M22</f>
        <v>90</v>
      </c>
      <c r="N22" s="10">
        <f>'Synthèse S1'!N22+'Synthèse S2'!N22+'Synthèse S3'!N22+'Synthèse S4'!N22+'Synthèse S5'!N22</f>
        <v>30</v>
      </c>
      <c r="O22" s="10">
        <f>'Synthèse S1'!O22+'Synthèse S2'!O22+'Synthèse S3'!O22+'Synthèse S4'!O22+'Synthèse S5'!O22</f>
        <v>90</v>
      </c>
      <c r="P22" s="10">
        <f>'Synthèse S1'!P22+'Synthèse S2'!P22+'Synthèse S3'!P22+'Synthèse S4'!P22+'Synthèse S5'!P22</f>
        <v>0</v>
      </c>
      <c r="Q22" s="11">
        <f>'Synthèse S1'!Q22+'Synthèse S2'!Q22+'Synthèse S3'!Q22+'Synthèse S4'!Q22+'Synthèse S5'!Q22</f>
        <v>0</v>
      </c>
      <c r="R22" s="70">
        <f>'Synthèse S1'!R22+'Synthèse S2'!R22+'Synthèse S3'!R22+'Synthèse S4'!R22+'Synthèse S5'!R22</f>
        <v>15</v>
      </c>
      <c r="S22" s="71">
        <f>'Synthèse S1'!S22+'Synthèse S2'!S22+'Synthèse S3'!S22+'Synthèse S4'!S22+'Synthèse S5'!S22</f>
        <v>4.9999999999999991</v>
      </c>
      <c r="T22" s="71">
        <f>'Synthèse S1'!T22+'Synthèse S2'!T22+'Synthèse S3'!T22+'Synthèse S4'!T22+'Synthèse S5'!T22</f>
        <v>3</v>
      </c>
      <c r="U22" s="71">
        <f>'Synthèse S1'!U22+'Synthèse S2'!U22+'Synthèse S3'!U22+'Synthèse S4'!U22+'Synthèse S5'!U22</f>
        <v>18</v>
      </c>
      <c r="V22" s="72">
        <f>'Synthèse S1'!V22+'Synthèse S2'!V22+'Synthèse S3'!V22+'Synthèse S4'!V22+'Synthèse S5'!V22</f>
        <v>4.5</v>
      </c>
      <c r="W22" s="9">
        <f>'Synthèse S1'!W22+'Synthèse S2'!W22+'Synthèse S3'!W22+'Synthèse S4'!W22+'Synthèse S5'!W22</f>
        <v>141</v>
      </c>
      <c r="X22" s="10">
        <f>'Synthèse S1'!X22+'Synthèse S2'!X22+'Synthèse S3'!X22+'Synthèse S4'!X22+'Synthèse S5'!X22</f>
        <v>1</v>
      </c>
      <c r="Y22" s="10">
        <f>'Synthèse S1'!Y22+'Synthèse S2'!Y22+'Synthèse S3'!Y22+'Synthèse S4'!Y22+'Synthèse S5'!Y22</f>
        <v>4</v>
      </c>
      <c r="Z22" s="10">
        <f>'Synthèse S1'!Z22+'Synthèse S2'!Z22+'Synthèse S3'!Z22+'Synthèse S4'!Z22+'Synthèse S5'!Z22</f>
        <v>4</v>
      </c>
      <c r="AA22" s="11">
        <f>'Synthèse S1'!AA22+'Synthèse S2'!AA22+'Synthèse S3'!AA22+'Synthèse S4'!AA22+'Synthèse S5'!AA22</f>
        <v>2</v>
      </c>
      <c r="AB22" s="9">
        <f>'Synthèse S1'!AB22+'Synthèse S2'!AB22+'Synthèse S3'!AB22+'Synthèse S4'!AB22+'Synthèse S5'!AB22</f>
        <v>61</v>
      </c>
      <c r="AC22" s="10">
        <f>'Synthèse S1'!AC22+'Synthèse S2'!AC22+'Synthèse S3'!AC22+'Synthèse S4'!AC22+'Synthèse S5'!AC22</f>
        <v>0</v>
      </c>
      <c r="AD22" s="10">
        <f>'Synthèse S1'!AD22+'Synthèse S2'!AD22+'Synthèse S3'!AD22+'Synthèse S4'!AD22+'Synthèse S5'!AD22</f>
        <v>2</v>
      </c>
      <c r="AE22" s="10">
        <f>'Synthèse S1'!AE22+'Synthèse S2'!AE22+'Synthèse S3'!AE22+'Synthèse S4'!AE22+'Synthèse S5'!AE22</f>
        <v>1</v>
      </c>
      <c r="AF22" s="11">
        <f>'Synthèse S1'!AF22+'Synthèse S2'!AF22+'Synthèse S3'!AF22+'Synthèse S4'!AF22+'Synthèse S5'!AF22</f>
        <v>0</v>
      </c>
      <c r="AG22" s="9">
        <f>'Synthèse S1'!AG22+'Synthèse S2'!AG22+'Synthèse S3'!AG22+'Synthèse S4'!AG22+'Synthèse S5'!AG22</f>
        <v>25</v>
      </c>
      <c r="AH22" s="10">
        <f>'Synthèse S1'!AH22+'Synthèse S2'!AH22+'Synthèse S3'!AH22+'Synthèse S4'!AH22+'Synthèse S5'!AH22</f>
        <v>0</v>
      </c>
      <c r="AI22" s="10">
        <f>'Synthèse S1'!AI22+'Synthèse S2'!AI22+'Synthèse S3'!AI22+'Synthèse S4'!AI22+'Synthèse S5'!AI22</f>
        <v>25</v>
      </c>
      <c r="AJ22" s="10">
        <f>'Synthèse S1'!AJ22+'Synthèse S2'!AJ22+'Synthèse S3'!AJ22+'Synthèse S4'!AJ22+'Synthèse S5'!AJ22</f>
        <v>0</v>
      </c>
      <c r="AK22" s="11">
        <f>'Synthèse S1'!AK22+'Synthèse S2'!AK22+'Synthèse S3'!AK22+'Synthèse S4'!AK22+'Synthèse S5'!AK22</f>
        <v>0</v>
      </c>
      <c r="AL22" s="9">
        <f>'Synthèse S1'!AL22+'Synthèse S2'!AL22+'Synthèse S3'!AL22+'Synthèse S4'!AL22+'Synthèse S5'!AL22</f>
        <v>2.25</v>
      </c>
      <c r="AM22" s="10">
        <f>'Synthèse S1'!AM22+'Synthèse S2'!AM22+'Synthèse S3'!AM22+'Synthèse S4'!AM22+'Synthèse S5'!AM22</f>
        <v>0</v>
      </c>
      <c r="AN22" s="10">
        <f>'Synthèse S1'!AN22+'Synthèse S2'!AN22+'Synthèse S3'!AN22+'Synthèse S4'!AN22+'Synthèse S5'!AN22</f>
        <v>0.5</v>
      </c>
      <c r="AO22" s="10">
        <f>'Synthèse S1'!AO22+'Synthèse S2'!AO22+'Synthèse S3'!AO22+'Synthèse S4'!AO22+'Synthèse S5'!AO22</f>
        <v>3.5999999999999996</v>
      </c>
      <c r="AP22" s="11">
        <f>'Synthèse S1'!AP22+'Synthèse S2'!AP22+'Synthèse S3'!AP22+'Synthèse S4'!AP22+'Synthèse S5'!AP22</f>
        <v>3.1</v>
      </c>
      <c r="AQ22" s="9">
        <f>'Synthèse S1'!AQ22+'Synthèse S2'!AQ22+'Synthèse S3'!AQ22+'Synthèse S4'!AQ22+'Synthèse S5'!AQ22</f>
        <v>42</v>
      </c>
      <c r="AR22" s="10">
        <f>'Synthèse S1'!AR22+'Synthèse S2'!AR22+'Synthèse S3'!AR22+'Synthèse S4'!AR22+'Synthèse S5'!AR22</f>
        <v>0</v>
      </c>
      <c r="AS22" s="11">
        <f>'Synthèse S1'!AS22+'Synthèse S2'!AS22+'Synthèse S3'!AS22+'Synthèse S4'!AS22+'Synthèse S5'!AS22</f>
        <v>64</v>
      </c>
      <c r="AT22" s="22"/>
      <c r="AU22" s="14"/>
    </row>
    <row r="23" spans="1:47" ht="31.9" customHeight="1" x14ac:dyDescent="0.2">
      <c r="A23" s="26">
        <v>17</v>
      </c>
      <c r="B23" s="19"/>
      <c r="C23" s="9">
        <f>'Synthèse S1'!C23+'Synthèse S2'!C23+'Synthèse S3'!C23+'Synthèse S4'!C23+'Synthèse S5'!C23</f>
        <v>450</v>
      </c>
      <c r="D23" s="10">
        <f>'Synthèse S1'!D23+'Synthèse S2'!D23+'Synthèse S3'!D23+'Synthèse S4'!D23+'Synthèse S5'!D23</f>
        <v>90</v>
      </c>
      <c r="E23" s="10">
        <f>'Synthèse S1'!E23+'Synthèse S2'!E23+'Synthèse S3'!E23+'Synthèse S4'!E23+'Synthèse S5'!E23</f>
        <v>150</v>
      </c>
      <c r="F23" s="10">
        <f>'Synthèse S1'!F23+'Synthèse S2'!F23+'Synthèse S3'!F23+'Synthèse S4'!F23+'Synthèse S5'!F23</f>
        <v>60</v>
      </c>
      <c r="G23" s="11">
        <f>'Synthèse S1'!G23+'Synthèse S2'!G23+'Synthèse S3'!G23+'Synthèse S4'!G23+'Synthèse S5'!G23</f>
        <v>150</v>
      </c>
      <c r="H23" s="9">
        <f>'Synthèse S1'!H23+'Synthèse S2'!H23+'Synthèse S3'!H23+'Synthèse S4'!H23+'Synthèse S5'!H23</f>
        <v>90</v>
      </c>
      <c r="I23" s="10">
        <f>'Synthèse S1'!I23+'Synthèse S2'!I23+'Synthèse S3'!I23+'Synthèse S4'!I23+'Synthèse S5'!I23</f>
        <v>30</v>
      </c>
      <c r="J23" s="10">
        <f>'Synthèse S1'!J23+'Synthèse S2'!J23+'Synthèse S3'!J23+'Synthèse S4'!J23+'Synthèse S5'!J23</f>
        <v>30</v>
      </c>
      <c r="K23" s="10">
        <f>'Synthèse S1'!K23+'Synthèse S2'!K23+'Synthèse S3'!K23+'Synthèse S4'!K23+'Synthèse S5'!K23</f>
        <v>30</v>
      </c>
      <c r="L23" s="11">
        <f>'Synthèse S1'!L23+'Synthèse S2'!L23+'Synthèse S3'!L23+'Synthèse S4'!L23+'Synthèse S5'!L23</f>
        <v>30</v>
      </c>
      <c r="M23" s="9">
        <f>'Synthèse S1'!M23+'Synthèse S2'!M23+'Synthèse S3'!M23+'Synthèse S4'!M23+'Synthèse S5'!M23</f>
        <v>90</v>
      </c>
      <c r="N23" s="10">
        <f>'Synthèse S1'!N23+'Synthèse S2'!N23+'Synthèse S3'!N23+'Synthèse S4'!N23+'Synthèse S5'!N23</f>
        <v>30</v>
      </c>
      <c r="O23" s="10">
        <f>'Synthèse S1'!O23+'Synthèse S2'!O23+'Synthèse S3'!O23+'Synthèse S4'!O23+'Synthèse S5'!O23</f>
        <v>90</v>
      </c>
      <c r="P23" s="10">
        <f>'Synthèse S1'!P23+'Synthèse S2'!P23+'Synthèse S3'!P23+'Synthèse S4'!P23+'Synthèse S5'!P23</f>
        <v>0</v>
      </c>
      <c r="Q23" s="11">
        <f>'Synthèse S1'!Q23+'Synthèse S2'!Q23+'Synthèse S3'!Q23+'Synthèse S4'!Q23+'Synthèse S5'!Q23</f>
        <v>0</v>
      </c>
      <c r="R23" s="70">
        <f>'Synthèse S1'!R23+'Synthèse S2'!R23+'Synthèse S3'!R23+'Synthèse S4'!R23+'Synthèse S5'!R23</f>
        <v>15</v>
      </c>
      <c r="S23" s="71">
        <f>'Synthèse S1'!S23+'Synthèse S2'!S23+'Synthèse S3'!S23+'Synthèse S4'!S23+'Synthèse S5'!S23</f>
        <v>4.9999999999999991</v>
      </c>
      <c r="T23" s="71">
        <f>'Synthèse S1'!T23+'Synthèse S2'!T23+'Synthèse S3'!T23+'Synthèse S4'!T23+'Synthèse S5'!T23</f>
        <v>3</v>
      </c>
      <c r="U23" s="71">
        <f>'Synthèse S1'!U23+'Synthèse S2'!U23+'Synthèse S3'!U23+'Synthèse S4'!U23+'Synthèse S5'!U23</f>
        <v>18</v>
      </c>
      <c r="V23" s="72">
        <f>'Synthèse S1'!V23+'Synthèse S2'!V23+'Synthèse S3'!V23+'Synthèse S4'!V23+'Synthèse S5'!V23</f>
        <v>4.5</v>
      </c>
      <c r="W23" s="9">
        <f>'Synthèse S1'!W23+'Synthèse S2'!W23+'Synthèse S3'!W23+'Synthèse S4'!W23+'Synthèse S5'!W23</f>
        <v>134</v>
      </c>
      <c r="X23" s="10">
        <f>'Synthèse S1'!X23+'Synthèse S2'!X23+'Synthèse S3'!X23+'Synthèse S4'!X23+'Synthèse S5'!X23</f>
        <v>1</v>
      </c>
      <c r="Y23" s="10">
        <f>'Synthèse S1'!Y23+'Synthèse S2'!Y23+'Synthèse S3'!Y23+'Synthèse S4'!Y23+'Synthèse S5'!Y23</f>
        <v>3</v>
      </c>
      <c r="Z23" s="10">
        <f>'Synthèse S1'!Z23+'Synthèse S2'!Z23+'Synthèse S3'!Z23+'Synthèse S4'!Z23+'Synthèse S5'!Z23</f>
        <v>7</v>
      </c>
      <c r="AA23" s="11">
        <f>'Synthèse S1'!AA23+'Synthèse S2'!AA23+'Synthèse S3'!AA23+'Synthèse S4'!AA23+'Synthèse S5'!AA23</f>
        <v>3</v>
      </c>
      <c r="AB23" s="9">
        <f>'Synthèse S1'!AB23+'Synthèse S2'!AB23+'Synthèse S3'!AB23+'Synthèse S4'!AB23+'Synthèse S5'!AB23</f>
        <v>62</v>
      </c>
      <c r="AC23" s="10">
        <f>'Synthèse S1'!AC23+'Synthèse S2'!AC23+'Synthèse S3'!AC23+'Synthèse S4'!AC23+'Synthèse S5'!AC23</f>
        <v>0</v>
      </c>
      <c r="AD23" s="10">
        <f>'Synthèse S1'!AD23+'Synthèse S2'!AD23+'Synthèse S3'!AD23+'Synthèse S4'!AD23+'Synthèse S5'!AD23</f>
        <v>1</v>
      </c>
      <c r="AE23" s="10">
        <f>'Synthèse S1'!AE23+'Synthèse S2'!AE23+'Synthèse S3'!AE23+'Synthèse S4'!AE23+'Synthèse S5'!AE23</f>
        <v>2</v>
      </c>
      <c r="AF23" s="11">
        <f>'Synthèse S1'!AF23+'Synthèse S2'!AF23+'Synthèse S3'!AF23+'Synthèse S4'!AF23+'Synthèse S5'!AF23</f>
        <v>0</v>
      </c>
      <c r="AG23" s="9">
        <f>'Synthèse S1'!AG23+'Synthèse S2'!AG23+'Synthèse S3'!AG23+'Synthèse S4'!AG23+'Synthèse S5'!AG23</f>
        <v>25</v>
      </c>
      <c r="AH23" s="10">
        <f>'Synthèse S1'!AH23+'Synthèse S2'!AH23+'Synthèse S3'!AH23+'Synthèse S4'!AH23+'Synthèse S5'!AH23</f>
        <v>0</v>
      </c>
      <c r="AI23" s="10">
        <f>'Synthèse S1'!AI23+'Synthèse S2'!AI23+'Synthèse S3'!AI23+'Synthèse S4'!AI23+'Synthèse S5'!AI23</f>
        <v>25</v>
      </c>
      <c r="AJ23" s="10">
        <f>'Synthèse S1'!AJ23+'Synthèse S2'!AJ23+'Synthèse S3'!AJ23+'Synthèse S4'!AJ23+'Synthèse S5'!AJ23</f>
        <v>0</v>
      </c>
      <c r="AK23" s="11">
        <f>'Synthèse S1'!AK23+'Synthèse S2'!AK23+'Synthèse S3'!AK23+'Synthèse S4'!AK23+'Synthèse S5'!AK23</f>
        <v>0</v>
      </c>
      <c r="AL23" s="9">
        <f>'Synthèse S1'!AL23+'Synthèse S2'!AL23+'Synthèse S3'!AL23+'Synthèse S4'!AL23+'Synthèse S5'!AL23</f>
        <v>2.17</v>
      </c>
      <c r="AM23" s="10">
        <f>'Synthèse S1'!AM23+'Synthèse S2'!AM23+'Synthèse S3'!AM23+'Synthèse S4'!AM23+'Synthèse S5'!AM23</f>
        <v>0</v>
      </c>
      <c r="AN23" s="10">
        <f>'Synthèse S1'!AN23+'Synthèse S2'!AN23+'Synthèse S3'!AN23+'Synthèse S4'!AN23+'Synthèse S5'!AN23</f>
        <v>0.30000000000000004</v>
      </c>
      <c r="AO23" s="10">
        <f>'Synthèse S1'!AO23+'Synthèse S2'!AO23+'Synthèse S3'!AO23+'Synthèse S4'!AO23+'Synthèse S5'!AO23</f>
        <v>3.6</v>
      </c>
      <c r="AP23" s="11">
        <f>'Synthèse S1'!AP23+'Synthèse S2'!AP23+'Synthèse S3'!AP23+'Synthèse S4'!AP23+'Synthèse S5'!AP23</f>
        <v>3.1</v>
      </c>
      <c r="AQ23" s="9">
        <f>'Synthèse S1'!AQ23+'Synthèse S2'!AQ23+'Synthèse S3'!AQ23+'Synthèse S4'!AQ23+'Synthèse S5'!AQ23</f>
        <v>30</v>
      </c>
      <c r="AR23" s="10">
        <f>'Synthèse S1'!AR23+'Synthèse S2'!AR23+'Synthèse S3'!AR23+'Synthèse S4'!AR23+'Synthèse S5'!AR23</f>
        <v>0</v>
      </c>
      <c r="AS23" s="11">
        <f>'Synthèse S1'!AS23+'Synthèse S2'!AS23+'Synthèse S3'!AS23+'Synthèse S4'!AS23+'Synthèse S5'!AS23</f>
        <v>65</v>
      </c>
      <c r="AT23" s="22"/>
      <c r="AU23" s="14"/>
    </row>
    <row r="24" spans="1:47" ht="31.9" customHeight="1" x14ac:dyDescent="0.2">
      <c r="A24" s="26">
        <v>18</v>
      </c>
      <c r="B24" s="19"/>
      <c r="C24" s="9">
        <f>'Synthèse S1'!C24+'Synthèse S2'!C24+'Synthèse S3'!C24+'Synthèse S4'!C24+'Synthèse S5'!C24</f>
        <v>450</v>
      </c>
      <c r="D24" s="10">
        <f>'Synthèse S1'!D24+'Synthèse S2'!D24+'Synthèse S3'!D24+'Synthèse S4'!D24+'Synthèse S5'!D24</f>
        <v>90</v>
      </c>
      <c r="E24" s="10">
        <f>'Synthèse S1'!E24+'Synthèse S2'!E24+'Synthèse S3'!E24+'Synthèse S4'!E24+'Synthèse S5'!E24</f>
        <v>150</v>
      </c>
      <c r="F24" s="10">
        <f>'Synthèse S1'!F24+'Synthèse S2'!F24+'Synthèse S3'!F24+'Synthèse S4'!F24+'Synthèse S5'!F24</f>
        <v>60</v>
      </c>
      <c r="G24" s="11">
        <f>'Synthèse S1'!G24+'Synthèse S2'!G24+'Synthèse S3'!G24+'Synthèse S4'!G24+'Synthèse S5'!G24</f>
        <v>150</v>
      </c>
      <c r="H24" s="9">
        <f>'Synthèse S1'!H24+'Synthèse S2'!H24+'Synthèse S3'!H24+'Synthèse S4'!H24+'Synthèse S5'!H24</f>
        <v>90</v>
      </c>
      <c r="I24" s="10">
        <f>'Synthèse S1'!I24+'Synthèse S2'!I24+'Synthèse S3'!I24+'Synthèse S4'!I24+'Synthèse S5'!I24</f>
        <v>30</v>
      </c>
      <c r="J24" s="10">
        <f>'Synthèse S1'!J24+'Synthèse S2'!J24+'Synthèse S3'!J24+'Synthèse S4'!J24+'Synthèse S5'!J24</f>
        <v>30</v>
      </c>
      <c r="K24" s="10">
        <f>'Synthèse S1'!K24+'Synthèse S2'!K24+'Synthèse S3'!K24+'Synthèse S4'!K24+'Synthèse S5'!K24</f>
        <v>30</v>
      </c>
      <c r="L24" s="11">
        <f>'Synthèse S1'!L24+'Synthèse S2'!L24+'Synthèse S3'!L24+'Synthèse S4'!L24+'Synthèse S5'!L24</f>
        <v>30</v>
      </c>
      <c r="M24" s="9">
        <f>'Synthèse S1'!M24+'Synthèse S2'!M24+'Synthèse S3'!M24+'Synthèse S4'!M24+'Synthèse S5'!M24</f>
        <v>90</v>
      </c>
      <c r="N24" s="10">
        <f>'Synthèse S1'!N24+'Synthèse S2'!N24+'Synthèse S3'!N24+'Synthèse S4'!N24+'Synthèse S5'!N24</f>
        <v>30</v>
      </c>
      <c r="O24" s="10">
        <f>'Synthèse S1'!O24+'Synthèse S2'!O24+'Synthèse S3'!O24+'Synthèse S4'!O24+'Synthèse S5'!O24</f>
        <v>90</v>
      </c>
      <c r="P24" s="10">
        <f>'Synthèse S1'!P24+'Synthèse S2'!P24+'Synthèse S3'!P24+'Synthèse S4'!P24+'Synthèse S5'!P24</f>
        <v>0</v>
      </c>
      <c r="Q24" s="11">
        <f>'Synthèse S1'!Q24+'Synthèse S2'!Q24+'Synthèse S3'!Q24+'Synthèse S4'!Q24+'Synthèse S5'!Q24</f>
        <v>0</v>
      </c>
      <c r="R24" s="70">
        <f>'Synthèse S1'!R24+'Synthèse S2'!R24+'Synthèse S3'!R24+'Synthèse S4'!R24+'Synthèse S5'!R24</f>
        <v>15</v>
      </c>
      <c r="S24" s="71">
        <f>'Synthèse S1'!S24+'Synthèse S2'!S24+'Synthèse S3'!S24+'Synthèse S4'!S24+'Synthèse S5'!S24</f>
        <v>4.9999999999999991</v>
      </c>
      <c r="T24" s="71">
        <f>'Synthèse S1'!T24+'Synthèse S2'!T24+'Synthèse S3'!T24+'Synthèse S4'!T24+'Synthèse S5'!T24</f>
        <v>3</v>
      </c>
      <c r="U24" s="71">
        <f>'Synthèse S1'!U24+'Synthèse S2'!U24+'Synthèse S3'!U24+'Synthèse S4'!U24+'Synthèse S5'!U24</f>
        <v>18</v>
      </c>
      <c r="V24" s="72">
        <f>'Synthèse S1'!V24+'Synthèse S2'!V24+'Synthèse S3'!V24+'Synthèse S4'!V24+'Synthèse S5'!V24</f>
        <v>4.5</v>
      </c>
      <c r="W24" s="9">
        <f>'Synthèse S1'!W24+'Synthèse S2'!W24+'Synthèse S3'!W24+'Synthèse S4'!W24+'Synthèse S5'!W24</f>
        <v>125</v>
      </c>
      <c r="X24" s="10">
        <f>'Synthèse S1'!X24+'Synthèse S2'!X24+'Synthèse S3'!X24+'Synthèse S4'!X24+'Synthèse S5'!X24</f>
        <v>1</v>
      </c>
      <c r="Y24" s="10">
        <f>'Synthèse S1'!Y24+'Synthèse S2'!Y24+'Synthèse S3'!Y24+'Synthèse S4'!Y24+'Synthèse S5'!Y24</f>
        <v>1</v>
      </c>
      <c r="Z24" s="10">
        <f>'Synthèse S1'!Z24+'Synthèse S2'!Z24+'Synthèse S3'!Z24+'Synthèse S4'!Z24+'Synthèse S5'!Z24</f>
        <v>9</v>
      </c>
      <c r="AA24" s="11">
        <f>'Synthèse S1'!AA24+'Synthèse S2'!AA24+'Synthèse S3'!AA24+'Synthèse S4'!AA24+'Synthèse S5'!AA24</f>
        <v>1</v>
      </c>
      <c r="AB24" s="9">
        <f>'Synthèse S1'!AB24+'Synthèse S2'!AB24+'Synthèse S3'!AB24+'Synthèse S4'!AB24+'Synthèse S5'!AB24</f>
        <v>60</v>
      </c>
      <c r="AC24" s="10">
        <f>'Synthèse S1'!AC24+'Synthèse S2'!AC24+'Synthèse S3'!AC24+'Synthèse S4'!AC24+'Synthèse S5'!AC24</f>
        <v>1</v>
      </c>
      <c r="AD24" s="10">
        <f>'Synthèse S1'!AD24+'Synthèse S2'!AD24+'Synthèse S3'!AD24+'Synthèse S4'!AD24+'Synthèse S5'!AD24</f>
        <v>0</v>
      </c>
      <c r="AE24" s="10">
        <f>'Synthèse S1'!AE24+'Synthèse S2'!AE24+'Synthèse S3'!AE24+'Synthèse S4'!AE24+'Synthèse S5'!AE24</f>
        <v>4</v>
      </c>
      <c r="AF24" s="11">
        <f>'Synthèse S1'!AF24+'Synthèse S2'!AF24+'Synthèse S3'!AF24+'Synthèse S4'!AF24+'Synthèse S5'!AF24</f>
        <v>0</v>
      </c>
      <c r="AG24" s="9">
        <f>'Synthèse S1'!AG24+'Synthèse S2'!AG24+'Synthèse S3'!AG24+'Synthèse S4'!AG24+'Synthèse S5'!AG24</f>
        <v>25</v>
      </c>
      <c r="AH24" s="10">
        <f>'Synthèse S1'!AH24+'Synthèse S2'!AH24+'Synthèse S3'!AH24+'Synthèse S4'!AH24+'Synthèse S5'!AH24</f>
        <v>0</v>
      </c>
      <c r="AI24" s="10">
        <f>'Synthèse S1'!AI24+'Synthèse S2'!AI24+'Synthèse S3'!AI24+'Synthèse S4'!AI24+'Synthèse S5'!AI24</f>
        <v>25</v>
      </c>
      <c r="AJ24" s="10">
        <f>'Synthèse S1'!AJ24+'Synthèse S2'!AJ24+'Synthèse S3'!AJ24+'Synthèse S4'!AJ24+'Synthèse S5'!AJ24</f>
        <v>0</v>
      </c>
      <c r="AK24" s="11">
        <f>'Synthèse S1'!AK24+'Synthèse S2'!AK24+'Synthèse S3'!AK24+'Synthèse S4'!AK24+'Synthèse S5'!AK24</f>
        <v>0</v>
      </c>
      <c r="AL24" s="9">
        <f>'Synthèse S1'!AL24+'Synthèse S2'!AL24+'Synthèse S3'!AL24+'Synthèse S4'!AL24+'Synthèse S5'!AL24</f>
        <v>1.9100000000000001</v>
      </c>
      <c r="AM24" s="10">
        <f>'Synthèse S1'!AM24+'Synthèse S2'!AM24+'Synthèse S3'!AM24+'Synthèse S4'!AM24+'Synthèse S5'!AM24</f>
        <v>0</v>
      </c>
      <c r="AN24" s="10">
        <f>'Synthèse S1'!AN24+'Synthèse S2'!AN24+'Synthèse S3'!AN24+'Synthèse S4'!AN24+'Synthèse S5'!AN24</f>
        <v>0.55000000000000004</v>
      </c>
      <c r="AO24" s="10">
        <f>'Synthèse S1'!AO24+'Synthèse S2'!AO24+'Synthèse S3'!AO24+'Synthèse S4'!AO24+'Synthèse S5'!AO24</f>
        <v>3.1999999999999997</v>
      </c>
      <c r="AP24" s="11">
        <f>'Synthèse S1'!AP24+'Synthèse S2'!AP24+'Synthèse S3'!AP24+'Synthèse S4'!AP24+'Synthèse S5'!AP24</f>
        <v>3.3</v>
      </c>
      <c r="AQ24" s="9">
        <f>'Synthèse S1'!AQ24+'Synthèse S2'!AQ24+'Synthèse S3'!AQ24+'Synthèse S4'!AQ24+'Synthèse S5'!AQ24</f>
        <v>33</v>
      </c>
      <c r="AR24" s="10">
        <f>'Synthèse S1'!AR24+'Synthèse S2'!AR24+'Synthèse S3'!AR24+'Synthèse S4'!AR24+'Synthèse S5'!AR24</f>
        <v>0</v>
      </c>
      <c r="AS24" s="11">
        <f>'Synthèse S1'!AS24+'Synthèse S2'!AS24+'Synthèse S3'!AS24+'Synthèse S4'!AS24+'Synthèse S5'!AS24</f>
        <v>62</v>
      </c>
      <c r="AT24" s="22"/>
      <c r="AU24" s="14"/>
    </row>
    <row r="25" spans="1:47" ht="31.9" customHeight="1" x14ac:dyDescent="0.2">
      <c r="A25" s="26">
        <v>19</v>
      </c>
      <c r="B25" s="19"/>
      <c r="C25" s="9">
        <f>'Synthèse S1'!C25+'Synthèse S2'!C25+'Synthèse S3'!C25+'Synthèse S4'!C25+'Synthèse S5'!C25</f>
        <v>450</v>
      </c>
      <c r="D25" s="10">
        <f>'Synthèse S1'!D25+'Synthèse S2'!D25+'Synthèse S3'!D25+'Synthèse S4'!D25+'Synthèse S5'!D25</f>
        <v>90</v>
      </c>
      <c r="E25" s="10">
        <f>'Synthèse S1'!E25+'Synthèse S2'!E25+'Synthèse S3'!E25+'Synthèse S4'!E25+'Synthèse S5'!E25</f>
        <v>150</v>
      </c>
      <c r="F25" s="10">
        <f>'Synthèse S1'!F25+'Synthèse S2'!F25+'Synthèse S3'!F25+'Synthèse S4'!F25+'Synthèse S5'!F25</f>
        <v>60</v>
      </c>
      <c r="G25" s="11">
        <f>'Synthèse S1'!G25+'Synthèse S2'!G25+'Synthèse S3'!G25+'Synthèse S4'!G25+'Synthèse S5'!G25</f>
        <v>150</v>
      </c>
      <c r="H25" s="9">
        <f>'Synthèse S1'!H25+'Synthèse S2'!H25+'Synthèse S3'!H25+'Synthèse S4'!H25+'Synthèse S5'!H25</f>
        <v>90</v>
      </c>
      <c r="I25" s="10">
        <f>'Synthèse S1'!I25+'Synthèse S2'!I25+'Synthèse S3'!I25+'Synthèse S4'!I25+'Synthèse S5'!I25</f>
        <v>30</v>
      </c>
      <c r="J25" s="10">
        <f>'Synthèse S1'!J25+'Synthèse S2'!J25+'Synthèse S3'!J25+'Synthèse S4'!J25+'Synthèse S5'!J25</f>
        <v>30</v>
      </c>
      <c r="K25" s="10">
        <f>'Synthèse S1'!K25+'Synthèse S2'!K25+'Synthèse S3'!K25+'Synthèse S4'!K25+'Synthèse S5'!K25</f>
        <v>30</v>
      </c>
      <c r="L25" s="11">
        <f>'Synthèse S1'!L25+'Synthèse S2'!L25+'Synthèse S3'!L25+'Synthèse S4'!L25+'Synthèse S5'!L25</f>
        <v>30</v>
      </c>
      <c r="M25" s="9">
        <f>'Synthèse S1'!M25+'Synthèse S2'!M25+'Synthèse S3'!M25+'Synthèse S4'!M25+'Synthèse S5'!M25</f>
        <v>90</v>
      </c>
      <c r="N25" s="10">
        <f>'Synthèse S1'!N25+'Synthèse S2'!N25+'Synthèse S3'!N25+'Synthèse S4'!N25+'Synthèse S5'!N25</f>
        <v>30</v>
      </c>
      <c r="O25" s="10">
        <f>'Synthèse S1'!O25+'Synthèse S2'!O25+'Synthèse S3'!O25+'Synthèse S4'!O25+'Synthèse S5'!O25</f>
        <v>90</v>
      </c>
      <c r="P25" s="10">
        <f>'Synthèse S1'!P25+'Synthèse S2'!P25+'Synthèse S3'!P25+'Synthèse S4'!P25+'Synthèse S5'!P25</f>
        <v>0</v>
      </c>
      <c r="Q25" s="11">
        <f>'Synthèse S1'!Q25+'Synthèse S2'!Q25+'Synthèse S3'!Q25+'Synthèse S4'!Q25+'Synthèse S5'!Q25</f>
        <v>0</v>
      </c>
      <c r="R25" s="70">
        <f>'Synthèse S1'!R25+'Synthèse S2'!R25+'Synthèse S3'!R25+'Synthèse S4'!R25+'Synthèse S5'!R25</f>
        <v>15</v>
      </c>
      <c r="S25" s="71">
        <f>'Synthèse S1'!S25+'Synthèse S2'!S25+'Synthèse S3'!S25+'Synthèse S4'!S25+'Synthèse S5'!S25</f>
        <v>4.9999999999999991</v>
      </c>
      <c r="T25" s="71">
        <f>'Synthèse S1'!T25+'Synthèse S2'!T25+'Synthèse S3'!T25+'Synthèse S4'!T25+'Synthèse S5'!T25</f>
        <v>3</v>
      </c>
      <c r="U25" s="71">
        <f>'Synthèse S1'!U25+'Synthèse S2'!U25+'Synthèse S3'!U25+'Synthèse S4'!U25+'Synthèse S5'!U25</f>
        <v>18</v>
      </c>
      <c r="V25" s="72">
        <f>'Synthèse S1'!V25+'Synthèse S2'!V25+'Synthèse S3'!V25+'Synthèse S4'!V25+'Synthèse S5'!V25</f>
        <v>4.5</v>
      </c>
      <c r="W25" s="9">
        <f>'Synthèse S1'!W25+'Synthèse S2'!W25+'Synthèse S3'!W25+'Synthèse S4'!W25+'Synthèse S5'!W25</f>
        <v>131</v>
      </c>
      <c r="X25" s="10">
        <f>'Synthèse S1'!X25+'Synthèse S2'!X25+'Synthèse S3'!X25+'Synthèse S4'!X25+'Synthèse S5'!X25</f>
        <v>1</v>
      </c>
      <c r="Y25" s="10">
        <f>'Synthèse S1'!Y25+'Synthèse S2'!Y25+'Synthèse S3'!Y25+'Synthèse S4'!Y25+'Synthèse S5'!Y25</f>
        <v>1</v>
      </c>
      <c r="Z25" s="10">
        <f>'Synthèse S1'!Z25+'Synthèse S2'!Z25+'Synthèse S3'!Z25+'Synthèse S4'!Z25+'Synthèse S5'!Z25</f>
        <v>4</v>
      </c>
      <c r="AA25" s="11">
        <f>'Synthèse S1'!AA25+'Synthèse S2'!AA25+'Synthèse S3'!AA25+'Synthèse S4'!AA25+'Synthèse S5'!AA25</f>
        <v>2</v>
      </c>
      <c r="AB25" s="9">
        <f>'Synthèse S1'!AB25+'Synthèse S2'!AB25+'Synthèse S3'!AB25+'Synthèse S4'!AB25+'Synthèse S5'!AB25</f>
        <v>53</v>
      </c>
      <c r="AC25" s="10">
        <f>'Synthèse S1'!AC25+'Synthèse S2'!AC25+'Synthèse S3'!AC25+'Synthèse S4'!AC25+'Synthèse S5'!AC25</f>
        <v>0</v>
      </c>
      <c r="AD25" s="10">
        <f>'Synthèse S1'!AD25+'Synthèse S2'!AD25+'Synthèse S3'!AD25+'Synthèse S4'!AD25+'Synthèse S5'!AD25</f>
        <v>1</v>
      </c>
      <c r="AE25" s="10">
        <f>'Synthèse S1'!AE25+'Synthèse S2'!AE25+'Synthèse S3'!AE25+'Synthèse S4'!AE25+'Synthèse S5'!AE25</f>
        <v>3</v>
      </c>
      <c r="AF25" s="11">
        <f>'Synthèse S1'!AF25+'Synthèse S2'!AF25+'Synthèse S3'!AF25+'Synthèse S4'!AF25+'Synthèse S5'!AF25</f>
        <v>1</v>
      </c>
      <c r="AG25" s="9">
        <f>'Synthèse S1'!AG25+'Synthèse S2'!AG25+'Synthèse S3'!AG25+'Synthèse S4'!AG25+'Synthèse S5'!AG25</f>
        <v>25</v>
      </c>
      <c r="AH25" s="10">
        <f>'Synthèse S1'!AH25+'Synthèse S2'!AH25+'Synthèse S3'!AH25+'Synthèse S4'!AH25+'Synthèse S5'!AH25</f>
        <v>0</v>
      </c>
      <c r="AI25" s="10">
        <f>'Synthèse S1'!AI25+'Synthèse S2'!AI25+'Synthèse S3'!AI25+'Synthèse S4'!AI25+'Synthèse S5'!AI25</f>
        <v>25</v>
      </c>
      <c r="AJ25" s="10">
        <f>'Synthèse S1'!AJ25+'Synthèse S2'!AJ25+'Synthèse S3'!AJ25+'Synthèse S4'!AJ25+'Synthèse S5'!AJ25</f>
        <v>0</v>
      </c>
      <c r="AK25" s="11">
        <f>'Synthèse S1'!AK25+'Synthèse S2'!AK25+'Synthèse S3'!AK25+'Synthèse S4'!AK25+'Synthèse S5'!AK25</f>
        <v>0</v>
      </c>
      <c r="AL25" s="9">
        <f>'Synthèse S1'!AL25+'Synthèse S2'!AL25+'Synthèse S3'!AL25+'Synthèse S4'!AL25+'Synthèse S5'!AL25</f>
        <v>1.75</v>
      </c>
      <c r="AM25" s="10">
        <f>'Synthèse S1'!AM25+'Synthèse S2'!AM25+'Synthèse S3'!AM25+'Synthèse S4'!AM25+'Synthèse S5'!AM25</f>
        <v>0</v>
      </c>
      <c r="AN25" s="10">
        <f>'Synthèse S1'!AN25+'Synthèse S2'!AN25+'Synthèse S3'!AN25+'Synthèse S4'!AN25+'Synthèse S5'!AN25</f>
        <v>0.35</v>
      </c>
      <c r="AO25" s="10">
        <f>'Synthèse S1'!AO25+'Synthèse S2'!AO25+'Synthèse S3'!AO25+'Synthèse S4'!AO25+'Synthèse S5'!AO25</f>
        <v>2.1500000000000004</v>
      </c>
      <c r="AP25" s="11">
        <f>'Synthèse S1'!AP25+'Synthèse S2'!AP25+'Synthèse S3'!AP25+'Synthèse S4'!AP25+'Synthèse S5'!AP25</f>
        <v>3</v>
      </c>
      <c r="AQ25" s="9">
        <f>'Synthèse S1'!AQ25+'Synthèse S2'!AQ25+'Synthèse S3'!AQ25+'Synthèse S4'!AQ25+'Synthèse S5'!AQ25</f>
        <v>31</v>
      </c>
      <c r="AR25" s="10">
        <f>'Synthèse S1'!AR25+'Synthèse S2'!AR25+'Synthèse S3'!AR25+'Synthèse S4'!AR25+'Synthèse S5'!AR25</f>
        <v>0</v>
      </c>
      <c r="AS25" s="11">
        <f>'Synthèse S1'!AS25+'Synthèse S2'!AS25+'Synthèse S3'!AS25+'Synthèse S4'!AS25+'Synthèse S5'!AS25</f>
        <v>53</v>
      </c>
      <c r="AT25" s="22"/>
      <c r="AU25" s="14"/>
    </row>
    <row r="26" spans="1:47" ht="31.9" customHeight="1" x14ac:dyDescent="0.2">
      <c r="A26" s="26">
        <v>20</v>
      </c>
      <c r="B26" s="19"/>
      <c r="C26" s="9">
        <f>'Synthèse S1'!C26+'Synthèse S2'!C26+'Synthèse S3'!C26+'Synthèse S4'!C26+'Synthèse S5'!C26</f>
        <v>450</v>
      </c>
      <c r="D26" s="10">
        <f>'Synthèse S1'!D26+'Synthèse S2'!D26+'Synthèse S3'!D26+'Synthèse S4'!D26+'Synthèse S5'!D26</f>
        <v>90</v>
      </c>
      <c r="E26" s="10">
        <f>'Synthèse S1'!E26+'Synthèse S2'!E26+'Synthèse S3'!E26+'Synthèse S4'!E26+'Synthèse S5'!E26</f>
        <v>150</v>
      </c>
      <c r="F26" s="10">
        <f>'Synthèse S1'!F26+'Synthèse S2'!F26+'Synthèse S3'!F26+'Synthèse S4'!F26+'Synthèse S5'!F26</f>
        <v>60</v>
      </c>
      <c r="G26" s="11">
        <f>'Synthèse S1'!G26+'Synthèse S2'!G26+'Synthèse S3'!G26+'Synthèse S4'!G26+'Synthèse S5'!G26</f>
        <v>150</v>
      </c>
      <c r="H26" s="9">
        <f>'Synthèse S1'!H26+'Synthèse S2'!H26+'Synthèse S3'!H26+'Synthèse S4'!H26+'Synthèse S5'!H26</f>
        <v>90</v>
      </c>
      <c r="I26" s="10">
        <f>'Synthèse S1'!I26+'Synthèse S2'!I26+'Synthèse S3'!I26+'Synthèse S4'!I26+'Synthèse S5'!I26</f>
        <v>30</v>
      </c>
      <c r="J26" s="10">
        <f>'Synthèse S1'!J26+'Synthèse S2'!J26+'Synthèse S3'!J26+'Synthèse S4'!J26+'Synthèse S5'!J26</f>
        <v>30</v>
      </c>
      <c r="K26" s="10">
        <f>'Synthèse S1'!K26+'Synthèse S2'!K26+'Synthèse S3'!K26+'Synthèse S4'!K26+'Synthèse S5'!K26</f>
        <v>30</v>
      </c>
      <c r="L26" s="11">
        <f>'Synthèse S1'!L26+'Synthèse S2'!L26+'Synthèse S3'!L26+'Synthèse S4'!L26+'Synthèse S5'!L26</f>
        <v>30</v>
      </c>
      <c r="M26" s="9">
        <f>'Synthèse S1'!M26+'Synthèse S2'!M26+'Synthèse S3'!M26+'Synthèse S4'!M26+'Synthèse S5'!M26</f>
        <v>90</v>
      </c>
      <c r="N26" s="10">
        <f>'Synthèse S1'!N26+'Synthèse S2'!N26+'Synthèse S3'!N26+'Synthèse S4'!N26+'Synthèse S5'!N26</f>
        <v>30</v>
      </c>
      <c r="O26" s="10">
        <f>'Synthèse S1'!O26+'Synthèse S2'!O26+'Synthèse S3'!O26+'Synthèse S4'!O26+'Synthèse S5'!O26</f>
        <v>90</v>
      </c>
      <c r="P26" s="10">
        <f>'Synthèse S1'!P26+'Synthèse S2'!P26+'Synthèse S3'!P26+'Synthèse S4'!P26+'Synthèse S5'!P26</f>
        <v>0</v>
      </c>
      <c r="Q26" s="11">
        <f>'Synthèse S1'!Q26+'Synthèse S2'!Q26+'Synthèse S3'!Q26+'Synthèse S4'!Q26+'Synthèse S5'!Q26</f>
        <v>0</v>
      </c>
      <c r="R26" s="70">
        <f>'Synthèse S1'!R26+'Synthèse S2'!R26+'Synthèse S3'!R26+'Synthèse S4'!R26+'Synthèse S5'!R26</f>
        <v>15</v>
      </c>
      <c r="S26" s="71">
        <f>'Synthèse S1'!S26+'Synthèse S2'!S26+'Synthèse S3'!S26+'Synthèse S4'!S26+'Synthèse S5'!S26</f>
        <v>4.9999999999999991</v>
      </c>
      <c r="T26" s="71">
        <f>'Synthèse S1'!T26+'Synthèse S2'!T26+'Synthèse S3'!T26+'Synthèse S4'!T26+'Synthèse S5'!T26</f>
        <v>3</v>
      </c>
      <c r="U26" s="71">
        <f>'Synthèse S1'!U26+'Synthèse S2'!U26+'Synthèse S3'!U26+'Synthèse S4'!U26+'Synthèse S5'!U26</f>
        <v>18</v>
      </c>
      <c r="V26" s="72">
        <f>'Synthèse S1'!V26+'Synthèse S2'!V26+'Synthèse S3'!V26+'Synthèse S4'!V26+'Synthèse S5'!V26</f>
        <v>4.5</v>
      </c>
      <c r="W26" s="9">
        <f>'Synthèse S1'!W26+'Synthèse S2'!W26+'Synthèse S3'!W26+'Synthèse S4'!W26+'Synthèse S5'!W26</f>
        <v>110</v>
      </c>
      <c r="X26" s="10">
        <f>'Synthèse S1'!X26+'Synthèse S2'!X26+'Synthèse S3'!X26+'Synthèse S4'!X26+'Synthèse S5'!X26</f>
        <v>2</v>
      </c>
      <c r="Y26" s="10">
        <f>'Synthèse S1'!Y26+'Synthèse S2'!Y26+'Synthèse S3'!Y26+'Synthèse S4'!Y26+'Synthèse S5'!Y26</f>
        <v>1</v>
      </c>
      <c r="Z26" s="10">
        <f>'Synthèse S1'!Z26+'Synthèse S2'!Z26+'Synthèse S3'!Z26+'Synthèse S4'!Z26+'Synthèse S5'!Z26</f>
        <v>7</v>
      </c>
      <c r="AA26" s="11">
        <f>'Synthèse S1'!AA26+'Synthèse S2'!AA26+'Synthèse S3'!AA26+'Synthèse S4'!AA26+'Synthèse S5'!AA26</f>
        <v>5</v>
      </c>
      <c r="AB26" s="9">
        <f>'Synthèse S1'!AB26+'Synthèse S2'!AB26+'Synthèse S3'!AB26+'Synthèse S4'!AB26+'Synthèse S5'!AB26</f>
        <v>52</v>
      </c>
      <c r="AC26" s="10">
        <f>'Synthèse S1'!AC26+'Synthèse S2'!AC26+'Synthèse S3'!AC26+'Synthèse S4'!AC26+'Synthèse S5'!AC26</f>
        <v>1</v>
      </c>
      <c r="AD26" s="10">
        <f>'Synthèse S1'!AD26+'Synthèse S2'!AD26+'Synthèse S3'!AD26+'Synthèse S4'!AD26+'Synthèse S5'!AD26</f>
        <v>0</v>
      </c>
      <c r="AE26" s="10">
        <f>'Synthèse S1'!AE26+'Synthèse S2'!AE26+'Synthèse S3'!AE26+'Synthèse S4'!AE26+'Synthèse S5'!AE26</f>
        <v>3</v>
      </c>
      <c r="AF26" s="11">
        <f>'Synthèse S1'!AF26+'Synthèse S2'!AF26+'Synthèse S3'!AF26+'Synthèse S4'!AF26+'Synthèse S5'!AF26</f>
        <v>3</v>
      </c>
      <c r="AG26" s="9">
        <f>'Synthèse S1'!AG26+'Synthèse S2'!AG26+'Synthèse S3'!AG26+'Synthèse S4'!AG26+'Synthèse S5'!AG26</f>
        <v>18</v>
      </c>
      <c r="AH26" s="10">
        <f>'Synthèse S1'!AH26+'Synthèse S2'!AH26+'Synthèse S3'!AH26+'Synthèse S4'!AH26+'Synthèse S5'!AH26</f>
        <v>0</v>
      </c>
      <c r="AI26" s="10">
        <f>'Synthèse S1'!AI26+'Synthèse S2'!AI26+'Synthèse S3'!AI26+'Synthèse S4'!AI26+'Synthèse S5'!AI26</f>
        <v>20</v>
      </c>
      <c r="AJ26" s="10">
        <f>'Synthèse S1'!AJ26+'Synthèse S2'!AJ26+'Synthèse S3'!AJ26+'Synthèse S4'!AJ26+'Synthèse S5'!AJ26</f>
        <v>0</v>
      </c>
      <c r="AK26" s="11">
        <f>'Synthèse S1'!AK26+'Synthèse S2'!AK26+'Synthèse S3'!AK26+'Synthèse S4'!AK26+'Synthèse S5'!AK26</f>
        <v>0</v>
      </c>
      <c r="AL26" s="9">
        <f>'Synthèse S1'!AL26+'Synthèse S2'!AL26+'Synthèse S3'!AL26+'Synthèse S4'!AL26+'Synthèse S5'!AL26</f>
        <v>1.3399999999999999</v>
      </c>
      <c r="AM26" s="10">
        <f>'Synthèse S1'!AM26+'Synthèse S2'!AM26+'Synthèse S3'!AM26+'Synthèse S4'!AM26+'Synthèse S5'!AM26</f>
        <v>0</v>
      </c>
      <c r="AN26" s="10">
        <f>'Synthèse S1'!AN26+'Synthèse S2'!AN26+'Synthèse S3'!AN26+'Synthèse S4'!AN26+'Synthèse S5'!AN26</f>
        <v>0.65</v>
      </c>
      <c r="AO26" s="10">
        <f>'Synthèse S1'!AO26+'Synthèse S2'!AO26+'Synthèse S3'!AO26+'Synthèse S4'!AO26+'Synthèse S5'!AO26</f>
        <v>3.5</v>
      </c>
      <c r="AP26" s="11">
        <f>'Synthèse S1'!AP26+'Synthèse S2'!AP26+'Synthèse S3'!AP26+'Synthèse S4'!AP26+'Synthèse S5'!AP26</f>
        <v>3.4</v>
      </c>
      <c r="AQ26" s="9">
        <f>'Synthèse S1'!AQ26+'Synthèse S2'!AQ26+'Synthèse S3'!AQ26+'Synthèse S4'!AQ26+'Synthèse S5'!AQ26</f>
        <v>31</v>
      </c>
      <c r="AR26" s="10">
        <f>'Synthèse S1'!AR26+'Synthèse S2'!AR26+'Synthèse S3'!AR26+'Synthèse S4'!AR26+'Synthèse S5'!AR26</f>
        <v>0</v>
      </c>
      <c r="AS26" s="11">
        <f>'Synthèse S1'!AS26+'Synthèse S2'!AS26+'Synthèse S3'!AS26+'Synthèse S4'!AS26+'Synthèse S5'!AS26</f>
        <v>67</v>
      </c>
      <c r="AT26" s="22"/>
      <c r="AU26" s="14"/>
    </row>
    <row r="27" spans="1:47" ht="31.9" customHeight="1" x14ac:dyDescent="0.2">
      <c r="A27" s="26">
        <v>21</v>
      </c>
      <c r="B27" s="19"/>
      <c r="C27" s="9">
        <f>'Synthèse S1'!C27+'Synthèse S2'!C27+'Synthèse S3'!C27+'Synthèse S4'!C27+'Synthèse S5'!C27</f>
        <v>450</v>
      </c>
      <c r="D27" s="10">
        <f>'Synthèse S1'!D27+'Synthèse S2'!D27+'Synthèse S3'!D27+'Synthèse S4'!D27+'Synthèse S5'!D27</f>
        <v>90</v>
      </c>
      <c r="E27" s="10">
        <f>'Synthèse S1'!E27+'Synthèse S2'!E27+'Synthèse S3'!E27+'Synthèse S4'!E27+'Synthèse S5'!E27</f>
        <v>150</v>
      </c>
      <c r="F27" s="10">
        <f>'Synthèse S1'!F27+'Synthèse S2'!F27+'Synthèse S3'!F27+'Synthèse S4'!F27+'Synthèse S5'!F27</f>
        <v>60</v>
      </c>
      <c r="G27" s="11">
        <f>'Synthèse S1'!G27+'Synthèse S2'!G27+'Synthèse S3'!G27+'Synthèse S4'!G27+'Synthèse S5'!G27</f>
        <v>150</v>
      </c>
      <c r="H27" s="9">
        <f>'Synthèse S1'!H27+'Synthèse S2'!H27+'Synthèse S3'!H27+'Synthèse S4'!H27+'Synthèse S5'!H27</f>
        <v>90</v>
      </c>
      <c r="I27" s="10">
        <f>'Synthèse S1'!I27+'Synthèse S2'!I27+'Synthèse S3'!I27+'Synthèse S4'!I27+'Synthèse S5'!I27</f>
        <v>30</v>
      </c>
      <c r="J27" s="10">
        <f>'Synthèse S1'!J27+'Synthèse S2'!J27+'Synthèse S3'!J27+'Synthèse S4'!J27+'Synthèse S5'!J27</f>
        <v>30</v>
      </c>
      <c r="K27" s="10">
        <f>'Synthèse S1'!K27+'Synthèse S2'!K27+'Synthèse S3'!K27+'Synthèse S4'!K27+'Synthèse S5'!K27</f>
        <v>30</v>
      </c>
      <c r="L27" s="11">
        <f>'Synthèse S1'!L27+'Synthèse S2'!L27+'Synthèse S3'!L27+'Synthèse S4'!L27+'Synthèse S5'!L27</f>
        <v>30</v>
      </c>
      <c r="M27" s="9">
        <f>'Synthèse S1'!M27+'Synthèse S2'!M27+'Synthèse S3'!M27+'Synthèse S4'!M27+'Synthèse S5'!M27</f>
        <v>90</v>
      </c>
      <c r="N27" s="10">
        <f>'Synthèse S1'!N27+'Synthèse S2'!N27+'Synthèse S3'!N27+'Synthèse S4'!N27+'Synthèse S5'!N27</f>
        <v>30</v>
      </c>
      <c r="O27" s="10">
        <f>'Synthèse S1'!O27+'Synthèse S2'!O27+'Synthèse S3'!O27+'Synthèse S4'!O27+'Synthèse S5'!O27</f>
        <v>90</v>
      </c>
      <c r="P27" s="10">
        <f>'Synthèse S1'!P27+'Synthèse S2'!P27+'Synthèse S3'!P27+'Synthèse S4'!P27+'Synthèse S5'!P27</f>
        <v>0</v>
      </c>
      <c r="Q27" s="11">
        <f>'Synthèse S1'!Q27+'Synthèse S2'!Q27+'Synthèse S3'!Q27+'Synthèse S4'!Q27+'Synthèse S5'!Q27</f>
        <v>0</v>
      </c>
      <c r="R27" s="70">
        <f>'Synthèse S1'!R27+'Synthèse S2'!R27+'Synthèse S3'!R27+'Synthèse S4'!R27+'Synthèse S5'!R27</f>
        <v>15</v>
      </c>
      <c r="S27" s="71">
        <f>'Synthèse S1'!S27+'Synthèse S2'!S27+'Synthèse S3'!S27+'Synthèse S4'!S27+'Synthèse S5'!S27</f>
        <v>4.9999999999999991</v>
      </c>
      <c r="T27" s="71">
        <f>'Synthèse S1'!T27+'Synthèse S2'!T27+'Synthèse S3'!T27+'Synthèse S4'!T27+'Synthèse S5'!T27</f>
        <v>3</v>
      </c>
      <c r="U27" s="71">
        <f>'Synthèse S1'!U27+'Synthèse S2'!U27+'Synthèse S3'!U27+'Synthèse S4'!U27+'Synthèse S5'!U27</f>
        <v>18</v>
      </c>
      <c r="V27" s="72">
        <f>'Synthèse S1'!V27+'Synthèse S2'!V27+'Synthèse S3'!V27+'Synthèse S4'!V27+'Synthèse S5'!V27</f>
        <v>4.5</v>
      </c>
      <c r="W27" s="9">
        <f>'Synthèse S1'!W27+'Synthèse S2'!W27+'Synthèse S3'!W27+'Synthèse S4'!W27+'Synthèse S5'!W27</f>
        <v>1715</v>
      </c>
      <c r="X27" s="10">
        <f>'Synthèse S1'!X27+'Synthèse S2'!X27+'Synthèse S3'!X27+'Synthèse S4'!X27+'Synthèse S5'!X27</f>
        <v>20</v>
      </c>
      <c r="Y27" s="10">
        <f>'Synthèse S1'!Y27+'Synthèse S2'!Y27+'Synthèse S3'!Y27+'Synthèse S4'!Y27+'Synthèse S5'!Y27</f>
        <v>42</v>
      </c>
      <c r="Z27" s="10">
        <f>'Synthèse S1'!Z27+'Synthèse S2'!Z27+'Synthèse S3'!Z27+'Synthèse S4'!Z27+'Synthèse S5'!Z27</f>
        <v>85</v>
      </c>
      <c r="AA27" s="11">
        <f>'Synthèse S1'!AA27+'Synthèse S2'!AA27+'Synthèse S3'!AA27+'Synthèse S4'!AA27+'Synthèse S5'!AA27</f>
        <v>33</v>
      </c>
      <c r="AB27" s="9">
        <f>'Synthèse S1'!AB27+'Synthèse S2'!AB27+'Synthèse S3'!AB27+'Synthèse S4'!AB27+'Synthèse S5'!AB27</f>
        <v>0</v>
      </c>
      <c r="AC27" s="10">
        <f>'Synthèse S1'!AC27+'Synthèse S2'!AC27+'Synthèse S3'!AC27+'Synthèse S4'!AC27+'Synthèse S5'!AC27</f>
        <v>0</v>
      </c>
      <c r="AD27" s="10">
        <f>'Synthèse S1'!AD27+'Synthèse S2'!AD27+'Synthèse S3'!AD27+'Synthèse S4'!AD27+'Synthèse S5'!AD27</f>
        <v>0</v>
      </c>
      <c r="AE27" s="10">
        <f>'Synthèse S1'!AE27+'Synthèse S2'!AE27+'Synthèse S3'!AE27+'Synthèse S4'!AE27+'Synthèse S5'!AE27</f>
        <v>0</v>
      </c>
      <c r="AF27" s="11">
        <f>'Synthèse S1'!AF27+'Synthèse S2'!AF27+'Synthèse S3'!AF27+'Synthèse S4'!AF27+'Synthèse S5'!AF27</f>
        <v>0</v>
      </c>
      <c r="AG27" s="9">
        <f>'Synthèse S1'!AG27+'Synthèse S2'!AG27+'Synthèse S3'!AG27+'Synthèse S4'!AG27+'Synthèse S5'!AG27</f>
        <v>0</v>
      </c>
      <c r="AH27" s="10">
        <f>'Synthèse S1'!AH27+'Synthèse S2'!AH27+'Synthèse S3'!AH27+'Synthèse S4'!AH27+'Synthèse S5'!AH27</f>
        <v>0</v>
      </c>
      <c r="AI27" s="10">
        <f>'Synthèse S1'!AI27+'Synthèse S2'!AI27+'Synthèse S3'!AI27+'Synthèse S4'!AI27+'Synthèse S5'!AI27</f>
        <v>0</v>
      </c>
      <c r="AJ27" s="10">
        <f>'Synthèse S1'!AJ27+'Synthèse S2'!AJ27+'Synthèse S3'!AJ27+'Synthèse S4'!AJ27+'Synthèse S5'!AJ27</f>
        <v>0</v>
      </c>
      <c r="AK27" s="11">
        <f>'Synthèse S1'!AK27+'Synthèse S2'!AK27+'Synthèse S3'!AK27+'Synthèse S4'!AK27+'Synthèse S5'!AK27</f>
        <v>0</v>
      </c>
      <c r="AL27" s="9">
        <f>'Synthèse S1'!AL27+'Synthèse S2'!AL27+'Synthèse S3'!AL27+'Synthèse S4'!AL27+'Synthèse S5'!AL27</f>
        <v>0</v>
      </c>
      <c r="AM27" s="10">
        <f>'Synthèse S1'!AM27+'Synthèse S2'!AM27+'Synthèse S3'!AM27+'Synthèse S4'!AM27+'Synthèse S5'!AM27</f>
        <v>0</v>
      </c>
      <c r="AN27" s="10">
        <f>'Synthèse S1'!AN27+'Synthèse S2'!AN27+'Synthèse S3'!AN27+'Synthèse S4'!AN27+'Synthèse S5'!AN27</f>
        <v>0</v>
      </c>
      <c r="AO27" s="10">
        <f>'Synthèse S1'!AO27+'Synthèse S2'!AO27+'Synthèse S3'!AO27+'Synthèse S4'!AO27+'Synthèse S5'!AO27</f>
        <v>0</v>
      </c>
      <c r="AP27" s="11">
        <f>'Synthèse S1'!AP27+'Synthèse S2'!AP27+'Synthèse S3'!AP27+'Synthèse S4'!AP27+'Synthèse S5'!AP27</f>
        <v>0</v>
      </c>
      <c r="AQ27" s="9">
        <f>'Synthèse S1'!AQ27+'Synthèse S2'!AQ27+'Synthèse S3'!AQ27+'Synthèse S4'!AQ27+'Synthèse S5'!AQ27</f>
        <v>0</v>
      </c>
      <c r="AR27" s="10">
        <f>'Synthèse S1'!AR27+'Synthèse S2'!AR27+'Synthèse S3'!AR27+'Synthèse S4'!AR27+'Synthèse S5'!AR27</f>
        <v>0</v>
      </c>
      <c r="AS27" s="11">
        <f>'Synthèse S1'!AS27+'Synthèse S2'!AS27+'Synthèse S3'!AS27+'Synthèse S4'!AS27+'Synthèse S5'!AS27</f>
        <v>0</v>
      </c>
      <c r="AT27" s="22"/>
      <c r="AU27" s="14"/>
    </row>
    <row r="28" spans="1:47" ht="31.9" customHeight="1" x14ac:dyDescent="0.2">
      <c r="A28" s="26">
        <v>22</v>
      </c>
      <c r="B28" s="19"/>
      <c r="C28" s="9">
        <f>'Synthèse S1'!C28+'Synthèse S2'!C28+'Synthèse S3'!C28+'Synthèse S4'!C28+'Synthèse S5'!C28</f>
        <v>450</v>
      </c>
      <c r="D28" s="10">
        <f>'Synthèse S1'!D28+'Synthèse S2'!D28+'Synthèse S3'!D28+'Synthèse S4'!D28+'Synthèse S5'!D28</f>
        <v>90</v>
      </c>
      <c r="E28" s="10">
        <f>'Synthèse S1'!E28+'Synthèse S2'!E28+'Synthèse S3'!E28+'Synthèse S4'!E28+'Synthèse S5'!E28</f>
        <v>150</v>
      </c>
      <c r="F28" s="10">
        <f>'Synthèse S1'!F28+'Synthèse S2'!F28+'Synthèse S3'!F28+'Synthèse S4'!F28+'Synthèse S5'!F28</f>
        <v>60</v>
      </c>
      <c r="G28" s="11">
        <f>'Synthèse S1'!G28+'Synthèse S2'!G28+'Synthèse S3'!G28+'Synthèse S4'!G28+'Synthèse S5'!G28</f>
        <v>150</v>
      </c>
      <c r="H28" s="9">
        <f>'Synthèse S1'!H28+'Synthèse S2'!H28+'Synthèse S3'!H28+'Synthèse S4'!H28+'Synthèse S5'!H28</f>
        <v>90</v>
      </c>
      <c r="I28" s="10">
        <f>'Synthèse S1'!I28+'Synthèse S2'!I28+'Synthèse S3'!I28+'Synthèse S4'!I28+'Synthèse S5'!I28</f>
        <v>30</v>
      </c>
      <c r="J28" s="10">
        <f>'Synthèse S1'!J28+'Synthèse S2'!J28+'Synthèse S3'!J28+'Synthèse S4'!J28+'Synthèse S5'!J28</f>
        <v>30</v>
      </c>
      <c r="K28" s="10">
        <f>'Synthèse S1'!K28+'Synthèse S2'!K28+'Synthèse S3'!K28+'Synthèse S4'!K28+'Synthèse S5'!K28</f>
        <v>30</v>
      </c>
      <c r="L28" s="11">
        <f>'Synthèse S1'!L28+'Synthèse S2'!L28+'Synthèse S3'!L28+'Synthèse S4'!L28+'Synthèse S5'!L28</f>
        <v>30</v>
      </c>
      <c r="M28" s="9">
        <f>'Synthèse S1'!M28+'Synthèse S2'!M28+'Synthèse S3'!M28+'Synthèse S4'!M28+'Synthèse S5'!M28</f>
        <v>90</v>
      </c>
      <c r="N28" s="10">
        <f>'Synthèse S1'!N28+'Synthèse S2'!N28+'Synthèse S3'!N28+'Synthèse S4'!N28+'Synthèse S5'!N28</f>
        <v>30</v>
      </c>
      <c r="O28" s="10">
        <f>'Synthèse S1'!O28+'Synthèse S2'!O28+'Synthèse S3'!O28+'Synthèse S4'!O28+'Synthèse S5'!O28</f>
        <v>90</v>
      </c>
      <c r="P28" s="10">
        <f>'Synthèse S1'!P28+'Synthèse S2'!P28+'Synthèse S3'!P28+'Synthèse S4'!P28+'Synthèse S5'!P28</f>
        <v>0</v>
      </c>
      <c r="Q28" s="11">
        <f>'Synthèse S1'!Q28+'Synthèse S2'!Q28+'Synthèse S3'!Q28+'Synthèse S4'!Q28+'Synthèse S5'!Q28</f>
        <v>0</v>
      </c>
      <c r="R28" s="70">
        <f>'Synthèse S1'!R28+'Synthèse S2'!R28+'Synthèse S3'!R28+'Synthèse S4'!R28+'Synthèse S5'!R28</f>
        <v>15</v>
      </c>
      <c r="S28" s="71">
        <f>'Synthèse S1'!S28+'Synthèse S2'!S28+'Synthèse S3'!S28+'Synthèse S4'!S28+'Synthèse S5'!S28</f>
        <v>4.9999999999999991</v>
      </c>
      <c r="T28" s="71">
        <f>'Synthèse S1'!T28+'Synthèse S2'!T28+'Synthèse S3'!T28+'Synthèse S4'!T28+'Synthèse S5'!T28</f>
        <v>3</v>
      </c>
      <c r="U28" s="71">
        <f>'Synthèse S1'!U28+'Synthèse S2'!U28+'Synthèse S3'!U28+'Synthèse S4'!U28+'Synthèse S5'!U28</f>
        <v>18</v>
      </c>
      <c r="V28" s="72">
        <f>'Synthèse S1'!V28+'Synthèse S2'!V28+'Synthèse S3'!V28+'Synthèse S4'!V28+'Synthèse S5'!V28</f>
        <v>4.5</v>
      </c>
      <c r="W28" s="9">
        <f>'Synthèse S1'!W28+'Synthèse S2'!W28+'Synthèse S3'!W28+'Synthèse S4'!W28+'Synthèse S5'!W28</f>
        <v>0</v>
      </c>
      <c r="X28" s="10">
        <f>'Synthèse S1'!X28+'Synthèse S2'!X28+'Synthèse S3'!X28+'Synthèse S4'!X28+'Synthèse S5'!X28</f>
        <v>0</v>
      </c>
      <c r="Y28" s="10">
        <f>'Synthèse S1'!Y28+'Synthèse S2'!Y28+'Synthèse S3'!Y28+'Synthèse S4'!Y28+'Synthèse S5'!Y28</f>
        <v>0</v>
      </c>
      <c r="Z28" s="10">
        <f>'Synthèse S1'!Z28+'Synthèse S2'!Z28+'Synthèse S3'!Z28+'Synthèse S4'!Z28+'Synthèse S5'!Z28</f>
        <v>0</v>
      </c>
      <c r="AA28" s="11">
        <f>'Synthèse S1'!AA28+'Synthèse S2'!AA28+'Synthèse S3'!AA28+'Synthèse S4'!AA28+'Synthèse S5'!AA28</f>
        <v>0</v>
      </c>
      <c r="AB28" s="9">
        <f>'Synthèse S1'!AB28+'Synthèse S2'!AB28+'Synthèse S3'!AB28+'Synthèse S4'!AB28+'Synthèse S5'!AB28</f>
        <v>0</v>
      </c>
      <c r="AC28" s="10">
        <f>'Synthèse S1'!AC28+'Synthèse S2'!AC28+'Synthèse S3'!AC28+'Synthèse S4'!AC28+'Synthèse S5'!AC28</f>
        <v>0</v>
      </c>
      <c r="AD28" s="10">
        <f>'Synthèse S1'!AD28+'Synthèse S2'!AD28+'Synthèse S3'!AD28+'Synthèse S4'!AD28+'Synthèse S5'!AD28</f>
        <v>0</v>
      </c>
      <c r="AE28" s="10">
        <f>'Synthèse S1'!AE28+'Synthèse S2'!AE28+'Synthèse S3'!AE28+'Synthèse S4'!AE28+'Synthèse S5'!AE28</f>
        <v>0</v>
      </c>
      <c r="AF28" s="11">
        <f>'Synthèse S1'!AF28+'Synthèse S2'!AF28+'Synthèse S3'!AF28+'Synthèse S4'!AF28+'Synthèse S5'!AF28</f>
        <v>0</v>
      </c>
      <c r="AG28" s="9">
        <f>'Synthèse S1'!AG28+'Synthèse S2'!AG28+'Synthèse S3'!AG28+'Synthèse S4'!AG28+'Synthèse S5'!AG28</f>
        <v>0</v>
      </c>
      <c r="AH28" s="10">
        <f>'Synthèse S1'!AH28+'Synthèse S2'!AH28+'Synthèse S3'!AH28+'Synthèse S4'!AH28+'Synthèse S5'!AH28</f>
        <v>0</v>
      </c>
      <c r="AI28" s="10">
        <f>'Synthèse S1'!AI28+'Synthèse S2'!AI28+'Synthèse S3'!AI28+'Synthèse S4'!AI28+'Synthèse S5'!AI28</f>
        <v>0</v>
      </c>
      <c r="AJ28" s="10">
        <f>'Synthèse S1'!AJ28+'Synthèse S2'!AJ28+'Synthèse S3'!AJ28+'Synthèse S4'!AJ28+'Synthèse S5'!AJ28</f>
        <v>0</v>
      </c>
      <c r="AK28" s="11">
        <f>'Synthèse S1'!AK28+'Synthèse S2'!AK28+'Synthèse S3'!AK28+'Synthèse S4'!AK28+'Synthèse S5'!AK28</f>
        <v>0</v>
      </c>
      <c r="AL28" s="9">
        <f>'Synthèse S1'!AL28+'Synthèse S2'!AL28+'Synthèse S3'!AL28+'Synthèse S4'!AL28+'Synthèse S5'!AL28</f>
        <v>0</v>
      </c>
      <c r="AM28" s="10">
        <f>'Synthèse S1'!AM28+'Synthèse S2'!AM28+'Synthèse S3'!AM28+'Synthèse S4'!AM28+'Synthèse S5'!AM28</f>
        <v>0</v>
      </c>
      <c r="AN28" s="10">
        <f>'Synthèse S1'!AN28+'Synthèse S2'!AN28+'Synthèse S3'!AN28+'Synthèse S4'!AN28+'Synthèse S5'!AN28</f>
        <v>0</v>
      </c>
      <c r="AO28" s="10">
        <f>'Synthèse S1'!AO28+'Synthèse S2'!AO28+'Synthèse S3'!AO28+'Synthèse S4'!AO28+'Synthèse S5'!AO28</f>
        <v>0</v>
      </c>
      <c r="AP28" s="11">
        <f>'Synthèse S1'!AP28+'Synthèse S2'!AP28+'Synthèse S3'!AP28+'Synthèse S4'!AP28+'Synthèse S5'!AP28</f>
        <v>0</v>
      </c>
      <c r="AQ28" s="9">
        <f>'Synthèse S1'!AQ28+'Synthèse S2'!AQ28+'Synthèse S3'!AQ28+'Synthèse S4'!AQ28+'Synthèse S5'!AQ28</f>
        <v>0</v>
      </c>
      <c r="AR28" s="10">
        <f>'Synthèse S1'!AR28+'Synthèse S2'!AR28+'Synthèse S3'!AR28+'Synthèse S4'!AR28+'Synthèse S5'!AR28</f>
        <v>0</v>
      </c>
      <c r="AS28" s="11">
        <f>'Synthèse S1'!AS28+'Synthèse S2'!AS28+'Synthèse S3'!AS28+'Synthèse S4'!AS28+'Synthèse S5'!AS28</f>
        <v>0</v>
      </c>
      <c r="AT28" s="22"/>
      <c r="AU28" s="14"/>
    </row>
    <row r="29" spans="1:47" ht="31.9" customHeight="1" x14ac:dyDescent="0.2">
      <c r="A29" s="26">
        <v>23</v>
      </c>
      <c r="B29" s="19"/>
      <c r="C29" s="9">
        <f>'Synthèse S1'!C29+'Synthèse S2'!C29+'Synthèse S3'!C29+'Synthèse S4'!C29+'Synthèse S5'!C29</f>
        <v>450</v>
      </c>
      <c r="D29" s="10">
        <f>'Synthèse S1'!D29+'Synthèse S2'!D29+'Synthèse S3'!D29+'Synthèse S4'!D29+'Synthèse S5'!D29</f>
        <v>90</v>
      </c>
      <c r="E29" s="10">
        <f>'Synthèse S1'!E29+'Synthèse S2'!E29+'Synthèse S3'!E29+'Synthèse S4'!E29+'Synthèse S5'!E29</f>
        <v>150</v>
      </c>
      <c r="F29" s="10">
        <f>'Synthèse S1'!F29+'Synthèse S2'!F29+'Synthèse S3'!F29+'Synthèse S4'!F29+'Synthèse S5'!F29</f>
        <v>60</v>
      </c>
      <c r="G29" s="11">
        <f>'Synthèse S1'!G29+'Synthèse S2'!G29+'Synthèse S3'!G29+'Synthèse S4'!G29+'Synthèse S5'!G29</f>
        <v>150</v>
      </c>
      <c r="H29" s="9">
        <f>'Synthèse S1'!H29+'Synthèse S2'!H29+'Synthèse S3'!H29+'Synthèse S4'!H29+'Synthèse S5'!H29</f>
        <v>90</v>
      </c>
      <c r="I29" s="10">
        <f>'Synthèse S1'!I29+'Synthèse S2'!I29+'Synthèse S3'!I29+'Synthèse S4'!I29+'Synthèse S5'!I29</f>
        <v>30</v>
      </c>
      <c r="J29" s="10">
        <f>'Synthèse S1'!J29+'Synthèse S2'!J29+'Synthèse S3'!J29+'Synthèse S4'!J29+'Synthèse S5'!J29</f>
        <v>30</v>
      </c>
      <c r="K29" s="10">
        <f>'Synthèse S1'!K29+'Synthèse S2'!K29+'Synthèse S3'!K29+'Synthèse S4'!K29+'Synthèse S5'!K29</f>
        <v>30</v>
      </c>
      <c r="L29" s="11">
        <f>'Synthèse S1'!L29+'Synthèse S2'!L29+'Synthèse S3'!L29+'Synthèse S4'!L29+'Synthèse S5'!L29</f>
        <v>30</v>
      </c>
      <c r="M29" s="9">
        <f>'Synthèse S1'!M29+'Synthèse S2'!M29+'Synthèse S3'!M29+'Synthèse S4'!M29+'Synthèse S5'!M29</f>
        <v>90</v>
      </c>
      <c r="N29" s="10">
        <f>'Synthèse S1'!N29+'Synthèse S2'!N29+'Synthèse S3'!N29+'Synthèse S4'!N29+'Synthèse S5'!N29</f>
        <v>30</v>
      </c>
      <c r="O29" s="10">
        <f>'Synthèse S1'!O29+'Synthèse S2'!O29+'Synthèse S3'!O29+'Synthèse S4'!O29+'Synthèse S5'!O29</f>
        <v>90</v>
      </c>
      <c r="P29" s="10">
        <f>'Synthèse S1'!P29+'Synthèse S2'!P29+'Synthèse S3'!P29+'Synthèse S4'!P29+'Synthèse S5'!P29</f>
        <v>0</v>
      </c>
      <c r="Q29" s="11">
        <f>'Synthèse S1'!Q29+'Synthèse S2'!Q29+'Synthèse S3'!Q29+'Synthèse S4'!Q29+'Synthèse S5'!Q29</f>
        <v>0</v>
      </c>
      <c r="R29" s="70">
        <f>'Synthèse S1'!R29+'Synthèse S2'!R29+'Synthèse S3'!R29+'Synthèse S4'!R29+'Synthèse S5'!R29</f>
        <v>15</v>
      </c>
      <c r="S29" s="71">
        <f>'Synthèse S1'!S29+'Synthèse S2'!S29+'Synthèse S3'!S29+'Synthèse S4'!S29+'Synthèse S5'!S29</f>
        <v>4.9999999999999991</v>
      </c>
      <c r="T29" s="71">
        <f>'Synthèse S1'!T29+'Synthèse S2'!T29+'Synthèse S3'!T29+'Synthèse S4'!T29+'Synthèse S5'!T29</f>
        <v>3</v>
      </c>
      <c r="U29" s="71">
        <f>'Synthèse S1'!U29+'Synthèse S2'!U29+'Synthèse S3'!U29+'Synthèse S4'!U29+'Synthèse S5'!U29</f>
        <v>18</v>
      </c>
      <c r="V29" s="72">
        <f>'Synthèse S1'!V29+'Synthèse S2'!V29+'Synthèse S3'!V29+'Synthèse S4'!V29+'Synthèse S5'!V29</f>
        <v>4.5</v>
      </c>
      <c r="W29" s="9">
        <f>'Synthèse S1'!W29+'Synthèse S2'!W29+'Synthèse S3'!W29+'Synthèse S4'!W29+'Synthèse S5'!W29</f>
        <v>0</v>
      </c>
      <c r="X29" s="10">
        <f>'Synthèse S1'!X29+'Synthèse S2'!X29+'Synthèse S3'!X29+'Synthèse S4'!X29+'Synthèse S5'!X29</f>
        <v>0</v>
      </c>
      <c r="Y29" s="10">
        <f>'Synthèse S1'!Y29+'Synthèse S2'!Y29+'Synthèse S3'!Y29+'Synthèse S4'!Y29+'Synthèse S5'!Y29</f>
        <v>0</v>
      </c>
      <c r="Z29" s="10">
        <f>'Synthèse S1'!Z29+'Synthèse S2'!Z29+'Synthèse S3'!Z29+'Synthèse S4'!Z29+'Synthèse S5'!Z29</f>
        <v>0</v>
      </c>
      <c r="AA29" s="11">
        <f>'Synthèse S1'!AA29+'Synthèse S2'!AA29+'Synthèse S3'!AA29+'Synthèse S4'!AA29+'Synthèse S5'!AA29</f>
        <v>0</v>
      </c>
      <c r="AB29" s="9">
        <f>'Synthèse S1'!AB29+'Synthèse S2'!AB29+'Synthèse S3'!AB29+'Synthèse S4'!AB29+'Synthèse S5'!AB29</f>
        <v>0</v>
      </c>
      <c r="AC29" s="10">
        <f>'Synthèse S1'!AC29+'Synthèse S2'!AC29+'Synthèse S3'!AC29+'Synthèse S4'!AC29+'Synthèse S5'!AC29</f>
        <v>0</v>
      </c>
      <c r="AD29" s="10">
        <f>'Synthèse S1'!AD29+'Synthèse S2'!AD29+'Synthèse S3'!AD29+'Synthèse S4'!AD29+'Synthèse S5'!AD29</f>
        <v>0</v>
      </c>
      <c r="AE29" s="10">
        <f>'Synthèse S1'!AE29+'Synthèse S2'!AE29+'Synthèse S3'!AE29+'Synthèse S4'!AE29+'Synthèse S5'!AE29</f>
        <v>0</v>
      </c>
      <c r="AF29" s="11">
        <f>'Synthèse S1'!AF29+'Synthèse S2'!AF29+'Synthèse S3'!AF29+'Synthèse S4'!AF29+'Synthèse S5'!AF29</f>
        <v>0</v>
      </c>
      <c r="AG29" s="9">
        <f>'Synthèse S1'!AG29+'Synthèse S2'!AG29+'Synthèse S3'!AG29+'Synthèse S4'!AG29+'Synthèse S5'!AG29</f>
        <v>0</v>
      </c>
      <c r="AH29" s="10">
        <f>'Synthèse S1'!AH29+'Synthèse S2'!AH29+'Synthèse S3'!AH29+'Synthèse S4'!AH29+'Synthèse S5'!AH29</f>
        <v>0</v>
      </c>
      <c r="AI29" s="10">
        <f>'Synthèse S1'!AI29+'Synthèse S2'!AI29+'Synthèse S3'!AI29+'Synthèse S4'!AI29+'Synthèse S5'!AI29</f>
        <v>0</v>
      </c>
      <c r="AJ29" s="10">
        <f>'Synthèse S1'!AJ29+'Synthèse S2'!AJ29+'Synthèse S3'!AJ29+'Synthèse S4'!AJ29+'Synthèse S5'!AJ29</f>
        <v>0</v>
      </c>
      <c r="AK29" s="11">
        <f>'Synthèse S1'!AK29+'Synthèse S2'!AK29+'Synthèse S3'!AK29+'Synthèse S4'!AK29+'Synthèse S5'!AK29</f>
        <v>0</v>
      </c>
      <c r="AL29" s="9">
        <f>'Synthèse S1'!AL29+'Synthèse S2'!AL29+'Synthèse S3'!AL29+'Synthèse S4'!AL29+'Synthèse S5'!AL29</f>
        <v>0</v>
      </c>
      <c r="AM29" s="10">
        <f>'Synthèse S1'!AM29+'Synthèse S2'!AM29+'Synthèse S3'!AM29+'Synthèse S4'!AM29+'Synthèse S5'!AM29</f>
        <v>0</v>
      </c>
      <c r="AN29" s="10">
        <f>'Synthèse S1'!AN29+'Synthèse S2'!AN29+'Synthèse S3'!AN29+'Synthèse S4'!AN29+'Synthèse S5'!AN29</f>
        <v>0</v>
      </c>
      <c r="AO29" s="10">
        <f>'Synthèse S1'!AO29+'Synthèse S2'!AO29+'Synthèse S3'!AO29+'Synthèse S4'!AO29+'Synthèse S5'!AO29</f>
        <v>0</v>
      </c>
      <c r="AP29" s="11">
        <f>'Synthèse S1'!AP29+'Synthèse S2'!AP29+'Synthèse S3'!AP29+'Synthèse S4'!AP29+'Synthèse S5'!AP29</f>
        <v>0</v>
      </c>
      <c r="AQ29" s="9">
        <f>'Synthèse S1'!AQ29+'Synthèse S2'!AQ29+'Synthèse S3'!AQ29+'Synthèse S4'!AQ29+'Synthèse S5'!AQ29</f>
        <v>0</v>
      </c>
      <c r="AR29" s="10">
        <f>'Synthèse S1'!AR29+'Synthèse S2'!AR29+'Synthèse S3'!AR29+'Synthèse S4'!AR29+'Synthèse S5'!AR29</f>
        <v>0</v>
      </c>
      <c r="AS29" s="11">
        <f>'Synthèse S1'!AS29+'Synthèse S2'!AS29+'Synthèse S3'!AS29+'Synthèse S4'!AS29+'Synthèse S5'!AS29</f>
        <v>0</v>
      </c>
      <c r="AT29" s="22"/>
      <c r="AU29" s="14"/>
    </row>
    <row r="30" spans="1:47" ht="31.9" customHeight="1" x14ac:dyDescent="0.2">
      <c r="A30" s="26">
        <v>24</v>
      </c>
      <c r="B30" s="19"/>
      <c r="C30" s="9">
        <f>'Synthèse S1'!C30+'Synthèse S2'!C30+'Synthèse S3'!C30+'Synthèse S4'!C30+'Synthèse S5'!C30</f>
        <v>450</v>
      </c>
      <c r="D30" s="10">
        <f>'Synthèse S1'!D30+'Synthèse S2'!D30+'Synthèse S3'!D30+'Synthèse S4'!D30+'Synthèse S5'!D30</f>
        <v>90</v>
      </c>
      <c r="E30" s="10">
        <f>'Synthèse S1'!E30+'Synthèse S2'!E30+'Synthèse S3'!E30+'Synthèse S4'!E30+'Synthèse S5'!E30</f>
        <v>150</v>
      </c>
      <c r="F30" s="10">
        <f>'Synthèse S1'!F30+'Synthèse S2'!F30+'Synthèse S3'!F30+'Synthèse S4'!F30+'Synthèse S5'!F30</f>
        <v>60</v>
      </c>
      <c r="G30" s="11">
        <f>'Synthèse S1'!G30+'Synthèse S2'!G30+'Synthèse S3'!G30+'Synthèse S4'!G30+'Synthèse S5'!G30</f>
        <v>150</v>
      </c>
      <c r="H30" s="9">
        <f>'Synthèse S1'!H30+'Synthèse S2'!H30+'Synthèse S3'!H30+'Synthèse S4'!H30+'Synthèse S5'!H30</f>
        <v>90</v>
      </c>
      <c r="I30" s="10">
        <f>'Synthèse S1'!I30+'Synthèse S2'!I30+'Synthèse S3'!I30+'Synthèse S4'!I30+'Synthèse S5'!I30</f>
        <v>30</v>
      </c>
      <c r="J30" s="10">
        <f>'Synthèse S1'!J30+'Synthèse S2'!J30+'Synthèse S3'!J30+'Synthèse S4'!J30+'Synthèse S5'!J30</f>
        <v>30</v>
      </c>
      <c r="K30" s="10">
        <f>'Synthèse S1'!K30+'Synthèse S2'!K30+'Synthèse S3'!K30+'Synthèse S4'!K30+'Synthèse S5'!K30</f>
        <v>30</v>
      </c>
      <c r="L30" s="11">
        <f>'Synthèse S1'!L30+'Synthèse S2'!L30+'Synthèse S3'!L30+'Synthèse S4'!L30+'Synthèse S5'!L30</f>
        <v>30</v>
      </c>
      <c r="M30" s="9">
        <f>'Synthèse S1'!M30+'Synthèse S2'!M30+'Synthèse S3'!M30+'Synthèse S4'!M30+'Synthèse S5'!M30</f>
        <v>90</v>
      </c>
      <c r="N30" s="10">
        <f>'Synthèse S1'!N30+'Synthèse S2'!N30+'Synthèse S3'!N30+'Synthèse S4'!N30+'Synthèse S5'!N30</f>
        <v>30</v>
      </c>
      <c r="O30" s="10">
        <f>'Synthèse S1'!O30+'Synthèse S2'!O30+'Synthèse S3'!O30+'Synthèse S4'!O30+'Synthèse S5'!O30</f>
        <v>90</v>
      </c>
      <c r="P30" s="10">
        <f>'Synthèse S1'!P30+'Synthèse S2'!P30+'Synthèse S3'!P30+'Synthèse S4'!P30+'Synthèse S5'!P30</f>
        <v>0</v>
      </c>
      <c r="Q30" s="11">
        <f>'Synthèse S1'!Q30+'Synthèse S2'!Q30+'Synthèse S3'!Q30+'Synthèse S4'!Q30+'Synthèse S5'!Q30</f>
        <v>0</v>
      </c>
      <c r="R30" s="70">
        <f>'Synthèse S1'!R30+'Synthèse S2'!R30+'Synthèse S3'!R30+'Synthèse S4'!R30+'Synthèse S5'!R30</f>
        <v>15</v>
      </c>
      <c r="S30" s="71">
        <f>'Synthèse S1'!S30+'Synthèse S2'!S30+'Synthèse S3'!S30+'Synthèse S4'!S30+'Synthèse S5'!S30</f>
        <v>4.9999999999999991</v>
      </c>
      <c r="T30" s="71">
        <f>'Synthèse S1'!T30+'Synthèse S2'!T30+'Synthèse S3'!T30+'Synthèse S4'!T30+'Synthèse S5'!T30</f>
        <v>3</v>
      </c>
      <c r="U30" s="71">
        <f>'Synthèse S1'!U30+'Synthèse S2'!U30+'Synthèse S3'!U30+'Synthèse S4'!U30+'Synthèse S5'!U30</f>
        <v>18</v>
      </c>
      <c r="V30" s="72">
        <f>'Synthèse S1'!V30+'Synthèse S2'!V30+'Synthèse S3'!V30+'Synthèse S4'!V30+'Synthèse S5'!V30</f>
        <v>4.5</v>
      </c>
      <c r="W30" s="9">
        <f>'Synthèse S1'!W30+'Synthèse S2'!W30+'Synthèse S3'!W30+'Synthèse S4'!W30+'Synthèse S5'!W30</f>
        <v>0</v>
      </c>
      <c r="X30" s="10">
        <f>'Synthèse S1'!X30+'Synthèse S2'!X30+'Synthèse S3'!X30+'Synthèse S4'!X30+'Synthèse S5'!X30</f>
        <v>0</v>
      </c>
      <c r="Y30" s="10">
        <f>'Synthèse S1'!Y30+'Synthèse S2'!Y30+'Synthèse S3'!Y30+'Synthèse S4'!Y30+'Synthèse S5'!Y30</f>
        <v>0</v>
      </c>
      <c r="Z30" s="10">
        <f>'Synthèse S1'!Z30+'Synthèse S2'!Z30+'Synthèse S3'!Z30+'Synthèse S4'!Z30+'Synthèse S5'!Z30</f>
        <v>0</v>
      </c>
      <c r="AA30" s="11">
        <f>'Synthèse S1'!AA30+'Synthèse S2'!AA30+'Synthèse S3'!AA30+'Synthèse S4'!AA30+'Synthèse S5'!AA30</f>
        <v>0</v>
      </c>
      <c r="AB30" s="9">
        <f>'Synthèse S1'!AB30+'Synthèse S2'!AB30+'Synthèse S3'!AB30+'Synthèse S4'!AB30+'Synthèse S5'!AB30</f>
        <v>0</v>
      </c>
      <c r="AC30" s="10">
        <f>'Synthèse S1'!AC30+'Synthèse S2'!AC30+'Synthèse S3'!AC30+'Synthèse S4'!AC30+'Synthèse S5'!AC30</f>
        <v>0</v>
      </c>
      <c r="AD30" s="10">
        <f>'Synthèse S1'!AD30+'Synthèse S2'!AD30+'Synthèse S3'!AD30+'Synthèse S4'!AD30+'Synthèse S5'!AD30</f>
        <v>0</v>
      </c>
      <c r="AE30" s="10">
        <f>'Synthèse S1'!AE30+'Synthèse S2'!AE30+'Synthèse S3'!AE30+'Synthèse S4'!AE30+'Synthèse S5'!AE30</f>
        <v>0</v>
      </c>
      <c r="AF30" s="11">
        <f>'Synthèse S1'!AF30+'Synthèse S2'!AF30+'Synthèse S3'!AF30+'Synthèse S4'!AF30+'Synthèse S5'!AF30</f>
        <v>0</v>
      </c>
      <c r="AG30" s="9">
        <f>'Synthèse S1'!AG30+'Synthèse S2'!AG30+'Synthèse S3'!AG30+'Synthèse S4'!AG30+'Synthèse S5'!AG30</f>
        <v>0</v>
      </c>
      <c r="AH30" s="10">
        <f>'Synthèse S1'!AH30+'Synthèse S2'!AH30+'Synthèse S3'!AH30+'Synthèse S4'!AH30+'Synthèse S5'!AH30</f>
        <v>0</v>
      </c>
      <c r="AI30" s="10">
        <f>'Synthèse S1'!AI30+'Synthèse S2'!AI30+'Synthèse S3'!AI30+'Synthèse S4'!AI30+'Synthèse S5'!AI30</f>
        <v>0</v>
      </c>
      <c r="AJ30" s="10">
        <f>'Synthèse S1'!AJ30+'Synthèse S2'!AJ30+'Synthèse S3'!AJ30+'Synthèse S4'!AJ30+'Synthèse S5'!AJ30</f>
        <v>0</v>
      </c>
      <c r="AK30" s="11">
        <f>'Synthèse S1'!AK30+'Synthèse S2'!AK30+'Synthèse S3'!AK30+'Synthèse S4'!AK30+'Synthèse S5'!AK30</f>
        <v>0</v>
      </c>
      <c r="AL30" s="9">
        <f>'Synthèse S1'!AL30+'Synthèse S2'!AL30+'Synthèse S3'!AL30+'Synthèse S4'!AL30+'Synthèse S5'!AL30</f>
        <v>0</v>
      </c>
      <c r="AM30" s="10">
        <f>'Synthèse S1'!AM30+'Synthèse S2'!AM30+'Synthèse S3'!AM30+'Synthèse S4'!AM30+'Synthèse S5'!AM30</f>
        <v>0</v>
      </c>
      <c r="AN30" s="10">
        <f>'Synthèse S1'!AN30+'Synthèse S2'!AN30+'Synthèse S3'!AN30+'Synthèse S4'!AN30+'Synthèse S5'!AN30</f>
        <v>0</v>
      </c>
      <c r="AO30" s="10">
        <f>'Synthèse S1'!AO30+'Synthèse S2'!AO30+'Synthèse S3'!AO30+'Synthèse S4'!AO30+'Synthèse S5'!AO30</f>
        <v>0</v>
      </c>
      <c r="AP30" s="11">
        <f>'Synthèse S1'!AP30+'Synthèse S2'!AP30+'Synthèse S3'!AP30+'Synthèse S4'!AP30+'Synthèse S5'!AP30</f>
        <v>0</v>
      </c>
      <c r="AQ30" s="9">
        <f>'Synthèse S1'!AQ30+'Synthèse S2'!AQ30+'Synthèse S3'!AQ30+'Synthèse S4'!AQ30+'Synthèse S5'!AQ30</f>
        <v>0</v>
      </c>
      <c r="AR30" s="10">
        <f>'Synthèse S1'!AR30+'Synthèse S2'!AR30+'Synthèse S3'!AR30+'Synthèse S4'!AR30+'Synthèse S5'!AR30</f>
        <v>0</v>
      </c>
      <c r="AS30" s="11">
        <f>'Synthèse S1'!AS30+'Synthèse S2'!AS30+'Synthèse S3'!AS30+'Synthèse S4'!AS30+'Synthèse S5'!AS30</f>
        <v>0</v>
      </c>
      <c r="AT30" s="22"/>
      <c r="AU30" s="14"/>
    </row>
    <row r="31" spans="1:47" ht="31.9" customHeight="1" x14ac:dyDescent="0.2">
      <c r="A31" s="26">
        <v>25</v>
      </c>
      <c r="B31" s="19"/>
      <c r="C31" s="9">
        <f>'Synthèse S1'!C31+'Synthèse S2'!C31+'Synthèse S3'!C31+'Synthèse S4'!C31+'Synthèse S5'!C31</f>
        <v>450</v>
      </c>
      <c r="D31" s="10">
        <f>'Synthèse S1'!D31+'Synthèse S2'!D31+'Synthèse S3'!D31+'Synthèse S4'!D31+'Synthèse S5'!D31</f>
        <v>90</v>
      </c>
      <c r="E31" s="10">
        <f>'Synthèse S1'!E31+'Synthèse S2'!E31+'Synthèse S3'!E31+'Synthèse S4'!E31+'Synthèse S5'!E31</f>
        <v>150</v>
      </c>
      <c r="F31" s="10">
        <f>'Synthèse S1'!F31+'Synthèse S2'!F31+'Synthèse S3'!F31+'Synthèse S4'!F31+'Synthèse S5'!F31</f>
        <v>60</v>
      </c>
      <c r="G31" s="11">
        <f>'Synthèse S1'!G31+'Synthèse S2'!G31+'Synthèse S3'!G31+'Synthèse S4'!G31+'Synthèse S5'!G31</f>
        <v>150</v>
      </c>
      <c r="H31" s="9">
        <f>'Synthèse S1'!H31+'Synthèse S2'!H31+'Synthèse S3'!H31+'Synthèse S4'!H31+'Synthèse S5'!H31</f>
        <v>90</v>
      </c>
      <c r="I31" s="10">
        <f>'Synthèse S1'!I31+'Synthèse S2'!I31+'Synthèse S3'!I31+'Synthèse S4'!I31+'Synthèse S5'!I31</f>
        <v>30</v>
      </c>
      <c r="J31" s="10">
        <f>'Synthèse S1'!J31+'Synthèse S2'!J31+'Synthèse S3'!J31+'Synthèse S4'!J31+'Synthèse S5'!J31</f>
        <v>30</v>
      </c>
      <c r="K31" s="10">
        <f>'Synthèse S1'!K31+'Synthèse S2'!K31+'Synthèse S3'!K31+'Synthèse S4'!K31+'Synthèse S5'!K31</f>
        <v>30</v>
      </c>
      <c r="L31" s="11">
        <f>'Synthèse S1'!L31+'Synthèse S2'!L31+'Synthèse S3'!L31+'Synthèse S4'!L31+'Synthèse S5'!L31</f>
        <v>30</v>
      </c>
      <c r="M31" s="9">
        <f>'Synthèse S1'!M31+'Synthèse S2'!M31+'Synthèse S3'!M31+'Synthèse S4'!M31+'Synthèse S5'!M31</f>
        <v>90</v>
      </c>
      <c r="N31" s="10">
        <f>'Synthèse S1'!N31+'Synthèse S2'!N31+'Synthèse S3'!N31+'Synthèse S4'!N31+'Synthèse S5'!N31</f>
        <v>30</v>
      </c>
      <c r="O31" s="10">
        <f>'Synthèse S1'!O31+'Synthèse S2'!O31+'Synthèse S3'!O31+'Synthèse S4'!O31+'Synthèse S5'!O31</f>
        <v>90</v>
      </c>
      <c r="P31" s="10">
        <f>'Synthèse S1'!P31+'Synthèse S2'!P31+'Synthèse S3'!P31+'Synthèse S4'!P31+'Synthèse S5'!P31</f>
        <v>0</v>
      </c>
      <c r="Q31" s="11">
        <f>'Synthèse S1'!Q31+'Synthèse S2'!Q31+'Synthèse S3'!Q31+'Synthèse S4'!Q31+'Synthèse S5'!Q31</f>
        <v>0</v>
      </c>
      <c r="R31" s="70">
        <f>'Synthèse S1'!R31+'Synthèse S2'!R31+'Synthèse S3'!R31+'Synthèse S4'!R31+'Synthèse S5'!R31</f>
        <v>15</v>
      </c>
      <c r="S31" s="71">
        <f>'Synthèse S1'!S31+'Synthèse S2'!S31+'Synthèse S3'!S31+'Synthèse S4'!S31+'Synthèse S5'!S31</f>
        <v>4.9999999999999991</v>
      </c>
      <c r="T31" s="71">
        <f>'Synthèse S1'!T31+'Synthèse S2'!T31+'Synthèse S3'!T31+'Synthèse S4'!T31+'Synthèse S5'!T31</f>
        <v>3</v>
      </c>
      <c r="U31" s="71">
        <f>'Synthèse S1'!U31+'Synthèse S2'!U31+'Synthèse S3'!U31+'Synthèse S4'!U31+'Synthèse S5'!U31</f>
        <v>18</v>
      </c>
      <c r="V31" s="72">
        <f>'Synthèse S1'!V31+'Synthèse S2'!V31+'Synthèse S3'!V31+'Synthèse S4'!V31+'Synthèse S5'!V31</f>
        <v>4.5</v>
      </c>
      <c r="W31" s="9">
        <f>'Synthèse S1'!W31+'Synthèse S2'!W31+'Synthèse S3'!W31+'Synthèse S4'!W31+'Synthèse S5'!W31</f>
        <v>0</v>
      </c>
      <c r="X31" s="10">
        <f>'Synthèse S1'!X31+'Synthèse S2'!X31+'Synthèse S3'!X31+'Synthèse S4'!X31+'Synthèse S5'!X31</f>
        <v>0</v>
      </c>
      <c r="Y31" s="10">
        <f>'Synthèse S1'!Y31+'Synthèse S2'!Y31+'Synthèse S3'!Y31+'Synthèse S4'!Y31+'Synthèse S5'!Y31</f>
        <v>0</v>
      </c>
      <c r="Z31" s="10">
        <f>'Synthèse S1'!Z31+'Synthèse S2'!Z31+'Synthèse S3'!Z31+'Synthèse S4'!Z31+'Synthèse S5'!Z31</f>
        <v>0</v>
      </c>
      <c r="AA31" s="11">
        <f>'Synthèse S1'!AA31+'Synthèse S2'!AA31+'Synthèse S3'!AA31+'Synthèse S4'!AA31+'Synthèse S5'!AA31</f>
        <v>0</v>
      </c>
      <c r="AB31" s="9">
        <f>'Synthèse S1'!AB31+'Synthèse S2'!AB31+'Synthèse S3'!AB31+'Synthèse S4'!AB31+'Synthèse S5'!AB31</f>
        <v>0</v>
      </c>
      <c r="AC31" s="10">
        <f>'Synthèse S1'!AC31+'Synthèse S2'!AC31+'Synthèse S3'!AC31+'Synthèse S4'!AC31+'Synthèse S5'!AC31</f>
        <v>0</v>
      </c>
      <c r="AD31" s="10">
        <f>'Synthèse S1'!AD31+'Synthèse S2'!AD31+'Synthèse S3'!AD31+'Synthèse S4'!AD31+'Synthèse S5'!AD31</f>
        <v>0</v>
      </c>
      <c r="AE31" s="10">
        <f>'Synthèse S1'!AE31+'Synthèse S2'!AE31+'Synthèse S3'!AE31+'Synthèse S4'!AE31+'Synthèse S5'!AE31</f>
        <v>0</v>
      </c>
      <c r="AF31" s="11">
        <f>'Synthèse S1'!AF31+'Synthèse S2'!AF31+'Synthèse S3'!AF31+'Synthèse S4'!AF31+'Synthèse S5'!AF31</f>
        <v>0</v>
      </c>
      <c r="AG31" s="9">
        <f>'Synthèse S1'!AG31+'Synthèse S2'!AG31+'Synthèse S3'!AG31+'Synthèse S4'!AG31+'Synthèse S5'!AG31</f>
        <v>0</v>
      </c>
      <c r="AH31" s="10">
        <f>'Synthèse S1'!AH31+'Synthèse S2'!AH31+'Synthèse S3'!AH31+'Synthèse S4'!AH31+'Synthèse S5'!AH31</f>
        <v>0</v>
      </c>
      <c r="AI31" s="10">
        <f>'Synthèse S1'!AI31+'Synthèse S2'!AI31+'Synthèse S3'!AI31+'Synthèse S4'!AI31+'Synthèse S5'!AI31</f>
        <v>0</v>
      </c>
      <c r="AJ31" s="10">
        <f>'Synthèse S1'!AJ31+'Synthèse S2'!AJ31+'Synthèse S3'!AJ31+'Synthèse S4'!AJ31+'Synthèse S5'!AJ31</f>
        <v>0</v>
      </c>
      <c r="AK31" s="11">
        <f>'Synthèse S1'!AK31+'Synthèse S2'!AK31+'Synthèse S3'!AK31+'Synthèse S4'!AK31+'Synthèse S5'!AK31</f>
        <v>0</v>
      </c>
      <c r="AL31" s="9">
        <f>'Synthèse S1'!AL31+'Synthèse S2'!AL31+'Synthèse S3'!AL31+'Synthèse S4'!AL31+'Synthèse S5'!AL31</f>
        <v>0</v>
      </c>
      <c r="AM31" s="10">
        <f>'Synthèse S1'!AM31+'Synthèse S2'!AM31+'Synthèse S3'!AM31+'Synthèse S4'!AM31+'Synthèse S5'!AM31</f>
        <v>0</v>
      </c>
      <c r="AN31" s="10">
        <f>'Synthèse S1'!AN31+'Synthèse S2'!AN31+'Synthèse S3'!AN31+'Synthèse S4'!AN31+'Synthèse S5'!AN31</f>
        <v>0</v>
      </c>
      <c r="AO31" s="10">
        <f>'Synthèse S1'!AO31+'Synthèse S2'!AO31+'Synthèse S3'!AO31+'Synthèse S4'!AO31+'Synthèse S5'!AO31</f>
        <v>0</v>
      </c>
      <c r="AP31" s="11">
        <f>'Synthèse S1'!AP31+'Synthèse S2'!AP31+'Synthèse S3'!AP31+'Synthèse S4'!AP31+'Synthèse S5'!AP31</f>
        <v>0</v>
      </c>
      <c r="AQ31" s="9">
        <f>'Synthèse S1'!AQ31+'Synthèse S2'!AQ31+'Synthèse S3'!AQ31+'Synthèse S4'!AQ31+'Synthèse S5'!AQ31</f>
        <v>0</v>
      </c>
      <c r="AR31" s="10">
        <f>'Synthèse S1'!AR31+'Synthèse S2'!AR31+'Synthèse S3'!AR31+'Synthèse S4'!AR31+'Synthèse S5'!AR31</f>
        <v>0</v>
      </c>
      <c r="AS31" s="11">
        <f>'Synthèse S1'!AS31+'Synthèse S2'!AS31+'Synthèse S3'!AS31+'Synthèse S4'!AS31+'Synthèse S5'!AS31</f>
        <v>0</v>
      </c>
      <c r="AT31" s="22"/>
      <c r="AU31" s="14"/>
    </row>
    <row r="32" spans="1:47" ht="31.9" customHeight="1" x14ac:dyDescent="0.2">
      <c r="A32" s="26">
        <v>26</v>
      </c>
      <c r="B32" s="19"/>
      <c r="C32" s="9">
        <f>'Synthèse S1'!C32+'Synthèse S2'!C32+'Synthèse S3'!C32+'Synthèse S4'!C32+'Synthèse S5'!C32</f>
        <v>450</v>
      </c>
      <c r="D32" s="10">
        <f>'Synthèse S1'!D32+'Synthèse S2'!D32+'Synthèse S3'!D32+'Synthèse S4'!D32+'Synthèse S5'!D32</f>
        <v>90</v>
      </c>
      <c r="E32" s="10">
        <f>'Synthèse S1'!E32+'Synthèse S2'!E32+'Synthèse S3'!E32+'Synthèse S4'!E32+'Synthèse S5'!E32</f>
        <v>150</v>
      </c>
      <c r="F32" s="10">
        <f>'Synthèse S1'!F32+'Synthèse S2'!F32+'Synthèse S3'!F32+'Synthèse S4'!F32+'Synthèse S5'!F32</f>
        <v>60</v>
      </c>
      <c r="G32" s="11">
        <f>'Synthèse S1'!G32+'Synthèse S2'!G32+'Synthèse S3'!G32+'Synthèse S4'!G32+'Synthèse S5'!G32</f>
        <v>150</v>
      </c>
      <c r="H32" s="9">
        <f>'Synthèse S1'!H32+'Synthèse S2'!H32+'Synthèse S3'!H32+'Synthèse S4'!H32+'Synthèse S5'!H32</f>
        <v>90</v>
      </c>
      <c r="I32" s="10">
        <f>'Synthèse S1'!I32+'Synthèse S2'!I32+'Synthèse S3'!I32+'Synthèse S4'!I32+'Synthèse S5'!I32</f>
        <v>30</v>
      </c>
      <c r="J32" s="10">
        <f>'Synthèse S1'!J32+'Synthèse S2'!J32+'Synthèse S3'!J32+'Synthèse S4'!J32+'Synthèse S5'!J32</f>
        <v>30</v>
      </c>
      <c r="K32" s="10">
        <f>'Synthèse S1'!K32+'Synthèse S2'!K32+'Synthèse S3'!K32+'Synthèse S4'!K32+'Synthèse S5'!K32</f>
        <v>30</v>
      </c>
      <c r="L32" s="11">
        <f>'Synthèse S1'!L32+'Synthèse S2'!L32+'Synthèse S3'!L32+'Synthèse S4'!L32+'Synthèse S5'!L32</f>
        <v>30</v>
      </c>
      <c r="M32" s="9">
        <f>'Synthèse S1'!M32+'Synthèse S2'!M32+'Synthèse S3'!M32+'Synthèse S4'!M32+'Synthèse S5'!M32</f>
        <v>90</v>
      </c>
      <c r="N32" s="10">
        <f>'Synthèse S1'!N32+'Synthèse S2'!N32+'Synthèse S3'!N32+'Synthèse S4'!N32+'Synthèse S5'!N32</f>
        <v>30</v>
      </c>
      <c r="O32" s="10">
        <f>'Synthèse S1'!O32+'Synthèse S2'!O32+'Synthèse S3'!O32+'Synthèse S4'!O32+'Synthèse S5'!O32</f>
        <v>90</v>
      </c>
      <c r="P32" s="10">
        <f>'Synthèse S1'!P32+'Synthèse S2'!P32+'Synthèse S3'!P32+'Synthèse S4'!P32+'Synthèse S5'!P32</f>
        <v>0</v>
      </c>
      <c r="Q32" s="11">
        <f>'Synthèse S1'!Q32+'Synthèse S2'!Q32+'Synthèse S3'!Q32+'Synthèse S4'!Q32+'Synthèse S5'!Q32</f>
        <v>0</v>
      </c>
      <c r="R32" s="70">
        <f>'Synthèse S1'!R32+'Synthèse S2'!R32+'Synthèse S3'!R32+'Synthèse S4'!R32+'Synthèse S5'!R32</f>
        <v>15</v>
      </c>
      <c r="S32" s="71">
        <f>'Synthèse S1'!S32+'Synthèse S2'!S32+'Synthèse S3'!S32+'Synthèse S4'!S32+'Synthèse S5'!S32</f>
        <v>4.9999999999999991</v>
      </c>
      <c r="T32" s="71">
        <f>'Synthèse S1'!T32+'Synthèse S2'!T32+'Synthèse S3'!T32+'Synthèse S4'!T32+'Synthèse S5'!T32</f>
        <v>3</v>
      </c>
      <c r="U32" s="71">
        <f>'Synthèse S1'!U32+'Synthèse S2'!U32+'Synthèse S3'!U32+'Synthèse S4'!U32+'Synthèse S5'!U32</f>
        <v>18</v>
      </c>
      <c r="V32" s="72">
        <f>'Synthèse S1'!V32+'Synthèse S2'!V32+'Synthèse S3'!V32+'Synthèse S4'!V32+'Synthèse S5'!V32</f>
        <v>4.5</v>
      </c>
      <c r="W32" s="9">
        <f>'Synthèse S1'!W32+'Synthèse S2'!W32+'Synthèse S3'!W32+'Synthèse S4'!W32+'Synthèse S5'!W32</f>
        <v>0</v>
      </c>
      <c r="X32" s="10">
        <f>'Synthèse S1'!X32+'Synthèse S2'!X32+'Synthèse S3'!X32+'Synthèse S4'!X32+'Synthèse S5'!X32</f>
        <v>0</v>
      </c>
      <c r="Y32" s="10">
        <f>'Synthèse S1'!Y32+'Synthèse S2'!Y32+'Synthèse S3'!Y32+'Synthèse S4'!Y32+'Synthèse S5'!Y32</f>
        <v>0</v>
      </c>
      <c r="Z32" s="10">
        <f>'Synthèse S1'!Z32+'Synthèse S2'!Z32+'Synthèse S3'!Z32+'Synthèse S4'!Z32+'Synthèse S5'!Z32</f>
        <v>0</v>
      </c>
      <c r="AA32" s="11">
        <f>'Synthèse S1'!AA32+'Synthèse S2'!AA32+'Synthèse S3'!AA32+'Synthèse S4'!AA32+'Synthèse S5'!AA32</f>
        <v>0</v>
      </c>
      <c r="AB32" s="9">
        <f>'Synthèse S1'!AB32+'Synthèse S2'!AB32+'Synthèse S3'!AB32+'Synthèse S4'!AB32+'Synthèse S5'!AB32</f>
        <v>0</v>
      </c>
      <c r="AC32" s="10">
        <f>'Synthèse S1'!AC32+'Synthèse S2'!AC32+'Synthèse S3'!AC32+'Synthèse S4'!AC32+'Synthèse S5'!AC32</f>
        <v>0</v>
      </c>
      <c r="AD32" s="10">
        <f>'Synthèse S1'!AD32+'Synthèse S2'!AD32+'Synthèse S3'!AD32+'Synthèse S4'!AD32+'Synthèse S5'!AD32</f>
        <v>0</v>
      </c>
      <c r="AE32" s="10">
        <f>'Synthèse S1'!AE32+'Synthèse S2'!AE32+'Synthèse S3'!AE32+'Synthèse S4'!AE32+'Synthèse S5'!AE32</f>
        <v>0</v>
      </c>
      <c r="AF32" s="11">
        <f>'Synthèse S1'!AF32+'Synthèse S2'!AF32+'Synthèse S3'!AF32+'Synthèse S4'!AF32+'Synthèse S5'!AF32</f>
        <v>0</v>
      </c>
      <c r="AG32" s="9">
        <f>'Synthèse S1'!AG32+'Synthèse S2'!AG32+'Synthèse S3'!AG32+'Synthèse S4'!AG32+'Synthèse S5'!AG32</f>
        <v>0</v>
      </c>
      <c r="AH32" s="10">
        <f>'Synthèse S1'!AH32+'Synthèse S2'!AH32+'Synthèse S3'!AH32+'Synthèse S4'!AH32+'Synthèse S5'!AH32</f>
        <v>0</v>
      </c>
      <c r="AI32" s="10">
        <f>'Synthèse S1'!AI32+'Synthèse S2'!AI32+'Synthèse S3'!AI32+'Synthèse S4'!AI32+'Synthèse S5'!AI32</f>
        <v>0</v>
      </c>
      <c r="AJ32" s="10">
        <f>'Synthèse S1'!AJ32+'Synthèse S2'!AJ32+'Synthèse S3'!AJ32+'Synthèse S4'!AJ32+'Synthèse S5'!AJ32</f>
        <v>0</v>
      </c>
      <c r="AK32" s="11">
        <f>'Synthèse S1'!AK32+'Synthèse S2'!AK32+'Synthèse S3'!AK32+'Synthèse S4'!AK32+'Synthèse S5'!AK32</f>
        <v>0</v>
      </c>
      <c r="AL32" s="9">
        <f>'Synthèse S1'!AL32+'Synthèse S2'!AL32+'Synthèse S3'!AL32+'Synthèse S4'!AL32+'Synthèse S5'!AL32</f>
        <v>0</v>
      </c>
      <c r="AM32" s="10">
        <f>'Synthèse S1'!AM32+'Synthèse S2'!AM32+'Synthèse S3'!AM32+'Synthèse S4'!AM32+'Synthèse S5'!AM32</f>
        <v>0</v>
      </c>
      <c r="AN32" s="10">
        <f>'Synthèse S1'!AN32+'Synthèse S2'!AN32+'Synthèse S3'!AN32+'Synthèse S4'!AN32+'Synthèse S5'!AN32</f>
        <v>0</v>
      </c>
      <c r="AO32" s="10">
        <f>'Synthèse S1'!AO32+'Synthèse S2'!AO32+'Synthèse S3'!AO32+'Synthèse S4'!AO32+'Synthèse S5'!AO32</f>
        <v>0</v>
      </c>
      <c r="AP32" s="11">
        <f>'Synthèse S1'!AP32+'Synthèse S2'!AP32+'Synthèse S3'!AP32+'Synthèse S4'!AP32+'Synthèse S5'!AP32</f>
        <v>0</v>
      </c>
      <c r="AQ32" s="9">
        <f>'Synthèse S1'!AQ32+'Synthèse S2'!AQ32+'Synthèse S3'!AQ32+'Synthèse S4'!AQ32+'Synthèse S5'!AQ32</f>
        <v>0</v>
      </c>
      <c r="AR32" s="10">
        <f>'Synthèse S1'!AR32+'Synthèse S2'!AR32+'Synthèse S3'!AR32+'Synthèse S4'!AR32+'Synthèse S5'!AR32</f>
        <v>0</v>
      </c>
      <c r="AS32" s="11">
        <f>'Synthèse S1'!AS32+'Synthèse S2'!AS32+'Synthèse S3'!AS32+'Synthèse S4'!AS32+'Synthèse S5'!AS32</f>
        <v>0</v>
      </c>
      <c r="AT32" s="22"/>
      <c r="AU32" s="14"/>
    </row>
    <row r="33" spans="1:47" ht="31.9" customHeight="1" x14ac:dyDescent="0.2">
      <c r="A33" s="26">
        <v>27</v>
      </c>
      <c r="B33" s="19"/>
      <c r="C33" s="9">
        <f>'Synthèse S1'!C33+'Synthèse S2'!C33+'Synthèse S3'!C33+'Synthèse S4'!C33+'Synthèse S5'!C33</f>
        <v>450</v>
      </c>
      <c r="D33" s="10">
        <f>'Synthèse S1'!D33+'Synthèse S2'!D33+'Synthèse S3'!D33+'Synthèse S4'!D33+'Synthèse S5'!D33</f>
        <v>90</v>
      </c>
      <c r="E33" s="10">
        <f>'Synthèse S1'!E33+'Synthèse S2'!E33+'Synthèse S3'!E33+'Synthèse S4'!E33+'Synthèse S5'!E33</f>
        <v>150</v>
      </c>
      <c r="F33" s="10">
        <f>'Synthèse S1'!F33+'Synthèse S2'!F33+'Synthèse S3'!F33+'Synthèse S4'!F33+'Synthèse S5'!F33</f>
        <v>60</v>
      </c>
      <c r="G33" s="11">
        <f>'Synthèse S1'!G33+'Synthèse S2'!G33+'Synthèse S3'!G33+'Synthèse S4'!G33+'Synthèse S5'!G33</f>
        <v>150</v>
      </c>
      <c r="H33" s="9">
        <f>'Synthèse S1'!H33+'Synthèse S2'!H33+'Synthèse S3'!H33+'Synthèse S4'!H33+'Synthèse S5'!H33</f>
        <v>90</v>
      </c>
      <c r="I33" s="10">
        <f>'Synthèse S1'!I33+'Synthèse S2'!I33+'Synthèse S3'!I33+'Synthèse S4'!I33+'Synthèse S5'!I33</f>
        <v>30</v>
      </c>
      <c r="J33" s="10">
        <f>'Synthèse S1'!J33+'Synthèse S2'!J33+'Synthèse S3'!J33+'Synthèse S4'!J33+'Synthèse S5'!J33</f>
        <v>30</v>
      </c>
      <c r="K33" s="10">
        <f>'Synthèse S1'!K33+'Synthèse S2'!K33+'Synthèse S3'!K33+'Synthèse S4'!K33+'Synthèse S5'!K33</f>
        <v>30</v>
      </c>
      <c r="L33" s="11">
        <f>'Synthèse S1'!L33+'Synthèse S2'!L33+'Synthèse S3'!L33+'Synthèse S4'!L33+'Synthèse S5'!L33</f>
        <v>30</v>
      </c>
      <c r="M33" s="9">
        <f>'Synthèse S1'!M33+'Synthèse S2'!M33+'Synthèse S3'!M33+'Synthèse S4'!M33+'Synthèse S5'!M33</f>
        <v>90</v>
      </c>
      <c r="N33" s="10">
        <f>'Synthèse S1'!N33+'Synthèse S2'!N33+'Synthèse S3'!N33+'Synthèse S4'!N33+'Synthèse S5'!N33</f>
        <v>30</v>
      </c>
      <c r="O33" s="10">
        <f>'Synthèse S1'!O33+'Synthèse S2'!O33+'Synthèse S3'!O33+'Synthèse S4'!O33+'Synthèse S5'!O33</f>
        <v>90</v>
      </c>
      <c r="P33" s="10">
        <f>'Synthèse S1'!P33+'Synthèse S2'!P33+'Synthèse S3'!P33+'Synthèse S4'!P33+'Synthèse S5'!P33</f>
        <v>0</v>
      </c>
      <c r="Q33" s="11">
        <f>'Synthèse S1'!Q33+'Synthèse S2'!Q33+'Synthèse S3'!Q33+'Synthèse S4'!Q33+'Synthèse S5'!Q33</f>
        <v>0</v>
      </c>
      <c r="R33" s="70">
        <f>'Synthèse S1'!R33+'Synthèse S2'!R33+'Synthèse S3'!R33+'Synthèse S4'!R33+'Synthèse S5'!R33</f>
        <v>15</v>
      </c>
      <c r="S33" s="71">
        <f>'Synthèse S1'!S33+'Synthèse S2'!S33+'Synthèse S3'!S33+'Synthèse S4'!S33+'Synthèse S5'!S33</f>
        <v>4.9999999999999991</v>
      </c>
      <c r="T33" s="71">
        <f>'Synthèse S1'!T33+'Synthèse S2'!T33+'Synthèse S3'!T33+'Synthèse S4'!T33+'Synthèse S5'!T33</f>
        <v>3</v>
      </c>
      <c r="U33" s="71">
        <f>'Synthèse S1'!U33+'Synthèse S2'!U33+'Synthèse S3'!U33+'Synthèse S4'!U33+'Synthèse S5'!U33</f>
        <v>18</v>
      </c>
      <c r="V33" s="72">
        <f>'Synthèse S1'!V33+'Synthèse S2'!V33+'Synthèse S3'!V33+'Synthèse S4'!V33+'Synthèse S5'!V33</f>
        <v>4.5</v>
      </c>
      <c r="W33" s="9">
        <f>'Synthèse S1'!W33+'Synthèse S2'!W33+'Synthèse S3'!W33+'Synthèse S4'!W33+'Synthèse S5'!W33</f>
        <v>0</v>
      </c>
      <c r="X33" s="10">
        <f>'Synthèse S1'!X33+'Synthèse S2'!X33+'Synthèse S3'!X33+'Synthèse S4'!X33+'Synthèse S5'!X33</f>
        <v>0</v>
      </c>
      <c r="Y33" s="10">
        <f>'Synthèse S1'!Y33+'Synthèse S2'!Y33+'Synthèse S3'!Y33+'Synthèse S4'!Y33+'Synthèse S5'!Y33</f>
        <v>0</v>
      </c>
      <c r="Z33" s="10">
        <f>'Synthèse S1'!Z33+'Synthèse S2'!Z33+'Synthèse S3'!Z33+'Synthèse S4'!Z33+'Synthèse S5'!Z33</f>
        <v>0</v>
      </c>
      <c r="AA33" s="11">
        <f>'Synthèse S1'!AA33+'Synthèse S2'!AA33+'Synthèse S3'!AA33+'Synthèse S4'!AA33+'Synthèse S5'!AA33</f>
        <v>0</v>
      </c>
      <c r="AB33" s="9">
        <f>'Synthèse S1'!AB33+'Synthèse S2'!AB33+'Synthèse S3'!AB33+'Synthèse S4'!AB33+'Synthèse S5'!AB33</f>
        <v>0</v>
      </c>
      <c r="AC33" s="10">
        <f>'Synthèse S1'!AC33+'Synthèse S2'!AC33+'Synthèse S3'!AC33+'Synthèse S4'!AC33+'Synthèse S5'!AC33</f>
        <v>0</v>
      </c>
      <c r="AD33" s="10">
        <f>'Synthèse S1'!AD33+'Synthèse S2'!AD33+'Synthèse S3'!AD33+'Synthèse S4'!AD33+'Synthèse S5'!AD33</f>
        <v>0</v>
      </c>
      <c r="AE33" s="10">
        <f>'Synthèse S1'!AE33+'Synthèse S2'!AE33+'Synthèse S3'!AE33+'Synthèse S4'!AE33+'Synthèse S5'!AE33</f>
        <v>0</v>
      </c>
      <c r="AF33" s="11">
        <f>'Synthèse S1'!AF33+'Synthèse S2'!AF33+'Synthèse S3'!AF33+'Synthèse S4'!AF33+'Synthèse S5'!AF33</f>
        <v>0</v>
      </c>
      <c r="AG33" s="9">
        <f>'Synthèse S1'!AG33+'Synthèse S2'!AG33+'Synthèse S3'!AG33+'Synthèse S4'!AG33+'Synthèse S5'!AG33</f>
        <v>0</v>
      </c>
      <c r="AH33" s="10">
        <f>'Synthèse S1'!AH33+'Synthèse S2'!AH33+'Synthèse S3'!AH33+'Synthèse S4'!AH33+'Synthèse S5'!AH33</f>
        <v>0</v>
      </c>
      <c r="AI33" s="10">
        <f>'Synthèse S1'!AI33+'Synthèse S2'!AI33+'Synthèse S3'!AI33+'Synthèse S4'!AI33+'Synthèse S5'!AI33</f>
        <v>0</v>
      </c>
      <c r="AJ33" s="10">
        <f>'Synthèse S1'!AJ33+'Synthèse S2'!AJ33+'Synthèse S3'!AJ33+'Synthèse S4'!AJ33+'Synthèse S5'!AJ33</f>
        <v>0</v>
      </c>
      <c r="AK33" s="11">
        <f>'Synthèse S1'!AK33+'Synthèse S2'!AK33+'Synthèse S3'!AK33+'Synthèse S4'!AK33+'Synthèse S5'!AK33</f>
        <v>0</v>
      </c>
      <c r="AL33" s="9">
        <f>'Synthèse S1'!AL33+'Synthèse S2'!AL33+'Synthèse S3'!AL33+'Synthèse S4'!AL33+'Synthèse S5'!AL33</f>
        <v>0</v>
      </c>
      <c r="AM33" s="10">
        <f>'Synthèse S1'!AM33+'Synthèse S2'!AM33+'Synthèse S3'!AM33+'Synthèse S4'!AM33+'Synthèse S5'!AM33</f>
        <v>0</v>
      </c>
      <c r="AN33" s="10">
        <f>'Synthèse S1'!AN33+'Synthèse S2'!AN33+'Synthèse S3'!AN33+'Synthèse S4'!AN33+'Synthèse S5'!AN33</f>
        <v>0</v>
      </c>
      <c r="AO33" s="10">
        <f>'Synthèse S1'!AO33+'Synthèse S2'!AO33+'Synthèse S3'!AO33+'Synthèse S4'!AO33+'Synthèse S5'!AO33</f>
        <v>0</v>
      </c>
      <c r="AP33" s="11">
        <f>'Synthèse S1'!AP33+'Synthèse S2'!AP33+'Synthèse S3'!AP33+'Synthèse S4'!AP33+'Synthèse S5'!AP33</f>
        <v>0</v>
      </c>
      <c r="AQ33" s="9">
        <f>'Synthèse S1'!AQ33+'Synthèse S2'!AQ33+'Synthèse S3'!AQ33+'Synthèse S4'!AQ33+'Synthèse S5'!AQ33</f>
        <v>0</v>
      </c>
      <c r="AR33" s="10">
        <f>'Synthèse S1'!AR33+'Synthèse S2'!AR33+'Synthèse S3'!AR33+'Synthèse S4'!AR33+'Synthèse S5'!AR33</f>
        <v>0</v>
      </c>
      <c r="AS33" s="11">
        <f>'Synthèse S1'!AS33+'Synthèse S2'!AS33+'Synthèse S3'!AS33+'Synthèse S4'!AS33+'Synthèse S5'!AS33</f>
        <v>0</v>
      </c>
      <c r="AT33" s="23"/>
      <c r="AU33" s="14"/>
    </row>
    <row r="34" spans="1:47" ht="31.9" customHeight="1" x14ac:dyDescent="0.2">
      <c r="A34" s="26">
        <v>28</v>
      </c>
      <c r="B34" s="19"/>
      <c r="C34" s="9">
        <f>'Synthèse S1'!C34+'Synthèse S2'!C34+'Synthèse S3'!C34+'Synthèse S4'!C34+'Synthèse S5'!C34</f>
        <v>450</v>
      </c>
      <c r="D34" s="10">
        <f>'Synthèse S1'!D34+'Synthèse S2'!D34+'Synthèse S3'!D34+'Synthèse S4'!D34+'Synthèse S5'!D34</f>
        <v>90</v>
      </c>
      <c r="E34" s="10">
        <f>'Synthèse S1'!E34+'Synthèse S2'!E34+'Synthèse S3'!E34+'Synthèse S4'!E34+'Synthèse S5'!E34</f>
        <v>150</v>
      </c>
      <c r="F34" s="10">
        <f>'Synthèse S1'!F34+'Synthèse S2'!F34+'Synthèse S3'!F34+'Synthèse S4'!F34+'Synthèse S5'!F34</f>
        <v>60</v>
      </c>
      <c r="G34" s="11">
        <f>'Synthèse S1'!G34+'Synthèse S2'!G34+'Synthèse S3'!G34+'Synthèse S4'!G34+'Synthèse S5'!G34</f>
        <v>150</v>
      </c>
      <c r="H34" s="9">
        <f>'Synthèse S1'!H34+'Synthèse S2'!H34+'Synthèse S3'!H34+'Synthèse S4'!H34+'Synthèse S5'!H34</f>
        <v>90</v>
      </c>
      <c r="I34" s="10">
        <f>'Synthèse S1'!I34+'Synthèse S2'!I34+'Synthèse S3'!I34+'Synthèse S4'!I34+'Synthèse S5'!I34</f>
        <v>30</v>
      </c>
      <c r="J34" s="10">
        <f>'Synthèse S1'!J34+'Synthèse S2'!J34+'Synthèse S3'!J34+'Synthèse S4'!J34+'Synthèse S5'!J34</f>
        <v>30</v>
      </c>
      <c r="K34" s="10">
        <f>'Synthèse S1'!K34+'Synthèse S2'!K34+'Synthèse S3'!K34+'Synthèse S4'!K34+'Synthèse S5'!K34</f>
        <v>30</v>
      </c>
      <c r="L34" s="11">
        <f>'Synthèse S1'!L34+'Synthèse S2'!L34+'Synthèse S3'!L34+'Synthèse S4'!L34+'Synthèse S5'!L34</f>
        <v>30</v>
      </c>
      <c r="M34" s="9">
        <f>'Synthèse S1'!M34+'Synthèse S2'!M34+'Synthèse S3'!M34+'Synthèse S4'!M34+'Synthèse S5'!M34</f>
        <v>90</v>
      </c>
      <c r="N34" s="10">
        <f>'Synthèse S1'!N34+'Synthèse S2'!N34+'Synthèse S3'!N34+'Synthèse S4'!N34+'Synthèse S5'!N34</f>
        <v>30</v>
      </c>
      <c r="O34" s="10">
        <f>'Synthèse S1'!O34+'Synthèse S2'!O34+'Synthèse S3'!O34+'Synthèse S4'!O34+'Synthèse S5'!O34</f>
        <v>90</v>
      </c>
      <c r="P34" s="10">
        <f>'Synthèse S1'!P34+'Synthèse S2'!P34+'Synthèse S3'!P34+'Synthèse S4'!P34+'Synthèse S5'!P34</f>
        <v>0</v>
      </c>
      <c r="Q34" s="11">
        <f>'Synthèse S1'!Q34+'Synthèse S2'!Q34+'Synthèse S3'!Q34+'Synthèse S4'!Q34+'Synthèse S5'!Q34</f>
        <v>0</v>
      </c>
      <c r="R34" s="70">
        <f>'Synthèse S1'!R34+'Synthèse S2'!R34+'Synthèse S3'!R34+'Synthèse S4'!R34+'Synthèse S5'!R34</f>
        <v>15</v>
      </c>
      <c r="S34" s="71">
        <f>'Synthèse S1'!S34+'Synthèse S2'!S34+'Synthèse S3'!S34+'Synthèse S4'!S34+'Synthèse S5'!S34</f>
        <v>4.9999999999999991</v>
      </c>
      <c r="T34" s="71">
        <f>'Synthèse S1'!T34+'Synthèse S2'!T34+'Synthèse S3'!T34+'Synthèse S4'!T34+'Synthèse S5'!T34</f>
        <v>3</v>
      </c>
      <c r="U34" s="71">
        <f>'Synthèse S1'!U34+'Synthèse S2'!U34+'Synthèse S3'!U34+'Synthèse S4'!U34+'Synthèse S5'!U34</f>
        <v>18</v>
      </c>
      <c r="V34" s="72">
        <f>'Synthèse S1'!V34+'Synthèse S2'!V34+'Synthèse S3'!V34+'Synthèse S4'!V34+'Synthèse S5'!V34</f>
        <v>4.5</v>
      </c>
      <c r="W34" s="9">
        <f>'Synthèse S1'!W34+'Synthèse S2'!W34+'Synthèse S3'!W34+'Synthèse S4'!W34+'Synthèse S5'!W34</f>
        <v>0</v>
      </c>
      <c r="X34" s="10">
        <f>'Synthèse S1'!X34+'Synthèse S2'!X34+'Synthèse S3'!X34+'Synthèse S4'!X34+'Synthèse S5'!X34</f>
        <v>0</v>
      </c>
      <c r="Y34" s="10">
        <f>'Synthèse S1'!Y34+'Synthèse S2'!Y34+'Synthèse S3'!Y34+'Synthèse S4'!Y34+'Synthèse S5'!Y34</f>
        <v>0</v>
      </c>
      <c r="Z34" s="10">
        <f>'Synthèse S1'!Z34+'Synthèse S2'!Z34+'Synthèse S3'!Z34+'Synthèse S4'!Z34+'Synthèse S5'!Z34</f>
        <v>0</v>
      </c>
      <c r="AA34" s="11">
        <f>'Synthèse S1'!AA34+'Synthèse S2'!AA34+'Synthèse S3'!AA34+'Synthèse S4'!AA34+'Synthèse S5'!AA34</f>
        <v>0</v>
      </c>
      <c r="AB34" s="9">
        <f>'Synthèse S1'!AB34+'Synthèse S2'!AB34+'Synthèse S3'!AB34+'Synthèse S4'!AB34+'Synthèse S5'!AB34</f>
        <v>0</v>
      </c>
      <c r="AC34" s="10">
        <f>'Synthèse S1'!AC34+'Synthèse S2'!AC34+'Synthèse S3'!AC34+'Synthèse S4'!AC34+'Synthèse S5'!AC34</f>
        <v>0</v>
      </c>
      <c r="AD34" s="10">
        <f>'Synthèse S1'!AD34+'Synthèse S2'!AD34+'Synthèse S3'!AD34+'Synthèse S4'!AD34+'Synthèse S5'!AD34</f>
        <v>0</v>
      </c>
      <c r="AE34" s="10">
        <f>'Synthèse S1'!AE34+'Synthèse S2'!AE34+'Synthèse S3'!AE34+'Synthèse S4'!AE34+'Synthèse S5'!AE34</f>
        <v>0</v>
      </c>
      <c r="AF34" s="11">
        <f>'Synthèse S1'!AF34+'Synthèse S2'!AF34+'Synthèse S3'!AF34+'Synthèse S4'!AF34+'Synthèse S5'!AF34</f>
        <v>0</v>
      </c>
      <c r="AG34" s="9">
        <f>'Synthèse S1'!AG34+'Synthèse S2'!AG34+'Synthèse S3'!AG34+'Synthèse S4'!AG34+'Synthèse S5'!AG34</f>
        <v>0</v>
      </c>
      <c r="AH34" s="10">
        <f>'Synthèse S1'!AH34+'Synthèse S2'!AH34+'Synthèse S3'!AH34+'Synthèse S4'!AH34+'Synthèse S5'!AH34</f>
        <v>0</v>
      </c>
      <c r="AI34" s="10">
        <f>'Synthèse S1'!AI34+'Synthèse S2'!AI34+'Synthèse S3'!AI34+'Synthèse S4'!AI34+'Synthèse S5'!AI34</f>
        <v>0</v>
      </c>
      <c r="AJ34" s="10">
        <f>'Synthèse S1'!AJ34+'Synthèse S2'!AJ34+'Synthèse S3'!AJ34+'Synthèse S4'!AJ34+'Synthèse S5'!AJ34</f>
        <v>0</v>
      </c>
      <c r="AK34" s="11">
        <f>'Synthèse S1'!AK34+'Synthèse S2'!AK34+'Synthèse S3'!AK34+'Synthèse S4'!AK34+'Synthèse S5'!AK34</f>
        <v>0</v>
      </c>
      <c r="AL34" s="9">
        <f>'Synthèse S1'!AL34+'Synthèse S2'!AL34+'Synthèse S3'!AL34+'Synthèse S4'!AL34+'Synthèse S5'!AL34</f>
        <v>0</v>
      </c>
      <c r="AM34" s="10">
        <f>'Synthèse S1'!AM34+'Synthèse S2'!AM34+'Synthèse S3'!AM34+'Synthèse S4'!AM34+'Synthèse S5'!AM34</f>
        <v>0</v>
      </c>
      <c r="AN34" s="10">
        <f>'Synthèse S1'!AN34+'Synthèse S2'!AN34+'Synthèse S3'!AN34+'Synthèse S4'!AN34+'Synthèse S5'!AN34</f>
        <v>0</v>
      </c>
      <c r="AO34" s="10">
        <f>'Synthèse S1'!AO34+'Synthèse S2'!AO34+'Synthèse S3'!AO34+'Synthèse S4'!AO34+'Synthèse S5'!AO34</f>
        <v>0</v>
      </c>
      <c r="AP34" s="11">
        <f>'Synthèse S1'!AP34+'Synthèse S2'!AP34+'Synthèse S3'!AP34+'Synthèse S4'!AP34+'Synthèse S5'!AP34</f>
        <v>0</v>
      </c>
      <c r="AQ34" s="9">
        <f>'Synthèse S1'!AQ34+'Synthèse S2'!AQ34+'Synthèse S3'!AQ34+'Synthèse S4'!AQ34+'Synthèse S5'!AQ34</f>
        <v>0</v>
      </c>
      <c r="AR34" s="10">
        <f>'Synthèse S1'!AR34+'Synthèse S2'!AR34+'Synthèse S3'!AR34+'Synthèse S4'!AR34+'Synthèse S5'!AR34</f>
        <v>0</v>
      </c>
      <c r="AS34" s="11">
        <f>'Synthèse S1'!AS34+'Synthèse S2'!AS34+'Synthèse S3'!AS34+'Synthèse S4'!AS34+'Synthèse S5'!AS34</f>
        <v>0</v>
      </c>
      <c r="AT34" s="24"/>
      <c r="AU34" s="13"/>
    </row>
    <row r="35" spans="1:47" ht="31.9" customHeight="1" x14ac:dyDescent="0.2">
      <c r="A35" s="26">
        <v>29</v>
      </c>
      <c r="B35" s="19"/>
      <c r="C35" s="9">
        <f>'Synthèse S1'!C35+'Synthèse S2'!C35+'Synthèse S3'!C35+'Synthèse S4'!C35+'Synthèse S5'!C35</f>
        <v>450</v>
      </c>
      <c r="D35" s="10">
        <f>'Synthèse S1'!D35+'Synthèse S2'!D35+'Synthèse S3'!D35+'Synthèse S4'!D35+'Synthèse S5'!D35</f>
        <v>90</v>
      </c>
      <c r="E35" s="10">
        <f>'Synthèse S1'!E35+'Synthèse S2'!E35+'Synthèse S3'!E35+'Synthèse S4'!E35+'Synthèse S5'!E35</f>
        <v>150</v>
      </c>
      <c r="F35" s="10">
        <f>'Synthèse S1'!F35+'Synthèse S2'!F35+'Synthèse S3'!F35+'Synthèse S4'!F35+'Synthèse S5'!F35</f>
        <v>60</v>
      </c>
      <c r="G35" s="11">
        <f>'Synthèse S1'!G35+'Synthèse S2'!G35+'Synthèse S3'!G35+'Synthèse S4'!G35+'Synthèse S5'!G35</f>
        <v>150</v>
      </c>
      <c r="H35" s="9">
        <f>'Synthèse S1'!H35+'Synthèse S2'!H35+'Synthèse S3'!H35+'Synthèse S4'!H35+'Synthèse S5'!H35</f>
        <v>90</v>
      </c>
      <c r="I35" s="10">
        <f>'Synthèse S1'!I35+'Synthèse S2'!I35+'Synthèse S3'!I35+'Synthèse S4'!I35+'Synthèse S5'!I35</f>
        <v>30</v>
      </c>
      <c r="J35" s="10">
        <f>'Synthèse S1'!J35+'Synthèse S2'!J35+'Synthèse S3'!J35+'Synthèse S4'!J35+'Synthèse S5'!J35</f>
        <v>30</v>
      </c>
      <c r="K35" s="10">
        <f>'Synthèse S1'!K35+'Synthèse S2'!K35+'Synthèse S3'!K35+'Synthèse S4'!K35+'Synthèse S5'!K35</f>
        <v>30</v>
      </c>
      <c r="L35" s="11">
        <f>'Synthèse S1'!L35+'Synthèse S2'!L35+'Synthèse S3'!L35+'Synthèse S4'!L35+'Synthèse S5'!L35</f>
        <v>30</v>
      </c>
      <c r="M35" s="9">
        <f>'Synthèse S1'!M35+'Synthèse S2'!M35+'Synthèse S3'!M35+'Synthèse S4'!M35+'Synthèse S5'!M35</f>
        <v>90</v>
      </c>
      <c r="N35" s="10">
        <f>'Synthèse S1'!N35+'Synthèse S2'!N35+'Synthèse S3'!N35+'Synthèse S4'!N35+'Synthèse S5'!N35</f>
        <v>30</v>
      </c>
      <c r="O35" s="10">
        <f>'Synthèse S1'!O35+'Synthèse S2'!O35+'Synthèse S3'!O35+'Synthèse S4'!O35+'Synthèse S5'!O35</f>
        <v>90</v>
      </c>
      <c r="P35" s="10">
        <f>'Synthèse S1'!P35+'Synthèse S2'!P35+'Synthèse S3'!P35+'Synthèse S4'!P35+'Synthèse S5'!P35</f>
        <v>0</v>
      </c>
      <c r="Q35" s="11">
        <f>'Synthèse S1'!Q35+'Synthèse S2'!Q35+'Synthèse S3'!Q35+'Synthèse S4'!Q35+'Synthèse S5'!Q35</f>
        <v>0</v>
      </c>
      <c r="R35" s="70">
        <f>'Synthèse S1'!R35+'Synthèse S2'!R35+'Synthèse S3'!R35+'Synthèse S4'!R35+'Synthèse S5'!R35</f>
        <v>15</v>
      </c>
      <c r="S35" s="71">
        <f>'Synthèse S1'!S35+'Synthèse S2'!S35+'Synthèse S3'!S35+'Synthèse S4'!S35+'Synthèse S5'!S35</f>
        <v>4.9999999999999991</v>
      </c>
      <c r="T35" s="71">
        <f>'Synthèse S1'!T35+'Synthèse S2'!T35+'Synthèse S3'!T35+'Synthèse S4'!T35+'Synthèse S5'!T35</f>
        <v>3</v>
      </c>
      <c r="U35" s="71">
        <f>'Synthèse S1'!U35+'Synthèse S2'!U35+'Synthèse S3'!U35+'Synthèse S4'!U35+'Synthèse S5'!U35</f>
        <v>18</v>
      </c>
      <c r="V35" s="72">
        <f>'Synthèse S1'!V35+'Synthèse S2'!V35+'Synthèse S3'!V35+'Synthèse S4'!V35+'Synthèse S5'!V35</f>
        <v>4.5</v>
      </c>
      <c r="W35" s="9">
        <f>'Synthèse S1'!W35+'Synthèse S2'!W35+'Synthèse S3'!W35+'Synthèse S4'!W35+'Synthèse S5'!W35</f>
        <v>0</v>
      </c>
      <c r="X35" s="10">
        <f>'Synthèse S1'!X35+'Synthèse S2'!X35+'Synthèse S3'!X35+'Synthèse S4'!X35+'Synthèse S5'!X35</f>
        <v>0</v>
      </c>
      <c r="Y35" s="10">
        <f>'Synthèse S1'!Y35+'Synthèse S2'!Y35+'Synthèse S3'!Y35+'Synthèse S4'!Y35+'Synthèse S5'!Y35</f>
        <v>0</v>
      </c>
      <c r="Z35" s="10">
        <f>'Synthèse S1'!Z35+'Synthèse S2'!Z35+'Synthèse S3'!Z35+'Synthèse S4'!Z35+'Synthèse S5'!Z35</f>
        <v>0</v>
      </c>
      <c r="AA35" s="11">
        <f>'Synthèse S1'!AA35+'Synthèse S2'!AA35+'Synthèse S3'!AA35+'Synthèse S4'!AA35+'Synthèse S5'!AA35</f>
        <v>0</v>
      </c>
      <c r="AB35" s="9">
        <f>'Synthèse S1'!AB35+'Synthèse S2'!AB35+'Synthèse S3'!AB35+'Synthèse S4'!AB35+'Synthèse S5'!AB35</f>
        <v>0</v>
      </c>
      <c r="AC35" s="10">
        <f>'Synthèse S1'!AC35+'Synthèse S2'!AC35+'Synthèse S3'!AC35+'Synthèse S4'!AC35+'Synthèse S5'!AC35</f>
        <v>0</v>
      </c>
      <c r="AD35" s="10">
        <f>'Synthèse S1'!AD35+'Synthèse S2'!AD35+'Synthèse S3'!AD35+'Synthèse S4'!AD35+'Synthèse S5'!AD35</f>
        <v>0</v>
      </c>
      <c r="AE35" s="10">
        <f>'Synthèse S1'!AE35+'Synthèse S2'!AE35+'Synthèse S3'!AE35+'Synthèse S4'!AE35+'Synthèse S5'!AE35</f>
        <v>0</v>
      </c>
      <c r="AF35" s="11">
        <f>'Synthèse S1'!AF35+'Synthèse S2'!AF35+'Synthèse S3'!AF35+'Synthèse S4'!AF35+'Synthèse S5'!AF35</f>
        <v>0</v>
      </c>
      <c r="AG35" s="9">
        <f>'Synthèse S1'!AG35+'Synthèse S2'!AG35+'Synthèse S3'!AG35+'Synthèse S4'!AG35+'Synthèse S5'!AG35</f>
        <v>0</v>
      </c>
      <c r="AH35" s="10">
        <f>'Synthèse S1'!AH35+'Synthèse S2'!AH35+'Synthèse S3'!AH35+'Synthèse S4'!AH35+'Synthèse S5'!AH35</f>
        <v>0</v>
      </c>
      <c r="AI35" s="10">
        <f>'Synthèse S1'!AI35+'Synthèse S2'!AI35+'Synthèse S3'!AI35+'Synthèse S4'!AI35+'Synthèse S5'!AI35</f>
        <v>0</v>
      </c>
      <c r="AJ35" s="10">
        <f>'Synthèse S1'!AJ35+'Synthèse S2'!AJ35+'Synthèse S3'!AJ35+'Synthèse S4'!AJ35+'Synthèse S5'!AJ35</f>
        <v>0</v>
      </c>
      <c r="AK35" s="11">
        <f>'Synthèse S1'!AK35+'Synthèse S2'!AK35+'Synthèse S3'!AK35+'Synthèse S4'!AK35+'Synthèse S5'!AK35</f>
        <v>0</v>
      </c>
      <c r="AL35" s="9">
        <f>'Synthèse S1'!AL35+'Synthèse S2'!AL35+'Synthèse S3'!AL35+'Synthèse S4'!AL35+'Synthèse S5'!AL35</f>
        <v>0</v>
      </c>
      <c r="AM35" s="10">
        <f>'Synthèse S1'!AM35+'Synthèse S2'!AM35+'Synthèse S3'!AM35+'Synthèse S4'!AM35+'Synthèse S5'!AM35</f>
        <v>0</v>
      </c>
      <c r="AN35" s="10">
        <f>'Synthèse S1'!AN35+'Synthèse S2'!AN35+'Synthèse S3'!AN35+'Synthèse S4'!AN35+'Synthèse S5'!AN35</f>
        <v>0</v>
      </c>
      <c r="AO35" s="10">
        <f>'Synthèse S1'!AO35+'Synthèse S2'!AO35+'Synthèse S3'!AO35+'Synthèse S4'!AO35+'Synthèse S5'!AO35</f>
        <v>0</v>
      </c>
      <c r="AP35" s="11">
        <f>'Synthèse S1'!AP35+'Synthèse S2'!AP35+'Synthèse S3'!AP35+'Synthèse S4'!AP35+'Synthèse S5'!AP35</f>
        <v>0</v>
      </c>
      <c r="AQ35" s="9">
        <f>'Synthèse S1'!AQ35+'Synthèse S2'!AQ35+'Synthèse S3'!AQ35+'Synthèse S4'!AQ35+'Synthèse S5'!AQ35</f>
        <v>0</v>
      </c>
      <c r="AR35" s="10">
        <f>'Synthèse S1'!AR35+'Synthèse S2'!AR35+'Synthèse S3'!AR35+'Synthèse S4'!AR35+'Synthèse S5'!AR35</f>
        <v>0</v>
      </c>
      <c r="AS35" s="11">
        <f>'Synthèse S1'!AS35+'Synthèse S2'!AS35+'Synthèse S3'!AS35+'Synthèse S4'!AS35+'Synthèse S5'!AS35</f>
        <v>0</v>
      </c>
      <c r="AT35" s="24"/>
      <c r="AU35" s="12"/>
    </row>
    <row r="36" spans="1:47" ht="31.9" customHeight="1" thickBot="1" x14ac:dyDescent="0.25">
      <c r="A36" s="27">
        <v>30</v>
      </c>
      <c r="B36" s="28"/>
      <c r="C36" s="29">
        <f>'Synthèse S1'!C36+'Synthèse S2'!C36+'Synthèse S3'!C36+'Synthèse S4'!C36+'Synthèse S5'!C36</f>
        <v>450</v>
      </c>
      <c r="D36" s="30">
        <f>'Synthèse S1'!D36+'Synthèse S2'!D36+'Synthèse S3'!D36+'Synthèse S4'!D36+'Synthèse S5'!D36</f>
        <v>90</v>
      </c>
      <c r="E36" s="30">
        <f>'Synthèse S1'!E36+'Synthèse S2'!E36+'Synthèse S3'!E36+'Synthèse S4'!E36+'Synthèse S5'!E36</f>
        <v>150</v>
      </c>
      <c r="F36" s="30">
        <f>'Synthèse S1'!F36+'Synthèse S2'!F36+'Synthèse S3'!F36+'Synthèse S4'!F36+'Synthèse S5'!F36</f>
        <v>60</v>
      </c>
      <c r="G36" s="31">
        <f>'Synthèse S1'!G36+'Synthèse S2'!G36+'Synthèse S3'!G36+'Synthèse S4'!G36+'Synthèse S5'!G36</f>
        <v>150</v>
      </c>
      <c r="H36" s="29">
        <f>'Synthèse S1'!H36+'Synthèse S2'!H36+'Synthèse S3'!H36+'Synthèse S4'!H36+'Synthèse S5'!H36</f>
        <v>90</v>
      </c>
      <c r="I36" s="30">
        <f>'Synthèse S1'!I36+'Synthèse S2'!I36+'Synthèse S3'!I36+'Synthèse S4'!I36+'Synthèse S5'!I36</f>
        <v>30</v>
      </c>
      <c r="J36" s="30">
        <f>'Synthèse S1'!J36+'Synthèse S2'!J36+'Synthèse S3'!J36+'Synthèse S4'!J36+'Synthèse S5'!J36</f>
        <v>30</v>
      </c>
      <c r="K36" s="30">
        <f>'Synthèse S1'!K36+'Synthèse S2'!K36+'Synthèse S3'!K36+'Synthèse S4'!K36+'Synthèse S5'!K36</f>
        <v>30</v>
      </c>
      <c r="L36" s="31">
        <f>'Synthèse S1'!L36+'Synthèse S2'!L36+'Synthèse S3'!L36+'Synthèse S4'!L36+'Synthèse S5'!L36</f>
        <v>30</v>
      </c>
      <c r="M36" s="29">
        <f>'Synthèse S1'!M36+'Synthèse S2'!M36+'Synthèse S3'!M36+'Synthèse S4'!M36+'Synthèse S5'!M36</f>
        <v>90</v>
      </c>
      <c r="N36" s="30">
        <f>'Synthèse S1'!N36+'Synthèse S2'!N36+'Synthèse S3'!N36+'Synthèse S4'!N36+'Synthèse S5'!N36</f>
        <v>30</v>
      </c>
      <c r="O36" s="30">
        <f>'Synthèse S1'!O36+'Synthèse S2'!O36+'Synthèse S3'!O36+'Synthèse S4'!O36+'Synthèse S5'!O36</f>
        <v>90</v>
      </c>
      <c r="P36" s="30">
        <f>'Synthèse S1'!P36+'Synthèse S2'!P36+'Synthèse S3'!P36+'Synthèse S4'!P36+'Synthèse S5'!P36</f>
        <v>0</v>
      </c>
      <c r="Q36" s="31">
        <f>'Synthèse S1'!Q36+'Synthèse S2'!Q36+'Synthèse S3'!Q36+'Synthèse S4'!Q36+'Synthèse S5'!Q36</f>
        <v>0</v>
      </c>
      <c r="R36" s="73">
        <f>'Synthèse S1'!R36+'Synthèse S2'!R36+'Synthèse S3'!R36+'Synthèse S4'!R36+'Synthèse S5'!R36</f>
        <v>15</v>
      </c>
      <c r="S36" s="74">
        <f>'Synthèse S1'!S36+'Synthèse S2'!S36+'Synthèse S3'!S36+'Synthèse S4'!S36+'Synthèse S5'!S36</f>
        <v>4.9999999999999991</v>
      </c>
      <c r="T36" s="74">
        <f>'Synthèse S1'!T36+'Synthèse S2'!T36+'Synthèse S3'!T36+'Synthèse S4'!T36+'Synthèse S5'!T36</f>
        <v>3</v>
      </c>
      <c r="U36" s="74">
        <f>'Synthèse S1'!U36+'Synthèse S2'!U36+'Synthèse S3'!U36+'Synthèse S4'!U36+'Synthèse S5'!U36</f>
        <v>18</v>
      </c>
      <c r="V36" s="75">
        <f>'Synthèse S1'!V36+'Synthèse S2'!V36+'Synthèse S3'!V36+'Synthèse S4'!V36+'Synthèse S5'!V36</f>
        <v>4.5</v>
      </c>
      <c r="W36" s="29">
        <f>'Synthèse S1'!W36+'Synthèse S2'!W36+'Synthèse S3'!W36+'Synthèse S4'!W36+'Synthèse S5'!W36</f>
        <v>0</v>
      </c>
      <c r="X36" s="30">
        <f>'Synthèse S1'!X36+'Synthèse S2'!X36+'Synthèse S3'!X36+'Synthèse S4'!X36+'Synthèse S5'!X36</f>
        <v>0</v>
      </c>
      <c r="Y36" s="30">
        <f>'Synthèse S1'!Y36+'Synthèse S2'!Y36+'Synthèse S3'!Y36+'Synthèse S4'!Y36+'Synthèse S5'!Y36</f>
        <v>0</v>
      </c>
      <c r="Z36" s="30">
        <f>'Synthèse S1'!Z36+'Synthèse S2'!Z36+'Synthèse S3'!Z36+'Synthèse S4'!Z36+'Synthèse S5'!Z36</f>
        <v>0</v>
      </c>
      <c r="AA36" s="31">
        <f>'Synthèse S1'!AA36+'Synthèse S2'!AA36+'Synthèse S3'!AA36+'Synthèse S4'!AA36+'Synthèse S5'!AA36</f>
        <v>0</v>
      </c>
      <c r="AB36" s="29">
        <f>'Synthèse S1'!AB36+'Synthèse S2'!AB36+'Synthèse S3'!AB36+'Synthèse S4'!AB36+'Synthèse S5'!AB36</f>
        <v>0</v>
      </c>
      <c r="AC36" s="30">
        <f>'Synthèse S1'!AC36+'Synthèse S2'!AC36+'Synthèse S3'!AC36+'Synthèse S4'!AC36+'Synthèse S5'!AC36</f>
        <v>0</v>
      </c>
      <c r="AD36" s="30">
        <f>'Synthèse S1'!AD36+'Synthèse S2'!AD36+'Synthèse S3'!AD36+'Synthèse S4'!AD36+'Synthèse S5'!AD36</f>
        <v>0</v>
      </c>
      <c r="AE36" s="30">
        <f>'Synthèse S1'!AE36+'Synthèse S2'!AE36+'Synthèse S3'!AE36+'Synthèse S4'!AE36+'Synthèse S5'!AE36</f>
        <v>0</v>
      </c>
      <c r="AF36" s="31">
        <f>'Synthèse S1'!AF36+'Synthèse S2'!AF36+'Synthèse S3'!AF36+'Synthèse S4'!AF36+'Synthèse S5'!AF36</f>
        <v>0</v>
      </c>
      <c r="AG36" s="29">
        <f>'Synthèse S1'!AG36+'Synthèse S2'!AG36+'Synthèse S3'!AG36+'Synthèse S4'!AG36+'Synthèse S5'!AG36</f>
        <v>0</v>
      </c>
      <c r="AH36" s="30">
        <f>'Synthèse S1'!AH36+'Synthèse S2'!AH36+'Synthèse S3'!AH36+'Synthèse S4'!AH36+'Synthèse S5'!AH36</f>
        <v>0</v>
      </c>
      <c r="AI36" s="30">
        <f>'Synthèse S1'!AI36+'Synthèse S2'!AI36+'Synthèse S3'!AI36+'Synthèse S4'!AI36+'Synthèse S5'!AI36</f>
        <v>0</v>
      </c>
      <c r="AJ36" s="30">
        <f>'Synthèse S1'!AJ36+'Synthèse S2'!AJ36+'Synthèse S3'!AJ36+'Synthèse S4'!AJ36+'Synthèse S5'!AJ36</f>
        <v>0</v>
      </c>
      <c r="AK36" s="31">
        <f>'Synthèse S1'!AK36+'Synthèse S2'!AK36+'Synthèse S3'!AK36+'Synthèse S4'!AK36+'Synthèse S5'!AK36</f>
        <v>0</v>
      </c>
      <c r="AL36" s="29">
        <f>'Synthèse S1'!AL36+'Synthèse S2'!AL36+'Synthèse S3'!AL36+'Synthèse S4'!AL36+'Synthèse S5'!AL36</f>
        <v>0</v>
      </c>
      <c r="AM36" s="30">
        <f>'Synthèse S1'!AM36+'Synthèse S2'!AM36+'Synthèse S3'!AM36+'Synthèse S4'!AM36+'Synthèse S5'!AM36</f>
        <v>0</v>
      </c>
      <c r="AN36" s="30">
        <f>'Synthèse S1'!AN36+'Synthèse S2'!AN36+'Synthèse S3'!AN36+'Synthèse S4'!AN36+'Synthèse S5'!AN36</f>
        <v>0</v>
      </c>
      <c r="AO36" s="30">
        <f>'Synthèse S1'!AO36+'Synthèse S2'!AO36+'Synthèse S3'!AO36+'Synthèse S4'!AO36+'Synthèse S5'!AO36</f>
        <v>0</v>
      </c>
      <c r="AP36" s="31">
        <f>'Synthèse S1'!AP36+'Synthèse S2'!AP36+'Synthèse S3'!AP36+'Synthèse S4'!AP36+'Synthèse S5'!AP36</f>
        <v>0</v>
      </c>
      <c r="AQ36" s="29">
        <f>'Synthèse S1'!AQ36+'Synthèse S2'!AQ36+'Synthèse S3'!AQ36+'Synthèse S4'!AQ36+'Synthèse S5'!AQ36</f>
        <v>0</v>
      </c>
      <c r="AR36" s="30">
        <f>'Synthèse S1'!AR36+'Synthèse S2'!AR36+'Synthèse S3'!AR36+'Synthèse S4'!AR36+'Synthèse S5'!AR36</f>
        <v>0</v>
      </c>
      <c r="AS36" s="31">
        <f>'Synthèse S1'!AS36+'Synthèse S2'!AS36+'Synthèse S3'!AS36+'Synthèse S4'!AS36+'Synthèse S5'!AS36</f>
        <v>0</v>
      </c>
      <c r="AT36" s="32"/>
      <c r="AU36" s="33"/>
    </row>
    <row r="37" spans="1:47" s="3" customFormat="1" ht="34.15" customHeight="1" thickBot="1" x14ac:dyDescent="0.3">
      <c r="A37" s="16"/>
      <c r="B37" s="16" t="s">
        <v>0</v>
      </c>
      <c r="C37" s="39">
        <f>SUM(C7:C36)</f>
        <v>13500</v>
      </c>
      <c r="D37" s="40">
        <f t="shared" ref="D37:AS37" si="0">SUM(D7:D36)</f>
        <v>2700</v>
      </c>
      <c r="E37" s="40">
        <f t="shared" si="0"/>
        <v>4500</v>
      </c>
      <c r="F37" s="40">
        <f t="shared" si="0"/>
        <v>1800</v>
      </c>
      <c r="G37" s="41">
        <f t="shared" si="0"/>
        <v>4500</v>
      </c>
      <c r="H37" s="39">
        <f t="shared" si="0"/>
        <v>2700</v>
      </c>
      <c r="I37" s="40">
        <f t="shared" si="0"/>
        <v>900</v>
      </c>
      <c r="J37" s="40">
        <f t="shared" si="0"/>
        <v>900</v>
      </c>
      <c r="K37" s="40">
        <f t="shared" si="0"/>
        <v>900</v>
      </c>
      <c r="L37" s="41">
        <f t="shared" si="0"/>
        <v>900</v>
      </c>
      <c r="M37" s="39">
        <f t="shared" si="0"/>
        <v>2700</v>
      </c>
      <c r="N37" s="40">
        <f t="shared" si="0"/>
        <v>900</v>
      </c>
      <c r="O37" s="40">
        <f t="shared" si="0"/>
        <v>2700</v>
      </c>
      <c r="P37" s="40">
        <f t="shared" si="0"/>
        <v>0</v>
      </c>
      <c r="Q37" s="41">
        <f t="shared" si="0"/>
        <v>0</v>
      </c>
      <c r="R37" s="39">
        <f>SUM(R7:R36)</f>
        <v>450</v>
      </c>
      <c r="S37" s="40">
        <f t="shared" si="0"/>
        <v>149.99999999999997</v>
      </c>
      <c r="T37" s="40">
        <f t="shared" si="0"/>
        <v>90</v>
      </c>
      <c r="U37" s="40">
        <f t="shared" si="0"/>
        <v>540</v>
      </c>
      <c r="V37" s="41">
        <f t="shared" si="0"/>
        <v>135</v>
      </c>
      <c r="W37" s="39">
        <f t="shared" si="0"/>
        <v>4424</v>
      </c>
      <c r="X37" s="40">
        <f t="shared" si="0"/>
        <v>71</v>
      </c>
      <c r="Y37" s="40">
        <f t="shared" si="0"/>
        <v>119</v>
      </c>
      <c r="Z37" s="40">
        <f t="shared" si="0"/>
        <v>223</v>
      </c>
      <c r="AA37" s="41">
        <f t="shared" si="0"/>
        <v>104</v>
      </c>
      <c r="AB37" s="39">
        <f t="shared" si="0"/>
        <v>1258</v>
      </c>
      <c r="AC37" s="40">
        <f t="shared" si="0"/>
        <v>29</v>
      </c>
      <c r="AD37" s="40">
        <f t="shared" si="0"/>
        <v>50</v>
      </c>
      <c r="AE37" s="40">
        <f t="shared" si="0"/>
        <v>69</v>
      </c>
      <c r="AF37" s="41">
        <f t="shared" si="0"/>
        <v>41</v>
      </c>
      <c r="AG37" s="39">
        <f t="shared" si="0"/>
        <v>517</v>
      </c>
      <c r="AH37" s="40">
        <f t="shared" si="0"/>
        <v>25</v>
      </c>
      <c r="AI37" s="40">
        <f t="shared" si="0"/>
        <v>519</v>
      </c>
      <c r="AJ37" s="40">
        <f t="shared" si="0"/>
        <v>25</v>
      </c>
      <c r="AK37" s="41">
        <f t="shared" si="0"/>
        <v>25</v>
      </c>
      <c r="AL37" s="39">
        <f t="shared" si="0"/>
        <v>68.88000000000001</v>
      </c>
      <c r="AM37" s="40">
        <f t="shared" si="0"/>
        <v>25</v>
      </c>
      <c r="AN37" s="40">
        <f t="shared" si="0"/>
        <v>34.449999999999996</v>
      </c>
      <c r="AO37" s="40">
        <f t="shared" si="0"/>
        <v>80.050000000000011</v>
      </c>
      <c r="AP37" s="41">
        <f t="shared" si="0"/>
        <v>93.999999999999986</v>
      </c>
      <c r="AQ37" s="39">
        <f t="shared" si="0"/>
        <v>753</v>
      </c>
      <c r="AR37" s="40">
        <f t="shared" si="0"/>
        <v>25</v>
      </c>
      <c r="AS37" s="41">
        <f t="shared" si="0"/>
        <v>1223</v>
      </c>
      <c r="AT37" s="25">
        <f t="shared" ref="AT37:AU37" si="1">SUM(AT7:AT36)</f>
        <v>0</v>
      </c>
      <c r="AU37" s="2">
        <f t="shared" si="1"/>
        <v>0</v>
      </c>
    </row>
  </sheetData>
  <mergeCells count="15">
    <mergeCell ref="C4:V4"/>
    <mergeCell ref="W4:AS4"/>
    <mergeCell ref="AT4:AT6"/>
    <mergeCell ref="AU4:AU6"/>
    <mergeCell ref="A5:A6"/>
    <mergeCell ref="B5:B6"/>
    <mergeCell ref="C5:G5"/>
    <mergeCell ref="H5:L5"/>
    <mergeCell ref="M5:Q5"/>
    <mergeCell ref="R5:V5"/>
    <mergeCell ref="W5:AA5"/>
    <mergeCell ref="AB5:AF5"/>
    <mergeCell ref="AG5:AK5"/>
    <mergeCell ref="AL5:AP5"/>
    <mergeCell ref="AQ5:AS5"/>
  </mergeCells>
  <pageMargins left="0.7" right="0.7" top="0.75" bottom="0.75" header="0.3" footer="0.3"/>
  <pageSetup paperSize="9" orientation="portrait" horizontalDpi="4294967293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FAFD-7678-4EFD-95EA-F8EC7F918DF7}">
  <dimension ref="A1:DC62"/>
  <sheetViews>
    <sheetView topLeftCell="CG33" zoomScaleNormal="100" workbookViewId="0">
      <selection activeCell="Y15" sqref="Y15"/>
    </sheetView>
  </sheetViews>
  <sheetFormatPr defaultRowHeight="15" x14ac:dyDescent="0.25"/>
  <cols>
    <col min="1" max="1" width="13.85546875" customWidth="1"/>
    <col min="2" max="7" width="12.7109375" style="43" customWidth="1"/>
    <col min="19" max="19" width="15.28515625" customWidth="1"/>
  </cols>
  <sheetData>
    <row r="1" spans="1:107" ht="18.75" x14ac:dyDescent="0.25">
      <c r="A1" s="140" t="s">
        <v>35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2"/>
      <c r="R1" s="57"/>
      <c r="S1" s="140" t="s">
        <v>36</v>
      </c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2"/>
      <c r="AK1" s="140" t="s">
        <v>37</v>
      </c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2"/>
      <c r="BC1" s="140" t="s">
        <v>38</v>
      </c>
      <c r="BD1" s="141"/>
      <c r="BE1" s="141"/>
      <c r="BF1" s="141"/>
      <c r="BG1" s="141"/>
      <c r="BH1" s="141"/>
      <c r="BI1" s="141"/>
      <c r="BJ1" s="141"/>
      <c r="BK1" s="141"/>
      <c r="BL1" s="141"/>
      <c r="BM1" s="141"/>
      <c r="BN1" s="141"/>
      <c r="BO1" s="141"/>
      <c r="BP1" s="141"/>
      <c r="BQ1" s="141"/>
      <c r="BR1" s="141"/>
      <c r="BS1" s="142"/>
      <c r="BU1" s="140" t="s">
        <v>39</v>
      </c>
      <c r="BV1" s="141"/>
      <c r="BW1" s="141"/>
      <c r="BX1" s="141"/>
      <c r="BY1" s="141"/>
      <c r="BZ1" s="141"/>
      <c r="CA1" s="141"/>
      <c r="CB1" s="141"/>
      <c r="CC1" s="141"/>
      <c r="CD1" s="141"/>
      <c r="CE1" s="141"/>
      <c r="CF1" s="141"/>
      <c r="CG1" s="141"/>
      <c r="CH1" s="141"/>
      <c r="CI1" s="141"/>
      <c r="CJ1" s="141"/>
      <c r="CK1" s="142"/>
      <c r="CM1" s="140" t="s">
        <v>40</v>
      </c>
      <c r="CN1" s="141"/>
      <c r="CO1" s="141"/>
      <c r="CP1" s="141"/>
      <c r="CQ1" s="141"/>
      <c r="CR1" s="141"/>
      <c r="CS1" s="141"/>
      <c r="CT1" s="141"/>
      <c r="CU1" s="141"/>
      <c r="CV1" s="141"/>
      <c r="CW1" s="141"/>
      <c r="CX1" s="141"/>
      <c r="CY1" s="141"/>
      <c r="CZ1" s="141"/>
      <c r="DA1" s="141"/>
      <c r="DB1" s="141"/>
      <c r="DC1" s="142"/>
    </row>
    <row r="2" spans="1:107" x14ac:dyDescent="0.25">
      <c r="A2" s="44" t="s">
        <v>32</v>
      </c>
      <c r="B2" s="45"/>
      <c r="C2" s="45"/>
      <c r="D2" s="45"/>
      <c r="E2" s="45"/>
      <c r="F2" s="45"/>
      <c r="G2" s="45"/>
      <c r="H2" s="46"/>
      <c r="I2" s="46"/>
      <c r="J2" s="46"/>
      <c r="K2" s="46"/>
      <c r="L2" s="46"/>
      <c r="M2" s="46"/>
      <c r="N2" s="46"/>
      <c r="O2" s="46"/>
      <c r="P2" s="46"/>
      <c r="Q2" s="47"/>
      <c r="R2" s="46"/>
      <c r="S2" s="44" t="s">
        <v>32</v>
      </c>
      <c r="T2" s="45"/>
      <c r="U2" s="45"/>
      <c r="V2" s="45"/>
      <c r="W2" s="45"/>
      <c r="X2" s="45"/>
      <c r="Y2" s="45"/>
      <c r="Z2" s="46"/>
      <c r="AA2" s="46"/>
      <c r="AB2" s="46"/>
      <c r="AC2" s="46"/>
      <c r="AD2" s="46"/>
      <c r="AE2" s="46"/>
      <c r="AF2" s="46"/>
      <c r="AG2" s="46"/>
      <c r="AH2" s="46"/>
      <c r="AI2" s="47"/>
      <c r="AK2" s="44" t="s">
        <v>32</v>
      </c>
      <c r="AL2" s="45"/>
      <c r="AM2" s="45"/>
      <c r="AN2" s="45"/>
      <c r="AO2" s="45"/>
      <c r="AP2" s="45"/>
      <c r="AQ2" s="45"/>
      <c r="AR2" s="46"/>
      <c r="AS2" s="46"/>
      <c r="AT2" s="46"/>
      <c r="AU2" s="46"/>
      <c r="AV2" s="46"/>
      <c r="AW2" s="46"/>
      <c r="AX2" s="46"/>
      <c r="AY2" s="46"/>
      <c r="AZ2" s="46"/>
      <c r="BA2" s="47"/>
      <c r="BC2" s="44" t="s">
        <v>32</v>
      </c>
      <c r="BD2" s="45"/>
      <c r="BE2" s="45"/>
      <c r="BF2" s="45"/>
      <c r="BG2" s="45"/>
      <c r="BH2" s="45"/>
      <c r="BI2" s="45"/>
      <c r="BJ2" s="46"/>
      <c r="BK2" s="46"/>
      <c r="BL2" s="46"/>
      <c r="BM2" s="46"/>
      <c r="BN2" s="46"/>
      <c r="BO2" s="46"/>
      <c r="BP2" s="46"/>
      <c r="BQ2" s="46"/>
      <c r="BR2" s="46"/>
      <c r="BS2" s="47"/>
      <c r="BU2" s="44" t="s">
        <v>32</v>
      </c>
      <c r="BV2" s="45"/>
      <c r="BW2" s="45"/>
      <c r="BX2" s="45"/>
      <c r="BY2" s="45"/>
      <c r="BZ2" s="45"/>
      <c r="CA2" s="45"/>
      <c r="CB2" s="46"/>
      <c r="CC2" s="46"/>
      <c r="CD2" s="46"/>
      <c r="CE2" s="46"/>
      <c r="CF2" s="46"/>
      <c r="CG2" s="46"/>
      <c r="CH2" s="46"/>
      <c r="CI2" s="46"/>
      <c r="CJ2" s="46"/>
      <c r="CK2" s="47"/>
      <c r="CM2" s="44" t="s">
        <v>32</v>
      </c>
      <c r="CN2" s="45"/>
      <c r="CO2" s="45"/>
      <c r="CP2" s="45"/>
      <c r="CQ2" s="45"/>
      <c r="CR2" s="45"/>
      <c r="CS2" s="45"/>
      <c r="CT2" s="46"/>
      <c r="CU2" s="46"/>
      <c r="CV2" s="46"/>
      <c r="CW2" s="46"/>
      <c r="CX2" s="46"/>
      <c r="CY2" s="46"/>
      <c r="CZ2" s="46"/>
      <c r="DA2" s="46"/>
      <c r="DB2" s="46"/>
      <c r="DC2" s="47"/>
    </row>
    <row r="3" spans="1:107" x14ac:dyDescent="0.25">
      <c r="A3" s="44"/>
      <c r="B3" s="45" t="s">
        <v>31</v>
      </c>
      <c r="C3" s="45" t="s">
        <v>12</v>
      </c>
      <c r="D3" s="45" t="s">
        <v>13</v>
      </c>
      <c r="E3" s="45" t="s">
        <v>14</v>
      </c>
      <c r="F3" s="45" t="s">
        <v>15</v>
      </c>
      <c r="G3" s="45" t="s">
        <v>16</v>
      </c>
      <c r="H3" s="46"/>
      <c r="I3" s="46"/>
      <c r="J3" s="46"/>
      <c r="K3" s="46"/>
      <c r="L3" s="46"/>
      <c r="M3" s="46"/>
      <c r="N3" s="46"/>
      <c r="O3" s="46"/>
      <c r="P3" s="46"/>
      <c r="Q3" s="47"/>
      <c r="R3" s="46"/>
      <c r="S3" s="44"/>
      <c r="T3" s="45" t="s">
        <v>31</v>
      </c>
      <c r="U3" s="45" t="s">
        <v>12</v>
      </c>
      <c r="V3" s="45" t="s">
        <v>13</v>
      </c>
      <c r="W3" s="45" t="s">
        <v>14</v>
      </c>
      <c r="X3" s="45" t="s">
        <v>15</v>
      </c>
      <c r="Y3" s="45" t="s">
        <v>16</v>
      </c>
      <c r="Z3" s="46"/>
      <c r="AA3" s="46"/>
      <c r="AB3" s="46"/>
      <c r="AC3" s="46"/>
      <c r="AD3" s="46"/>
      <c r="AE3" s="46"/>
      <c r="AF3" s="46"/>
      <c r="AG3" s="46"/>
      <c r="AH3" s="46"/>
      <c r="AI3" s="47"/>
      <c r="AK3" s="44"/>
      <c r="AL3" s="45" t="s">
        <v>31</v>
      </c>
      <c r="AM3" s="45" t="s">
        <v>12</v>
      </c>
      <c r="AN3" s="45" t="s">
        <v>13</v>
      </c>
      <c r="AO3" s="45" t="s">
        <v>14</v>
      </c>
      <c r="AP3" s="45" t="s">
        <v>15</v>
      </c>
      <c r="AQ3" s="45" t="s">
        <v>16</v>
      </c>
      <c r="AR3" s="46"/>
      <c r="AS3" s="46"/>
      <c r="AT3" s="46"/>
      <c r="AU3" s="46"/>
      <c r="AV3" s="46"/>
      <c r="AW3" s="46"/>
      <c r="AX3" s="46"/>
      <c r="AY3" s="46"/>
      <c r="AZ3" s="46"/>
      <c r="BA3" s="47"/>
      <c r="BC3" s="44"/>
      <c r="BD3" s="45" t="s">
        <v>31</v>
      </c>
      <c r="BE3" s="45" t="s">
        <v>12</v>
      </c>
      <c r="BF3" s="45" t="s">
        <v>13</v>
      </c>
      <c r="BG3" s="45" t="s">
        <v>14</v>
      </c>
      <c r="BH3" s="45" t="s">
        <v>15</v>
      </c>
      <c r="BI3" s="45" t="s">
        <v>16</v>
      </c>
      <c r="BJ3" s="46"/>
      <c r="BK3" s="46"/>
      <c r="BL3" s="46"/>
      <c r="BM3" s="46"/>
      <c r="BN3" s="46"/>
      <c r="BO3" s="46"/>
      <c r="BP3" s="46"/>
      <c r="BQ3" s="46"/>
      <c r="BR3" s="46"/>
      <c r="BS3" s="47"/>
      <c r="BU3" s="44"/>
      <c r="BV3" s="45" t="s">
        <v>31</v>
      </c>
      <c r="BW3" s="45" t="s">
        <v>12</v>
      </c>
      <c r="BX3" s="45" t="s">
        <v>13</v>
      </c>
      <c r="BY3" s="45" t="s">
        <v>14</v>
      </c>
      <c r="BZ3" s="45" t="s">
        <v>15</v>
      </c>
      <c r="CA3" s="45" t="s">
        <v>16</v>
      </c>
      <c r="CB3" s="46"/>
      <c r="CC3" s="46"/>
      <c r="CD3" s="46"/>
      <c r="CE3" s="46"/>
      <c r="CF3" s="46"/>
      <c r="CG3" s="46"/>
      <c r="CH3" s="46"/>
      <c r="CI3" s="46"/>
      <c r="CJ3" s="46"/>
      <c r="CK3" s="47"/>
      <c r="CM3" s="44"/>
      <c r="CN3" s="45" t="s">
        <v>31</v>
      </c>
      <c r="CO3" s="45" t="s">
        <v>12</v>
      </c>
      <c r="CP3" s="45" t="s">
        <v>13</v>
      </c>
      <c r="CQ3" s="45" t="s">
        <v>14</v>
      </c>
      <c r="CR3" s="45" t="s">
        <v>15</v>
      </c>
      <c r="CS3" s="45" t="s">
        <v>16</v>
      </c>
      <c r="CT3" s="46"/>
      <c r="CU3" s="46"/>
      <c r="CV3" s="46"/>
      <c r="CW3" s="46"/>
      <c r="CX3" s="46"/>
      <c r="CY3" s="46"/>
      <c r="CZ3" s="46"/>
      <c r="DA3" s="46"/>
      <c r="DB3" s="46"/>
      <c r="DC3" s="47"/>
    </row>
    <row r="4" spans="1:107" x14ac:dyDescent="0.25">
      <c r="A4" s="44" t="s">
        <v>8</v>
      </c>
      <c r="B4" s="45">
        <f>+SUM(C4:G4)</f>
        <v>5400</v>
      </c>
      <c r="C4" s="48">
        <f>+'Synthèse S1'!C37</f>
        <v>2700</v>
      </c>
      <c r="D4" s="45">
        <f>+'Synthèse S1'!D37</f>
        <v>540</v>
      </c>
      <c r="E4" s="45">
        <f>+'Synthèse S1'!E37</f>
        <v>900</v>
      </c>
      <c r="F4" s="45">
        <f>+'Synthèse S1'!F37</f>
        <v>360</v>
      </c>
      <c r="G4" s="45">
        <f>+'Synthèse S1'!G37</f>
        <v>900</v>
      </c>
      <c r="H4" s="46"/>
      <c r="I4" s="46"/>
      <c r="J4" s="46"/>
      <c r="K4" s="46"/>
      <c r="L4" s="46"/>
      <c r="M4" s="46"/>
      <c r="N4" s="46"/>
      <c r="O4" s="46"/>
      <c r="P4" s="46"/>
      <c r="Q4" s="47"/>
      <c r="R4" s="46"/>
      <c r="S4" s="44" t="s">
        <v>8</v>
      </c>
      <c r="T4" s="45">
        <f>+SUM(U4:Y4)</f>
        <v>5400</v>
      </c>
      <c r="U4" s="48">
        <f>'Synthèse S2'!C37</f>
        <v>2700</v>
      </c>
      <c r="V4" s="45">
        <f>'Synthèse S2'!D37</f>
        <v>540</v>
      </c>
      <c r="W4" s="45">
        <f>'Synthèse S2'!E37</f>
        <v>900</v>
      </c>
      <c r="X4" s="45">
        <f>'Synthèse S2'!F37</f>
        <v>360</v>
      </c>
      <c r="Y4" s="45">
        <f>'Synthèse S2'!G37</f>
        <v>900</v>
      </c>
      <c r="Z4" s="46"/>
      <c r="AA4" s="46"/>
      <c r="AB4" s="46"/>
      <c r="AC4" s="46"/>
      <c r="AD4" s="46"/>
      <c r="AE4" s="46"/>
      <c r="AF4" s="46"/>
      <c r="AG4" s="46"/>
      <c r="AH4" s="46"/>
      <c r="AI4" s="47"/>
      <c r="AK4" s="44" t="s">
        <v>8</v>
      </c>
      <c r="AL4" s="45">
        <f>+SUM(AM4:AQ4)</f>
        <v>5400</v>
      </c>
      <c r="AM4" s="48">
        <f>'Synthèse S3'!C37</f>
        <v>2700</v>
      </c>
      <c r="AN4" s="45">
        <f>'Synthèse S3'!D37</f>
        <v>540</v>
      </c>
      <c r="AO4" s="45">
        <f>'Synthèse S3'!E37</f>
        <v>900</v>
      </c>
      <c r="AP4" s="45">
        <f>'Synthèse S3'!F37</f>
        <v>360</v>
      </c>
      <c r="AQ4" s="45">
        <f>'Synthèse S3'!G37</f>
        <v>900</v>
      </c>
      <c r="AR4" s="46"/>
      <c r="AS4" s="46"/>
      <c r="AT4" s="46"/>
      <c r="AU4" s="46"/>
      <c r="AV4" s="46"/>
      <c r="AW4" s="46"/>
      <c r="AX4" s="46"/>
      <c r="AY4" s="46"/>
      <c r="AZ4" s="46"/>
      <c r="BA4" s="47"/>
      <c r="BC4" s="44" t="s">
        <v>8</v>
      </c>
      <c r="BD4" s="45">
        <f>+SUM(BE4:BI4)</f>
        <v>5400</v>
      </c>
      <c r="BE4" s="48">
        <f>'Synthèse S4'!C37</f>
        <v>2700</v>
      </c>
      <c r="BF4" s="45">
        <f>'Synthèse S4'!D37</f>
        <v>540</v>
      </c>
      <c r="BG4" s="45">
        <f>'Synthèse S4'!E37</f>
        <v>900</v>
      </c>
      <c r="BH4" s="45">
        <f>'Synthèse S4'!F37</f>
        <v>360</v>
      </c>
      <c r="BI4" s="45">
        <f>'Synthèse S4'!G37</f>
        <v>900</v>
      </c>
      <c r="BJ4" s="46"/>
      <c r="BK4" s="46"/>
      <c r="BL4" s="46"/>
      <c r="BM4" s="46"/>
      <c r="BN4" s="46"/>
      <c r="BO4" s="46"/>
      <c r="BP4" s="46"/>
      <c r="BQ4" s="46"/>
      <c r="BR4" s="46"/>
      <c r="BS4" s="47"/>
      <c r="BU4" s="44" t="s">
        <v>8</v>
      </c>
      <c r="BV4" s="45">
        <f>+SUM(BW4:CA4)</f>
        <v>5400</v>
      </c>
      <c r="BW4" s="48">
        <f>'Synthèse S5'!C37</f>
        <v>2700</v>
      </c>
      <c r="BX4" s="48">
        <f>'Synthèse S5'!D37</f>
        <v>540</v>
      </c>
      <c r="BY4" s="48">
        <f>'Synthèse S5'!E37</f>
        <v>900</v>
      </c>
      <c r="BZ4" s="48">
        <f>'Synthèse S5'!F37</f>
        <v>360</v>
      </c>
      <c r="CA4" s="48">
        <f>'Synthèse S5'!G37</f>
        <v>900</v>
      </c>
      <c r="CB4" s="46"/>
      <c r="CC4" s="46"/>
      <c r="CD4" s="46"/>
      <c r="CE4" s="46"/>
      <c r="CF4" s="46"/>
      <c r="CG4" s="46"/>
      <c r="CH4" s="46"/>
      <c r="CI4" s="46"/>
      <c r="CJ4" s="46"/>
      <c r="CK4" s="47"/>
      <c r="CM4" s="44" t="s">
        <v>8</v>
      </c>
      <c r="CN4" s="45">
        <f>+SUM(CO4:CS4)</f>
        <v>27000</v>
      </c>
      <c r="CO4" s="48">
        <f>'Total semaines'!C37</f>
        <v>13500</v>
      </c>
      <c r="CP4" s="48">
        <f>'Total semaines'!D37</f>
        <v>2700</v>
      </c>
      <c r="CQ4" s="48">
        <f>'Total semaines'!E37</f>
        <v>4500</v>
      </c>
      <c r="CR4" s="48">
        <f>'Total semaines'!F37</f>
        <v>1800</v>
      </c>
      <c r="CS4" s="48">
        <f>'Total semaines'!G37</f>
        <v>4500</v>
      </c>
      <c r="CT4" s="46"/>
      <c r="CU4" s="46"/>
      <c r="CV4" s="46"/>
      <c r="CW4" s="46"/>
      <c r="CX4" s="46"/>
      <c r="CY4" s="46"/>
      <c r="CZ4" s="46"/>
      <c r="DA4" s="46"/>
      <c r="DB4" s="46"/>
      <c r="DC4" s="47"/>
    </row>
    <row r="5" spans="1:107" x14ac:dyDescent="0.25">
      <c r="A5" s="44" t="s">
        <v>9</v>
      </c>
      <c r="B5" s="45">
        <f>+SUM(C5:G5)</f>
        <v>4821</v>
      </c>
      <c r="C5" s="48">
        <f>+'Synthèse S1'!W37</f>
        <v>4400</v>
      </c>
      <c r="D5" s="45">
        <f>+'Synthèse S1'!X37</f>
        <v>47</v>
      </c>
      <c r="E5" s="45">
        <f>+'Synthèse S1'!Y37</f>
        <v>95</v>
      </c>
      <c r="F5" s="45">
        <f>+'Synthèse S1'!Z37</f>
        <v>199</v>
      </c>
      <c r="G5" s="45">
        <f>+'Synthèse S1'!AA37</f>
        <v>80</v>
      </c>
      <c r="H5" s="46"/>
      <c r="I5" s="46"/>
      <c r="J5" s="46"/>
      <c r="K5" s="46"/>
      <c r="L5" s="46"/>
      <c r="M5" s="46"/>
      <c r="N5" s="46"/>
      <c r="O5" s="46"/>
      <c r="P5" s="46"/>
      <c r="Q5" s="47"/>
      <c r="R5" s="46"/>
      <c r="S5" s="44" t="s">
        <v>9</v>
      </c>
      <c r="T5" s="45">
        <f>+SUM(U5:Y5)</f>
        <v>30</v>
      </c>
      <c r="U5" s="48">
        <f>+'Synthèse S2'!W37</f>
        <v>6</v>
      </c>
      <c r="V5" s="45">
        <f>+'Synthèse S2'!X37</f>
        <v>6</v>
      </c>
      <c r="W5" s="45">
        <f>+'Synthèse S2'!Y37</f>
        <v>6</v>
      </c>
      <c r="X5" s="45">
        <f>+'Synthèse S2'!Z37</f>
        <v>6</v>
      </c>
      <c r="Y5" s="45">
        <f>+'Synthèse S2'!AA37</f>
        <v>6</v>
      </c>
      <c r="Z5" s="46"/>
      <c r="AA5" s="46"/>
      <c r="AB5" s="46"/>
      <c r="AC5" s="46"/>
      <c r="AD5" s="46"/>
      <c r="AE5" s="46"/>
      <c r="AF5" s="46"/>
      <c r="AG5" s="46"/>
      <c r="AH5" s="46"/>
      <c r="AI5" s="47"/>
      <c r="AK5" s="44" t="s">
        <v>9</v>
      </c>
      <c r="AL5" s="45">
        <f>+SUM(AM5:AQ5)</f>
        <v>30</v>
      </c>
      <c r="AM5" s="48">
        <f>'Synthèse S3'!W37</f>
        <v>6</v>
      </c>
      <c r="AN5" s="45">
        <f>'Synthèse S3'!X37</f>
        <v>6</v>
      </c>
      <c r="AO5" s="45">
        <f>'Synthèse S3'!Y37</f>
        <v>6</v>
      </c>
      <c r="AP5" s="45">
        <f>'Synthèse S3'!Z37</f>
        <v>6</v>
      </c>
      <c r="AQ5" s="45">
        <f>'Synthèse S3'!AA37</f>
        <v>6</v>
      </c>
      <c r="AR5" s="46"/>
      <c r="AS5" s="46"/>
      <c r="AT5" s="46"/>
      <c r="AU5" s="46"/>
      <c r="AV5" s="46"/>
      <c r="AW5" s="46"/>
      <c r="AX5" s="46"/>
      <c r="AY5" s="46"/>
      <c r="AZ5" s="46"/>
      <c r="BA5" s="47"/>
      <c r="BC5" s="44" t="s">
        <v>9</v>
      </c>
      <c r="BD5" s="45">
        <f>+SUM(BE5:BI5)</f>
        <v>30</v>
      </c>
      <c r="BE5" s="48">
        <f>'Synthèse S4'!W37</f>
        <v>6</v>
      </c>
      <c r="BF5" s="45">
        <f>'Synthèse S4'!X37</f>
        <v>6</v>
      </c>
      <c r="BG5" s="45">
        <f>'Synthèse S4'!Y37</f>
        <v>6</v>
      </c>
      <c r="BH5" s="45">
        <f>'Synthèse S4'!Z37</f>
        <v>6</v>
      </c>
      <c r="BI5" s="45">
        <f>'Synthèse S4'!AA37</f>
        <v>6</v>
      </c>
      <c r="BJ5" s="46"/>
      <c r="BK5" s="46"/>
      <c r="BL5" s="46"/>
      <c r="BM5" s="46"/>
      <c r="BN5" s="46"/>
      <c r="BO5" s="46"/>
      <c r="BP5" s="46"/>
      <c r="BQ5" s="46"/>
      <c r="BR5" s="46"/>
      <c r="BS5" s="47"/>
      <c r="BU5" s="44" t="s">
        <v>9</v>
      </c>
      <c r="BV5" s="45">
        <f>+SUM(BW5:CA5)</f>
        <v>30</v>
      </c>
      <c r="BW5" s="48">
        <f>'Synthèse S5'!W37</f>
        <v>6</v>
      </c>
      <c r="BX5" s="48">
        <f>'Synthèse S5'!X37</f>
        <v>6</v>
      </c>
      <c r="BY5" s="48">
        <f>'Synthèse S5'!Y37</f>
        <v>6</v>
      </c>
      <c r="BZ5" s="48">
        <f>'Synthèse S5'!Z37</f>
        <v>6</v>
      </c>
      <c r="CA5" s="48">
        <f>'Synthèse S5'!AA37</f>
        <v>6</v>
      </c>
      <c r="CB5" s="46"/>
      <c r="CC5" s="46"/>
      <c r="CD5" s="46"/>
      <c r="CE5" s="46"/>
      <c r="CF5" s="46"/>
      <c r="CG5" s="46"/>
      <c r="CH5" s="46"/>
      <c r="CI5" s="46"/>
      <c r="CJ5" s="46"/>
      <c r="CK5" s="47"/>
      <c r="CM5" s="44" t="s">
        <v>9</v>
      </c>
      <c r="CN5" s="45">
        <f>+SUM(CO5:CS5)</f>
        <v>4941</v>
      </c>
      <c r="CO5" s="48">
        <f>'Total semaines'!W37</f>
        <v>4424</v>
      </c>
      <c r="CP5" s="48">
        <f>'Total semaines'!X37</f>
        <v>71</v>
      </c>
      <c r="CQ5" s="48">
        <f>'Total semaines'!Y37</f>
        <v>119</v>
      </c>
      <c r="CR5" s="48">
        <f>'Total semaines'!Z37</f>
        <v>223</v>
      </c>
      <c r="CS5" s="48">
        <f>'Total semaines'!AA37</f>
        <v>104</v>
      </c>
      <c r="CT5" s="46"/>
      <c r="CU5" s="46"/>
      <c r="CV5" s="46"/>
      <c r="CW5" s="46"/>
      <c r="CX5" s="46"/>
      <c r="CY5" s="46"/>
      <c r="CZ5" s="46"/>
      <c r="DA5" s="46"/>
      <c r="DB5" s="46"/>
      <c r="DC5" s="47"/>
    </row>
    <row r="6" spans="1:107" x14ac:dyDescent="0.25">
      <c r="A6" s="44" t="s">
        <v>30</v>
      </c>
      <c r="B6" s="49">
        <f>+B5/B4</f>
        <v>0.89277777777777778</v>
      </c>
      <c r="C6" s="49">
        <f t="shared" ref="C6:G6" si="0">+C5/C4</f>
        <v>1.6296296296296295</v>
      </c>
      <c r="D6" s="49">
        <f t="shared" si="0"/>
        <v>8.7037037037037038E-2</v>
      </c>
      <c r="E6" s="49">
        <f t="shared" si="0"/>
        <v>0.10555555555555556</v>
      </c>
      <c r="F6" s="49">
        <f t="shared" si="0"/>
        <v>0.55277777777777781</v>
      </c>
      <c r="G6" s="49">
        <f t="shared" si="0"/>
        <v>8.8888888888888892E-2</v>
      </c>
      <c r="H6" s="46"/>
      <c r="I6" s="46"/>
      <c r="J6" s="46"/>
      <c r="K6" s="46"/>
      <c r="L6" s="46"/>
      <c r="M6" s="46"/>
      <c r="N6" s="46"/>
      <c r="O6" s="46"/>
      <c r="P6" s="46"/>
      <c r="Q6" s="47"/>
      <c r="R6" s="46"/>
      <c r="S6" s="44" t="s">
        <v>30</v>
      </c>
      <c r="T6" s="49">
        <f>+T5/T4</f>
        <v>5.5555555555555558E-3</v>
      </c>
      <c r="U6" s="49">
        <f t="shared" ref="U6" si="1">+U5/U4</f>
        <v>2.2222222222222222E-3</v>
      </c>
      <c r="V6" s="49">
        <f t="shared" ref="V6" si="2">+V5/V4</f>
        <v>1.1111111111111112E-2</v>
      </c>
      <c r="W6" s="49">
        <f t="shared" ref="W6" si="3">+W5/W4</f>
        <v>6.6666666666666671E-3</v>
      </c>
      <c r="X6" s="49">
        <f t="shared" ref="X6" si="4">+X5/X4</f>
        <v>1.6666666666666666E-2</v>
      </c>
      <c r="Y6" s="49">
        <f t="shared" ref="Y6" si="5">+Y5/Y4</f>
        <v>6.6666666666666671E-3</v>
      </c>
      <c r="Z6" s="46"/>
      <c r="AA6" s="46"/>
      <c r="AB6" s="46"/>
      <c r="AC6" s="46"/>
      <c r="AD6" s="46"/>
      <c r="AE6" s="46"/>
      <c r="AF6" s="46"/>
      <c r="AG6" s="46"/>
      <c r="AH6" s="46"/>
      <c r="AI6" s="47"/>
      <c r="AK6" s="44" t="s">
        <v>30</v>
      </c>
      <c r="AL6" s="49">
        <f>+AL5/AL4</f>
        <v>5.5555555555555558E-3</v>
      </c>
      <c r="AM6" s="49">
        <f t="shared" ref="AM6" si="6">+AM5/AM4</f>
        <v>2.2222222222222222E-3</v>
      </c>
      <c r="AN6" s="49">
        <f t="shared" ref="AN6" si="7">+AN5/AN4</f>
        <v>1.1111111111111112E-2</v>
      </c>
      <c r="AO6" s="49">
        <f t="shared" ref="AO6" si="8">+AO5/AO4</f>
        <v>6.6666666666666671E-3</v>
      </c>
      <c r="AP6" s="49">
        <f t="shared" ref="AP6" si="9">+AP5/AP4</f>
        <v>1.6666666666666666E-2</v>
      </c>
      <c r="AQ6" s="49">
        <f t="shared" ref="AQ6" si="10">+AQ5/AQ4</f>
        <v>6.6666666666666671E-3</v>
      </c>
      <c r="AR6" s="46"/>
      <c r="AS6" s="46"/>
      <c r="AT6" s="46"/>
      <c r="AU6" s="46"/>
      <c r="AV6" s="46"/>
      <c r="AW6" s="46"/>
      <c r="AX6" s="46"/>
      <c r="AY6" s="46"/>
      <c r="AZ6" s="46"/>
      <c r="BA6" s="47"/>
      <c r="BC6" s="44" t="s">
        <v>30</v>
      </c>
      <c r="BD6" s="49">
        <f>+BD5/BD4</f>
        <v>5.5555555555555558E-3</v>
      </c>
      <c r="BE6" s="49">
        <f t="shared" ref="BE6" si="11">+BE5/BE4</f>
        <v>2.2222222222222222E-3</v>
      </c>
      <c r="BF6" s="49">
        <f t="shared" ref="BF6" si="12">+BF5/BF4</f>
        <v>1.1111111111111112E-2</v>
      </c>
      <c r="BG6" s="49">
        <f t="shared" ref="BG6" si="13">+BG5/BG4</f>
        <v>6.6666666666666671E-3</v>
      </c>
      <c r="BH6" s="49">
        <f t="shared" ref="BH6" si="14">+BH5/BH4</f>
        <v>1.6666666666666666E-2</v>
      </c>
      <c r="BI6" s="49">
        <f t="shared" ref="BI6" si="15">+BI5/BI4</f>
        <v>6.6666666666666671E-3</v>
      </c>
      <c r="BJ6" s="46"/>
      <c r="BK6" s="46"/>
      <c r="BL6" s="46"/>
      <c r="BM6" s="46"/>
      <c r="BN6" s="46"/>
      <c r="BO6" s="46"/>
      <c r="BP6" s="46"/>
      <c r="BQ6" s="46"/>
      <c r="BR6" s="46"/>
      <c r="BS6" s="47"/>
      <c r="BU6" s="44" t="s">
        <v>30</v>
      </c>
      <c r="BV6" s="49">
        <f>+BV5/BV4</f>
        <v>5.5555555555555558E-3</v>
      </c>
      <c r="BW6" s="49">
        <f t="shared" ref="BW6" si="16">+BW5/BW4</f>
        <v>2.2222222222222222E-3</v>
      </c>
      <c r="BX6" s="49">
        <f t="shared" ref="BX6" si="17">+BX5/BX4</f>
        <v>1.1111111111111112E-2</v>
      </c>
      <c r="BY6" s="49">
        <f t="shared" ref="BY6" si="18">+BY5/BY4</f>
        <v>6.6666666666666671E-3</v>
      </c>
      <c r="BZ6" s="49">
        <f t="shared" ref="BZ6" si="19">+BZ5/BZ4</f>
        <v>1.6666666666666666E-2</v>
      </c>
      <c r="CA6" s="49">
        <f t="shared" ref="CA6" si="20">+CA5/CA4</f>
        <v>6.6666666666666671E-3</v>
      </c>
      <c r="CB6" s="46"/>
      <c r="CC6" s="46"/>
      <c r="CD6" s="46"/>
      <c r="CE6" s="46"/>
      <c r="CF6" s="46"/>
      <c r="CG6" s="46"/>
      <c r="CH6" s="46"/>
      <c r="CI6" s="46"/>
      <c r="CJ6" s="46"/>
      <c r="CK6" s="47"/>
      <c r="CM6" s="44" t="s">
        <v>30</v>
      </c>
      <c r="CN6" s="49">
        <f>+CN5/CN4</f>
        <v>0.183</v>
      </c>
      <c r="CO6" s="49">
        <f t="shared" ref="CO6" si="21">+CO5/CO4</f>
        <v>0.32770370370370372</v>
      </c>
      <c r="CP6" s="49">
        <f t="shared" ref="CP6" si="22">+CP5/CP4</f>
        <v>2.6296296296296297E-2</v>
      </c>
      <c r="CQ6" s="49">
        <f t="shared" ref="CQ6" si="23">+CQ5/CQ4</f>
        <v>2.6444444444444444E-2</v>
      </c>
      <c r="CR6" s="49">
        <f t="shared" ref="CR6" si="24">+CR5/CR4</f>
        <v>0.1238888888888889</v>
      </c>
      <c r="CS6" s="49">
        <f t="shared" ref="CS6" si="25">+CS5/CS4</f>
        <v>2.311111111111111E-2</v>
      </c>
      <c r="CT6" s="46"/>
      <c r="CU6" s="46"/>
      <c r="CV6" s="46"/>
      <c r="CW6" s="46"/>
      <c r="CX6" s="46"/>
      <c r="CY6" s="46"/>
      <c r="CZ6" s="46"/>
      <c r="DA6" s="46"/>
      <c r="DB6" s="46"/>
      <c r="DC6" s="47"/>
    </row>
    <row r="7" spans="1:107" x14ac:dyDescent="0.25">
      <c r="A7" s="44"/>
      <c r="B7" s="45"/>
      <c r="C7" s="45"/>
      <c r="D7" s="45"/>
      <c r="E7" s="45"/>
      <c r="F7" s="45"/>
      <c r="G7" s="45"/>
      <c r="H7" s="46"/>
      <c r="I7" s="46"/>
      <c r="J7" s="46"/>
      <c r="K7" s="46"/>
      <c r="L7" s="46"/>
      <c r="M7" s="46"/>
      <c r="N7" s="46"/>
      <c r="O7" s="46"/>
      <c r="P7" s="46"/>
      <c r="Q7" s="47"/>
      <c r="R7" s="46"/>
      <c r="S7" s="44"/>
      <c r="T7" s="45"/>
      <c r="U7" s="45"/>
      <c r="V7" s="45"/>
      <c r="W7" s="45"/>
      <c r="X7" s="45"/>
      <c r="Y7" s="45"/>
      <c r="Z7" s="46"/>
      <c r="AA7" s="46"/>
      <c r="AB7" s="46"/>
      <c r="AC7" s="46"/>
      <c r="AD7" s="46"/>
      <c r="AE7" s="46"/>
      <c r="AF7" s="46"/>
      <c r="AG7" s="46"/>
      <c r="AH7" s="46"/>
      <c r="AI7" s="47"/>
      <c r="AK7" s="44"/>
      <c r="AL7" s="45"/>
      <c r="AM7" s="45"/>
      <c r="AN7" s="45"/>
      <c r="AO7" s="45"/>
      <c r="AP7" s="45"/>
      <c r="AQ7" s="45"/>
      <c r="AR7" s="46"/>
      <c r="AS7" s="46"/>
      <c r="AT7" s="46"/>
      <c r="AU7" s="46"/>
      <c r="AV7" s="46"/>
      <c r="AW7" s="46"/>
      <c r="AX7" s="46"/>
      <c r="AY7" s="46"/>
      <c r="AZ7" s="46"/>
      <c r="BA7" s="47"/>
      <c r="BC7" s="44"/>
      <c r="BD7" s="45"/>
      <c r="BE7" s="45"/>
      <c r="BF7" s="45"/>
      <c r="BG7" s="45"/>
      <c r="BH7" s="45"/>
      <c r="BI7" s="45"/>
      <c r="BJ7" s="46"/>
      <c r="BK7" s="46"/>
      <c r="BL7" s="46"/>
      <c r="BM7" s="46"/>
      <c r="BN7" s="46"/>
      <c r="BO7" s="46"/>
      <c r="BP7" s="46"/>
      <c r="BQ7" s="46"/>
      <c r="BR7" s="46"/>
      <c r="BS7" s="47"/>
      <c r="BU7" s="44"/>
      <c r="BV7" s="45"/>
      <c r="BW7" s="45"/>
      <c r="BX7" s="45"/>
      <c r="BY7" s="45"/>
      <c r="BZ7" s="45"/>
      <c r="CA7" s="45"/>
      <c r="CB7" s="46"/>
      <c r="CC7" s="46"/>
      <c r="CD7" s="46"/>
      <c r="CE7" s="46"/>
      <c r="CF7" s="46"/>
      <c r="CG7" s="46"/>
      <c r="CH7" s="46"/>
      <c r="CI7" s="46"/>
      <c r="CJ7" s="46"/>
      <c r="CK7" s="47"/>
      <c r="CM7" s="44"/>
      <c r="CN7" s="45"/>
      <c r="CO7" s="45"/>
      <c r="CP7" s="45"/>
      <c r="CQ7" s="45"/>
      <c r="CR7" s="45"/>
      <c r="CS7" s="45"/>
      <c r="CT7" s="46"/>
      <c r="CU7" s="46"/>
      <c r="CV7" s="46"/>
      <c r="CW7" s="46"/>
      <c r="CX7" s="46"/>
      <c r="CY7" s="46"/>
      <c r="CZ7" s="46"/>
      <c r="DA7" s="46"/>
      <c r="DB7" s="46"/>
      <c r="DC7" s="47"/>
    </row>
    <row r="8" spans="1:107" x14ac:dyDescent="0.25">
      <c r="A8" s="44"/>
      <c r="B8" s="45"/>
      <c r="C8" s="45"/>
      <c r="D8" s="45"/>
      <c r="E8" s="45"/>
      <c r="F8" s="45"/>
      <c r="G8" s="45"/>
      <c r="H8" s="46"/>
      <c r="I8" s="46"/>
      <c r="J8" s="46"/>
      <c r="K8" s="46"/>
      <c r="L8" s="46"/>
      <c r="M8" s="46"/>
      <c r="N8" s="46"/>
      <c r="O8" s="46"/>
      <c r="P8" s="46"/>
      <c r="Q8" s="47"/>
      <c r="R8" s="46"/>
      <c r="S8" s="44"/>
      <c r="T8" s="45"/>
      <c r="U8" s="45"/>
      <c r="V8" s="45"/>
      <c r="W8" s="45"/>
      <c r="X8" s="45"/>
      <c r="Y8" s="45"/>
      <c r="Z8" s="46"/>
      <c r="AA8" s="46"/>
      <c r="AB8" s="46"/>
      <c r="AC8" s="46"/>
      <c r="AD8" s="46"/>
      <c r="AE8" s="46"/>
      <c r="AF8" s="46"/>
      <c r="AG8" s="46"/>
      <c r="AH8" s="46"/>
      <c r="AI8" s="47"/>
      <c r="AK8" s="44"/>
      <c r="AL8" s="45"/>
      <c r="AM8" s="45"/>
      <c r="AN8" s="45"/>
      <c r="AO8" s="45"/>
      <c r="AP8" s="45"/>
      <c r="AQ8" s="45"/>
      <c r="AR8" s="46"/>
      <c r="AS8" s="46"/>
      <c r="AT8" s="46"/>
      <c r="AU8" s="46"/>
      <c r="AV8" s="46"/>
      <c r="AW8" s="46"/>
      <c r="AX8" s="46"/>
      <c r="AY8" s="46"/>
      <c r="AZ8" s="46"/>
      <c r="BA8" s="47"/>
      <c r="BC8" s="44"/>
      <c r="BD8" s="45"/>
      <c r="BE8" s="45"/>
      <c r="BF8" s="45"/>
      <c r="BG8" s="45"/>
      <c r="BH8" s="45"/>
      <c r="BI8" s="45"/>
      <c r="BJ8" s="46"/>
      <c r="BK8" s="46"/>
      <c r="BL8" s="46"/>
      <c r="BM8" s="46"/>
      <c r="BN8" s="46"/>
      <c r="BO8" s="46"/>
      <c r="BP8" s="46"/>
      <c r="BQ8" s="46"/>
      <c r="BR8" s="46"/>
      <c r="BS8" s="47"/>
      <c r="BU8" s="44"/>
      <c r="BV8" s="45"/>
      <c r="BW8" s="45"/>
      <c r="BX8" s="45"/>
      <c r="BY8" s="45"/>
      <c r="BZ8" s="45"/>
      <c r="CA8" s="45"/>
      <c r="CB8" s="46"/>
      <c r="CC8" s="46"/>
      <c r="CD8" s="46"/>
      <c r="CE8" s="46"/>
      <c r="CF8" s="46"/>
      <c r="CG8" s="46"/>
      <c r="CH8" s="46"/>
      <c r="CI8" s="46"/>
      <c r="CJ8" s="46"/>
      <c r="CK8" s="47"/>
      <c r="CM8" s="44"/>
      <c r="CN8" s="45"/>
      <c r="CO8" s="45"/>
      <c r="CP8" s="45"/>
      <c r="CQ8" s="45"/>
      <c r="CR8" s="45"/>
      <c r="CS8" s="45"/>
      <c r="CT8" s="46"/>
      <c r="CU8" s="46"/>
      <c r="CV8" s="46"/>
      <c r="CW8" s="46"/>
      <c r="CX8" s="46"/>
      <c r="CY8" s="46"/>
      <c r="CZ8" s="46"/>
      <c r="DA8" s="46"/>
      <c r="DB8" s="46"/>
      <c r="DC8" s="47"/>
    </row>
    <row r="9" spans="1:107" x14ac:dyDescent="0.25">
      <c r="A9" s="44" t="s">
        <v>33</v>
      </c>
      <c r="B9" s="45"/>
      <c r="C9" s="45"/>
      <c r="D9" s="45"/>
      <c r="E9" s="45"/>
      <c r="F9" s="45"/>
      <c r="G9" s="45"/>
      <c r="H9" s="46"/>
      <c r="I9" s="46"/>
      <c r="J9" s="46"/>
      <c r="K9" s="46"/>
      <c r="L9" s="46"/>
      <c r="M9" s="46"/>
      <c r="N9" s="46"/>
      <c r="O9" s="46"/>
      <c r="P9" s="46"/>
      <c r="Q9" s="47"/>
      <c r="R9" s="46"/>
      <c r="S9" s="44" t="s">
        <v>33</v>
      </c>
      <c r="T9" s="45"/>
      <c r="U9" s="45"/>
      <c r="V9" s="45"/>
      <c r="W9" s="45"/>
      <c r="X9" s="45"/>
      <c r="Y9" s="45"/>
      <c r="Z9" s="46"/>
      <c r="AA9" s="46"/>
      <c r="AB9" s="46"/>
      <c r="AC9" s="46"/>
      <c r="AD9" s="46"/>
      <c r="AE9" s="46"/>
      <c r="AF9" s="46"/>
      <c r="AG9" s="46"/>
      <c r="AH9" s="46"/>
      <c r="AI9" s="47"/>
      <c r="AK9" s="44" t="s">
        <v>33</v>
      </c>
      <c r="AL9" s="45"/>
      <c r="AM9" s="45"/>
      <c r="AN9" s="45"/>
      <c r="AO9" s="45"/>
      <c r="AP9" s="45"/>
      <c r="AQ9" s="45"/>
      <c r="AR9" s="46"/>
      <c r="AS9" s="46"/>
      <c r="AT9" s="46"/>
      <c r="AU9" s="46"/>
      <c r="AV9" s="46"/>
      <c r="AW9" s="46"/>
      <c r="AX9" s="46"/>
      <c r="AY9" s="46"/>
      <c r="AZ9" s="46"/>
      <c r="BA9" s="47"/>
      <c r="BC9" s="44" t="s">
        <v>33</v>
      </c>
      <c r="BD9" s="45"/>
      <c r="BE9" s="45"/>
      <c r="BF9" s="45"/>
      <c r="BG9" s="45"/>
      <c r="BH9" s="45"/>
      <c r="BI9" s="45"/>
      <c r="BJ9" s="46"/>
      <c r="BK9" s="46"/>
      <c r="BL9" s="46"/>
      <c r="BM9" s="46"/>
      <c r="BN9" s="46"/>
      <c r="BO9" s="46"/>
      <c r="BP9" s="46"/>
      <c r="BQ9" s="46"/>
      <c r="BR9" s="46"/>
      <c r="BS9" s="47"/>
      <c r="BU9" s="44" t="s">
        <v>33</v>
      </c>
      <c r="BV9" s="45"/>
      <c r="BW9" s="45"/>
      <c r="BX9" s="45"/>
      <c r="BY9" s="45"/>
      <c r="BZ9" s="45"/>
      <c r="CA9" s="45"/>
      <c r="CB9" s="46"/>
      <c r="CC9" s="46"/>
      <c r="CD9" s="46"/>
      <c r="CE9" s="46"/>
      <c r="CF9" s="46"/>
      <c r="CG9" s="46"/>
      <c r="CH9" s="46"/>
      <c r="CI9" s="46"/>
      <c r="CJ9" s="46"/>
      <c r="CK9" s="47"/>
      <c r="CM9" s="44" t="s">
        <v>33</v>
      </c>
      <c r="CN9" s="45"/>
      <c r="CO9" s="45"/>
      <c r="CP9" s="45"/>
      <c r="CQ9" s="45"/>
      <c r="CR9" s="45"/>
      <c r="CS9" s="45"/>
      <c r="CT9" s="46"/>
      <c r="CU9" s="46"/>
      <c r="CV9" s="46"/>
      <c r="CW9" s="46"/>
      <c r="CX9" s="46"/>
      <c r="CY9" s="46"/>
      <c r="CZ9" s="46"/>
      <c r="DA9" s="46"/>
      <c r="DB9" s="46"/>
      <c r="DC9" s="47"/>
    </row>
    <row r="10" spans="1:107" x14ac:dyDescent="0.25">
      <c r="A10" s="44"/>
      <c r="B10" s="45" t="s">
        <v>31</v>
      </c>
      <c r="C10" s="45" t="s">
        <v>12</v>
      </c>
      <c r="D10" s="45" t="s">
        <v>13</v>
      </c>
      <c r="E10" s="45" t="s">
        <v>14</v>
      </c>
      <c r="F10" s="45" t="s">
        <v>15</v>
      </c>
      <c r="G10" s="45" t="s">
        <v>16</v>
      </c>
      <c r="H10" s="46"/>
      <c r="I10" s="46"/>
      <c r="J10" s="46"/>
      <c r="K10" s="46"/>
      <c r="L10" s="46"/>
      <c r="M10" s="46"/>
      <c r="N10" s="46"/>
      <c r="O10" s="46"/>
      <c r="P10" s="46"/>
      <c r="Q10" s="47"/>
      <c r="R10" s="46"/>
      <c r="S10" s="44"/>
      <c r="T10" s="45" t="s">
        <v>31</v>
      </c>
      <c r="U10" s="45" t="s">
        <v>12</v>
      </c>
      <c r="V10" s="45" t="s">
        <v>13</v>
      </c>
      <c r="W10" s="45" t="s">
        <v>14</v>
      </c>
      <c r="X10" s="45" t="s">
        <v>15</v>
      </c>
      <c r="Y10" s="45" t="s">
        <v>16</v>
      </c>
      <c r="Z10" s="46"/>
      <c r="AA10" s="46"/>
      <c r="AB10" s="46"/>
      <c r="AC10" s="46"/>
      <c r="AD10" s="46"/>
      <c r="AE10" s="46"/>
      <c r="AF10" s="46"/>
      <c r="AG10" s="46"/>
      <c r="AH10" s="46"/>
      <c r="AI10" s="47"/>
      <c r="AK10" s="44"/>
      <c r="AL10" s="45" t="s">
        <v>31</v>
      </c>
      <c r="AM10" s="45" t="s">
        <v>12</v>
      </c>
      <c r="AN10" s="45" t="s">
        <v>13</v>
      </c>
      <c r="AO10" s="45" t="s">
        <v>14</v>
      </c>
      <c r="AP10" s="45" t="s">
        <v>15</v>
      </c>
      <c r="AQ10" s="45" t="s">
        <v>16</v>
      </c>
      <c r="AR10" s="46"/>
      <c r="AS10" s="46"/>
      <c r="AT10" s="46"/>
      <c r="AU10" s="46"/>
      <c r="AV10" s="46"/>
      <c r="AW10" s="46"/>
      <c r="AX10" s="46"/>
      <c r="AY10" s="46"/>
      <c r="AZ10" s="46"/>
      <c r="BA10" s="47"/>
      <c r="BC10" s="44"/>
      <c r="BD10" s="45" t="s">
        <v>31</v>
      </c>
      <c r="BE10" s="45" t="s">
        <v>12</v>
      </c>
      <c r="BF10" s="45" t="s">
        <v>13</v>
      </c>
      <c r="BG10" s="45" t="s">
        <v>14</v>
      </c>
      <c r="BH10" s="45" t="s">
        <v>15</v>
      </c>
      <c r="BI10" s="45" t="s">
        <v>16</v>
      </c>
      <c r="BJ10" s="46"/>
      <c r="BK10" s="46"/>
      <c r="BL10" s="46"/>
      <c r="BM10" s="46"/>
      <c r="BN10" s="46"/>
      <c r="BO10" s="46"/>
      <c r="BP10" s="46"/>
      <c r="BQ10" s="46"/>
      <c r="BR10" s="46"/>
      <c r="BS10" s="47"/>
      <c r="BU10" s="44"/>
      <c r="BV10" s="45" t="s">
        <v>31</v>
      </c>
      <c r="BW10" s="45" t="s">
        <v>12</v>
      </c>
      <c r="BX10" s="45" t="s">
        <v>13</v>
      </c>
      <c r="BY10" s="45" t="s">
        <v>14</v>
      </c>
      <c r="BZ10" s="45" t="s">
        <v>15</v>
      </c>
      <c r="CA10" s="45" t="s">
        <v>16</v>
      </c>
      <c r="CB10" s="46"/>
      <c r="CC10" s="46"/>
      <c r="CD10" s="46"/>
      <c r="CE10" s="46"/>
      <c r="CF10" s="46"/>
      <c r="CG10" s="46"/>
      <c r="CH10" s="46"/>
      <c r="CI10" s="46"/>
      <c r="CJ10" s="46"/>
      <c r="CK10" s="47"/>
      <c r="CM10" s="44"/>
      <c r="CN10" s="45" t="s">
        <v>31</v>
      </c>
      <c r="CO10" s="45" t="s">
        <v>12</v>
      </c>
      <c r="CP10" s="45" t="s">
        <v>13</v>
      </c>
      <c r="CQ10" s="45" t="s">
        <v>14</v>
      </c>
      <c r="CR10" s="45" t="s">
        <v>15</v>
      </c>
      <c r="CS10" s="45" t="s">
        <v>16</v>
      </c>
      <c r="CT10" s="46"/>
      <c r="CU10" s="46"/>
      <c r="CV10" s="46"/>
      <c r="CW10" s="46"/>
      <c r="CX10" s="46"/>
      <c r="CY10" s="46"/>
      <c r="CZ10" s="46"/>
      <c r="DA10" s="46"/>
      <c r="DB10" s="46"/>
      <c r="DC10" s="47"/>
    </row>
    <row r="11" spans="1:107" x14ac:dyDescent="0.25">
      <c r="A11" s="44" t="s">
        <v>8</v>
      </c>
      <c r="B11" s="45">
        <f>+SUM(C11:G11)</f>
        <v>1260</v>
      </c>
      <c r="C11" s="48">
        <f>+'Synthèse S1'!H37</f>
        <v>540</v>
      </c>
      <c r="D11" s="45">
        <f>+'Synthèse S1'!I37</f>
        <v>180</v>
      </c>
      <c r="E11" s="45">
        <f>+'Synthèse S1'!J37</f>
        <v>180</v>
      </c>
      <c r="F11" s="45">
        <f>+'Synthèse S1'!K37</f>
        <v>180</v>
      </c>
      <c r="G11" s="45">
        <f>+'Synthèse S1'!L37</f>
        <v>180</v>
      </c>
      <c r="H11" s="46"/>
      <c r="I11" s="46"/>
      <c r="J11" s="46"/>
      <c r="K11" s="46"/>
      <c r="L11" s="46"/>
      <c r="M11" s="46"/>
      <c r="N11" s="46"/>
      <c r="O11" s="46"/>
      <c r="P11" s="46"/>
      <c r="Q11" s="47"/>
      <c r="R11" s="46"/>
      <c r="S11" s="44" t="s">
        <v>8</v>
      </c>
      <c r="T11" s="45">
        <f>+SUM(U11:Y11)</f>
        <v>1260</v>
      </c>
      <c r="U11" s="48">
        <f>+'Synthèse S2'!H37</f>
        <v>540</v>
      </c>
      <c r="V11" s="45">
        <f>+'Synthèse S2'!I37</f>
        <v>180</v>
      </c>
      <c r="W11" s="45">
        <f>+'Synthèse S2'!J37</f>
        <v>180</v>
      </c>
      <c r="X11" s="45">
        <f>+'Synthèse S2'!K37</f>
        <v>180</v>
      </c>
      <c r="Y11" s="45">
        <f>+'Synthèse S2'!L37</f>
        <v>180</v>
      </c>
      <c r="Z11" s="46"/>
      <c r="AA11" s="46"/>
      <c r="AB11" s="46"/>
      <c r="AC11" s="46"/>
      <c r="AD11" s="46"/>
      <c r="AE11" s="46"/>
      <c r="AF11" s="46"/>
      <c r="AG11" s="46"/>
      <c r="AH11" s="46"/>
      <c r="AI11" s="47"/>
      <c r="AK11" s="44" t="s">
        <v>8</v>
      </c>
      <c r="AL11" s="45">
        <f>+SUM(AM11:AQ11)</f>
        <v>1260</v>
      </c>
      <c r="AM11" s="48">
        <f>'Synthèse S3'!H37</f>
        <v>540</v>
      </c>
      <c r="AN11" s="45">
        <f>'Synthèse S3'!I37</f>
        <v>180</v>
      </c>
      <c r="AO11" s="45">
        <f>'Synthèse S3'!J37</f>
        <v>180</v>
      </c>
      <c r="AP11" s="45">
        <f>'Synthèse S3'!K37</f>
        <v>180</v>
      </c>
      <c r="AQ11" s="45">
        <f>'Synthèse S3'!L37</f>
        <v>180</v>
      </c>
      <c r="AR11" s="46"/>
      <c r="AS11" s="46"/>
      <c r="AT11" s="46"/>
      <c r="AU11" s="46"/>
      <c r="AV11" s="46"/>
      <c r="AW11" s="46"/>
      <c r="AX11" s="46"/>
      <c r="AY11" s="46"/>
      <c r="AZ11" s="46"/>
      <c r="BA11" s="47"/>
      <c r="BC11" s="44" t="s">
        <v>8</v>
      </c>
      <c r="BD11" s="45">
        <f>+SUM(BE11:BI11)</f>
        <v>1260</v>
      </c>
      <c r="BE11" s="48">
        <f>'Synthèse S4'!H37</f>
        <v>540</v>
      </c>
      <c r="BF11" s="45">
        <f>'Synthèse S4'!I37</f>
        <v>180</v>
      </c>
      <c r="BG11" s="45">
        <f>'Synthèse S4'!J37</f>
        <v>180</v>
      </c>
      <c r="BH11" s="45">
        <f>'Synthèse S4'!K37</f>
        <v>180</v>
      </c>
      <c r="BI11" s="45">
        <f>'Synthèse S4'!L37</f>
        <v>180</v>
      </c>
      <c r="BJ11" s="46"/>
      <c r="BK11" s="46"/>
      <c r="BL11" s="46"/>
      <c r="BM11" s="46"/>
      <c r="BN11" s="46"/>
      <c r="BO11" s="46"/>
      <c r="BP11" s="46"/>
      <c r="BQ11" s="46"/>
      <c r="BR11" s="46"/>
      <c r="BS11" s="47"/>
      <c r="BU11" s="44" t="s">
        <v>8</v>
      </c>
      <c r="BV11" s="45">
        <f>+SUM(BW11:CA11)</f>
        <v>1260</v>
      </c>
      <c r="BW11" s="48">
        <f>'Synthèse S5'!H37</f>
        <v>540</v>
      </c>
      <c r="BX11" s="48">
        <f>'Synthèse S5'!I37</f>
        <v>180</v>
      </c>
      <c r="BY11" s="48">
        <f>'Synthèse S5'!J37</f>
        <v>180</v>
      </c>
      <c r="BZ11" s="48">
        <f>'Synthèse S5'!K37</f>
        <v>180</v>
      </c>
      <c r="CA11" s="48">
        <f>'Synthèse S5'!L37</f>
        <v>180</v>
      </c>
      <c r="CB11" s="46"/>
      <c r="CC11" s="46"/>
      <c r="CD11" s="46"/>
      <c r="CE11" s="46"/>
      <c r="CF11" s="46"/>
      <c r="CG11" s="46"/>
      <c r="CH11" s="46"/>
      <c r="CI11" s="46"/>
      <c r="CJ11" s="46"/>
      <c r="CK11" s="47"/>
      <c r="CM11" s="44" t="s">
        <v>8</v>
      </c>
      <c r="CN11" s="45">
        <f>+SUM(CO11:CS11)</f>
        <v>6300</v>
      </c>
      <c r="CO11" s="48">
        <f>'Total semaines'!H37</f>
        <v>2700</v>
      </c>
      <c r="CP11" s="48">
        <f>'Total semaines'!I37</f>
        <v>900</v>
      </c>
      <c r="CQ11" s="48">
        <f>'Total semaines'!J37</f>
        <v>900</v>
      </c>
      <c r="CR11" s="48">
        <f>'Total semaines'!K37</f>
        <v>900</v>
      </c>
      <c r="CS11" s="48">
        <f>'Total semaines'!L37</f>
        <v>900</v>
      </c>
      <c r="CT11" s="46"/>
      <c r="CU11" s="46"/>
      <c r="CV11" s="46"/>
      <c r="CW11" s="46"/>
      <c r="CX11" s="46"/>
      <c r="CY11" s="46"/>
      <c r="CZ11" s="46"/>
      <c r="DA11" s="46"/>
      <c r="DB11" s="46"/>
      <c r="DC11" s="47"/>
    </row>
    <row r="12" spans="1:107" x14ac:dyDescent="0.25">
      <c r="A12" s="44" t="s">
        <v>9</v>
      </c>
      <c r="B12" s="45">
        <f>+SUM(C12:G12)</f>
        <v>1327</v>
      </c>
      <c r="C12" s="48">
        <f>+'Synthèse S1'!AB37</f>
        <v>1234</v>
      </c>
      <c r="D12" s="45">
        <f>+'Synthèse S1'!AC37</f>
        <v>5</v>
      </c>
      <c r="E12" s="45">
        <f>+'Synthèse S1'!AD37</f>
        <v>26</v>
      </c>
      <c r="F12" s="45">
        <f>+'Synthèse S1'!AE37</f>
        <v>45</v>
      </c>
      <c r="G12" s="45">
        <f>+'Synthèse S1'!AF37</f>
        <v>17</v>
      </c>
      <c r="H12" s="46"/>
      <c r="I12" s="46"/>
      <c r="J12" s="46"/>
      <c r="K12" s="46"/>
      <c r="L12" s="46"/>
      <c r="M12" s="46"/>
      <c r="N12" s="46"/>
      <c r="O12" s="46"/>
      <c r="P12" s="46"/>
      <c r="Q12" s="47"/>
      <c r="R12" s="46"/>
      <c r="S12" s="44" t="s">
        <v>9</v>
      </c>
      <c r="T12" s="45">
        <f>+SUM(U12:Y12)</f>
        <v>30</v>
      </c>
      <c r="U12" s="48">
        <f>+'Synthèse S2'!AB37</f>
        <v>6</v>
      </c>
      <c r="V12" s="45">
        <f>+'Synthèse S2'!AC37</f>
        <v>6</v>
      </c>
      <c r="W12" s="45">
        <f>+'Synthèse S2'!AD37</f>
        <v>6</v>
      </c>
      <c r="X12" s="45">
        <f>+'Synthèse S2'!AE37</f>
        <v>6</v>
      </c>
      <c r="Y12" s="45">
        <f>+'Synthèse S2'!AF37</f>
        <v>6</v>
      </c>
      <c r="Z12" s="46"/>
      <c r="AA12" s="46"/>
      <c r="AB12" s="46"/>
      <c r="AC12" s="46"/>
      <c r="AD12" s="46"/>
      <c r="AE12" s="46"/>
      <c r="AF12" s="46"/>
      <c r="AG12" s="46"/>
      <c r="AH12" s="46"/>
      <c r="AI12" s="47"/>
      <c r="AK12" s="44" t="s">
        <v>9</v>
      </c>
      <c r="AL12" s="45">
        <f>+SUM(AM12:AQ12)</f>
        <v>30</v>
      </c>
      <c r="AM12" s="48">
        <f>'Synthèse S3'!AB37</f>
        <v>6</v>
      </c>
      <c r="AN12" s="45">
        <f>'Synthèse S3'!AC37</f>
        <v>6</v>
      </c>
      <c r="AO12" s="45">
        <f>'Synthèse S3'!AD37</f>
        <v>6</v>
      </c>
      <c r="AP12" s="45">
        <f>'Synthèse S3'!AE37</f>
        <v>6</v>
      </c>
      <c r="AQ12" s="45">
        <f>'Synthèse S3'!AF37</f>
        <v>6</v>
      </c>
      <c r="AR12" s="46"/>
      <c r="AS12" s="46"/>
      <c r="AT12" s="46"/>
      <c r="AU12" s="46"/>
      <c r="AV12" s="46"/>
      <c r="AW12" s="46"/>
      <c r="AX12" s="46"/>
      <c r="AY12" s="46"/>
      <c r="AZ12" s="46"/>
      <c r="BA12" s="47"/>
      <c r="BC12" s="44" t="s">
        <v>9</v>
      </c>
      <c r="BD12" s="45">
        <f>+SUM(BE12:BI12)</f>
        <v>30</v>
      </c>
      <c r="BE12" s="48">
        <f>'Synthèse S4'!AB37</f>
        <v>6</v>
      </c>
      <c r="BF12" s="45">
        <f>'Synthèse S4'!AC37</f>
        <v>6</v>
      </c>
      <c r="BG12" s="45">
        <f>'Synthèse S4'!AD37</f>
        <v>6</v>
      </c>
      <c r="BH12" s="45">
        <f>'Synthèse S4'!AE37</f>
        <v>6</v>
      </c>
      <c r="BI12" s="45">
        <f>'Synthèse S4'!AF37</f>
        <v>6</v>
      </c>
      <c r="BJ12" s="46"/>
      <c r="BK12" s="46"/>
      <c r="BL12" s="46"/>
      <c r="BM12" s="46"/>
      <c r="BN12" s="46"/>
      <c r="BO12" s="46"/>
      <c r="BP12" s="46"/>
      <c r="BQ12" s="46"/>
      <c r="BR12" s="46"/>
      <c r="BS12" s="47"/>
      <c r="BU12" s="44" t="s">
        <v>9</v>
      </c>
      <c r="BV12" s="45">
        <f>+SUM(BW12:CA12)</f>
        <v>30</v>
      </c>
      <c r="BW12" s="48">
        <f>'Synthèse S5'!AB37</f>
        <v>6</v>
      </c>
      <c r="BX12" s="48">
        <f>'Synthèse S5'!AC37</f>
        <v>6</v>
      </c>
      <c r="BY12" s="48">
        <f>'Synthèse S5'!AD37</f>
        <v>6</v>
      </c>
      <c r="BZ12" s="48">
        <f>'Synthèse S5'!AE37</f>
        <v>6</v>
      </c>
      <c r="CA12" s="48">
        <f>'Synthèse S5'!AF37</f>
        <v>6</v>
      </c>
      <c r="CB12" s="46"/>
      <c r="CC12" s="46"/>
      <c r="CD12" s="46"/>
      <c r="CE12" s="46"/>
      <c r="CF12" s="46"/>
      <c r="CG12" s="46"/>
      <c r="CH12" s="46"/>
      <c r="CI12" s="46"/>
      <c r="CJ12" s="46"/>
      <c r="CK12" s="47"/>
      <c r="CM12" s="44" t="s">
        <v>9</v>
      </c>
      <c r="CN12" s="45">
        <f>+SUM(CO12:CS12)</f>
        <v>1447</v>
      </c>
      <c r="CO12" s="48">
        <f>'Total semaines'!AB37</f>
        <v>1258</v>
      </c>
      <c r="CP12" s="48">
        <f>'Total semaines'!AC37</f>
        <v>29</v>
      </c>
      <c r="CQ12" s="48">
        <f>'Total semaines'!AD37</f>
        <v>50</v>
      </c>
      <c r="CR12" s="48">
        <f>'Total semaines'!AE37</f>
        <v>69</v>
      </c>
      <c r="CS12" s="48">
        <f>'Total semaines'!AF37</f>
        <v>41</v>
      </c>
      <c r="CT12" s="46"/>
      <c r="CU12" s="46"/>
      <c r="CV12" s="46"/>
      <c r="CW12" s="46"/>
      <c r="CX12" s="46"/>
      <c r="CY12" s="46"/>
      <c r="CZ12" s="46"/>
      <c r="DA12" s="46"/>
      <c r="DB12" s="46"/>
      <c r="DC12" s="47"/>
    </row>
    <row r="13" spans="1:107" x14ac:dyDescent="0.25">
      <c r="A13" s="44" t="s">
        <v>30</v>
      </c>
      <c r="B13" s="49">
        <f>+B12/B11</f>
        <v>1.0531746031746032</v>
      </c>
      <c r="C13" s="49">
        <f t="shared" ref="C13:G13" si="26">+C12/C11</f>
        <v>2.2851851851851852</v>
      </c>
      <c r="D13" s="49">
        <f t="shared" si="26"/>
        <v>2.7777777777777776E-2</v>
      </c>
      <c r="E13" s="49">
        <f t="shared" si="26"/>
        <v>0.14444444444444443</v>
      </c>
      <c r="F13" s="49">
        <f t="shared" si="26"/>
        <v>0.25</v>
      </c>
      <c r="G13" s="49">
        <f t="shared" si="26"/>
        <v>9.4444444444444442E-2</v>
      </c>
      <c r="H13" s="46"/>
      <c r="I13" s="46"/>
      <c r="J13" s="46"/>
      <c r="K13" s="46"/>
      <c r="L13" s="46"/>
      <c r="M13" s="46"/>
      <c r="N13" s="46"/>
      <c r="O13" s="46"/>
      <c r="P13" s="46"/>
      <c r="Q13" s="47"/>
      <c r="R13" s="46"/>
      <c r="S13" s="44" t="s">
        <v>30</v>
      </c>
      <c r="T13" s="49">
        <f>+T12/T11</f>
        <v>2.3809523809523808E-2</v>
      </c>
      <c r="U13" s="49">
        <f t="shared" ref="U13" si="27">+U12/U11</f>
        <v>1.1111111111111112E-2</v>
      </c>
      <c r="V13" s="49">
        <f t="shared" ref="V13" si="28">+V12/V11</f>
        <v>3.3333333333333333E-2</v>
      </c>
      <c r="W13" s="49">
        <f t="shared" ref="W13" si="29">+W12/W11</f>
        <v>3.3333333333333333E-2</v>
      </c>
      <c r="X13" s="49">
        <f t="shared" ref="X13" si="30">+X12/X11</f>
        <v>3.3333333333333333E-2</v>
      </c>
      <c r="Y13" s="49">
        <f t="shared" ref="Y13" si="31">+Y12/Y11</f>
        <v>3.3333333333333333E-2</v>
      </c>
      <c r="Z13" s="46"/>
      <c r="AA13" s="46"/>
      <c r="AB13" s="46"/>
      <c r="AC13" s="46"/>
      <c r="AD13" s="46"/>
      <c r="AE13" s="46"/>
      <c r="AF13" s="46"/>
      <c r="AG13" s="46"/>
      <c r="AH13" s="46"/>
      <c r="AI13" s="47"/>
      <c r="AK13" s="44" t="s">
        <v>30</v>
      </c>
      <c r="AL13" s="49">
        <f>+AL12/AL11</f>
        <v>2.3809523809523808E-2</v>
      </c>
      <c r="AM13" s="49">
        <f t="shared" ref="AM13" si="32">+AM12/AM11</f>
        <v>1.1111111111111112E-2</v>
      </c>
      <c r="AN13" s="49">
        <f t="shared" ref="AN13" si="33">+AN12/AN11</f>
        <v>3.3333333333333333E-2</v>
      </c>
      <c r="AO13" s="49">
        <f t="shared" ref="AO13" si="34">+AO12/AO11</f>
        <v>3.3333333333333333E-2</v>
      </c>
      <c r="AP13" s="49">
        <f t="shared" ref="AP13" si="35">+AP12/AP11</f>
        <v>3.3333333333333333E-2</v>
      </c>
      <c r="AQ13" s="49">
        <f t="shared" ref="AQ13" si="36">+AQ12/AQ11</f>
        <v>3.3333333333333333E-2</v>
      </c>
      <c r="AR13" s="46"/>
      <c r="AS13" s="46"/>
      <c r="AT13" s="46"/>
      <c r="AU13" s="46"/>
      <c r="AV13" s="46"/>
      <c r="AW13" s="46"/>
      <c r="AX13" s="46"/>
      <c r="AY13" s="46"/>
      <c r="AZ13" s="46"/>
      <c r="BA13" s="47"/>
      <c r="BC13" s="44" t="s">
        <v>30</v>
      </c>
      <c r="BD13" s="49">
        <f>+BD12/BD11</f>
        <v>2.3809523809523808E-2</v>
      </c>
      <c r="BE13" s="49">
        <f t="shared" ref="BE13" si="37">+BE12/BE11</f>
        <v>1.1111111111111112E-2</v>
      </c>
      <c r="BF13" s="49">
        <f t="shared" ref="BF13" si="38">+BF12/BF11</f>
        <v>3.3333333333333333E-2</v>
      </c>
      <c r="BG13" s="49">
        <f t="shared" ref="BG13" si="39">+BG12/BG11</f>
        <v>3.3333333333333333E-2</v>
      </c>
      <c r="BH13" s="49">
        <f t="shared" ref="BH13" si="40">+BH12/BH11</f>
        <v>3.3333333333333333E-2</v>
      </c>
      <c r="BI13" s="49">
        <f t="shared" ref="BI13" si="41">+BI12/BI11</f>
        <v>3.3333333333333333E-2</v>
      </c>
      <c r="BJ13" s="46"/>
      <c r="BK13" s="46"/>
      <c r="BL13" s="46"/>
      <c r="BM13" s="46"/>
      <c r="BN13" s="46"/>
      <c r="BO13" s="46"/>
      <c r="BP13" s="46"/>
      <c r="BQ13" s="46"/>
      <c r="BR13" s="46"/>
      <c r="BS13" s="47"/>
      <c r="BU13" s="44" t="s">
        <v>30</v>
      </c>
      <c r="BV13" s="49">
        <f>+BV12/BV11</f>
        <v>2.3809523809523808E-2</v>
      </c>
      <c r="BW13" s="49">
        <f t="shared" ref="BW13" si="42">+BW12/BW11</f>
        <v>1.1111111111111112E-2</v>
      </c>
      <c r="BX13" s="49">
        <f t="shared" ref="BX13" si="43">+BX12/BX11</f>
        <v>3.3333333333333333E-2</v>
      </c>
      <c r="BY13" s="49">
        <f t="shared" ref="BY13" si="44">+BY12/BY11</f>
        <v>3.3333333333333333E-2</v>
      </c>
      <c r="BZ13" s="49">
        <f t="shared" ref="BZ13" si="45">+BZ12/BZ11</f>
        <v>3.3333333333333333E-2</v>
      </c>
      <c r="CA13" s="49">
        <f t="shared" ref="CA13" si="46">+CA12/CA11</f>
        <v>3.3333333333333333E-2</v>
      </c>
      <c r="CB13" s="46"/>
      <c r="CC13" s="46"/>
      <c r="CD13" s="46"/>
      <c r="CE13" s="46"/>
      <c r="CF13" s="46"/>
      <c r="CG13" s="46"/>
      <c r="CH13" s="46"/>
      <c r="CI13" s="46"/>
      <c r="CJ13" s="46"/>
      <c r="CK13" s="47"/>
      <c r="CM13" s="44" t="s">
        <v>30</v>
      </c>
      <c r="CN13" s="49">
        <f>+CN12/CN11</f>
        <v>0.22968253968253968</v>
      </c>
      <c r="CO13" s="49">
        <f t="shared" ref="CO13" si="47">+CO12/CO11</f>
        <v>0.46592592592592591</v>
      </c>
      <c r="CP13" s="49">
        <f t="shared" ref="CP13" si="48">+CP12/CP11</f>
        <v>3.2222222222222222E-2</v>
      </c>
      <c r="CQ13" s="49">
        <f t="shared" ref="CQ13" si="49">+CQ12/CQ11</f>
        <v>5.5555555555555552E-2</v>
      </c>
      <c r="CR13" s="49">
        <f t="shared" ref="CR13" si="50">+CR12/CR11</f>
        <v>7.6666666666666661E-2</v>
      </c>
      <c r="CS13" s="49">
        <f t="shared" ref="CS13" si="51">+CS12/CS11</f>
        <v>4.5555555555555557E-2</v>
      </c>
      <c r="CT13" s="46"/>
      <c r="CU13" s="46"/>
      <c r="CV13" s="46"/>
      <c r="CW13" s="46"/>
      <c r="CX13" s="46"/>
      <c r="CY13" s="46"/>
      <c r="CZ13" s="46"/>
      <c r="DA13" s="46"/>
      <c r="DB13" s="46"/>
      <c r="DC13" s="47"/>
    </row>
    <row r="14" spans="1:107" x14ac:dyDescent="0.25">
      <c r="A14" s="44"/>
      <c r="B14" s="45"/>
      <c r="C14" s="45"/>
      <c r="D14" s="45"/>
      <c r="E14" s="45"/>
      <c r="F14" s="45"/>
      <c r="G14" s="45"/>
      <c r="H14" s="46"/>
      <c r="I14" s="46"/>
      <c r="J14" s="46"/>
      <c r="K14" s="46"/>
      <c r="L14" s="46"/>
      <c r="M14" s="46"/>
      <c r="N14" s="46"/>
      <c r="O14" s="46"/>
      <c r="P14" s="46"/>
      <c r="Q14" s="47"/>
      <c r="R14" s="46"/>
      <c r="S14" s="44"/>
      <c r="T14" s="45"/>
      <c r="U14" s="45"/>
      <c r="V14" s="45"/>
      <c r="W14" s="45"/>
      <c r="X14" s="45"/>
      <c r="Y14" s="45"/>
      <c r="Z14" s="46"/>
      <c r="AA14" s="46"/>
      <c r="AB14" s="46"/>
      <c r="AC14" s="46"/>
      <c r="AD14" s="46"/>
      <c r="AE14" s="46"/>
      <c r="AF14" s="46"/>
      <c r="AG14" s="46"/>
      <c r="AH14" s="46"/>
      <c r="AI14" s="47"/>
      <c r="AK14" s="44"/>
      <c r="AL14" s="45"/>
      <c r="AM14" s="45"/>
      <c r="AN14" s="45"/>
      <c r="AO14" s="45"/>
      <c r="AP14" s="45"/>
      <c r="AQ14" s="45"/>
      <c r="AR14" s="46"/>
      <c r="AS14" s="46"/>
      <c r="AT14" s="46"/>
      <c r="AU14" s="46"/>
      <c r="AV14" s="46"/>
      <c r="AW14" s="46"/>
      <c r="AX14" s="46"/>
      <c r="AY14" s="46"/>
      <c r="AZ14" s="46"/>
      <c r="BA14" s="47"/>
      <c r="BC14" s="44"/>
      <c r="BD14" s="45"/>
      <c r="BE14" s="45"/>
      <c r="BF14" s="45"/>
      <c r="BG14" s="45"/>
      <c r="BH14" s="45"/>
      <c r="BI14" s="45"/>
      <c r="BJ14" s="46"/>
      <c r="BK14" s="46"/>
      <c r="BL14" s="46"/>
      <c r="BM14" s="46"/>
      <c r="BN14" s="46"/>
      <c r="BO14" s="46"/>
      <c r="BP14" s="46"/>
      <c r="BQ14" s="46"/>
      <c r="BR14" s="46"/>
      <c r="BS14" s="47"/>
      <c r="BU14" s="44"/>
      <c r="BV14" s="45"/>
      <c r="BW14" s="45"/>
      <c r="BX14" s="45"/>
      <c r="BY14" s="45"/>
      <c r="BZ14" s="45"/>
      <c r="CA14" s="45"/>
      <c r="CB14" s="46"/>
      <c r="CC14" s="46"/>
      <c r="CD14" s="46"/>
      <c r="CE14" s="46"/>
      <c r="CF14" s="46"/>
      <c r="CG14" s="46"/>
      <c r="CH14" s="46"/>
      <c r="CI14" s="46"/>
      <c r="CJ14" s="46"/>
      <c r="CK14" s="47"/>
      <c r="CM14" s="44"/>
      <c r="CN14" s="45"/>
      <c r="CO14" s="45"/>
      <c r="CP14" s="45"/>
      <c r="CQ14" s="45"/>
      <c r="CR14" s="45"/>
      <c r="CS14" s="45"/>
      <c r="CT14" s="46"/>
      <c r="CU14" s="46"/>
      <c r="CV14" s="46"/>
      <c r="CW14" s="46"/>
      <c r="CX14" s="46"/>
      <c r="CY14" s="46"/>
      <c r="CZ14" s="46"/>
      <c r="DA14" s="46"/>
      <c r="DB14" s="46"/>
      <c r="DC14" s="47"/>
    </row>
    <row r="15" spans="1:107" x14ac:dyDescent="0.25">
      <c r="A15" s="44" t="s">
        <v>34</v>
      </c>
      <c r="B15" s="45"/>
      <c r="C15" s="45"/>
      <c r="D15" s="45"/>
      <c r="E15" s="45"/>
      <c r="F15" s="45"/>
      <c r="G15" s="45"/>
      <c r="H15" s="46"/>
      <c r="I15" s="46"/>
      <c r="J15" s="46"/>
      <c r="K15" s="46"/>
      <c r="L15" s="46"/>
      <c r="M15" s="46"/>
      <c r="N15" s="46"/>
      <c r="O15" s="46"/>
      <c r="P15" s="46"/>
      <c r="Q15" s="47"/>
      <c r="R15" s="46"/>
      <c r="S15" s="44" t="s">
        <v>34</v>
      </c>
      <c r="T15" s="45"/>
      <c r="U15" s="45"/>
      <c r="V15" s="45"/>
      <c r="W15" s="45"/>
      <c r="X15" s="45"/>
      <c r="Y15" s="45"/>
      <c r="Z15" s="46"/>
      <c r="AA15" s="46"/>
      <c r="AB15" s="46"/>
      <c r="AC15" s="46"/>
      <c r="AD15" s="46"/>
      <c r="AE15" s="46"/>
      <c r="AF15" s="46"/>
      <c r="AG15" s="46"/>
      <c r="AH15" s="46"/>
      <c r="AI15" s="47"/>
      <c r="AK15" s="44" t="s">
        <v>34</v>
      </c>
      <c r="AL15" s="45"/>
      <c r="AM15" s="45"/>
      <c r="AN15" s="45"/>
      <c r="AO15" s="45"/>
      <c r="AP15" s="45"/>
      <c r="AQ15" s="45"/>
      <c r="AR15" s="46"/>
      <c r="AS15" s="46"/>
      <c r="AT15" s="46"/>
      <c r="AU15" s="46"/>
      <c r="AV15" s="46"/>
      <c r="AW15" s="46"/>
      <c r="AX15" s="46"/>
      <c r="AY15" s="46"/>
      <c r="AZ15" s="46"/>
      <c r="BA15" s="47"/>
      <c r="BC15" s="44" t="s">
        <v>34</v>
      </c>
      <c r="BD15" s="45"/>
      <c r="BE15" s="45"/>
      <c r="BF15" s="45"/>
      <c r="BG15" s="45"/>
      <c r="BH15" s="45"/>
      <c r="BI15" s="45"/>
      <c r="BJ15" s="46"/>
      <c r="BK15" s="46"/>
      <c r="BL15" s="46"/>
      <c r="BM15" s="46"/>
      <c r="BN15" s="46"/>
      <c r="BO15" s="46"/>
      <c r="BP15" s="46"/>
      <c r="BQ15" s="46"/>
      <c r="BR15" s="46"/>
      <c r="BS15" s="47"/>
      <c r="BU15" s="44" t="s">
        <v>34</v>
      </c>
      <c r="BV15" s="45"/>
      <c r="BW15" s="45"/>
      <c r="BX15" s="45"/>
      <c r="BY15" s="45"/>
      <c r="BZ15" s="45"/>
      <c r="CA15" s="45"/>
      <c r="CB15" s="46"/>
      <c r="CC15" s="46"/>
      <c r="CD15" s="46"/>
      <c r="CE15" s="46"/>
      <c r="CF15" s="46"/>
      <c r="CG15" s="46"/>
      <c r="CH15" s="46"/>
      <c r="CI15" s="46"/>
      <c r="CJ15" s="46"/>
      <c r="CK15" s="47"/>
      <c r="CM15" s="44" t="s">
        <v>34</v>
      </c>
      <c r="CN15" s="45"/>
      <c r="CO15" s="45"/>
      <c r="CP15" s="45"/>
      <c r="CQ15" s="45"/>
      <c r="CR15" s="45"/>
      <c r="CS15" s="45"/>
      <c r="CT15" s="46"/>
      <c r="CU15" s="46"/>
      <c r="CV15" s="46"/>
      <c r="CW15" s="46"/>
      <c r="CX15" s="46"/>
      <c r="CY15" s="46"/>
      <c r="CZ15" s="46"/>
      <c r="DA15" s="46"/>
      <c r="DB15" s="46"/>
      <c r="DC15" s="47"/>
    </row>
    <row r="16" spans="1:107" ht="45" x14ac:dyDescent="0.25">
      <c r="A16" s="50"/>
      <c r="B16" s="45" t="s">
        <v>31</v>
      </c>
      <c r="C16" s="51" t="s">
        <v>23</v>
      </c>
      <c r="D16" s="51" t="s">
        <v>24</v>
      </c>
      <c r="E16" s="51" t="s">
        <v>20</v>
      </c>
      <c r="F16" s="51" t="s">
        <v>21</v>
      </c>
      <c r="G16" s="51" t="s">
        <v>22</v>
      </c>
      <c r="H16" s="46"/>
      <c r="I16" s="46"/>
      <c r="J16" s="46"/>
      <c r="K16" s="46"/>
      <c r="L16" s="46"/>
      <c r="M16" s="46"/>
      <c r="N16" s="46"/>
      <c r="O16" s="46"/>
      <c r="P16" s="46"/>
      <c r="Q16" s="47"/>
      <c r="R16" s="46"/>
      <c r="S16" s="50"/>
      <c r="T16" s="45" t="s">
        <v>31</v>
      </c>
      <c r="U16" s="51" t="s">
        <v>23</v>
      </c>
      <c r="V16" s="51" t="s">
        <v>24</v>
      </c>
      <c r="W16" s="51" t="s">
        <v>20</v>
      </c>
      <c r="X16" s="51" t="s">
        <v>21</v>
      </c>
      <c r="Y16" s="51" t="s">
        <v>22</v>
      </c>
      <c r="Z16" s="46"/>
      <c r="AA16" s="46"/>
      <c r="AB16" s="46"/>
      <c r="AC16" s="46"/>
      <c r="AD16" s="46"/>
      <c r="AE16" s="46"/>
      <c r="AF16" s="46"/>
      <c r="AG16" s="46"/>
      <c r="AH16" s="46"/>
      <c r="AI16" s="47"/>
      <c r="AK16" s="50"/>
      <c r="AL16" s="45" t="s">
        <v>31</v>
      </c>
      <c r="AM16" s="51" t="s">
        <v>23</v>
      </c>
      <c r="AN16" s="51" t="s">
        <v>24</v>
      </c>
      <c r="AO16" s="51" t="s">
        <v>20</v>
      </c>
      <c r="AP16" s="51" t="s">
        <v>21</v>
      </c>
      <c r="AQ16" s="51" t="s">
        <v>22</v>
      </c>
      <c r="AR16" s="46"/>
      <c r="AS16" s="46"/>
      <c r="AT16" s="46"/>
      <c r="AU16" s="46"/>
      <c r="AV16" s="46"/>
      <c r="AW16" s="46"/>
      <c r="AX16" s="46"/>
      <c r="AY16" s="46"/>
      <c r="AZ16" s="46"/>
      <c r="BA16" s="47"/>
      <c r="BC16" s="50"/>
      <c r="BD16" s="45" t="s">
        <v>31</v>
      </c>
      <c r="BE16" s="51" t="s">
        <v>23</v>
      </c>
      <c r="BF16" s="51" t="s">
        <v>24</v>
      </c>
      <c r="BG16" s="51" t="s">
        <v>20</v>
      </c>
      <c r="BH16" s="51" t="s">
        <v>21</v>
      </c>
      <c r="BI16" s="51" t="s">
        <v>22</v>
      </c>
      <c r="BJ16" s="46"/>
      <c r="BK16" s="46"/>
      <c r="BL16" s="46"/>
      <c r="BM16" s="46"/>
      <c r="BN16" s="46"/>
      <c r="BO16" s="46"/>
      <c r="BP16" s="46"/>
      <c r="BQ16" s="46"/>
      <c r="BR16" s="46"/>
      <c r="BS16" s="47"/>
      <c r="BU16" s="50"/>
      <c r="BV16" s="45" t="s">
        <v>31</v>
      </c>
      <c r="BW16" s="51" t="s">
        <v>23</v>
      </c>
      <c r="BX16" s="51" t="s">
        <v>24</v>
      </c>
      <c r="BY16" s="51" t="s">
        <v>20</v>
      </c>
      <c r="BZ16" s="51" t="s">
        <v>21</v>
      </c>
      <c r="CA16" s="51" t="s">
        <v>22</v>
      </c>
      <c r="CB16" s="46"/>
      <c r="CC16" s="46"/>
      <c r="CD16" s="46"/>
      <c r="CE16" s="46"/>
      <c r="CF16" s="46"/>
      <c r="CG16" s="46"/>
      <c r="CH16" s="46"/>
      <c r="CI16" s="46"/>
      <c r="CJ16" s="46"/>
      <c r="CK16" s="47"/>
      <c r="CM16" s="50"/>
      <c r="CN16" s="45" t="s">
        <v>31</v>
      </c>
      <c r="CO16" s="51" t="s">
        <v>23</v>
      </c>
      <c r="CP16" s="51" t="s">
        <v>24</v>
      </c>
      <c r="CQ16" s="51" t="s">
        <v>20</v>
      </c>
      <c r="CR16" s="51" t="s">
        <v>21</v>
      </c>
      <c r="CS16" s="51" t="s">
        <v>22</v>
      </c>
      <c r="CT16" s="46"/>
      <c r="CU16" s="46"/>
      <c r="CV16" s="46"/>
      <c r="CW16" s="46"/>
      <c r="CX16" s="46"/>
      <c r="CY16" s="46"/>
      <c r="CZ16" s="46"/>
      <c r="DA16" s="46"/>
      <c r="DB16" s="46"/>
      <c r="DC16" s="47"/>
    </row>
    <row r="17" spans="1:107" x14ac:dyDescent="0.25">
      <c r="A17" s="44" t="s">
        <v>8</v>
      </c>
      <c r="B17" s="45">
        <f>+SUM(C17:G17)</f>
        <v>1260</v>
      </c>
      <c r="C17" s="48">
        <f>+'Synthèse S1'!M37</f>
        <v>540</v>
      </c>
      <c r="D17" s="45">
        <f>+'Synthèse S1'!N37</f>
        <v>180</v>
      </c>
      <c r="E17" s="45">
        <f>+'Synthèse S1'!O37</f>
        <v>540</v>
      </c>
      <c r="F17" s="45">
        <f>+'Synthèse S1'!P37</f>
        <v>0</v>
      </c>
      <c r="G17" s="45">
        <f>+'Synthèse S1'!Q37</f>
        <v>0</v>
      </c>
      <c r="H17" s="46"/>
      <c r="I17" s="46"/>
      <c r="J17" s="52"/>
      <c r="K17" s="46"/>
      <c r="L17" s="46"/>
      <c r="M17" s="46"/>
      <c r="N17" s="46"/>
      <c r="O17" s="46"/>
      <c r="P17" s="46"/>
      <c r="Q17" s="47"/>
      <c r="R17" s="46"/>
      <c r="S17" s="44" t="s">
        <v>8</v>
      </c>
      <c r="T17" s="45">
        <f>+SUM(U17:Y17)</f>
        <v>1260</v>
      </c>
      <c r="U17" s="48">
        <f>+'Synthèse S2'!M37</f>
        <v>540</v>
      </c>
      <c r="V17" s="45">
        <f>+'Synthèse S2'!N37</f>
        <v>180</v>
      </c>
      <c r="W17" s="45">
        <f>+'Synthèse S2'!O37</f>
        <v>540</v>
      </c>
      <c r="X17" s="45">
        <f>+'Synthèse S2'!P37</f>
        <v>0</v>
      </c>
      <c r="Y17" s="45">
        <f>+'Synthèse S2'!Q37</f>
        <v>0</v>
      </c>
      <c r="Z17" s="46"/>
      <c r="AA17" s="46"/>
      <c r="AB17" s="46"/>
      <c r="AC17" s="46"/>
      <c r="AD17" s="46"/>
      <c r="AE17" s="46"/>
      <c r="AF17" s="46"/>
      <c r="AG17" s="46"/>
      <c r="AH17" s="46"/>
      <c r="AI17" s="47"/>
      <c r="AK17" s="44" t="s">
        <v>8</v>
      </c>
      <c r="AL17" s="45">
        <f>+SUM(AM17:AQ17)</f>
        <v>1260</v>
      </c>
      <c r="AM17" s="48">
        <f>'Synthèse S3'!M37</f>
        <v>540</v>
      </c>
      <c r="AN17" s="48">
        <f>'Synthèse S3'!N37</f>
        <v>180</v>
      </c>
      <c r="AO17" s="48">
        <f>'Synthèse S3'!O37</f>
        <v>540</v>
      </c>
      <c r="AP17" s="48">
        <f>'Synthèse S3'!P37</f>
        <v>0</v>
      </c>
      <c r="AQ17" s="48">
        <f>'Synthèse S3'!Q37</f>
        <v>0</v>
      </c>
      <c r="AR17" s="46"/>
      <c r="AS17" s="46"/>
      <c r="AT17" s="46"/>
      <c r="AU17" s="46"/>
      <c r="AV17" s="46"/>
      <c r="AW17" s="46"/>
      <c r="AX17" s="46"/>
      <c r="AY17" s="46"/>
      <c r="AZ17" s="46"/>
      <c r="BA17" s="47"/>
      <c r="BC17" s="44" t="s">
        <v>8</v>
      </c>
      <c r="BD17" s="45">
        <f>+SUM(BE17:BI17)</f>
        <v>1260</v>
      </c>
      <c r="BE17" s="48">
        <f>'Synthèse S4'!M37</f>
        <v>540</v>
      </c>
      <c r="BF17" s="48">
        <f>'Synthèse S4'!N37</f>
        <v>180</v>
      </c>
      <c r="BG17" s="48">
        <f>'Synthèse S4'!O37</f>
        <v>540</v>
      </c>
      <c r="BH17" s="48">
        <f>'Synthèse S4'!P37</f>
        <v>0</v>
      </c>
      <c r="BI17" s="48">
        <f>'Synthèse S4'!Q37</f>
        <v>0</v>
      </c>
      <c r="BJ17" s="46"/>
      <c r="BK17" s="46"/>
      <c r="BL17" s="46"/>
      <c r="BM17" s="46"/>
      <c r="BN17" s="46"/>
      <c r="BO17" s="46"/>
      <c r="BP17" s="46"/>
      <c r="BQ17" s="46"/>
      <c r="BR17" s="46"/>
      <c r="BS17" s="47"/>
      <c r="BU17" s="44" t="s">
        <v>8</v>
      </c>
      <c r="BV17" s="45">
        <f>+SUM(BW17:CA17)</f>
        <v>1260</v>
      </c>
      <c r="BW17" s="48">
        <f>'Synthèse S5'!M37</f>
        <v>540</v>
      </c>
      <c r="BX17" s="48">
        <f>'Synthèse S5'!N37</f>
        <v>180</v>
      </c>
      <c r="BY17" s="48">
        <f>'Synthèse S5'!O37</f>
        <v>540</v>
      </c>
      <c r="BZ17" s="48">
        <f>'Synthèse S5'!P37</f>
        <v>0</v>
      </c>
      <c r="CA17" s="48">
        <f>'Synthèse S5'!Q37</f>
        <v>0</v>
      </c>
      <c r="CB17" s="46"/>
      <c r="CC17" s="46"/>
      <c r="CD17" s="46"/>
      <c r="CE17" s="46"/>
      <c r="CF17" s="46"/>
      <c r="CG17" s="46"/>
      <c r="CH17" s="46"/>
      <c r="CI17" s="46"/>
      <c r="CJ17" s="46"/>
      <c r="CK17" s="47"/>
      <c r="CM17" s="44" t="s">
        <v>8</v>
      </c>
      <c r="CN17" s="45">
        <f>+SUM(CO17:CS17)</f>
        <v>6300</v>
      </c>
      <c r="CO17" s="48">
        <f>'Total semaines'!M37</f>
        <v>2700</v>
      </c>
      <c r="CP17" s="48">
        <f>'Total semaines'!N37</f>
        <v>900</v>
      </c>
      <c r="CQ17" s="48">
        <f>'Total semaines'!O37</f>
        <v>2700</v>
      </c>
      <c r="CR17" s="48">
        <f>'Total semaines'!P37</f>
        <v>0</v>
      </c>
      <c r="CS17" s="48">
        <f>'Total semaines'!Q37</f>
        <v>0</v>
      </c>
      <c r="CT17" s="46"/>
      <c r="CU17" s="46"/>
      <c r="CV17" s="46"/>
      <c r="CW17" s="46"/>
      <c r="CX17" s="46"/>
      <c r="CY17" s="46"/>
      <c r="CZ17" s="46"/>
      <c r="DA17" s="46"/>
      <c r="DB17" s="46"/>
      <c r="DC17" s="47"/>
    </row>
    <row r="18" spans="1:107" x14ac:dyDescent="0.25">
      <c r="A18" s="44" t="s">
        <v>9</v>
      </c>
      <c r="B18" s="45">
        <f>+SUM(C18:G18)</f>
        <v>991</v>
      </c>
      <c r="C18" s="48">
        <f>+'Synthèse S1'!AG37</f>
        <v>493</v>
      </c>
      <c r="D18" s="45">
        <f>+'Synthèse S1'!AH37</f>
        <v>1</v>
      </c>
      <c r="E18" s="45">
        <f>+'Synthèse S1'!AI37</f>
        <v>495</v>
      </c>
      <c r="F18" s="45">
        <f>+'Synthèse S1'!AJ37</f>
        <v>1</v>
      </c>
      <c r="G18" s="45">
        <f>+'Synthèse S1'!AK37</f>
        <v>1</v>
      </c>
      <c r="H18" s="46"/>
      <c r="I18" s="46"/>
      <c r="J18" s="46"/>
      <c r="K18" s="46"/>
      <c r="L18" s="46"/>
      <c r="M18" s="46"/>
      <c r="N18" s="46"/>
      <c r="O18" s="46"/>
      <c r="P18" s="46"/>
      <c r="Q18" s="47"/>
      <c r="R18" s="46"/>
      <c r="S18" s="44" t="s">
        <v>9</v>
      </c>
      <c r="T18" s="45">
        <f>+SUM(U18:Y18)</f>
        <v>30</v>
      </c>
      <c r="U18" s="48">
        <f>+'Synthèse S2'!AG37</f>
        <v>6</v>
      </c>
      <c r="V18" s="45">
        <f>+'Synthèse S2'!AH37</f>
        <v>6</v>
      </c>
      <c r="W18" s="45">
        <f>+'Synthèse S2'!AI37</f>
        <v>6</v>
      </c>
      <c r="X18" s="45">
        <f>+'Synthèse S2'!AJ37</f>
        <v>6</v>
      </c>
      <c r="Y18" s="45">
        <f>+'Synthèse S2'!AK37</f>
        <v>6</v>
      </c>
      <c r="Z18" s="46"/>
      <c r="AA18" s="46"/>
      <c r="AB18" s="46"/>
      <c r="AC18" s="46"/>
      <c r="AD18" s="46"/>
      <c r="AE18" s="46"/>
      <c r="AF18" s="46"/>
      <c r="AG18" s="46"/>
      <c r="AH18" s="46"/>
      <c r="AI18" s="47"/>
      <c r="AK18" s="44" t="s">
        <v>9</v>
      </c>
      <c r="AL18" s="45">
        <f>+SUM(AM18:AQ18)</f>
        <v>30</v>
      </c>
      <c r="AM18" s="48">
        <f>'Synthèse S3'!AG37</f>
        <v>6</v>
      </c>
      <c r="AN18" s="48">
        <f>'Synthèse S3'!AH37</f>
        <v>6</v>
      </c>
      <c r="AO18" s="48">
        <f>'Synthèse S3'!AI37</f>
        <v>6</v>
      </c>
      <c r="AP18" s="48">
        <f>'Synthèse S3'!AJ37</f>
        <v>6</v>
      </c>
      <c r="AQ18" s="48">
        <f>'Synthèse S3'!AK37</f>
        <v>6</v>
      </c>
      <c r="AR18" s="46"/>
      <c r="AS18" s="46"/>
      <c r="AT18" s="46"/>
      <c r="AU18" s="46"/>
      <c r="AV18" s="46"/>
      <c r="AW18" s="46"/>
      <c r="AX18" s="46"/>
      <c r="AY18" s="46"/>
      <c r="AZ18" s="46"/>
      <c r="BA18" s="47"/>
      <c r="BC18" s="44" t="s">
        <v>9</v>
      </c>
      <c r="BD18" s="45">
        <f>+SUM(BE18:BI18)</f>
        <v>30</v>
      </c>
      <c r="BE18" s="48">
        <f>'Synthèse S4'!AG37</f>
        <v>6</v>
      </c>
      <c r="BF18" s="48">
        <f>'Synthèse S4'!AH37</f>
        <v>6</v>
      </c>
      <c r="BG18" s="48">
        <f>'Synthèse S4'!AI37</f>
        <v>6</v>
      </c>
      <c r="BH18" s="48">
        <f>'Synthèse S4'!AJ37</f>
        <v>6</v>
      </c>
      <c r="BI18" s="48">
        <f>'Synthèse S4'!AK37</f>
        <v>6</v>
      </c>
      <c r="BJ18" s="46"/>
      <c r="BK18" s="46"/>
      <c r="BL18" s="46"/>
      <c r="BM18" s="46"/>
      <c r="BN18" s="46"/>
      <c r="BO18" s="46"/>
      <c r="BP18" s="46"/>
      <c r="BQ18" s="46"/>
      <c r="BR18" s="46"/>
      <c r="BS18" s="47"/>
      <c r="BU18" s="44" t="s">
        <v>9</v>
      </c>
      <c r="BV18" s="45">
        <f>+SUM(BW18:CA18)</f>
        <v>30</v>
      </c>
      <c r="BW18" s="48">
        <f>'Synthèse S5'!AG37</f>
        <v>6</v>
      </c>
      <c r="BX18" s="48">
        <f>'Synthèse S5'!AH37</f>
        <v>6</v>
      </c>
      <c r="BY18" s="48">
        <f>'Synthèse S5'!AI37</f>
        <v>6</v>
      </c>
      <c r="BZ18" s="48">
        <f>'Synthèse S5'!AJ37</f>
        <v>6</v>
      </c>
      <c r="CA18" s="48">
        <f>'Synthèse S5'!AK37</f>
        <v>6</v>
      </c>
      <c r="CB18" s="46"/>
      <c r="CC18" s="46"/>
      <c r="CD18" s="46"/>
      <c r="CE18" s="46"/>
      <c r="CF18" s="46"/>
      <c r="CG18" s="46"/>
      <c r="CH18" s="46"/>
      <c r="CI18" s="46"/>
      <c r="CJ18" s="46"/>
      <c r="CK18" s="47"/>
      <c r="CM18" s="44" t="s">
        <v>9</v>
      </c>
      <c r="CN18" s="45">
        <f>+SUM(CO18:CS18)</f>
        <v>1111</v>
      </c>
      <c r="CO18" s="48">
        <f>'Total semaines'!AG37</f>
        <v>517</v>
      </c>
      <c r="CP18" s="48">
        <f>'Total semaines'!AH37</f>
        <v>25</v>
      </c>
      <c r="CQ18" s="48">
        <f>'Total semaines'!AI37</f>
        <v>519</v>
      </c>
      <c r="CR18" s="48">
        <f>'Total semaines'!AJ37</f>
        <v>25</v>
      </c>
      <c r="CS18" s="48">
        <f>'Total semaines'!AK37</f>
        <v>25</v>
      </c>
      <c r="CT18" s="46"/>
      <c r="CU18" s="46"/>
      <c r="CV18" s="46"/>
      <c r="CW18" s="46"/>
      <c r="CX18" s="46"/>
      <c r="CY18" s="46"/>
      <c r="CZ18" s="46"/>
      <c r="DA18" s="46"/>
      <c r="DB18" s="46"/>
      <c r="DC18" s="47"/>
    </row>
    <row r="19" spans="1:107" x14ac:dyDescent="0.25">
      <c r="A19" s="44" t="s">
        <v>30</v>
      </c>
      <c r="B19" s="49">
        <f>+B18/B17</f>
        <v>0.78650793650793649</v>
      </c>
      <c r="C19" s="49">
        <f>+C18/C17</f>
        <v>0.91296296296296298</v>
      </c>
      <c r="D19" s="49">
        <f t="shared" ref="D19:G19" si="52">+D18/D17</f>
        <v>5.5555555555555558E-3</v>
      </c>
      <c r="E19" s="49">
        <f t="shared" si="52"/>
        <v>0.91666666666666663</v>
      </c>
      <c r="F19" s="49" t="e">
        <f t="shared" si="52"/>
        <v>#DIV/0!</v>
      </c>
      <c r="G19" s="49" t="e">
        <f t="shared" si="52"/>
        <v>#DIV/0!</v>
      </c>
      <c r="H19" s="46"/>
      <c r="I19" s="46"/>
      <c r="J19" s="46"/>
      <c r="K19" s="46"/>
      <c r="L19" s="46"/>
      <c r="M19" s="46"/>
      <c r="N19" s="46"/>
      <c r="O19" s="46"/>
      <c r="P19" s="46"/>
      <c r="Q19" s="47"/>
      <c r="R19" s="46"/>
      <c r="S19" s="44" t="s">
        <v>30</v>
      </c>
      <c r="T19" s="49">
        <f>+T18/T17</f>
        <v>2.3809523809523808E-2</v>
      </c>
      <c r="U19" s="49">
        <f>+U18/U17</f>
        <v>1.1111111111111112E-2</v>
      </c>
      <c r="V19" s="49">
        <f t="shared" ref="V19" si="53">+V18/V17</f>
        <v>3.3333333333333333E-2</v>
      </c>
      <c r="W19" s="49">
        <f t="shared" ref="W19" si="54">+W18/W17</f>
        <v>1.1111111111111112E-2</v>
      </c>
      <c r="X19" s="49" t="e">
        <f t="shared" ref="X19" si="55">+X18/X17</f>
        <v>#DIV/0!</v>
      </c>
      <c r="Y19" s="49" t="e">
        <f t="shared" ref="Y19" si="56">+Y18/Y17</f>
        <v>#DIV/0!</v>
      </c>
      <c r="Z19" s="46"/>
      <c r="AA19" s="46"/>
      <c r="AB19" s="46"/>
      <c r="AC19" s="46"/>
      <c r="AD19" s="46"/>
      <c r="AE19" s="46"/>
      <c r="AF19" s="46"/>
      <c r="AG19" s="46"/>
      <c r="AH19" s="46"/>
      <c r="AI19" s="47"/>
      <c r="AK19" s="44" t="s">
        <v>30</v>
      </c>
      <c r="AL19" s="49">
        <f>+AL18/AL17</f>
        <v>2.3809523809523808E-2</v>
      </c>
      <c r="AM19" s="49">
        <f>+AM18/AM17</f>
        <v>1.1111111111111112E-2</v>
      </c>
      <c r="AN19" s="49">
        <f t="shared" ref="AN19" si="57">+AN18/AN17</f>
        <v>3.3333333333333333E-2</v>
      </c>
      <c r="AO19" s="49">
        <f t="shared" ref="AO19" si="58">+AO18/AO17</f>
        <v>1.1111111111111112E-2</v>
      </c>
      <c r="AP19" s="49" t="e">
        <f t="shared" ref="AP19" si="59">+AP18/AP17</f>
        <v>#DIV/0!</v>
      </c>
      <c r="AQ19" s="49" t="e">
        <f t="shared" ref="AQ19" si="60">+AQ18/AQ17</f>
        <v>#DIV/0!</v>
      </c>
      <c r="AR19" s="46"/>
      <c r="AS19" s="46"/>
      <c r="AT19" s="46"/>
      <c r="AU19" s="46"/>
      <c r="AV19" s="46"/>
      <c r="AW19" s="46"/>
      <c r="AX19" s="46"/>
      <c r="AY19" s="46"/>
      <c r="AZ19" s="46"/>
      <c r="BA19" s="47"/>
      <c r="BC19" s="44" t="s">
        <v>30</v>
      </c>
      <c r="BD19" s="49">
        <f>+BD18/BD17</f>
        <v>2.3809523809523808E-2</v>
      </c>
      <c r="BE19" s="49">
        <f>+BE18/BE17</f>
        <v>1.1111111111111112E-2</v>
      </c>
      <c r="BF19" s="49">
        <f t="shared" ref="BF19" si="61">+BF18/BF17</f>
        <v>3.3333333333333333E-2</v>
      </c>
      <c r="BG19" s="49">
        <f t="shared" ref="BG19" si="62">+BG18/BG17</f>
        <v>1.1111111111111112E-2</v>
      </c>
      <c r="BH19" s="49" t="e">
        <f t="shared" ref="BH19" si="63">+BH18/BH17</f>
        <v>#DIV/0!</v>
      </c>
      <c r="BI19" s="49" t="e">
        <f t="shared" ref="BI19" si="64">+BI18/BI17</f>
        <v>#DIV/0!</v>
      </c>
      <c r="BJ19" s="46"/>
      <c r="BK19" s="46"/>
      <c r="BL19" s="46"/>
      <c r="BM19" s="46"/>
      <c r="BN19" s="46"/>
      <c r="BO19" s="46"/>
      <c r="BP19" s="46"/>
      <c r="BQ19" s="46"/>
      <c r="BR19" s="46"/>
      <c r="BS19" s="47"/>
      <c r="BU19" s="44" t="s">
        <v>30</v>
      </c>
      <c r="BV19" s="49">
        <f>+BV18/BV17</f>
        <v>2.3809523809523808E-2</v>
      </c>
      <c r="BW19" s="49">
        <f>+BW18/BW17</f>
        <v>1.1111111111111112E-2</v>
      </c>
      <c r="BX19" s="49">
        <f t="shared" ref="BX19" si="65">+BX18/BX17</f>
        <v>3.3333333333333333E-2</v>
      </c>
      <c r="BY19" s="49">
        <f t="shared" ref="BY19" si="66">+BY18/BY17</f>
        <v>1.1111111111111112E-2</v>
      </c>
      <c r="BZ19" s="49" t="e">
        <f t="shared" ref="BZ19" si="67">+BZ18/BZ17</f>
        <v>#DIV/0!</v>
      </c>
      <c r="CA19" s="49" t="e">
        <f t="shared" ref="CA19" si="68">+CA18/CA17</f>
        <v>#DIV/0!</v>
      </c>
      <c r="CB19" s="46"/>
      <c r="CC19" s="46"/>
      <c r="CD19" s="46"/>
      <c r="CE19" s="46"/>
      <c r="CF19" s="46"/>
      <c r="CG19" s="46"/>
      <c r="CH19" s="46"/>
      <c r="CI19" s="46"/>
      <c r="CJ19" s="46"/>
      <c r="CK19" s="47"/>
      <c r="CM19" s="44" t="s">
        <v>30</v>
      </c>
      <c r="CN19" s="49">
        <f>+CN18/CN17</f>
        <v>0.17634920634920634</v>
      </c>
      <c r="CO19" s="49">
        <f>+CO18/CO17</f>
        <v>0.19148148148148147</v>
      </c>
      <c r="CP19" s="49">
        <f t="shared" ref="CP19" si="69">+CP18/CP17</f>
        <v>2.7777777777777776E-2</v>
      </c>
      <c r="CQ19" s="49">
        <f t="shared" ref="CQ19" si="70">+CQ18/CQ17</f>
        <v>0.19222222222222221</v>
      </c>
      <c r="CR19" s="49" t="e">
        <f t="shared" ref="CR19" si="71">+CR18/CR17</f>
        <v>#DIV/0!</v>
      </c>
      <c r="CS19" s="49" t="e">
        <f t="shared" ref="CS19" si="72">+CS18/CS17</f>
        <v>#DIV/0!</v>
      </c>
      <c r="CT19" s="46"/>
      <c r="CU19" s="46"/>
      <c r="CV19" s="46"/>
      <c r="CW19" s="46"/>
      <c r="CX19" s="46"/>
      <c r="CY19" s="46"/>
      <c r="CZ19" s="46"/>
      <c r="DA19" s="46"/>
      <c r="DB19" s="46"/>
      <c r="DC19" s="47"/>
    </row>
    <row r="20" spans="1:107" x14ac:dyDescent="0.25">
      <c r="A20" s="50"/>
      <c r="B20" s="45"/>
      <c r="C20" s="45"/>
      <c r="D20" s="45"/>
      <c r="E20" s="45"/>
      <c r="F20" s="45"/>
      <c r="G20" s="45"/>
      <c r="H20" s="46"/>
      <c r="I20" s="46"/>
      <c r="J20" s="46"/>
      <c r="K20" s="46"/>
      <c r="L20" s="46"/>
      <c r="M20" s="46"/>
      <c r="N20" s="46"/>
      <c r="O20" s="46"/>
      <c r="P20" s="46"/>
      <c r="Q20" s="47"/>
      <c r="R20" s="46"/>
      <c r="S20" s="50"/>
      <c r="T20" s="45"/>
      <c r="U20" s="45"/>
      <c r="V20" s="45"/>
      <c r="W20" s="45"/>
      <c r="X20" s="45"/>
      <c r="Y20" s="45"/>
      <c r="Z20" s="46"/>
      <c r="AA20" s="46"/>
      <c r="AB20" s="46"/>
      <c r="AC20" s="46"/>
      <c r="AD20" s="46"/>
      <c r="AE20" s="46"/>
      <c r="AF20" s="46"/>
      <c r="AG20" s="46"/>
      <c r="AH20" s="46"/>
      <c r="AI20" s="47"/>
      <c r="AK20" s="50"/>
      <c r="AL20" s="45"/>
      <c r="AM20" s="45"/>
      <c r="AN20" s="45"/>
      <c r="AO20" s="45"/>
      <c r="AP20" s="45"/>
      <c r="AQ20" s="45"/>
      <c r="AR20" s="46"/>
      <c r="AS20" s="46"/>
      <c r="AT20" s="46"/>
      <c r="AU20" s="46"/>
      <c r="AV20" s="46"/>
      <c r="AW20" s="46"/>
      <c r="AX20" s="46"/>
      <c r="AY20" s="46"/>
      <c r="AZ20" s="46"/>
      <c r="BA20" s="47"/>
      <c r="BC20" s="50"/>
      <c r="BD20" s="45"/>
      <c r="BE20" s="45"/>
      <c r="BF20" s="45"/>
      <c r="BG20" s="45"/>
      <c r="BH20" s="45"/>
      <c r="BI20" s="45"/>
      <c r="BJ20" s="46"/>
      <c r="BK20" s="46"/>
      <c r="BL20" s="46"/>
      <c r="BM20" s="46"/>
      <c r="BN20" s="46"/>
      <c r="BO20" s="46"/>
      <c r="BP20" s="46"/>
      <c r="BQ20" s="46"/>
      <c r="BR20" s="46"/>
      <c r="BS20" s="47"/>
      <c r="BU20" s="50"/>
      <c r="BV20" s="45"/>
      <c r="BW20" s="45"/>
      <c r="BX20" s="45"/>
      <c r="BY20" s="45"/>
      <c r="BZ20" s="45"/>
      <c r="CA20" s="45"/>
      <c r="CB20" s="46"/>
      <c r="CC20" s="46"/>
      <c r="CD20" s="46"/>
      <c r="CE20" s="46"/>
      <c r="CF20" s="46"/>
      <c r="CG20" s="46"/>
      <c r="CH20" s="46"/>
      <c r="CI20" s="46"/>
      <c r="CJ20" s="46"/>
      <c r="CK20" s="47"/>
      <c r="CM20" s="50"/>
      <c r="CN20" s="45"/>
      <c r="CO20" s="45"/>
      <c r="CP20" s="45"/>
      <c r="CQ20" s="45"/>
      <c r="CR20" s="45"/>
      <c r="CS20" s="45"/>
      <c r="CT20" s="46"/>
      <c r="CU20" s="46"/>
      <c r="CV20" s="46"/>
      <c r="CW20" s="46"/>
      <c r="CX20" s="46"/>
      <c r="CY20" s="46"/>
      <c r="CZ20" s="46"/>
      <c r="DA20" s="46"/>
      <c r="DB20" s="46"/>
      <c r="DC20" s="47"/>
    </row>
    <row r="21" spans="1:107" ht="45" x14ac:dyDescent="0.25">
      <c r="A21" s="44" t="s">
        <v>19</v>
      </c>
      <c r="B21" s="45" t="s">
        <v>31</v>
      </c>
      <c r="C21" s="51" t="s">
        <v>2</v>
      </c>
      <c r="D21" s="51" t="s">
        <v>3</v>
      </c>
      <c r="E21" s="51" t="s">
        <v>27</v>
      </c>
      <c r="F21" s="51" t="s">
        <v>4</v>
      </c>
      <c r="G21" s="51" t="s">
        <v>5</v>
      </c>
      <c r="H21" s="46"/>
      <c r="I21" s="46"/>
      <c r="J21" s="46"/>
      <c r="K21" s="46"/>
      <c r="L21" s="46"/>
      <c r="M21" s="46"/>
      <c r="N21" s="46"/>
      <c r="O21" s="46"/>
      <c r="P21" s="46"/>
      <c r="Q21" s="47"/>
      <c r="R21" s="46"/>
      <c r="S21" s="44" t="s">
        <v>19</v>
      </c>
      <c r="T21" s="45" t="s">
        <v>31</v>
      </c>
      <c r="U21" s="51" t="s">
        <v>2</v>
      </c>
      <c r="V21" s="51" t="s">
        <v>3</v>
      </c>
      <c r="W21" s="51" t="s">
        <v>27</v>
      </c>
      <c r="X21" s="51" t="s">
        <v>4</v>
      </c>
      <c r="Y21" s="51" t="s">
        <v>5</v>
      </c>
      <c r="Z21" s="46"/>
      <c r="AA21" s="46"/>
      <c r="AB21" s="46"/>
      <c r="AC21" s="46"/>
      <c r="AD21" s="46"/>
      <c r="AE21" s="46"/>
      <c r="AF21" s="46"/>
      <c r="AG21" s="46"/>
      <c r="AH21" s="46"/>
      <c r="AI21" s="47"/>
      <c r="AK21" s="44" t="s">
        <v>19</v>
      </c>
      <c r="AL21" s="45" t="s">
        <v>31</v>
      </c>
      <c r="AM21" s="51" t="s">
        <v>2</v>
      </c>
      <c r="AN21" s="51" t="s">
        <v>3</v>
      </c>
      <c r="AO21" s="51" t="s">
        <v>27</v>
      </c>
      <c r="AP21" s="51" t="s">
        <v>4</v>
      </c>
      <c r="AQ21" s="51" t="s">
        <v>5</v>
      </c>
      <c r="AR21" s="46"/>
      <c r="AS21" s="46"/>
      <c r="AT21" s="46"/>
      <c r="AU21" s="46"/>
      <c r="AV21" s="46"/>
      <c r="AW21" s="46"/>
      <c r="AX21" s="46"/>
      <c r="AY21" s="46"/>
      <c r="AZ21" s="46"/>
      <c r="BA21" s="47"/>
      <c r="BC21" s="44" t="s">
        <v>19</v>
      </c>
      <c r="BD21" s="45" t="s">
        <v>31</v>
      </c>
      <c r="BE21" s="51" t="s">
        <v>2</v>
      </c>
      <c r="BF21" s="51" t="s">
        <v>3</v>
      </c>
      <c r="BG21" s="51" t="s">
        <v>27</v>
      </c>
      <c r="BH21" s="51" t="s">
        <v>4</v>
      </c>
      <c r="BI21" s="51" t="s">
        <v>5</v>
      </c>
      <c r="BJ21" s="46"/>
      <c r="BK21" s="46"/>
      <c r="BL21" s="46"/>
      <c r="BM21" s="46"/>
      <c r="BN21" s="46"/>
      <c r="BO21" s="46"/>
      <c r="BP21" s="46"/>
      <c r="BQ21" s="46"/>
      <c r="BR21" s="46"/>
      <c r="BS21" s="47"/>
      <c r="BU21" s="44" t="s">
        <v>19</v>
      </c>
      <c r="BV21" s="45" t="s">
        <v>31</v>
      </c>
      <c r="BW21" s="51" t="s">
        <v>2</v>
      </c>
      <c r="BX21" s="51" t="s">
        <v>3</v>
      </c>
      <c r="BY21" s="51" t="s">
        <v>27</v>
      </c>
      <c r="BZ21" s="51" t="s">
        <v>4</v>
      </c>
      <c r="CA21" s="51" t="s">
        <v>5</v>
      </c>
      <c r="CB21" s="46"/>
      <c r="CC21" s="46"/>
      <c r="CD21" s="46"/>
      <c r="CE21" s="46"/>
      <c r="CF21" s="46"/>
      <c r="CG21" s="46"/>
      <c r="CH21" s="46"/>
      <c r="CI21" s="46"/>
      <c r="CJ21" s="46"/>
      <c r="CK21" s="47"/>
      <c r="CM21" s="44" t="s">
        <v>19</v>
      </c>
      <c r="CN21" s="45" t="s">
        <v>31</v>
      </c>
      <c r="CO21" s="51" t="s">
        <v>2</v>
      </c>
      <c r="CP21" s="51" t="s">
        <v>3</v>
      </c>
      <c r="CQ21" s="51" t="s">
        <v>27</v>
      </c>
      <c r="CR21" s="51" t="s">
        <v>4</v>
      </c>
      <c r="CS21" s="51" t="s">
        <v>5</v>
      </c>
      <c r="CT21" s="46"/>
      <c r="CU21" s="46"/>
      <c r="CV21" s="46"/>
      <c r="CW21" s="46"/>
      <c r="CX21" s="46"/>
      <c r="CY21" s="46"/>
      <c r="CZ21" s="46"/>
      <c r="DA21" s="46"/>
      <c r="DB21" s="46"/>
      <c r="DC21" s="47"/>
    </row>
    <row r="22" spans="1:107" x14ac:dyDescent="0.25">
      <c r="A22" s="44" t="s">
        <v>8</v>
      </c>
      <c r="B22" s="45">
        <f>+SUM(C22:G22)</f>
        <v>272.99999999999994</v>
      </c>
      <c r="C22" s="48">
        <f>+'Synthèse S1'!R37</f>
        <v>90</v>
      </c>
      <c r="D22" s="45">
        <f>+'Synthèse S1'!S37</f>
        <v>29.999999999999996</v>
      </c>
      <c r="E22" s="45">
        <f>+'Synthèse S1'!T37</f>
        <v>18</v>
      </c>
      <c r="F22" s="45">
        <f>+'Synthèse S1'!U37</f>
        <v>107.99999999999994</v>
      </c>
      <c r="G22" s="45">
        <f>+'Synthèse S1'!V37</f>
        <v>26.999999999999986</v>
      </c>
      <c r="H22" s="46"/>
      <c r="I22" s="46"/>
      <c r="J22" s="46"/>
      <c r="K22" s="46"/>
      <c r="L22" s="46"/>
      <c r="M22" s="46"/>
      <c r="N22" s="46"/>
      <c r="O22" s="46"/>
      <c r="P22" s="46"/>
      <c r="Q22" s="47"/>
      <c r="R22" s="46"/>
      <c r="S22" s="44" t="s">
        <v>8</v>
      </c>
      <c r="T22" s="45">
        <f>+SUM(U22:Y22)</f>
        <v>5400</v>
      </c>
      <c r="U22" s="48">
        <f>+'Synthèse S2'!C37</f>
        <v>2700</v>
      </c>
      <c r="V22" s="45">
        <f>+'Synthèse S2'!D37</f>
        <v>540</v>
      </c>
      <c r="W22" s="45">
        <f>+'Synthèse S2'!E37</f>
        <v>900</v>
      </c>
      <c r="X22" s="45">
        <f>+'Synthèse S2'!F37</f>
        <v>360</v>
      </c>
      <c r="Y22" s="45">
        <f>+'Synthèse S2'!G37</f>
        <v>900</v>
      </c>
      <c r="Z22" s="46"/>
      <c r="AA22" s="46"/>
      <c r="AB22" s="46"/>
      <c r="AC22" s="46"/>
      <c r="AD22" s="46"/>
      <c r="AE22" s="46"/>
      <c r="AF22" s="46"/>
      <c r="AG22" s="46"/>
      <c r="AH22" s="46"/>
      <c r="AI22" s="47"/>
      <c r="AK22" s="44" t="s">
        <v>8</v>
      </c>
      <c r="AL22" s="45">
        <f>+SUM(AM22:AQ22)</f>
        <v>272.99999999999994</v>
      </c>
      <c r="AM22" s="48">
        <f>'Synthèse S3'!R37</f>
        <v>90</v>
      </c>
      <c r="AN22" s="45">
        <f>'Synthèse S3'!S37</f>
        <v>29.999999999999996</v>
      </c>
      <c r="AO22" s="45">
        <f>'Synthèse S3'!T37</f>
        <v>18</v>
      </c>
      <c r="AP22" s="45">
        <f>'Synthèse S3'!U37</f>
        <v>107.99999999999994</v>
      </c>
      <c r="AQ22" s="45">
        <f>'Synthèse S3'!V37</f>
        <v>26.999999999999986</v>
      </c>
      <c r="AR22" s="46"/>
      <c r="AS22" s="46"/>
      <c r="AT22" s="46"/>
      <c r="AU22" s="46"/>
      <c r="AV22" s="46"/>
      <c r="AW22" s="46"/>
      <c r="AX22" s="46"/>
      <c r="AY22" s="46"/>
      <c r="AZ22" s="46"/>
      <c r="BA22" s="47"/>
      <c r="BC22" s="44" t="s">
        <v>8</v>
      </c>
      <c r="BD22" s="45">
        <f>+SUM(BE22:BI22)</f>
        <v>272.99999999999994</v>
      </c>
      <c r="BE22" s="48">
        <f>'Synthèse S4'!R37</f>
        <v>90</v>
      </c>
      <c r="BF22" s="45">
        <f>'Synthèse S4'!S37</f>
        <v>29.999999999999996</v>
      </c>
      <c r="BG22" s="45">
        <f>'Synthèse S4'!T37</f>
        <v>18</v>
      </c>
      <c r="BH22" s="45">
        <f>'Synthèse S4'!U37</f>
        <v>107.99999999999994</v>
      </c>
      <c r="BI22" s="45">
        <f>'Synthèse S4'!V37</f>
        <v>26.999999999999986</v>
      </c>
      <c r="BJ22" s="46"/>
      <c r="BK22" s="46"/>
      <c r="BL22" s="46"/>
      <c r="BM22" s="46"/>
      <c r="BN22" s="46"/>
      <c r="BO22" s="46"/>
      <c r="BP22" s="46"/>
      <c r="BQ22" s="46"/>
      <c r="BR22" s="46"/>
      <c r="BS22" s="47"/>
      <c r="BU22" s="44" t="s">
        <v>8</v>
      </c>
      <c r="BV22" s="45">
        <f>+SUM(BW22:CA22)</f>
        <v>272.99999999999994</v>
      </c>
      <c r="BW22" s="48">
        <f>'Synthèse S5'!R37</f>
        <v>90</v>
      </c>
      <c r="BX22" s="45">
        <f>'Synthèse S5'!S37</f>
        <v>29.999999999999996</v>
      </c>
      <c r="BY22" s="45">
        <f>'Synthèse S5'!T37</f>
        <v>18</v>
      </c>
      <c r="BZ22" s="45">
        <f>'Synthèse S5'!U37</f>
        <v>107.99999999999994</v>
      </c>
      <c r="CA22" s="45">
        <f>'Synthèse S5'!V37</f>
        <v>26.999999999999986</v>
      </c>
      <c r="CB22" s="46"/>
      <c r="CC22" s="46"/>
      <c r="CD22" s="46"/>
      <c r="CE22" s="46"/>
      <c r="CF22" s="46"/>
      <c r="CG22" s="46"/>
      <c r="CH22" s="46"/>
      <c r="CI22" s="46"/>
      <c r="CJ22" s="46"/>
      <c r="CK22" s="47"/>
      <c r="CM22" s="44" t="s">
        <v>8</v>
      </c>
      <c r="CN22" s="45">
        <f>+SUM(CO22:CS22)</f>
        <v>1365</v>
      </c>
      <c r="CO22" s="48">
        <f>'Total semaines'!R37</f>
        <v>450</v>
      </c>
      <c r="CP22" s="45">
        <f>'Total semaines'!S37</f>
        <v>149.99999999999997</v>
      </c>
      <c r="CQ22" s="45">
        <f>'Total semaines'!T37</f>
        <v>90</v>
      </c>
      <c r="CR22" s="45">
        <f>'Total semaines'!U37</f>
        <v>540</v>
      </c>
      <c r="CS22" s="45">
        <f>'Total semaines'!V37</f>
        <v>135</v>
      </c>
      <c r="CT22" s="46"/>
      <c r="CU22" s="46"/>
      <c r="CV22" s="46"/>
      <c r="CW22" s="46"/>
      <c r="CX22" s="46"/>
      <c r="CY22" s="46"/>
      <c r="CZ22" s="46"/>
      <c r="DA22" s="46"/>
      <c r="DB22" s="46"/>
      <c r="DC22" s="47"/>
    </row>
    <row r="23" spans="1:107" x14ac:dyDescent="0.25">
      <c r="A23" s="44" t="s">
        <v>9</v>
      </c>
      <c r="B23" s="45">
        <f>+SUM(C23:G23)</f>
        <v>182.38</v>
      </c>
      <c r="C23" s="48">
        <f>+'Synthèse S1'!AL37</f>
        <v>44.879999999999995</v>
      </c>
      <c r="D23" s="45">
        <f>+'Synthèse S1'!AM37</f>
        <v>1</v>
      </c>
      <c r="E23" s="45">
        <f>+'Synthèse S1'!AN37</f>
        <v>10.450000000000001</v>
      </c>
      <c r="F23" s="45">
        <f>+'Synthèse S1'!AO37</f>
        <v>56.04999999999999</v>
      </c>
      <c r="G23" s="45">
        <f>+'Synthèse S1'!AP37</f>
        <v>70</v>
      </c>
      <c r="H23" s="46"/>
      <c r="I23" s="46"/>
      <c r="J23" s="46"/>
      <c r="K23" s="46"/>
      <c r="L23" s="46"/>
      <c r="M23" s="46"/>
      <c r="N23" s="46"/>
      <c r="O23" s="46"/>
      <c r="P23" s="46"/>
      <c r="Q23" s="47"/>
      <c r="R23" s="46"/>
      <c r="S23" s="44" t="s">
        <v>9</v>
      </c>
      <c r="T23" s="45">
        <f>+SUM(U23:Y23)</f>
        <v>30</v>
      </c>
      <c r="U23" s="48">
        <f>+'Synthèse S2'!W37</f>
        <v>6</v>
      </c>
      <c r="V23" s="45">
        <f>+'Synthèse S2'!X37</f>
        <v>6</v>
      </c>
      <c r="W23" s="45">
        <f>+'Synthèse S2'!Y37</f>
        <v>6</v>
      </c>
      <c r="X23" s="45">
        <f>+'Synthèse S2'!Z37</f>
        <v>6</v>
      </c>
      <c r="Y23" s="45">
        <f>+'Synthèse S2'!AA37</f>
        <v>6</v>
      </c>
      <c r="Z23" s="46"/>
      <c r="AA23" s="46"/>
      <c r="AB23" s="46"/>
      <c r="AC23" s="46"/>
      <c r="AD23" s="46"/>
      <c r="AE23" s="46"/>
      <c r="AF23" s="46"/>
      <c r="AG23" s="46"/>
      <c r="AH23" s="46"/>
      <c r="AI23" s="47"/>
      <c r="AK23" s="44" t="s">
        <v>9</v>
      </c>
      <c r="AL23" s="45">
        <f>+SUM(AM23:AQ23)</f>
        <v>30</v>
      </c>
      <c r="AM23" s="48">
        <f>'Synthèse S3'!AL37</f>
        <v>6</v>
      </c>
      <c r="AN23" s="45">
        <f>'Synthèse S3'!AM37</f>
        <v>6</v>
      </c>
      <c r="AO23" s="45">
        <f>'Synthèse S3'!AN37</f>
        <v>6</v>
      </c>
      <c r="AP23" s="45">
        <f>'Synthèse S3'!AO37</f>
        <v>6</v>
      </c>
      <c r="AQ23" s="45">
        <f>'Synthèse S3'!AP37</f>
        <v>6</v>
      </c>
      <c r="AR23" s="46"/>
      <c r="AS23" s="46"/>
      <c r="AT23" s="46"/>
      <c r="AU23" s="46"/>
      <c r="AV23" s="46"/>
      <c r="AW23" s="46"/>
      <c r="AX23" s="46"/>
      <c r="AY23" s="46"/>
      <c r="AZ23" s="46"/>
      <c r="BA23" s="47"/>
      <c r="BC23" s="44" t="s">
        <v>9</v>
      </c>
      <c r="BD23" s="45">
        <f>+SUM(BE23:BI23)</f>
        <v>30</v>
      </c>
      <c r="BE23" s="48">
        <f>'Synthèse S4'!AL37</f>
        <v>6</v>
      </c>
      <c r="BF23" s="45">
        <f>'Synthèse S4'!AM37</f>
        <v>6</v>
      </c>
      <c r="BG23" s="45">
        <f>'Synthèse S4'!AN37</f>
        <v>6</v>
      </c>
      <c r="BH23" s="45">
        <f>'Synthèse S4'!AO37</f>
        <v>6</v>
      </c>
      <c r="BI23" s="45">
        <f>'Synthèse S4'!AP37</f>
        <v>6</v>
      </c>
      <c r="BJ23" s="46"/>
      <c r="BK23" s="46"/>
      <c r="BL23" s="46"/>
      <c r="BM23" s="46"/>
      <c r="BN23" s="46"/>
      <c r="BO23" s="46"/>
      <c r="BP23" s="46"/>
      <c r="BQ23" s="46"/>
      <c r="BR23" s="46"/>
      <c r="BS23" s="47"/>
      <c r="BU23" s="44" t="s">
        <v>9</v>
      </c>
      <c r="BV23" s="45">
        <f>+SUM(BW23:CA23)</f>
        <v>30</v>
      </c>
      <c r="BW23" s="48">
        <f>'Synthèse S5'!AL37</f>
        <v>6</v>
      </c>
      <c r="BX23" s="45">
        <f>'Synthèse S5'!AM37</f>
        <v>6</v>
      </c>
      <c r="BY23" s="45">
        <f>'Synthèse S5'!AN37</f>
        <v>6</v>
      </c>
      <c r="BZ23" s="45">
        <f>'Synthèse S5'!AO37</f>
        <v>6</v>
      </c>
      <c r="CA23" s="45">
        <f>'Synthèse S5'!AP37</f>
        <v>6</v>
      </c>
      <c r="CB23" s="46"/>
      <c r="CC23" s="46"/>
      <c r="CD23" s="46"/>
      <c r="CE23" s="46"/>
      <c r="CF23" s="46"/>
      <c r="CG23" s="46"/>
      <c r="CH23" s="46"/>
      <c r="CI23" s="46"/>
      <c r="CJ23" s="46"/>
      <c r="CK23" s="47"/>
      <c r="CM23" s="44" t="s">
        <v>9</v>
      </c>
      <c r="CN23" s="45">
        <f>+SUM(CO23:CS23)</f>
        <v>302.38</v>
      </c>
      <c r="CO23" s="48">
        <f>'Total semaines'!AL37</f>
        <v>68.88000000000001</v>
      </c>
      <c r="CP23" s="45">
        <f>'Total semaines'!AM37</f>
        <v>25</v>
      </c>
      <c r="CQ23" s="45">
        <f>'Total semaines'!AN37</f>
        <v>34.449999999999996</v>
      </c>
      <c r="CR23" s="45">
        <f>'Total semaines'!AO37</f>
        <v>80.050000000000011</v>
      </c>
      <c r="CS23" s="45">
        <f>'Total semaines'!AP37</f>
        <v>93.999999999999986</v>
      </c>
      <c r="CT23" s="46"/>
      <c r="CU23" s="46"/>
      <c r="CV23" s="46"/>
      <c r="CW23" s="46"/>
      <c r="CX23" s="46"/>
      <c r="CY23" s="46"/>
      <c r="CZ23" s="46"/>
      <c r="DA23" s="46"/>
      <c r="DB23" s="46"/>
      <c r="DC23" s="47"/>
    </row>
    <row r="24" spans="1:107" x14ac:dyDescent="0.25">
      <c r="A24" s="44" t="s">
        <v>30</v>
      </c>
      <c r="B24" s="49">
        <f>+B23/B22</f>
        <v>0.66805860805860817</v>
      </c>
      <c r="C24" s="49">
        <f>+C23/C22</f>
        <v>0.49866666666666659</v>
      </c>
      <c r="D24" s="49">
        <f t="shared" ref="D24:G24" si="73">+D23/D22</f>
        <v>3.333333333333334E-2</v>
      </c>
      <c r="E24" s="49">
        <f t="shared" si="73"/>
        <v>0.5805555555555556</v>
      </c>
      <c r="F24" s="49">
        <f t="shared" si="73"/>
        <v>0.51898148148148171</v>
      </c>
      <c r="G24" s="49">
        <f t="shared" si="73"/>
        <v>2.5925925925925939</v>
      </c>
      <c r="H24" s="46"/>
      <c r="I24" s="46"/>
      <c r="J24" s="46"/>
      <c r="K24" s="46"/>
      <c r="L24" s="46"/>
      <c r="M24" s="46"/>
      <c r="N24" s="46"/>
      <c r="O24" s="46"/>
      <c r="P24" s="46"/>
      <c r="Q24" s="47"/>
      <c r="R24" s="46"/>
      <c r="S24" s="44" t="s">
        <v>30</v>
      </c>
      <c r="T24" s="49">
        <f>+T23/T22</f>
        <v>5.5555555555555558E-3</v>
      </c>
      <c r="U24" s="49">
        <f>+U23/U22</f>
        <v>2.2222222222222222E-3</v>
      </c>
      <c r="V24" s="49">
        <f t="shared" ref="V24" si="74">+V23/V22</f>
        <v>1.1111111111111112E-2</v>
      </c>
      <c r="W24" s="49">
        <f t="shared" ref="W24" si="75">+W23/W22</f>
        <v>6.6666666666666671E-3</v>
      </c>
      <c r="X24" s="49">
        <f t="shared" ref="X24" si="76">+X23/X22</f>
        <v>1.6666666666666666E-2</v>
      </c>
      <c r="Y24" s="49">
        <f t="shared" ref="Y24" si="77">+Y23/Y22</f>
        <v>6.6666666666666671E-3</v>
      </c>
      <c r="Z24" s="46"/>
      <c r="AA24" s="46"/>
      <c r="AB24" s="46"/>
      <c r="AC24" s="46"/>
      <c r="AD24" s="46"/>
      <c r="AE24" s="46"/>
      <c r="AF24" s="46"/>
      <c r="AG24" s="46"/>
      <c r="AH24" s="46"/>
      <c r="AI24" s="47"/>
      <c r="AK24" s="44" t="s">
        <v>30</v>
      </c>
      <c r="AL24" s="49">
        <f>+AL23/AL22</f>
        <v>0.10989010989010992</v>
      </c>
      <c r="AM24" s="49">
        <f>+AM23/AM22</f>
        <v>6.6666666666666666E-2</v>
      </c>
      <c r="AN24" s="49">
        <f t="shared" ref="AN24" si="78">+AN23/AN22</f>
        <v>0.2</v>
      </c>
      <c r="AO24" s="49">
        <f t="shared" ref="AO24" si="79">+AO23/AO22</f>
        <v>0.33333333333333331</v>
      </c>
      <c r="AP24" s="49">
        <f t="shared" ref="AP24" si="80">+AP23/AP22</f>
        <v>5.5555555555555587E-2</v>
      </c>
      <c r="AQ24" s="49">
        <f t="shared" ref="AQ24" si="81">+AQ23/AQ22</f>
        <v>0.22222222222222235</v>
      </c>
      <c r="AR24" s="46"/>
      <c r="AS24" s="46"/>
      <c r="AT24" s="46"/>
      <c r="AU24" s="46"/>
      <c r="AV24" s="46"/>
      <c r="AW24" s="46"/>
      <c r="AX24" s="46"/>
      <c r="AY24" s="46"/>
      <c r="AZ24" s="46"/>
      <c r="BA24" s="47"/>
      <c r="BC24" s="44" t="s">
        <v>30</v>
      </c>
      <c r="BD24" s="49">
        <f>+BD23/BD22</f>
        <v>0.10989010989010992</v>
      </c>
      <c r="BE24" s="49">
        <f>+BE23/BE22</f>
        <v>6.6666666666666666E-2</v>
      </c>
      <c r="BF24" s="49">
        <f t="shared" ref="BF24" si="82">+BF23/BF22</f>
        <v>0.2</v>
      </c>
      <c r="BG24" s="49">
        <f t="shared" ref="BG24" si="83">+BG23/BG22</f>
        <v>0.33333333333333331</v>
      </c>
      <c r="BH24" s="49">
        <f t="shared" ref="BH24" si="84">+BH23/BH22</f>
        <v>5.5555555555555587E-2</v>
      </c>
      <c r="BI24" s="49">
        <f t="shared" ref="BI24" si="85">+BI23/BI22</f>
        <v>0.22222222222222235</v>
      </c>
      <c r="BJ24" s="46"/>
      <c r="BK24" s="46"/>
      <c r="BL24" s="46"/>
      <c r="BM24" s="46"/>
      <c r="BN24" s="46"/>
      <c r="BO24" s="46"/>
      <c r="BP24" s="46"/>
      <c r="BQ24" s="46"/>
      <c r="BR24" s="46"/>
      <c r="BS24" s="47"/>
      <c r="BU24" s="44" t="s">
        <v>30</v>
      </c>
      <c r="BV24" s="49">
        <f>+BV23/BV22</f>
        <v>0.10989010989010992</v>
      </c>
      <c r="BW24" s="49">
        <f>+BW23/BW22</f>
        <v>6.6666666666666666E-2</v>
      </c>
      <c r="BX24" s="49">
        <f t="shared" ref="BX24" si="86">+BX23/BX22</f>
        <v>0.2</v>
      </c>
      <c r="BY24" s="49">
        <f t="shared" ref="BY24" si="87">+BY23/BY22</f>
        <v>0.33333333333333331</v>
      </c>
      <c r="BZ24" s="49">
        <f t="shared" ref="BZ24" si="88">+BZ23/BZ22</f>
        <v>5.5555555555555587E-2</v>
      </c>
      <c r="CA24" s="49">
        <f t="shared" ref="CA24" si="89">+CA23/CA22</f>
        <v>0.22222222222222235</v>
      </c>
      <c r="CB24" s="46"/>
      <c r="CC24" s="46"/>
      <c r="CD24" s="46"/>
      <c r="CE24" s="46"/>
      <c r="CF24" s="46"/>
      <c r="CG24" s="46"/>
      <c r="CH24" s="46"/>
      <c r="CI24" s="46"/>
      <c r="CJ24" s="46"/>
      <c r="CK24" s="47"/>
      <c r="CM24" s="44" t="s">
        <v>30</v>
      </c>
      <c r="CN24" s="49">
        <f>+CN23/CN22</f>
        <v>0.22152380952380951</v>
      </c>
      <c r="CO24" s="49">
        <f>+CO23/CO22</f>
        <v>0.15306666666666668</v>
      </c>
      <c r="CP24" s="49">
        <f t="shared" ref="CP24" si="90">+CP23/CP22</f>
        <v>0.16666666666666669</v>
      </c>
      <c r="CQ24" s="49">
        <f t="shared" ref="CQ24" si="91">+CQ23/CQ22</f>
        <v>0.38277777777777772</v>
      </c>
      <c r="CR24" s="49">
        <f t="shared" ref="CR24" si="92">+CR23/CR22</f>
        <v>0.14824074074074076</v>
      </c>
      <c r="CS24" s="49">
        <f t="shared" ref="CS24" si="93">+CS23/CS22</f>
        <v>0.69629629629629619</v>
      </c>
      <c r="CT24" s="46"/>
      <c r="CU24" s="46"/>
      <c r="CV24" s="46"/>
      <c r="CW24" s="46"/>
      <c r="CX24" s="46"/>
      <c r="CY24" s="46"/>
      <c r="CZ24" s="46"/>
      <c r="DA24" s="46"/>
      <c r="DB24" s="46"/>
      <c r="DC24" s="47"/>
    </row>
    <row r="25" spans="1:107" x14ac:dyDescent="0.25">
      <c r="A25" s="50"/>
      <c r="B25" s="45"/>
      <c r="C25" s="45"/>
      <c r="D25" s="45"/>
      <c r="E25" s="45"/>
      <c r="F25" s="45"/>
      <c r="G25" s="45"/>
      <c r="H25" s="46"/>
      <c r="I25" s="46"/>
      <c r="J25" s="46"/>
      <c r="K25" s="46"/>
      <c r="L25" s="46"/>
      <c r="M25" s="46"/>
      <c r="N25" s="46"/>
      <c r="O25" s="46"/>
      <c r="P25" s="46"/>
      <c r="Q25" s="47"/>
      <c r="R25" s="46"/>
      <c r="S25" s="50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7"/>
      <c r="AK25" s="50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7"/>
      <c r="BC25" s="50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7"/>
      <c r="BU25" s="50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7"/>
      <c r="CM25" s="50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7"/>
    </row>
    <row r="26" spans="1:107" x14ac:dyDescent="0.25">
      <c r="A26" s="50"/>
      <c r="B26" s="45"/>
      <c r="C26" s="45"/>
      <c r="D26" s="45"/>
      <c r="E26" s="45"/>
      <c r="F26" s="45"/>
      <c r="G26" s="45"/>
      <c r="H26" s="46"/>
      <c r="I26" s="46"/>
      <c r="J26" s="46"/>
      <c r="K26" s="46"/>
      <c r="L26" s="46"/>
      <c r="M26" s="46"/>
      <c r="N26" s="46"/>
      <c r="O26" s="46"/>
      <c r="P26" s="46"/>
      <c r="Q26" s="47"/>
      <c r="R26" s="46"/>
      <c r="S26" s="50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7"/>
      <c r="AK26" s="50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7"/>
      <c r="BC26" s="50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7"/>
      <c r="BU26" s="50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7"/>
      <c r="CM26" s="50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7"/>
    </row>
    <row r="27" spans="1:107" x14ac:dyDescent="0.25">
      <c r="A27" s="50"/>
      <c r="B27" s="45"/>
      <c r="C27" s="45"/>
      <c r="D27" s="45"/>
      <c r="E27" s="45"/>
      <c r="F27" s="45"/>
      <c r="G27" s="45"/>
      <c r="H27" s="46"/>
      <c r="I27" s="46"/>
      <c r="J27" s="46"/>
      <c r="K27" s="46"/>
      <c r="L27" s="46"/>
      <c r="M27" s="46"/>
      <c r="N27" s="46"/>
      <c r="O27" s="46"/>
      <c r="P27" s="46"/>
      <c r="Q27" s="47"/>
      <c r="R27" s="46"/>
      <c r="S27" s="50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7"/>
      <c r="AK27" s="50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7"/>
      <c r="BC27" s="50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7"/>
      <c r="BU27" s="50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7"/>
      <c r="CM27" s="50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7"/>
    </row>
    <row r="28" spans="1:107" x14ac:dyDescent="0.25">
      <c r="A28" s="50"/>
      <c r="B28" s="45"/>
      <c r="C28" s="45"/>
      <c r="D28" s="45"/>
      <c r="E28" s="45"/>
      <c r="F28" s="45"/>
      <c r="G28" s="45"/>
      <c r="H28" s="46"/>
      <c r="I28" s="46"/>
      <c r="J28" s="46"/>
      <c r="K28" s="46"/>
      <c r="L28" s="46"/>
      <c r="M28" s="46"/>
      <c r="N28" s="46"/>
      <c r="O28" s="46"/>
      <c r="P28" s="46"/>
      <c r="Q28" s="47"/>
      <c r="R28" s="46"/>
      <c r="S28" s="50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7"/>
      <c r="AK28" s="50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7"/>
      <c r="BC28" s="50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7"/>
      <c r="BU28" s="50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7"/>
      <c r="CM28" s="50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7"/>
    </row>
    <row r="29" spans="1:107" x14ac:dyDescent="0.25">
      <c r="A29" s="50"/>
      <c r="B29" s="45"/>
      <c r="C29" s="45"/>
      <c r="D29" s="45"/>
      <c r="E29" s="45"/>
      <c r="F29" s="45"/>
      <c r="G29" s="45"/>
      <c r="H29" s="46"/>
      <c r="I29" s="46"/>
      <c r="J29" s="46"/>
      <c r="K29" s="46"/>
      <c r="L29" s="46"/>
      <c r="M29" s="46"/>
      <c r="N29" s="46"/>
      <c r="O29" s="46"/>
      <c r="P29" s="46"/>
      <c r="Q29" s="47"/>
      <c r="R29" s="46"/>
      <c r="S29" s="50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7"/>
      <c r="AK29" s="50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7"/>
      <c r="BC29" s="50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7"/>
      <c r="BU29" s="50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7"/>
      <c r="CM29" s="50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7"/>
    </row>
    <row r="30" spans="1:107" x14ac:dyDescent="0.25">
      <c r="A30" s="50"/>
      <c r="B30" s="45"/>
      <c r="C30" s="45"/>
      <c r="D30" s="45"/>
      <c r="E30" s="45"/>
      <c r="F30" s="45"/>
      <c r="G30" s="45"/>
      <c r="H30" s="46"/>
      <c r="I30" s="46"/>
      <c r="J30" s="46"/>
      <c r="K30" s="46"/>
      <c r="L30" s="46"/>
      <c r="M30" s="46"/>
      <c r="N30" s="46"/>
      <c r="O30" s="46"/>
      <c r="P30" s="46"/>
      <c r="Q30" s="47"/>
      <c r="R30" s="46"/>
      <c r="S30" s="50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7"/>
      <c r="AK30" s="50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7"/>
      <c r="BC30" s="50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7"/>
      <c r="BU30" s="50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7"/>
      <c r="CM30" s="50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7"/>
    </row>
    <row r="31" spans="1:107" x14ac:dyDescent="0.25">
      <c r="A31" s="50"/>
      <c r="B31" s="45"/>
      <c r="C31" s="45"/>
      <c r="D31" s="45"/>
      <c r="E31" s="45"/>
      <c r="F31" s="45"/>
      <c r="G31" s="45"/>
      <c r="H31" s="46"/>
      <c r="I31" s="46"/>
      <c r="J31" s="46"/>
      <c r="K31" s="46"/>
      <c r="L31" s="46"/>
      <c r="M31" s="46"/>
      <c r="N31" s="46"/>
      <c r="O31" s="46"/>
      <c r="P31" s="46"/>
      <c r="Q31" s="47"/>
      <c r="R31" s="46"/>
      <c r="S31" s="50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7"/>
      <c r="AK31" s="50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7"/>
      <c r="BC31" s="50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7"/>
      <c r="BU31" s="50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7"/>
      <c r="CM31" s="50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7"/>
    </row>
    <row r="32" spans="1:107" x14ac:dyDescent="0.25">
      <c r="A32" s="50"/>
      <c r="B32" s="45"/>
      <c r="C32" s="45"/>
      <c r="D32" s="45"/>
      <c r="E32" s="45"/>
      <c r="F32" s="45"/>
      <c r="G32" s="45"/>
      <c r="H32" s="46"/>
      <c r="I32" s="46"/>
      <c r="J32" s="46"/>
      <c r="K32" s="46"/>
      <c r="L32" s="46"/>
      <c r="M32" s="46"/>
      <c r="N32" s="46"/>
      <c r="O32" s="46"/>
      <c r="P32" s="46"/>
      <c r="Q32" s="47"/>
      <c r="R32" s="46"/>
      <c r="S32" s="50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7"/>
      <c r="AK32" s="50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7"/>
      <c r="BC32" s="50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7"/>
      <c r="BU32" s="50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7"/>
      <c r="CM32" s="50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7"/>
    </row>
    <row r="33" spans="1:107" x14ac:dyDescent="0.25">
      <c r="A33" s="50"/>
      <c r="B33" s="45"/>
      <c r="C33" s="45"/>
      <c r="D33" s="45"/>
      <c r="E33" s="45"/>
      <c r="F33" s="45"/>
      <c r="G33" s="45"/>
      <c r="H33" s="46"/>
      <c r="I33" s="46"/>
      <c r="J33" s="46"/>
      <c r="K33" s="46"/>
      <c r="L33" s="46"/>
      <c r="M33" s="46"/>
      <c r="N33" s="46"/>
      <c r="O33" s="46"/>
      <c r="P33" s="46"/>
      <c r="Q33" s="47"/>
      <c r="R33" s="46"/>
      <c r="S33" s="50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7"/>
      <c r="AK33" s="50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7"/>
      <c r="BC33" s="50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7"/>
      <c r="BU33" s="50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7"/>
      <c r="CM33" s="50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7"/>
    </row>
    <row r="34" spans="1:107" x14ac:dyDescent="0.25">
      <c r="A34" s="50"/>
      <c r="B34" s="45"/>
      <c r="C34" s="45"/>
      <c r="D34" s="45"/>
      <c r="E34" s="45"/>
      <c r="F34" s="45"/>
      <c r="G34" s="45"/>
      <c r="H34" s="46"/>
      <c r="I34" s="46"/>
      <c r="J34" s="46"/>
      <c r="K34" s="46"/>
      <c r="L34" s="46"/>
      <c r="M34" s="46"/>
      <c r="N34" s="46"/>
      <c r="O34" s="46"/>
      <c r="P34" s="46"/>
      <c r="Q34" s="47"/>
      <c r="R34" s="46"/>
      <c r="S34" s="50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7"/>
      <c r="AK34" s="50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7"/>
      <c r="BC34" s="50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7"/>
      <c r="BU34" s="50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7"/>
      <c r="CM34" s="50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7"/>
    </row>
    <row r="35" spans="1:107" x14ac:dyDescent="0.25">
      <c r="A35" s="50"/>
      <c r="B35" s="45"/>
      <c r="C35" s="45"/>
      <c r="D35" s="45"/>
      <c r="E35" s="45"/>
      <c r="F35" s="45"/>
      <c r="G35" s="45"/>
      <c r="H35" s="46"/>
      <c r="I35" s="46"/>
      <c r="J35" s="46"/>
      <c r="K35" s="46"/>
      <c r="L35" s="46"/>
      <c r="M35" s="46"/>
      <c r="N35" s="46"/>
      <c r="O35" s="46"/>
      <c r="P35" s="46"/>
      <c r="Q35" s="47"/>
      <c r="R35" s="46"/>
      <c r="S35" s="50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7"/>
      <c r="AK35" s="50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7"/>
      <c r="BC35" s="50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7"/>
      <c r="BU35" s="50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7"/>
      <c r="CM35" s="50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7"/>
    </row>
    <row r="36" spans="1:107" x14ac:dyDescent="0.25">
      <c r="A36" s="50"/>
      <c r="B36" s="45"/>
      <c r="C36" s="45"/>
      <c r="D36" s="45"/>
      <c r="E36" s="45"/>
      <c r="F36" s="45"/>
      <c r="G36" s="45"/>
      <c r="H36" s="46"/>
      <c r="I36" s="46"/>
      <c r="J36" s="46"/>
      <c r="K36" s="46"/>
      <c r="L36" s="46"/>
      <c r="M36" s="46"/>
      <c r="N36" s="46"/>
      <c r="O36" s="46"/>
      <c r="P36" s="46"/>
      <c r="Q36" s="47"/>
      <c r="R36" s="46"/>
      <c r="S36" s="50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7"/>
      <c r="AK36" s="50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7"/>
      <c r="BC36" s="50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7"/>
      <c r="BU36" s="50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7"/>
      <c r="CM36" s="50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7"/>
    </row>
    <row r="37" spans="1:107" x14ac:dyDescent="0.25">
      <c r="A37" s="50"/>
      <c r="B37" s="45"/>
      <c r="C37" s="45"/>
      <c r="D37" s="45"/>
      <c r="E37" s="45"/>
      <c r="F37" s="45"/>
      <c r="G37" s="45"/>
      <c r="H37" s="46"/>
      <c r="I37" s="46"/>
      <c r="J37" s="46"/>
      <c r="K37" s="46"/>
      <c r="L37" s="46"/>
      <c r="M37" s="46"/>
      <c r="N37" s="46"/>
      <c r="O37" s="46"/>
      <c r="P37" s="46"/>
      <c r="Q37" s="47"/>
      <c r="R37" s="46"/>
      <c r="S37" s="50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7"/>
      <c r="AK37" s="50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7"/>
      <c r="BC37" s="50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7"/>
      <c r="BU37" s="50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7"/>
      <c r="CM37" s="50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6"/>
      <c r="DB37" s="46"/>
      <c r="DC37" s="47"/>
    </row>
    <row r="38" spans="1:107" x14ac:dyDescent="0.25">
      <c r="A38" s="50"/>
      <c r="B38" s="45"/>
      <c r="C38" s="45"/>
      <c r="D38" s="45"/>
      <c r="E38" s="45"/>
      <c r="F38" s="45"/>
      <c r="G38" s="45"/>
      <c r="H38" s="46"/>
      <c r="I38" s="46"/>
      <c r="J38" s="46"/>
      <c r="K38" s="46"/>
      <c r="L38" s="46"/>
      <c r="M38" s="46"/>
      <c r="N38" s="46"/>
      <c r="O38" s="46"/>
      <c r="P38" s="46"/>
      <c r="Q38" s="47"/>
      <c r="R38" s="46"/>
      <c r="S38" s="50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7"/>
      <c r="AK38" s="50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7"/>
      <c r="BC38" s="50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7"/>
      <c r="BU38" s="50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  <c r="CK38" s="47"/>
      <c r="CM38" s="50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A38" s="46"/>
      <c r="DB38" s="46"/>
      <c r="DC38" s="47"/>
    </row>
    <row r="39" spans="1:107" x14ac:dyDescent="0.25">
      <c r="A39" s="50"/>
      <c r="B39" s="45"/>
      <c r="C39" s="45"/>
      <c r="D39" s="45"/>
      <c r="E39" s="45"/>
      <c r="F39" s="45"/>
      <c r="G39" s="45"/>
      <c r="H39" s="46"/>
      <c r="I39" s="46"/>
      <c r="J39" s="46"/>
      <c r="K39" s="46"/>
      <c r="L39" s="46"/>
      <c r="M39" s="46"/>
      <c r="N39" s="46"/>
      <c r="O39" s="46"/>
      <c r="P39" s="46"/>
      <c r="Q39" s="47"/>
      <c r="R39" s="46"/>
      <c r="S39" s="50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7"/>
      <c r="AK39" s="50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7"/>
      <c r="BC39" s="50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7"/>
      <c r="BU39" s="50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7"/>
      <c r="CM39" s="50"/>
      <c r="CN39" s="46"/>
      <c r="CO39" s="46"/>
      <c r="CP39" s="46"/>
      <c r="CQ39" s="46"/>
      <c r="CR39" s="46"/>
      <c r="CS39" s="46"/>
      <c r="CT39" s="46"/>
      <c r="CU39" s="46"/>
      <c r="CV39" s="46"/>
      <c r="CW39" s="46"/>
      <c r="CX39" s="46"/>
      <c r="CY39" s="46"/>
      <c r="CZ39" s="46"/>
      <c r="DA39" s="46"/>
      <c r="DB39" s="46"/>
      <c r="DC39" s="47"/>
    </row>
    <row r="40" spans="1:107" x14ac:dyDescent="0.25">
      <c r="A40" s="50"/>
      <c r="B40" s="45"/>
      <c r="C40" s="45"/>
      <c r="D40" s="45"/>
      <c r="E40" s="45"/>
      <c r="F40" s="45"/>
      <c r="G40" s="45"/>
      <c r="H40" s="46"/>
      <c r="I40" s="46"/>
      <c r="J40" s="46"/>
      <c r="K40" s="46"/>
      <c r="L40" s="46"/>
      <c r="M40" s="46"/>
      <c r="N40" s="46"/>
      <c r="O40" s="46"/>
      <c r="P40" s="46"/>
      <c r="Q40" s="47"/>
      <c r="R40" s="46"/>
      <c r="S40" s="50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7"/>
      <c r="AK40" s="50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7"/>
      <c r="BC40" s="50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7"/>
      <c r="BU40" s="50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  <c r="CK40" s="47"/>
      <c r="CM40" s="50"/>
      <c r="CN40" s="46"/>
      <c r="CO40" s="46"/>
      <c r="CP40" s="46"/>
      <c r="CQ40" s="46"/>
      <c r="CR40" s="46"/>
      <c r="CS40" s="46"/>
      <c r="CT40" s="46"/>
      <c r="CU40" s="46"/>
      <c r="CV40" s="46"/>
      <c r="CW40" s="46"/>
      <c r="CX40" s="46"/>
      <c r="CY40" s="46"/>
      <c r="CZ40" s="46"/>
      <c r="DA40" s="46"/>
      <c r="DB40" s="46"/>
      <c r="DC40" s="47"/>
    </row>
    <row r="41" spans="1:107" x14ac:dyDescent="0.25">
      <c r="A41" s="50"/>
      <c r="B41" s="45"/>
      <c r="C41" s="45"/>
      <c r="D41" s="45"/>
      <c r="E41" s="45"/>
      <c r="F41" s="45"/>
      <c r="G41" s="45"/>
      <c r="H41" s="46"/>
      <c r="I41" s="46"/>
      <c r="J41" s="46"/>
      <c r="K41" s="46"/>
      <c r="L41" s="46"/>
      <c r="M41" s="46"/>
      <c r="N41" s="46"/>
      <c r="O41" s="46"/>
      <c r="P41" s="46"/>
      <c r="Q41" s="47"/>
      <c r="R41" s="46"/>
      <c r="S41" s="50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7"/>
      <c r="AK41" s="50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7"/>
      <c r="BC41" s="50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7"/>
      <c r="BU41" s="50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7"/>
      <c r="CM41" s="50"/>
      <c r="CN41" s="46"/>
      <c r="CO41" s="46"/>
      <c r="CP41" s="46"/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46"/>
      <c r="DB41" s="46"/>
      <c r="DC41" s="47"/>
    </row>
    <row r="42" spans="1:107" x14ac:dyDescent="0.25">
      <c r="A42" s="50"/>
      <c r="B42" s="45"/>
      <c r="C42" s="45"/>
      <c r="D42" s="45"/>
      <c r="E42" s="45"/>
      <c r="F42" s="45"/>
      <c r="G42" s="45"/>
      <c r="H42" s="46"/>
      <c r="I42" s="46"/>
      <c r="J42" s="46"/>
      <c r="K42" s="46"/>
      <c r="L42" s="46"/>
      <c r="M42" s="46"/>
      <c r="N42" s="46"/>
      <c r="O42" s="46"/>
      <c r="P42" s="46"/>
      <c r="Q42" s="47"/>
      <c r="R42" s="46"/>
      <c r="S42" s="50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7"/>
      <c r="AK42" s="50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7"/>
      <c r="BC42" s="50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7"/>
      <c r="BU42" s="50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7"/>
      <c r="CM42" s="50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7"/>
    </row>
    <row r="43" spans="1:107" x14ac:dyDescent="0.25">
      <c r="A43" s="50"/>
      <c r="B43" s="45"/>
      <c r="C43" s="45"/>
      <c r="D43" s="45"/>
      <c r="E43" s="45"/>
      <c r="F43" s="45"/>
      <c r="G43" s="45"/>
      <c r="H43" s="46"/>
      <c r="I43" s="46"/>
      <c r="J43" s="46"/>
      <c r="K43" s="46"/>
      <c r="L43" s="46"/>
      <c r="M43" s="46"/>
      <c r="N43" s="46"/>
      <c r="O43" s="46"/>
      <c r="P43" s="46"/>
      <c r="Q43" s="47"/>
      <c r="R43" s="46"/>
      <c r="S43" s="50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7"/>
      <c r="AK43" s="50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7"/>
      <c r="BC43" s="50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7"/>
      <c r="BU43" s="50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  <c r="CK43" s="47"/>
      <c r="CM43" s="50"/>
      <c r="CN43" s="46"/>
      <c r="CO43" s="46"/>
      <c r="CP43" s="46"/>
      <c r="CQ43" s="46"/>
      <c r="CR43" s="46"/>
      <c r="CS43" s="46"/>
      <c r="CT43" s="46"/>
      <c r="CU43" s="46"/>
      <c r="CV43" s="46"/>
      <c r="CW43" s="46"/>
      <c r="CX43" s="46"/>
      <c r="CY43" s="46"/>
      <c r="CZ43" s="46"/>
      <c r="DA43" s="46"/>
      <c r="DB43" s="46"/>
      <c r="DC43" s="47"/>
    </row>
    <row r="44" spans="1:107" x14ac:dyDescent="0.25">
      <c r="A44" s="50"/>
      <c r="B44" s="45"/>
      <c r="C44" s="45"/>
      <c r="D44" s="45"/>
      <c r="E44" s="45"/>
      <c r="F44" s="45"/>
      <c r="G44" s="45"/>
      <c r="H44" s="46"/>
      <c r="I44" s="46"/>
      <c r="J44" s="46"/>
      <c r="K44" s="46"/>
      <c r="L44" s="46"/>
      <c r="M44" s="46"/>
      <c r="N44" s="46"/>
      <c r="O44" s="46"/>
      <c r="P44" s="46"/>
      <c r="Q44" s="47"/>
      <c r="R44" s="46"/>
      <c r="S44" s="50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7"/>
      <c r="AK44" s="50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7"/>
      <c r="BC44" s="50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7"/>
      <c r="BU44" s="50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7"/>
      <c r="CM44" s="50"/>
      <c r="CN44" s="46"/>
      <c r="CO44" s="46"/>
      <c r="CP44" s="46"/>
      <c r="CQ44" s="46"/>
      <c r="CR44" s="46"/>
      <c r="CS44" s="46"/>
      <c r="CT44" s="46"/>
      <c r="CU44" s="46"/>
      <c r="CV44" s="46"/>
      <c r="CW44" s="46"/>
      <c r="CX44" s="46"/>
      <c r="CY44" s="46"/>
      <c r="CZ44" s="46"/>
      <c r="DA44" s="46"/>
      <c r="DB44" s="46"/>
      <c r="DC44" s="47"/>
    </row>
    <row r="45" spans="1:107" x14ac:dyDescent="0.25">
      <c r="A45" s="50"/>
      <c r="B45" s="45"/>
      <c r="C45" s="45"/>
      <c r="D45" s="45"/>
      <c r="E45" s="45"/>
      <c r="F45" s="45"/>
      <c r="G45" s="45"/>
      <c r="H45" s="46"/>
      <c r="I45" s="46"/>
      <c r="J45" s="46"/>
      <c r="K45" s="46"/>
      <c r="L45" s="46"/>
      <c r="M45" s="46"/>
      <c r="N45" s="46"/>
      <c r="O45" s="46"/>
      <c r="P45" s="46"/>
      <c r="Q45" s="47"/>
      <c r="R45" s="46"/>
      <c r="S45" s="50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7"/>
      <c r="AK45" s="50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7"/>
      <c r="BC45" s="50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7"/>
      <c r="BU45" s="50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7"/>
      <c r="CM45" s="50"/>
      <c r="CN45" s="46"/>
      <c r="CO45" s="46"/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7"/>
    </row>
    <row r="46" spans="1:107" x14ac:dyDescent="0.25">
      <c r="A46" s="50"/>
      <c r="B46" s="45"/>
      <c r="C46" s="45"/>
      <c r="D46" s="45"/>
      <c r="E46" s="45"/>
      <c r="F46" s="45"/>
      <c r="G46" s="45"/>
      <c r="H46" s="46"/>
      <c r="I46" s="46"/>
      <c r="J46" s="46"/>
      <c r="K46" s="46"/>
      <c r="L46" s="46"/>
      <c r="M46" s="46"/>
      <c r="N46" s="46"/>
      <c r="O46" s="46"/>
      <c r="P46" s="46"/>
      <c r="Q46" s="47"/>
      <c r="R46" s="46"/>
      <c r="S46" s="50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7"/>
      <c r="AK46" s="50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7"/>
      <c r="BC46" s="50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7"/>
      <c r="BU46" s="50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7"/>
      <c r="CM46" s="50"/>
      <c r="CN46" s="46"/>
      <c r="CO46" s="46"/>
      <c r="CP46" s="46"/>
      <c r="CQ46" s="46"/>
      <c r="CR46" s="46"/>
      <c r="CS46" s="46"/>
      <c r="CT46" s="46"/>
      <c r="CU46" s="46"/>
      <c r="CV46" s="46"/>
      <c r="CW46" s="46"/>
      <c r="CX46" s="46"/>
      <c r="CY46" s="46"/>
      <c r="CZ46" s="46"/>
      <c r="DA46" s="46"/>
      <c r="DB46" s="46"/>
      <c r="DC46" s="47"/>
    </row>
    <row r="47" spans="1:107" x14ac:dyDescent="0.25">
      <c r="A47" s="50"/>
      <c r="B47" s="45"/>
      <c r="C47" s="45"/>
      <c r="D47" s="45"/>
      <c r="E47" s="45"/>
      <c r="F47" s="45"/>
      <c r="G47" s="45"/>
      <c r="H47" s="46"/>
      <c r="I47" s="46"/>
      <c r="J47" s="46"/>
      <c r="K47" s="46"/>
      <c r="L47" s="46"/>
      <c r="M47" s="46"/>
      <c r="N47" s="46"/>
      <c r="O47" s="46"/>
      <c r="P47" s="46"/>
      <c r="Q47" s="47"/>
      <c r="R47" s="46"/>
      <c r="S47" s="50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7"/>
      <c r="AK47" s="50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7"/>
      <c r="BC47" s="50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7"/>
      <c r="BU47" s="50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7"/>
      <c r="CM47" s="50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7"/>
    </row>
    <row r="48" spans="1:107" x14ac:dyDescent="0.25">
      <c r="A48" s="50"/>
      <c r="B48" s="45"/>
      <c r="C48" s="45"/>
      <c r="D48" s="45"/>
      <c r="E48" s="45"/>
      <c r="F48" s="45"/>
      <c r="G48" s="45"/>
      <c r="H48" s="46"/>
      <c r="I48" s="46"/>
      <c r="J48" s="46"/>
      <c r="K48" s="46"/>
      <c r="L48" s="46"/>
      <c r="M48" s="46"/>
      <c r="N48" s="46"/>
      <c r="O48" s="46"/>
      <c r="P48" s="46"/>
      <c r="Q48" s="47"/>
      <c r="R48" s="46"/>
      <c r="S48" s="50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7"/>
      <c r="AK48" s="50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7"/>
      <c r="BC48" s="50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7"/>
      <c r="BU48" s="50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7"/>
      <c r="CM48" s="50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7"/>
    </row>
    <row r="49" spans="1:107" x14ac:dyDescent="0.25">
      <c r="A49" s="50"/>
      <c r="B49" s="45"/>
      <c r="C49" s="45"/>
      <c r="D49" s="45"/>
      <c r="E49" s="45"/>
      <c r="F49" s="45"/>
      <c r="G49" s="45"/>
      <c r="H49" s="46"/>
      <c r="I49" s="46"/>
      <c r="J49" s="46"/>
      <c r="K49" s="46"/>
      <c r="L49" s="46"/>
      <c r="M49" s="46"/>
      <c r="N49" s="46"/>
      <c r="O49" s="46"/>
      <c r="P49" s="46"/>
      <c r="Q49" s="47"/>
      <c r="R49" s="46"/>
      <c r="S49" s="50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7"/>
      <c r="AK49" s="50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7"/>
      <c r="BC49" s="50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7"/>
      <c r="BU49" s="50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7"/>
      <c r="CM49" s="50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7"/>
    </row>
    <row r="50" spans="1:107" x14ac:dyDescent="0.25">
      <c r="A50" s="50"/>
      <c r="B50" s="45"/>
      <c r="C50" s="45"/>
      <c r="D50" s="45"/>
      <c r="E50" s="45"/>
      <c r="F50" s="45"/>
      <c r="G50" s="45"/>
      <c r="H50" s="46"/>
      <c r="I50" s="46"/>
      <c r="J50" s="46"/>
      <c r="K50" s="46"/>
      <c r="L50" s="46"/>
      <c r="M50" s="46"/>
      <c r="N50" s="46"/>
      <c r="O50" s="46"/>
      <c r="P50" s="46"/>
      <c r="Q50" s="47"/>
      <c r="R50" s="46"/>
      <c r="S50" s="50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7"/>
      <c r="AK50" s="50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7"/>
      <c r="BC50" s="50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7"/>
      <c r="BU50" s="50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7"/>
      <c r="CM50" s="50"/>
      <c r="CN50" s="46"/>
      <c r="CO50" s="46"/>
      <c r="CP50" s="46"/>
      <c r="CQ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  <c r="DB50" s="46"/>
      <c r="DC50" s="47"/>
    </row>
    <row r="51" spans="1:107" x14ac:dyDescent="0.25">
      <c r="A51" s="50"/>
      <c r="B51" s="45"/>
      <c r="C51" s="45"/>
      <c r="D51" s="45"/>
      <c r="E51" s="45"/>
      <c r="F51" s="45"/>
      <c r="G51" s="45"/>
      <c r="H51" s="46"/>
      <c r="I51" s="46"/>
      <c r="J51" s="46"/>
      <c r="K51" s="46"/>
      <c r="L51" s="46"/>
      <c r="M51" s="46"/>
      <c r="N51" s="46"/>
      <c r="O51" s="46"/>
      <c r="P51" s="46"/>
      <c r="Q51" s="47"/>
      <c r="R51" s="46"/>
      <c r="S51" s="50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7"/>
      <c r="AK51" s="50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7"/>
      <c r="BC51" s="50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7"/>
      <c r="BU51" s="50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7"/>
      <c r="CM51" s="50"/>
      <c r="CN51" s="46"/>
      <c r="CO51" s="46"/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  <c r="DB51" s="46"/>
      <c r="DC51" s="47"/>
    </row>
    <row r="52" spans="1:107" x14ac:dyDescent="0.25">
      <c r="A52" s="50"/>
      <c r="B52" s="45"/>
      <c r="C52" s="45"/>
      <c r="D52" s="45"/>
      <c r="E52" s="45"/>
      <c r="F52" s="45"/>
      <c r="G52" s="45"/>
      <c r="H52" s="46"/>
      <c r="I52" s="46"/>
      <c r="J52" s="46"/>
      <c r="K52" s="46"/>
      <c r="L52" s="46"/>
      <c r="M52" s="46"/>
      <c r="N52" s="46"/>
      <c r="O52" s="46"/>
      <c r="P52" s="46"/>
      <c r="Q52" s="47"/>
      <c r="R52" s="46"/>
      <c r="S52" s="50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7"/>
      <c r="AK52" s="50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7"/>
      <c r="BC52" s="50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7"/>
      <c r="BU52" s="50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7"/>
      <c r="CM52" s="50"/>
      <c r="CN52" s="46"/>
      <c r="CO52" s="46"/>
      <c r="CP52" s="46"/>
      <c r="CQ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  <c r="DB52" s="46"/>
      <c r="DC52" s="47"/>
    </row>
    <row r="53" spans="1:107" x14ac:dyDescent="0.25">
      <c r="A53" s="50"/>
      <c r="B53" s="45"/>
      <c r="C53" s="45"/>
      <c r="D53" s="45"/>
      <c r="E53" s="45"/>
      <c r="F53" s="45"/>
      <c r="G53" s="45"/>
      <c r="H53" s="46"/>
      <c r="I53" s="46"/>
      <c r="J53" s="46"/>
      <c r="K53" s="46"/>
      <c r="L53" s="46"/>
      <c r="M53" s="46"/>
      <c r="N53" s="46"/>
      <c r="O53" s="46"/>
      <c r="P53" s="46"/>
      <c r="Q53" s="47"/>
      <c r="R53" s="46"/>
      <c r="S53" s="50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7"/>
      <c r="AK53" s="50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7"/>
      <c r="BC53" s="50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7"/>
      <c r="BU53" s="50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7"/>
      <c r="CM53" s="50"/>
      <c r="CN53" s="46"/>
      <c r="CO53" s="46"/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7"/>
    </row>
    <row r="54" spans="1:107" x14ac:dyDescent="0.25">
      <c r="A54" s="50"/>
      <c r="B54" s="45"/>
      <c r="C54" s="45"/>
      <c r="D54" s="45"/>
      <c r="E54" s="45"/>
      <c r="F54" s="45"/>
      <c r="G54" s="45"/>
      <c r="H54" s="46"/>
      <c r="I54" s="46"/>
      <c r="J54" s="46"/>
      <c r="K54" s="46"/>
      <c r="L54" s="46"/>
      <c r="M54" s="46"/>
      <c r="N54" s="46"/>
      <c r="O54" s="46"/>
      <c r="P54" s="46"/>
      <c r="Q54" s="47"/>
      <c r="R54" s="46"/>
      <c r="S54" s="50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7"/>
      <c r="AK54" s="50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7"/>
      <c r="BC54" s="50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7"/>
      <c r="BU54" s="50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7"/>
      <c r="CM54" s="50"/>
      <c r="CN54" s="46"/>
      <c r="CO54" s="46"/>
      <c r="CP54" s="46"/>
      <c r="CQ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  <c r="DB54" s="46"/>
      <c r="DC54" s="47"/>
    </row>
    <row r="55" spans="1:107" x14ac:dyDescent="0.25">
      <c r="A55" s="50"/>
      <c r="B55" s="45"/>
      <c r="C55" s="45"/>
      <c r="D55" s="45"/>
      <c r="E55" s="45"/>
      <c r="F55" s="45"/>
      <c r="G55" s="45"/>
      <c r="H55" s="46"/>
      <c r="I55" s="46"/>
      <c r="J55" s="46"/>
      <c r="K55" s="46"/>
      <c r="L55" s="46"/>
      <c r="M55" s="46"/>
      <c r="N55" s="46"/>
      <c r="O55" s="46"/>
      <c r="P55" s="46"/>
      <c r="Q55" s="47"/>
      <c r="R55" s="46"/>
      <c r="S55" s="50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7"/>
      <c r="AK55" s="50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7"/>
      <c r="BC55" s="50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7"/>
      <c r="BU55" s="50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7"/>
      <c r="CM55" s="50"/>
      <c r="CN55" s="46"/>
      <c r="CO55" s="46"/>
      <c r="CP55" s="46"/>
      <c r="CQ55" s="46"/>
      <c r="CR55" s="46"/>
      <c r="CS55" s="46"/>
      <c r="CT55" s="46"/>
      <c r="CU55" s="46"/>
      <c r="CV55" s="46"/>
      <c r="CW55" s="46"/>
      <c r="CX55" s="46"/>
      <c r="CY55" s="46"/>
      <c r="CZ55" s="46"/>
      <c r="DA55" s="46"/>
      <c r="DB55" s="46"/>
      <c r="DC55" s="47"/>
    </row>
    <row r="56" spans="1:107" x14ac:dyDescent="0.25">
      <c r="A56" s="50"/>
      <c r="B56" s="45"/>
      <c r="C56" s="45"/>
      <c r="D56" s="45"/>
      <c r="E56" s="45"/>
      <c r="F56" s="45"/>
      <c r="G56" s="45"/>
      <c r="H56" s="46"/>
      <c r="I56" s="46"/>
      <c r="J56" s="46"/>
      <c r="K56" s="46"/>
      <c r="L56" s="46"/>
      <c r="M56" s="46"/>
      <c r="N56" s="46"/>
      <c r="O56" s="46"/>
      <c r="P56" s="46"/>
      <c r="Q56" s="47"/>
      <c r="R56" s="46"/>
      <c r="S56" s="50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7"/>
      <c r="AK56" s="50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7"/>
      <c r="BC56" s="50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7"/>
      <c r="BU56" s="50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7"/>
      <c r="CM56" s="50"/>
      <c r="CN56" s="46"/>
      <c r="CO56" s="46"/>
      <c r="CP56" s="46"/>
      <c r="CQ56" s="46"/>
      <c r="CR56" s="46"/>
      <c r="CS56" s="46"/>
      <c r="CT56" s="46"/>
      <c r="CU56" s="46"/>
      <c r="CV56" s="46"/>
      <c r="CW56" s="46"/>
      <c r="CX56" s="46"/>
      <c r="CY56" s="46"/>
      <c r="CZ56" s="46"/>
      <c r="DA56" s="46"/>
      <c r="DB56" s="46"/>
      <c r="DC56" s="47"/>
    </row>
    <row r="57" spans="1:107" x14ac:dyDescent="0.25">
      <c r="A57" s="50"/>
      <c r="B57" s="45"/>
      <c r="C57" s="45"/>
      <c r="D57" s="45"/>
      <c r="E57" s="45"/>
      <c r="F57" s="45"/>
      <c r="G57" s="45"/>
      <c r="H57" s="46"/>
      <c r="I57" s="46"/>
      <c r="J57" s="46"/>
      <c r="K57" s="46"/>
      <c r="L57" s="46"/>
      <c r="M57" s="46"/>
      <c r="N57" s="46"/>
      <c r="O57" s="46"/>
      <c r="P57" s="46"/>
      <c r="Q57" s="47"/>
      <c r="R57" s="46"/>
      <c r="S57" s="50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7"/>
      <c r="AK57" s="50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7"/>
      <c r="BC57" s="50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7"/>
      <c r="BU57" s="50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7"/>
      <c r="CM57" s="50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7"/>
    </row>
    <row r="58" spans="1:107" x14ac:dyDescent="0.25">
      <c r="A58" s="50"/>
      <c r="B58" s="45"/>
      <c r="C58" s="45"/>
      <c r="D58" s="45"/>
      <c r="E58" s="45"/>
      <c r="F58" s="45"/>
      <c r="G58" s="45"/>
      <c r="H58" s="46"/>
      <c r="I58" s="46"/>
      <c r="J58" s="46"/>
      <c r="K58" s="46"/>
      <c r="L58" s="46"/>
      <c r="M58" s="46"/>
      <c r="N58" s="46"/>
      <c r="O58" s="46"/>
      <c r="P58" s="46"/>
      <c r="Q58" s="47"/>
      <c r="R58" s="46"/>
      <c r="S58" s="50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7"/>
      <c r="AK58" s="50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7"/>
      <c r="BC58" s="50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7"/>
      <c r="BU58" s="50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7"/>
      <c r="CM58" s="50"/>
      <c r="CN58" s="46"/>
      <c r="CO58" s="46"/>
      <c r="CP58" s="46"/>
      <c r="CQ58" s="46"/>
      <c r="CR58" s="46"/>
      <c r="CS58" s="46"/>
      <c r="CT58" s="46"/>
      <c r="CU58" s="46"/>
      <c r="CV58" s="46"/>
      <c r="CW58" s="46"/>
      <c r="CX58" s="46"/>
      <c r="CY58" s="46"/>
      <c r="CZ58" s="46"/>
      <c r="DA58" s="46"/>
      <c r="DB58" s="46"/>
      <c r="DC58" s="47"/>
    </row>
    <row r="59" spans="1:107" x14ac:dyDescent="0.25">
      <c r="A59" s="50"/>
      <c r="B59" s="45"/>
      <c r="C59" s="45"/>
      <c r="D59" s="45"/>
      <c r="E59" s="45"/>
      <c r="F59" s="45"/>
      <c r="G59" s="45"/>
      <c r="H59" s="46"/>
      <c r="I59" s="46"/>
      <c r="J59" s="46"/>
      <c r="K59" s="46"/>
      <c r="L59" s="46"/>
      <c r="M59" s="46"/>
      <c r="N59" s="46"/>
      <c r="O59" s="46"/>
      <c r="P59" s="46"/>
      <c r="Q59" s="47"/>
      <c r="R59" s="46"/>
      <c r="S59" s="50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7"/>
      <c r="AK59" s="50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7"/>
      <c r="BC59" s="50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7"/>
      <c r="BU59" s="50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7"/>
      <c r="CM59" s="50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7"/>
    </row>
    <row r="60" spans="1:107" x14ac:dyDescent="0.25">
      <c r="A60" s="50"/>
      <c r="B60" s="45"/>
      <c r="C60" s="45"/>
      <c r="D60" s="45"/>
      <c r="E60" s="45"/>
      <c r="F60" s="45"/>
      <c r="G60" s="45"/>
      <c r="H60" s="46"/>
      <c r="I60" s="46"/>
      <c r="J60" s="46"/>
      <c r="K60" s="46"/>
      <c r="L60" s="46"/>
      <c r="M60" s="46"/>
      <c r="N60" s="46"/>
      <c r="O60" s="46"/>
      <c r="P60" s="46"/>
      <c r="Q60" s="47"/>
      <c r="R60" s="46"/>
      <c r="S60" s="50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7"/>
      <c r="AK60" s="50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7"/>
      <c r="BC60" s="50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7"/>
      <c r="BU60" s="50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7"/>
      <c r="CM60" s="50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47"/>
    </row>
    <row r="61" spans="1:107" x14ac:dyDescent="0.25">
      <c r="A61" s="50"/>
      <c r="B61" s="45"/>
      <c r="C61" s="45"/>
      <c r="D61" s="45"/>
      <c r="E61" s="45"/>
      <c r="F61" s="45"/>
      <c r="G61" s="45"/>
      <c r="H61" s="46"/>
      <c r="I61" s="46"/>
      <c r="J61" s="46"/>
      <c r="K61" s="46"/>
      <c r="L61" s="46"/>
      <c r="M61" s="46"/>
      <c r="N61" s="46"/>
      <c r="O61" s="46"/>
      <c r="P61" s="46"/>
      <c r="Q61" s="47"/>
      <c r="R61" s="46"/>
      <c r="S61" s="50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7"/>
      <c r="AK61" s="50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7"/>
      <c r="BC61" s="50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7"/>
      <c r="BU61" s="50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7"/>
      <c r="CM61" s="50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47"/>
    </row>
    <row r="62" spans="1:107" ht="15.75" thickBot="1" x14ac:dyDescent="0.3">
      <c r="A62" s="53"/>
      <c r="B62" s="54"/>
      <c r="C62" s="54"/>
      <c r="D62" s="54"/>
      <c r="E62" s="54"/>
      <c r="F62" s="54"/>
      <c r="G62" s="54"/>
      <c r="H62" s="55"/>
      <c r="I62" s="55"/>
      <c r="J62" s="55"/>
      <c r="K62" s="55"/>
      <c r="L62" s="55"/>
      <c r="M62" s="55"/>
      <c r="N62" s="55"/>
      <c r="O62" s="55"/>
      <c r="P62" s="55"/>
      <c r="Q62" s="56"/>
      <c r="R62" s="46"/>
      <c r="S62" s="53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6"/>
      <c r="AK62" s="53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6"/>
      <c r="BC62" s="53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  <c r="BQ62" s="55"/>
      <c r="BR62" s="55"/>
      <c r="BS62" s="56"/>
      <c r="BU62" s="53"/>
      <c r="BV62" s="55"/>
      <c r="BW62" s="55"/>
      <c r="BX62" s="55"/>
      <c r="BY62" s="55"/>
      <c r="BZ62" s="55"/>
      <c r="CA62" s="55"/>
      <c r="CB62" s="55"/>
      <c r="CC62" s="55"/>
      <c r="CD62" s="55"/>
      <c r="CE62" s="55"/>
      <c r="CF62" s="55"/>
      <c r="CG62" s="55"/>
      <c r="CH62" s="55"/>
      <c r="CI62" s="55"/>
      <c r="CJ62" s="55"/>
      <c r="CK62" s="56"/>
      <c r="CM62" s="53"/>
      <c r="CN62" s="55"/>
      <c r="CO62" s="55"/>
      <c r="CP62" s="55"/>
      <c r="CQ62" s="55"/>
      <c r="CR62" s="55"/>
      <c r="CS62" s="55"/>
      <c r="CT62" s="55"/>
      <c r="CU62" s="55"/>
      <c r="CV62" s="55"/>
      <c r="CW62" s="55"/>
      <c r="CX62" s="55"/>
      <c r="CY62" s="55"/>
      <c r="CZ62" s="55"/>
      <c r="DA62" s="55"/>
      <c r="DB62" s="55"/>
      <c r="DC62" s="56"/>
    </row>
  </sheetData>
  <mergeCells count="6">
    <mergeCell ref="CM1:DC1"/>
    <mergeCell ref="A1:Q1"/>
    <mergeCell ref="S1:AI1"/>
    <mergeCell ref="AK1:BA1"/>
    <mergeCell ref="BC1:BS1"/>
    <mergeCell ref="BU1:CK1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9B39-1CFB-48C5-8544-4473DB6128E6}">
  <dimension ref="B1:DV48"/>
  <sheetViews>
    <sheetView showGridLines="0" workbookViewId="0">
      <selection activeCell="DW34" sqref="DW34"/>
    </sheetView>
  </sheetViews>
  <sheetFormatPr defaultRowHeight="15" x14ac:dyDescent="0.25"/>
  <sheetData>
    <row r="1" spans="2:126" ht="21" x14ac:dyDescent="0.35">
      <c r="B1" s="149" t="s">
        <v>35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1"/>
      <c r="W1" s="149" t="s">
        <v>36</v>
      </c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1"/>
      <c r="AR1" s="149" t="s">
        <v>37</v>
      </c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1"/>
      <c r="BM1" s="149" t="s">
        <v>38</v>
      </c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  <c r="CD1" s="150"/>
      <c r="CE1" s="150"/>
      <c r="CF1" s="151"/>
      <c r="CH1" s="149" t="s">
        <v>39</v>
      </c>
      <c r="CI1" s="150"/>
      <c r="CJ1" s="150"/>
      <c r="CK1" s="150"/>
      <c r="CL1" s="150"/>
      <c r="CM1" s="150"/>
      <c r="CN1" s="150"/>
      <c r="CO1" s="150"/>
      <c r="CP1" s="150"/>
      <c r="CQ1" s="150"/>
      <c r="CR1" s="150"/>
      <c r="CS1" s="150"/>
      <c r="CT1" s="150"/>
      <c r="CU1" s="150"/>
      <c r="CV1" s="150"/>
      <c r="CW1" s="150"/>
      <c r="CX1" s="150"/>
      <c r="CY1" s="150"/>
      <c r="CZ1" s="150"/>
      <c r="DA1" s="151"/>
      <c r="DC1" s="149" t="s">
        <v>40</v>
      </c>
      <c r="DD1" s="150"/>
      <c r="DE1" s="150"/>
      <c r="DF1" s="150"/>
      <c r="DG1" s="150"/>
      <c r="DH1" s="150"/>
      <c r="DI1" s="150"/>
      <c r="DJ1" s="150"/>
      <c r="DK1" s="150"/>
      <c r="DL1" s="150"/>
      <c r="DM1" s="150"/>
      <c r="DN1" s="150"/>
      <c r="DO1" s="150"/>
      <c r="DP1" s="150"/>
      <c r="DQ1" s="150"/>
      <c r="DR1" s="150"/>
      <c r="DS1" s="150"/>
      <c r="DT1" s="150"/>
      <c r="DU1" s="150"/>
      <c r="DV1" s="151"/>
    </row>
    <row r="2" spans="2:126" x14ac:dyDescent="0.25">
      <c r="B2" s="50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7"/>
      <c r="W2" s="50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7"/>
      <c r="AR2" s="50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7"/>
      <c r="BM2" s="50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7"/>
      <c r="CH2" s="50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7"/>
      <c r="DC2" s="50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7"/>
    </row>
    <row r="3" spans="2:126" x14ac:dyDescent="0.25">
      <c r="B3" s="50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7"/>
      <c r="W3" s="50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7"/>
      <c r="AR3" s="50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7"/>
      <c r="BM3" s="50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7"/>
      <c r="CH3" s="50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7"/>
      <c r="DC3" s="50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7"/>
    </row>
    <row r="4" spans="2:126" x14ac:dyDescent="0.25">
      <c r="B4" s="50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7"/>
      <c r="W4" s="50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7"/>
      <c r="AR4" s="50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7"/>
      <c r="BM4" s="50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7"/>
      <c r="CH4" s="50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7"/>
      <c r="DC4" s="50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7"/>
    </row>
    <row r="5" spans="2:126" x14ac:dyDescent="0.25">
      <c r="B5" s="50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7"/>
      <c r="W5" s="50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7"/>
      <c r="AR5" s="50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7"/>
      <c r="BM5" s="50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7"/>
      <c r="CH5" s="50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7"/>
      <c r="DC5" s="50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7"/>
    </row>
    <row r="6" spans="2:126" x14ac:dyDescent="0.25">
      <c r="B6" s="50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7"/>
      <c r="W6" s="50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7"/>
      <c r="AR6" s="50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7"/>
      <c r="BM6" s="50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7"/>
      <c r="CH6" s="50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7"/>
      <c r="DC6" s="50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7"/>
    </row>
    <row r="7" spans="2:126" x14ac:dyDescent="0.25">
      <c r="B7" s="50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7"/>
      <c r="W7" s="50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7"/>
      <c r="AR7" s="50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7"/>
      <c r="BM7" s="50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7"/>
      <c r="CH7" s="50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7"/>
      <c r="DC7" s="50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7"/>
    </row>
    <row r="8" spans="2:126" x14ac:dyDescent="0.25">
      <c r="B8" s="50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7"/>
      <c r="W8" s="50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7"/>
      <c r="AR8" s="50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7"/>
      <c r="BM8" s="50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7"/>
      <c r="CH8" s="50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7"/>
      <c r="DC8" s="50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7"/>
    </row>
    <row r="9" spans="2:126" x14ac:dyDescent="0.25">
      <c r="B9" s="50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7"/>
      <c r="W9" s="50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7"/>
      <c r="AR9" s="50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7"/>
      <c r="BM9" s="50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7"/>
      <c r="CH9" s="50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7"/>
      <c r="DC9" s="50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7"/>
    </row>
    <row r="10" spans="2:126" x14ac:dyDescent="0.25">
      <c r="B10" s="50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7"/>
      <c r="W10" s="50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7"/>
      <c r="AR10" s="50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7"/>
      <c r="BM10" s="50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7"/>
      <c r="CH10" s="50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7"/>
      <c r="DC10" s="50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7"/>
    </row>
    <row r="11" spans="2:126" x14ac:dyDescent="0.25">
      <c r="B11" s="50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7"/>
      <c r="W11" s="50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7"/>
      <c r="AR11" s="50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7"/>
      <c r="BM11" s="50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7"/>
      <c r="CH11" s="50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7"/>
      <c r="DC11" s="50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7"/>
    </row>
    <row r="12" spans="2:126" x14ac:dyDescent="0.25">
      <c r="B12" s="50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7"/>
      <c r="W12" s="50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7"/>
      <c r="AR12" s="50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7"/>
      <c r="BM12" s="50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7"/>
      <c r="CH12" s="50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7"/>
      <c r="DC12" s="50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7"/>
    </row>
    <row r="13" spans="2:126" x14ac:dyDescent="0.25">
      <c r="B13" s="50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7"/>
      <c r="W13" s="50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7"/>
      <c r="AR13" s="50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7"/>
      <c r="BM13" s="50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7"/>
      <c r="CH13" s="50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7"/>
      <c r="DC13" s="50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7"/>
    </row>
    <row r="14" spans="2:126" x14ac:dyDescent="0.25">
      <c r="B14" s="50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7"/>
      <c r="W14" s="50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7"/>
      <c r="AR14" s="50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7"/>
      <c r="BM14" s="50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7"/>
      <c r="CH14" s="50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7"/>
      <c r="DC14" s="50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7"/>
    </row>
    <row r="15" spans="2:126" x14ac:dyDescent="0.25">
      <c r="B15" s="50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7"/>
      <c r="W15" s="50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7"/>
      <c r="AR15" s="50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7"/>
      <c r="BM15" s="50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7"/>
      <c r="CH15" s="50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7"/>
      <c r="DC15" s="50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7"/>
    </row>
    <row r="16" spans="2:126" x14ac:dyDescent="0.25">
      <c r="B16" s="50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7"/>
      <c r="W16" s="50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7"/>
      <c r="AR16" s="50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7"/>
      <c r="BM16" s="50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7"/>
      <c r="CH16" s="50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7"/>
      <c r="DC16" s="50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7"/>
    </row>
    <row r="17" spans="2:126" x14ac:dyDescent="0.25">
      <c r="B17" s="50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7"/>
      <c r="W17" s="50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7"/>
      <c r="AR17" s="50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7"/>
      <c r="BM17" s="50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7"/>
      <c r="CH17" s="50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7"/>
      <c r="DC17" s="50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7"/>
    </row>
    <row r="18" spans="2:126" x14ac:dyDescent="0.25">
      <c r="B18" s="50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7"/>
      <c r="W18" s="50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7"/>
      <c r="AR18" s="50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7"/>
      <c r="BM18" s="50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7"/>
      <c r="CH18" s="50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7"/>
      <c r="DC18" s="50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7"/>
    </row>
    <row r="19" spans="2:126" x14ac:dyDescent="0.25">
      <c r="B19" s="50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7"/>
      <c r="W19" s="50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7"/>
      <c r="AR19" s="50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7"/>
      <c r="BM19" s="50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7"/>
      <c r="CH19" s="50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7"/>
      <c r="DC19" s="50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7"/>
    </row>
    <row r="20" spans="2:126" x14ac:dyDescent="0.25">
      <c r="B20" s="50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7"/>
      <c r="W20" s="50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7"/>
      <c r="AR20" s="50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7"/>
      <c r="BM20" s="50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7"/>
      <c r="CH20" s="50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7"/>
      <c r="DC20" s="50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7"/>
    </row>
    <row r="21" spans="2:126" x14ac:dyDescent="0.25">
      <c r="B21" s="50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7"/>
      <c r="W21" s="50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7"/>
      <c r="AR21" s="50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7"/>
      <c r="BM21" s="50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7"/>
      <c r="CH21" s="50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7"/>
      <c r="DC21" s="50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7"/>
    </row>
    <row r="22" spans="2:126" x14ac:dyDescent="0.25">
      <c r="B22" s="50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7"/>
      <c r="W22" s="50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7"/>
      <c r="AR22" s="50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7"/>
      <c r="BM22" s="50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7"/>
      <c r="CH22" s="50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7"/>
      <c r="DC22" s="50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7"/>
    </row>
    <row r="23" spans="2:126" x14ac:dyDescent="0.25">
      <c r="B23" s="50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7"/>
      <c r="W23" s="50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7"/>
      <c r="AR23" s="50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7"/>
      <c r="BM23" s="50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7"/>
      <c r="CH23" s="50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7"/>
      <c r="DC23" s="50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7"/>
    </row>
    <row r="24" spans="2:126" x14ac:dyDescent="0.25">
      <c r="B24" s="50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7"/>
      <c r="W24" s="50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7"/>
      <c r="AR24" s="50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7"/>
      <c r="BM24" s="50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7"/>
      <c r="CH24" s="50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7"/>
      <c r="DC24" s="50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6"/>
      <c r="DT24" s="46"/>
      <c r="DU24" s="46"/>
      <c r="DV24" s="47"/>
    </row>
    <row r="25" spans="2:126" x14ac:dyDescent="0.25">
      <c r="B25" s="50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7"/>
      <c r="W25" s="50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7"/>
      <c r="AR25" s="50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7"/>
      <c r="BM25" s="50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7"/>
      <c r="CH25" s="50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7"/>
      <c r="DC25" s="50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7"/>
    </row>
    <row r="26" spans="2:126" x14ac:dyDescent="0.25">
      <c r="B26" s="50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7"/>
      <c r="W26" s="50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7"/>
      <c r="AR26" s="50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7"/>
      <c r="BM26" s="50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7"/>
      <c r="CH26" s="50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7"/>
      <c r="DC26" s="50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  <c r="DS26" s="46"/>
      <c r="DT26" s="46"/>
      <c r="DU26" s="46"/>
      <c r="DV26" s="47"/>
    </row>
    <row r="27" spans="2:126" x14ac:dyDescent="0.25">
      <c r="B27" s="50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7"/>
      <c r="W27" s="50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7"/>
      <c r="AR27" s="50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7"/>
      <c r="BM27" s="50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7"/>
      <c r="CH27" s="50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7"/>
      <c r="DC27" s="50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  <c r="DO27" s="46"/>
      <c r="DP27" s="46"/>
      <c r="DQ27" s="46"/>
      <c r="DR27" s="46"/>
      <c r="DS27" s="46"/>
      <c r="DT27" s="46"/>
      <c r="DU27" s="46"/>
      <c r="DV27" s="47"/>
    </row>
    <row r="28" spans="2:126" x14ac:dyDescent="0.25">
      <c r="B28" s="50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7"/>
      <c r="W28" s="50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7"/>
      <c r="AR28" s="50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7"/>
      <c r="BM28" s="50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7"/>
      <c r="CH28" s="50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7"/>
      <c r="DC28" s="50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  <c r="DO28" s="46"/>
      <c r="DP28" s="46"/>
      <c r="DQ28" s="46"/>
      <c r="DR28" s="46"/>
      <c r="DS28" s="46"/>
      <c r="DT28" s="46"/>
      <c r="DU28" s="46"/>
      <c r="DV28" s="47"/>
    </row>
    <row r="29" spans="2:126" x14ac:dyDescent="0.25">
      <c r="B29" s="50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7"/>
      <c r="W29" s="50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7"/>
      <c r="AR29" s="50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7"/>
      <c r="BM29" s="50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7"/>
      <c r="CH29" s="50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7"/>
      <c r="DC29" s="50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  <c r="DO29" s="46"/>
      <c r="DP29" s="46"/>
      <c r="DQ29" s="46"/>
      <c r="DR29" s="46"/>
      <c r="DS29" s="46"/>
      <c r="DT29" s="46"/>
      <c r="DU29" s="46"/>
      <c r="DV29" s="47"/>
    </row>
    <row r="30" spans="2:126" x14ac:dyDescent="0.25">
      <c r="B30" s="50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7"/>
      <c r="W30" s="50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7"/>
      <c r="AR30" s="50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7"/>
      <c r="BM30" s="50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7"/>
      <c r="CH30" s="50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7"/>
      <c r="DC30" s="50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7"/>
    </row>
    <row r="31" spans="2:126" x14ac:dyDescent="0.25">
      <c r="B31" s="50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7"/>
      <c r="W31" s="50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7"/>
      <c r="AR31" s="50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7"/>
      <c r="BM31" s="50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7"/>
      <c r="CH31" s="50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7"/>
      <c r="DC31" s="50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7"/>
    </row>
    <row r="32" spans="2:126" x14ac:dyDescent="0.25">
      <c r="B32" s="50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7"/>
      <c r="W32" s="50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7"/>
      <c r="AR32" s="50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7"/>
      <c r="BM32" s="50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7"/>
      <c r="CH32" s="50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7"/>
      <c r="DC32" s="50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7"/>
    </row>
    <row r="33" spans="2:126" x14ac:dyDescent="0.25">
      <c r="B33" s="50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7"/>
      <c r="W33" s="50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7"/>
      <c r="AR33" s="50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7"/>
      <c r="BM33" s="50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7"/>
      <c r="CH33" s="50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7"/>
      <c r="DC33" s="50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  <c r="DO33" s="46"/>
      <c r="DP33" s="46"/>
      <c r="DQ33" s="46"/>
      <c r="DR33" s="46"/>
      <c r="DS33" s="46"/>
      <c r="DT33" s="46"/>
      <c r="DU33" s="46"/>
      <c r="DV33" s="47"/>
    </row>
    <row r="34" spans="2:126" x14ac:dyDescent="0.25">
      <c r="B34" s="50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7"/>
      <c r="W34" s="50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7"/>
      <c r="AR34" s="50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7"/>
      <c r="BM34" s="50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7"/>
      <c r="CH34" s="50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7"/>
      <c r="DC34" s="50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7"/>
    </row>
    <row r="35" spans="2:126" x14ac:dyDescent="0.25">
      <c r="B35" s="50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7"/>
      <c r="W35" s="50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7"/>
      <c r="AR35" s="50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7"/>
      <c r="BM35" s="50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7"/>
      <c r="CH35" s="50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7"/>
      <c r="DC35" s="50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7"/>
    </row>
    <row r="36" spans="2:126" x14ac:dyDescent="0.25">
      <c r="B36" s="50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7"/>
      <c r="W36" s="50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7"/>
      <c r="AR36" s="50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7"/>
      <c r="BM36" s="50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7"/>
      <c r="CH36" s="50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7"/>
      <c r="DC36" s="50"/>
      <c r="DD36" s="46"/>
      <c r="DE36" s="46"/>
      <c r="DF36" s="46"/>
      <c r="DG36" s="46"/>
      <c r="DH36" s="46"/>
      <c r="DI36" s="46"/>
      <c r="DJ36" s="46"/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7"/>
    </row>
    <row r="37" spans="2:126" x14ac:dyDescent="0.25">
      <c r="B37" s="50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7"/>
      <c r="W37" s="50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7"/>
      <c r="AR37" s="50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7"/>
      <c r="BM37" s="50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7"/>
      <c r="CH37" s="50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7"/>
      <c r="DC37" s="50"/>
      <c r="DD37" s="46"/>
      <c r="DE37" s="46"/>
      <c r="DF37" s="46"/>
      <c r="DG37" s="46"/>
      <c r="DH37" s="46"/>
      <c r="DI37" s="46"/>
      <c r="DJ37" s="46"/>
      <c r="DK37" s="46"/>
      <c r="DL37" s="46"/>
      <c r="DM37" s="46"/>
      <c r="DN37" s="46"/>
      <c r="DO37" s="46"/>
      <c r="DP37" s="46"/>
      <c r="DQ37" s="46"/>
      <c r="DR37" s="46"/>
      <c r="DS37" s="46"/>
      <c r="DT37" s="46"/>
      <c r="DU37" s="46"/>
      <c r="DV37" s="47"/>
    </row>
    <row r="38" spans="2:126" ht="15.75" thickBot="1" x14ac:dyDescent="0.3">
      <c r="B38" s="50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7"/>
      <c r="W38" s="50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7"/>
      <c r="AR38" s="50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7"/>
      <c r="BM38" s="50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7"/>
      <c r="CH38" s="50"/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A38" s="47"/>
      <c r="DC38" s="50"/>
      <c r="DD38" s="46"/>
      <c r="DE38" s="46"/>
      <c r="DF38" s="46"/>
      <c r="DG38" s="46"/>
      <c r="DH38" s="46"/>
      <c r="DI38" s="46"/>
      <c r="DJ38" s="46"/>
      <c r="DK38" s="46"/>
      <c r="DL38" s="46"/>
      <c r="DM38" s="46"/>
      <c r="DN38" s="46"/>
      <c r="DO38" s="46"/>
      <c r="DP38" s="46"/>
      <c r="DQ38" s="46"/>
      <c r="DR38" s="46"/>
      <c r="DS38" s="46"/>
      <c r="DT38" s="46"/>
      <c r="DU38" s="46"/>
      <c r="DV38" s="47"/>
    </row>
    <row r="39" spans="2:126" ht="16.5" thickBot="1" x14ac:dyDescent="0.3">
      <c r="B39" s="50"/>
      <c r="C39" s="152" t="s">
        <v>6</v>
      </c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4"/>
      <c r="U39" s="47"/>
      <c r="W39" s="50"/>
      <c r="X39" s="152" t="s">
        <v>6</v>
      </c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3"/>
      <c r="AK39" s="153"/>
      <c r="AL39" s="153"/>
      <c r="AM39" s="153"/>
      <c r="AN39" s="153"/>
      <c r="AO39" s="154"/>
      <c r="AP39" s="47"/>
      <c r="AR39" s="50"/>
      <c r="AS39" s="152" t="s">
        <v>6</v>
      </c>
      <c r="AT39" s="153"/>
      <c r="AU39" s="153"/>
      <c r="AV39" s="153"/>
      <c r="AW39" s="153"/>
      <c r="AX39" s="153"/>
      <c r="AY39" s="153"/>
      <c r="AZ39" s="153"/>
      <c r="BA39" s="153"/>
      <c r="BB39" s="153"/>
      <c r="BC39" s="153"/>
      <c r="BD39" s="153"/>
      <c r="BE39" s="153"/>
      <c r="BF39" s="153"/>
      <c r="BG39" s="153"/>
      <c r="BH39" s="153"/>
      <c r="BI39" s="153"/>
      <c r="BJ39" s="154"/>
      <c r="BK39" s="47"/>
      <c r="BM39" s="50"/>
      <c r="BN39" s="152" t="s">
        <v>6</v>
      </c>
      <c r="BO39" s="153"/>
      <c r="BP39" s="153"/>
      <c r="BQ39" s="153"/>
      <c r="BR39" s="153"/>
      <c r="BS39" s="153"/>
      <c r="BT39" s="153"/>
      <c r="BU39" s="153"/>
      <c r="BV39" s="153"/>
      <c r="BW39" s="153"/>
      <c r="BX39" s="153"/>
      <c r="BY39" s="153"/>
      <c r="BZ39" s="153"/>
      <c r="CA39" s="153"/>
      <c r="CB39" s="153"/>
      <c r="CC39" s="153"/>
      <c r="CD39" s="153"/>
      <c r="CE39" s="154"/>
      <c r="CF39" s="47"/>
      <c r="CH39" s="50"/>
      <c r="CI39" s="152" t="s">
        <v>6</v>
      </c>
      <c r="CJ39" s="153"/>
      <c r="CK39" s="153"/>
      <c r="CL39" s="153"/>
      <c r="CM39" s="153"/>
      <c r="CN39" s="153"/>
      <c r="CO39" s="153"/>
      <c r="CP39" s="153"/>
      <c r="CQ39" s="153"/>
      <c r="CR39" s="153"/>
      <c r="CS39" s="153"/>
      <c r="CT39" s="153"/>
      <c r="CU39" s="153"/>
      <c r="CV39" s="153"/>
      <c r="CW39" s="153"/>
      <c r="CX39" s="153"/>
      <c r="CY39" s="153"/>
      <c r="CZ39" s="154"/>
      <c r="DA39" s="47"/>
      <c r="DC39" s="50"/>
      <c r="DD39" s="152" t="s">
        <v>6</v>
      </c>
      <c r="DE39" s="153"/>
      <c r="DF39" s="153"/>
      <c r="DG39" s="153"/>
      <c r="DH39" s="153"/>
      <c r="DI39" s="153"/>
      <c r="DJ39" s="153"/>
      <c r="DK39" s="153"/>
      <c r="DL39" s="153"/>
      <c r="DM39" s="153"/>
      <c r="DN39" s="153"/>
      <c r="DO39" s="153"/>
      <c r="DP39" s="153"/>
      <c r="DQ39" s="153"/>
      <c r="DR39" s="153"/>
      <c r="DS39" s="153"/>
      <c r="DT39" s="153"/>
      <c r="DU39" s="154"/>
      <c r="DV39" s="47"/>
    </row>
    <row r="40" spans="2:126" x14ac:dyDescent="0.25">
      <c r="B40" s="50"/>
      <c r="C40" s="143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5"/>
      <c r="U40" s="47"/>
      <c r="W40" s="50"/>
      <c r="X40" s="143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5"/>
      <c r="AP40" s="47"/>
      <c r="AR40" s="50"/>
      <c r="AS40" s="143"/>
      <c r="AT40" s="144"/>
      <c r="AU40" s="144"/>
      <c r="AV40" s="144"/>
      <c r="AW40" s="144"/>
      <c r="AX40" s="144"/>
      <c r="AY40" s="144"/>
      <c r="AZ40" s="144"/>
      <c r="BA40" s="144"/>
      <c r="BB40" s="144"/>
      <c r="BC40" s="144"/>
      <c r="BD40" s="144"/>
      <c r="BE40" s="144"/>
      <c r="BF40" s="144"/>
      <c r="BG40" s="144"/>
      <c r="BH40" s="144"/>
      <c r="BI40" s="144"/>
      <c r="BJ40" s="145"/>
      <c r="BK40" s="47"/>
      <c r="BM40" s="50"/>
      <c r="BN40" s="143"/>
      <c r="BO40" s="144"/>
      <c r="BP40" s="144"/>
      <c r="BQ40" s="144"/>
      <c r="BR40" s="144"/>
      <c r="BS40" s="144"/>
      <c r="BT40" s="144"/>
      <c r="BU40" s="144"/>
      <c r="BV40" s="144"/>
      <c r="BW40" s="144"/>
      <c r="BX40" s="144"/>
      <c r="BY40" s="144"/>
      <c r="BZ40" s="144"/>
      <c r="CA40" s="144"/>
      <c r="CB40" s="144"/>
      <c r="CC40" s="144"/>
      <c r="CD40" s="144"/>
      <c r="CE40" s="145"/>
      <c r="CF40" s="47"/>
      <c r="CH40" s="50"/>
      <c r="CI40" s="143"/>
      <c r="CJ40" s="144"/>
      <c r="CK40" s="144"/>
      <c r="CL40" s="144"/>
      <c r="CM40" s="144"/>
      <c r="CN40" s="144"/>
      <c r="CO40" s="144"/>
      <c r="CP40" s="144"/>
      <c r="CQ40" s="144"/>
      <c r="CR40" s="144"/>
      <c r="CS40" s="144"/>
      <c r="CT40" s="144"/>
      <c r="CU40" s="144"/>
      <c r="CV40" s="144"/>
      <c r="CW40" s="144"/>
      <c r="CX40" s="144"/>
      <c r="CY40" s="144"/>
      <c r="CZ40" s="145"/>
      <c r="DA40" s="47"/>
      <c r="DC40" s="50"/>
      <c r="DD40" s="143"/>
      <c r="DE40" s="144"/>
      <c r="DF40" s="144"/>
      <c r="DG40" s="144"/>
      <c r="DH40" s="144"/>
      <c r="DI40" s="144"/>
      <c r="DJ40" s="144"/>
      <c r="DK40" s="144"/>
      <c r="DL40" s="144"/>
      <c r="DM40" s="144"/>
      <c r="DN40" s="144"/>
      <c r="DO40" s="144"/>
      <c r="DP40" s="144"/>
      <c r="DQ40" s="144"/>
      <c r="DR40" s="144"/>
      <c r="DS40" s="144"/>
      <c r="DT40" s="144"/>
      <c r="DU40" s="145"/>
      <c r="DV40" s="47"/>
    </row>
    <row r="41" spans="2:126" x14ac:dyDescent="0.25">
      <c r="B41" s="50"/>
      <c r="C41" s="143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5"/>
      <c r="U41" s="47"/>
      <c r="W41" s="50"/>
      <c r="X41" s="143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5"/>
      <c r="AP41" s="47"/>
      <c r="AR41" s="50"/>
      <c r="AS41" s="143"/>
      <c r="AT41" s="144"/>
      <c r="AU41" s="144"/>
      <c r="AV41" s="144"/>
      <c r="AW41" s="144"/>
      <c r="AX41" s="144"/>
      <c r="AY41" s="144"/>
      <c r="AZ41" s="144"/>
      <c r="BA41" s="144"/>
      <c r="BB41" s="144"/>
      <c r="BC41" s="144"/>
      <c r="BD41" s="144"/>
      <c r="BE41" s="144"/>
      <c r="BF41" s="144"/>
      <c r="BG41" s="144"/>
      <c r="BH41" s="144"/>
      <c r="BI41" s="144"/>
      <c r="BJ41" s="145"/>
      <c r="BK41" s="47"/>
      <c r="BM41" s="50"/>
      <c r="BN41" s="143"/>
      <c r="BO41" s="144"/>
      <c r="BP41" s="144"/>
      <c r="BQ41" s="144"/>
      <c r="BR41" s="144"/>
      <c r="BS41" s="144"/>
      <c r="BT41" s="144"/>
      <c r="BU41" s="144"/>
      <c r="BV41" s="144"/>
      <c r="BW41" s="144"/>
      <c r="BX41" s="144"/>
      <c r="BY41" s="144"/>
      <c r="BZ41" s="144"/>
      <c r="CA41" s="144"/>
      <c r="CB41" s="144"/>
      <c r="CC41" s="144"/>
      <c r="CD41" s="144"/>
      <c r="CE41" s="145"/>
      <c r="CF41" s="47"/>
      <c r="CH41" s="50"/>
      <c r="CI41" s="143"/>
      <c r="CJ41" s="144"/>
      <c r="CK41" s="144"/>
      <c r="CL41" s="144"/>
      <c r="CM41" s="144"/>
      <c r="CN41" s="144"/>
      <c r="CO41" s="144"/>
      <c r="CP41" s="144"/>
      <c r="CQ41" s="144"/>
      <c r="CR41" s="144"/>
      <c r="CS41" s="144"/>
      <c r="CT41" s="144"/>
      <c r="CU41" s="144"/>
      <c r="CV41" s="144"/>
      <c r="CW41" s="144"/>
      <c r="CX41" s="144"/>
      <c r="CY41" s="144"/>
      <c r="CZ41" s="145"/>
      <c r="DA41" s="47"/>
      <c r="DC41" s="50"/>
      <c r="DD41" s="143"/>
      <c r="DE41" s="144"/>
      <c r="DF41" s="144"/>
      <c r="DG41" s="144"/>
      <c r="DH41" s="144"/>
      <c r="DI41" s="144"/>
      <c r="DJ41" s="144"/>
      <c r="DK41" s="144"/>
      <c r="DL41" s="144"/>
      <c r="DM41" s="144"/>
      <c r="DN41" s="144"/>
      <c r="DO41" s="144"/>
      <c r="DP41" s="144"/>
      <c r="DQ41" s="144"/>
      <c r="DR41" s="144"/>
      <c r="DS41" s="144"/>
      <c r="DT41" s="144"/>
      <c r="DU41" s="145"/>
      <c r="DV41" s="47"/>
    </row>
    <row r="42" spans="2:126" x14ac:dyDescent="0.25">
      <c r="B42" s="50"/>
      <c r="C42" s="143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5"/>
      <c r="U42" s="47"/>
      <c r="W42" s="50"/>
      <c r="X42" s="143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5"/>
      <c r="AP42" s="47"/>
      <c r="AR42" s="50"/>
      <c r="AS42" s="143"/>
      <c r="AT42" s="144"/>
      <c r="AU42" s="144"/>
      <c r="AV42" s="144"/>
      <c r="AW42" s="144"/>
      <c r="AX42" s="144"/>
      <c r="AY42" s="144"/>
      <c r="AZ42" s="144"/>
      <c r="BA42" s="144"/>
      <c r="BB42" s="144"/>
      <c r="BC42" s="144"/>
      <c r="BD42" s="144"/>
      <c r="BE42" s="144"/>
      <c r="BF42" s="144"/>
      <c r="BG42" s="144"/>
      <c r="BH42" s="144"/>
      <c r="BI42" s="144"/>
      <c r="BJ42" s="145"/>
      <c r="BK42" s="47"/>
      <c r="BM42" s="50"/>
      <c r="BN42" s="143"/>
      <c r="BO42" s="144"/>
      <c r="BP42" s="144"/>
      <c r="BQ42" s="144"/>
      <c r="BR42" s="144"/>
      <c r="BS42" s="144"/>
      <c r="BT42" s="144"/>
      <c r="BU42" s="144"/>
      <c r="BV42" s="144"/>
      <c r="BW42" s="144"/>
      <c r="BX42" s="144"/>
      <c r="BY42" s="144"/>
      <c r="BZ42" s="144"/>
      <c r="CA42" s="144"/>
      <c r="CB42" s="144"/>
      <c r="CC42" s="144"/>
      <c r="CD42" s="144"/>
      <c r="CE42" s="145"/>
      <c r="CF42" s="47"/>
      <c r="CH42" s="50"/>
      <c r="CI42" s="143"/>
      <c r="CJ42" s="144"/>
      <c r="CK42" s="144"/>
      <c r="CL42" s="144"/>
      <c r="CM42" s="144"/>
      <c r="CN42" s="144"/>
      <c r="CO42" s="144"/>
      <c r="CP42" s="144"/>
      <c r="CQ42" s="144"/>
      <c r="CR42" s="144"/>
      <c r="CS42" s="144"/>
      <c r="CT42" s="144"/>
      <c r="CU42" s="144"/>
      <c r="CV42" s="144"/>
      <c r="CW42" s="144"/>
      <c r="CX42" s="144"/>
      <c r="CY42" s="144"/>
      <c r="CZ42" s="145"/>
      <c r="DA42" s="47"/>
      <c r="DC42" s="50"/>
      <c r="DD42" s="143"/>
      <c r="DE42" s="144"/>
      <c r="DF42" s="144"/>
      <c r="DG42" s="144"/>
      <c r="DH42" s="144"/>
      <c r="DI42" s="144"/>
      <c r="DJ42" s="144"/>
      <c r="DK42" s="144"/>
      <c r="DL42" s="144"/>
      <c r="DM42" s="144"/>
      <c r="DN42" s="144"/>
      <c r="DO42" s="144"/>
      <c r="DP42" s="144"/>
      <c r="DQ42" s="144"/>
      <c r="DR42" s="144"/>
      <c r="DS42" s="144"/>
      <c r="DT42" s="144"/>
      <c r="DU42" s="145"/>
      <c r="DV42" s="47"/>
    </row>
    <row r="43" spans="2:126" x14ac:dyDescent="0.25">
      <c r="B43" s="50"/>
      <c r="C43" s="143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5"/>
      <c r="U43" s="47"/>
      <c r="W43" s="50"/>
      <c r="X43" s="143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  <c r="AO43" s="145"/>
      <c r="AP43" s="47"/>
      <c r="AR43" s="50"/>
      <c r="AS43" s="143"/>
      <c r="AT43" s="144"/>
      <c r="AU43" s="144"/>
      <c r="AV43" s="144"/>
      <c r="AW43" s="144"/>
      <c r="AX43" s="144"/>
      <c r="AY43" s="144"/>
      <c r="AZ43" s="144"/>
      <c r="BA43" s="144"/>
      <c r="BB43" s="144"/>
      <c r="BC43" s="144"/>
      <c r="BD43" s="144"/>
      <c r="BE43" s="144"/>
      <c r="BF43" s="144"/>
      <c r="BG43" s="144"/>
      <c r="BH43" s="144"/>
      <c r="BI43" s="144"/>
      <c r="BJ43" s="145"/>
      <c r="BK43" s="47"/>
      <c r="BM43" s="50"/>
      <c r="BN43" s="143"/>
      <c r="BO43" s="144"/>
      <c r="BP43" s="144"/>
      <c r="BQ43" s="144"/>
      <c r="BR43" s="144"/>
      <c r="BS43" s="144"/>
      <c r="BT43" s="144"/>
      <c r="BU43" s="144"/>
      <c r="BV43" s="144"/>
      <c r="BW43" s="144"/>
      <c r="BX43" s="144"/>
      <c r="BY43" s="144"/>
      <c r="BZ43" s="144"/>
      <c r="CA43" s="144"/>
      <c r="CB43" s="144"/>
      <c r="CC43" s="144"/>
      <c r="CD43" s="144"/>
      <c r="CE43" s="145"/>
      <c r="CF43" s="47"/>
      <c r="CH43" s="50"/>
      <c r="CI43" s="143"/>
      <c r="CJ43" s="144"/>
      <c r="CK43" s="144"/>
      <c r="CL43" s="144"/>
      <c r="CM43" s="144"/>
      <c r="CN43" s="144"/>
      <c r="CO43" s="144"/>
      <c r="CP43" s="144"/>
      <c r="CQ43" s="144"/>
      <c r="CR43" s="144"/>
      <c r="CS43" s="144"/>
      <c r="CT43" s="144"/>
      <c r="CU43" s="144"/>
      <c r="CV43" s="144"/>
      <c r="CW43" s="144"/>
      <c r="CX43" s="144"/>
      <c r="CY43" s="144"/>
      <c r="CZ43" s="145"/>
      <c r="DA43" s="47"/>
      <c r="DC43" s="50"/>
      <c r="DD43" s="143"/>
      <c r="DE43" s="144"/>
      <c r="DF43" s="144"/>
      <c r="DG43" s="144"/>
      <c r="DH43" s="144"/>
      <c r="DI43" s="144"/>
      <c r="DJ43" s="144"/>
      <c r="DK43" s="144"/>
      <c r="DL43" s="144"/>
      <c r="DM43" s="144"/>
      <c r="DN43" s="144"/>
      <c r="DO43" s="144"/>
      <c r="DP43" s="144"/>
      <c r="DQ43" s="144"/>
      <c r="DR43" s="144"/>
      <c r="DS43" s="144"/>
      <c r="DT43" s="144"/>
      <c r="DU43" s="145"/>
      <c r="DV43" s="47"/>
    </row>
    <row r="44" spans="2:126" x14ac:dyDescent="0.25">
      <c r="B44" s="50"/>
      <c r="C44" s="143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5"/>
      <c r="U44" s="47"/>
      <c r="W44" s="50"/>
      <c r="X44" s="143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5"/>
      <c r="AP44" s="47"/>
      <c r="AR44" s="50"/>
      <c r="AS44" s="143"/>
      <c r="AT44" s="144"/>
      <c r="AU44" s="144"/>
      <c r="AV44" s="144"/>
      <c r="AW44" s="144"/>
      <c r="AX44" s="144"/>
      <c r="AY44" s="144"/>
      <c r="AZ44" s="144"/>
      <c r="BA44" s="144"/>
      <c r="BB44" s="144"/>
      <c r="BC44" s="144"/>
      <c r="BD44" s="144"/>
      <c r="BE44" s="144"/>
      <c r="BF44" s="144"/>
      <c r="BG44" s="144"/>
      <c r="BH44" s="144"/>
      <c r="BI44" s="144"/>
      <c r="BJ44" s="145"/>
      <c r="BK44" s="47"/>
      <c r="BM44" s="50"/>
      <c r="BN44" s="143"/>
      <c r="BO44" s="144"/>
      <c r="BP44" s="144"/>
      <c r="BQ44" s="144"/>
      <c r="BR44" s="144"/>
      <c r="BS44" s="144"/>
      <c r="BT44" s="144"/>
      <c r="BU44" s="144"/>
      <c r="BV44" s="144"/>
      <c r="BW44" s="144"/>
      <c r="BX44" s="144"/>
      <c r="BY44" s="144"/>
      <c r="BZ44" s="144"/>
      <c r="CA44" s="144"/>
      <c r="CB44" s="144"/>
      <c r="CC44" s="144"/>
      <c r="CD44" s="144"/>
      <c r="CE44" s="145"/>
      <c r="CF44" s="47"/>
      <c r="CH44" s="50"/>
      <c r="CI44" s="143"/>
      <c r="CJ44" s="144"/>
      <c r="CK44" s="144"/>
      <c r="CL44" s="144"/>
      <c r="CM44" s="144"/>
      <c r="CN44" s="144"/>
      <c r="CO44" s="144"/>
      <c r="CP44" s="144"/>
      <c r="CQ44" s="144"/>
      <c r="CR44" s="144"/>
      <c r="CS44" s="144"/>
      <c r="CT44" s="144"/>
      <c r="CU44" s="144"/>
      <c r="CV44" s="144"/>
      <c r="CW44" s="144"/>
      <c r="CX44" s="144"/>
      <c r="CY44" s="144"/>
      <c r="CZ44" s="145"/>
      <c r="DA44" s="47"/>
      <c r="DC44" s="50"/>
      <c r="DD44" s="143"/>
      <c r="DE44" s="144"/>
      <c r="DF44" s="144"/>
      <c r="DG44" s="144"/>
      <c r="DH44" s="144"/>
      <c r="DI44" s="144"/>
      <c r="DJ44" s="144"/>
      <c r="DK44" s="144"/>
      <c r="DL44" s="144"/>
      <c r="DM44" s="144"/>
      <c r="DN44" s="144"/>
      <c r="DO44" s="144"/>
      <c r="DP44" s="144"/>
      <c r="DQ44" s="144"/>
      <c r="DR44" s="144"/>
      <c r="DS44" s="144"/>
      <c r="DT44" s="144"/>
      <c r="DU44" s="145"/>
      <c r="DV44" s="47"/>
    </row>
    <row r="45" spans="2:126" x14ac:dyDescent="0.25">
      <c r="B45" s="50"/>
      <c r="C45" s="143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5"/>
      <c r="U45" s="47"/>
      <c r="W45" s="50"/>
      <c r="X45" s="143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5"/>
      <c r="AP45" s="47"/>
      <c r="AR45" s="50"/>
      <c r="AS45" s="143"/>
      <c r="AT45" s="144"/>
      <c r="AU45" s="144"/>
      <c r="AV45" s="144"/>
      <c r="AW45" s="144"/>
      <c r="AX45" s="144"/>
      <c r="AY45" s="144"/>
      <c r="AZ45" s="144"/>
      <c r="BA45" s="144"/>
      <c r="BB45" s="144"/>
      <c r="BC45" s="144"/>
      <c r="BD45" s="144"/>
      <c r="BE45" s="144"/>
      <c r="BF45" s="144"/>
      <c r="BG45" s="144"/>
      <c r="BH45" s="144"/>
      <c r="BI45" s="144"/>
      <c r="BJ45" s="145"/>
      <c r="BK45" s="47"/>
      <c r="BM45" s="50"/>
      <c r="BN45" s="143"/>
      <c r="BO45" s="144"/>
      <c r="BP45" s="144"/>
      <c r="BQ45" s="144"/>
      <c r="BR45" s="144"/>
      <c r="BS45" s="144"/>
      <c r="BT45" s="144"/>
      <c r="BU45" s="144"/>
      <c r="BV45" s="144"/>
      <c r="BW45" s="144"/>
      <c r="BX45" s="144"/>
      <c r="BY45" s="144"/>
      <c r="BZ45" s="144"/>
      <c r="CA45" s="144"/>
      <c r="CB45" s="144"/>
      <c r="CC45" s="144"/>
      <c r="CD45" s="144"/>
      <c r="CE45" s="145"/>
      <c r="CF45" s="47"/>
      <c r="CH45" s="50"/>
      <c r="CI45" s="143"/>
      <c r="CJ45" s="144"/>
      <c r="CK45" s="144"/>
      <c r="CL45" s="144"/>
      <c r="CM45" s="144"/>
      <c r="CN45" s="144"/>
      <c r="CO45" s="144"/>
      <c r="CP45" s="144"/>
      <c r="CQ45" s="144"/>
      <c r="CR45" s="144"/>
      <c r="CS45" s="144"/>
      <c r="CT45" s="144"/>
      <c r="CU45" s="144"/>
      <c r="CV45" s="144"/>
      <c r="CW45" s="144"/>
      <c r="CX45" s="144"/>
      <c r="CY45" s="144"/>
      <c r="CZ45" s="145"/>
      <c r="DA45" s="47"/>
      <c r="DC45" s="50"/>
      <c r="DD45" s="143"/>
      <c r="DE45" s="144"/>
      <c r="DF45" s="144"/>
      <c r="DG45" s="144"/>
      <c r="DH45" s="144"/>
      <c r="DI45" s="144"/>
      <c r="DJ45" s="144"/>
      <c r="DK45" s="144"/>
      <c r="DL45" s="144"/>
      <c r="DM45" s="144"/>
      <c r="DN45" s="144"/>
      <c r="DO45" s="144"/>
      <c r="DP45" s="144"/>
      <c r="DQ45" s="144"/>
      <c r="DR45" s="144"/>
      <c r="DS45" s="144"/>
      <c r="DT45" s="144"/>
      <c r="DU45" s="145"/>
      <c r="DV45" s="47"/>
    </row>
    <row r="46" spans="2:126" ht="15.75" thickBot="1" x14ac:dyDescent="0.3">
      <c r="B46" s="50"/>
      <c r="C46" s="146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8"/>
      <c r="U46" s="47"/>
      <c r="W46" s="50"/>
      <c r="X46" s="146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8"/>
      <c r="AP46" s="47"/>
      <c r="AR46" s="50"/>
      <c r="AS46" s="146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  <c r="BE46" s="147"/>
      <c r="BF46" s="147"/>
      <c r="BG46" s="147"/>
      <c r="BH46" s="147"/>
      <c r="BI46" s="147"/>
      <c r="BJ46" s="148"/>
      <c r="BK46" s="47"/>
      <c r="BM46" s="50"/>
      <c r="BN46" s="146"/>
      <c r="BO46" s="147"/>
      <c r="BP46" s="147"/>
      <c r="BQ46" s="147"/>
      <c r="BR46" s="147"/>
      <c r="BS46" s="147"/>
      <c r="BT46" s="147"/>
      <c r="BU46" s="147"/>
      <c r="BV46" s="147"/>
      <c r="BW46" s="147"/>
      <c r="BX46" s="147"/>
      <c r="BY46" s="147"/>
      <c r="BZ46" s="147"/>
      <c r="CA46" s="147"/>
      <c r="CB46" s="147"/>
      <c r="CC46" s="147"/>
      <c r="CD46" s="147"/>
      <c r="CE46" s="148"/>
      <c r="CF46" s="47"/>
      <c r="CH46" s="50"/>
      <c r="CI46" s="146"/>
      <c r="CJ46" s="147"/>
      <c r="CK46" s="147"/>
      <c r="CL46" s="147"/>
      <c r="CM46" s="147"/>
      <c r="CN46" s="147"/>
      <c r="CO46" s="147"/>
      <c r="CP46" s="147"/>
      <c r="CQ46" s="147"/>
      <c r="CR46" s="147"/>
      <c r="CS46" s="147"/>
      <c r="CT46" s="147"/>
      <c r="CU46" s="147"/>
      <c r="CV46" s="147"/>
      <c r="CW46" s="147"/>
      <c r="CX46" s="147"/>
      <c r="CY46" s="147"/>
      <c r="CZ46" s="148"/>
      <c r="DA46" s="47"/>
      <c r="DC46" s="50"/>
      <c r="DD46" s="146"/>
      <c r="DE46" s="147"/>
      <c r="DF46" s="147"/>
      <c r="DG46" s="147"/>
      <c r="DH46" s="147"/>
      <c r="DI46" s="147"/>
      <c r="DJ46" s="147"/>
      <c r="DK46" s="147"/>
      <c r="DL46" s="147"/>
      <c r="DM46" s="147"/>
      <c r="DN46" s="147"/>
      <c r="DO46" s="147"/>
      <c r="DP46" s="147"/>
      <c r="DQ46" s="147"/>
      <c r="DR46" s="147"/>
      <c r="DS46" s="147"/>
      <c r="DT46" s="147"/>
      <c r="DU46" s="148"/>
      <c r="DV46" s="47"/>
    </row>
    <row r="47" spans="2:126" x14ac:dyDescent="0.25">
      <c r="B47" s="50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7"/>
      <c r="W47" s="50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7"/>
      <c r="AR47" s="50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7"/>
      <c r="BM47" s="50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7"/>
      <c r="CH47" s="50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7"/>
      <c r="DC47" s="50"/>
      <c r="DD47" s="46"/>
      <c r="DE47" s="46"/>
      <c r="DF47" s="46"/>
      <c r="DG47" s="46"/>
      <c r="DH47" s="46"/>
      <c r="DI47" s="46"/>
      <c r="DJ47" s="46"/>
      <c r="DK47" s="46"/>
      <c r="DL47" s="46"/>
      <c r="DM47" s="46"/>
      <c r="DN47" s="46"/>
      <c r="DO47" s="46"/>
      <c r="DP47" s="46"/>
      <c r="DQ47" s="46"/>
      <c r="DR47" s="46"/>
      <c r="DS47" s="46"/>
      <c r="DT47" s="46"/>
      <c r="DU47" s="46"/>
      <c r="DV47" s="47"/>
    </row>
    <row r="48" spans="2:126" ht="15.75" thickBot="1" x14ac:dyDescent="0.3">
      <c r="B48" s="53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6"/>
      <c r="W48" s="53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6"/>
      <c r="AR48" s="53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6"/>
      <c r="BM48" s="53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6"/>
      <c r="CH48" s="53"/>
      <c r="CI48" s="55"/>
      <c r="CJ48" s="55"/>
      <c r="CK48" s="55"/>
      <c r="CL48" s="55"/>
      <c r="CM48" s="55"/>
      <c r="CN48" s="55"/>
      <c r="CO48" s="55"/>
      <c r="CP48" s="55"/>
      <c r="CQ48" s="55"/>
      <c r="CR48" s="55"/>
      <c r="CS48" s="55"/>
      <c r="CT48" s="55"/>
      <c r="CU48" s="55"/>
      <c r="CV48" s="55"/>
      <c r="CW48" s="55"/>
      <c r="CX48" s="55"/>
      <c r="CY48" s="55"/>
      <c r="CZ48" s="55"/>
      <c r="DA48" s="56"/>
      <c r="DC48" s="53"/>
      <c r="DD48" s="55"/>
      <c r="DE48" s="55"/>
      <c r="DF48" s="55"/>
      <c r="DG48" s="55"/>
      <c r="DH48" s="55"/>
      <c r="DI48" s="55"/>
      <c r="DJ48" s="55"/>
      <c r="DK48" s="55"/>
      <c r="DL48" s="55"/>
      <c r="DM48" s="55"/>
      <c r="DN48" s="55"/>
      <c r="DO48" s="55"/>
      <c r="DP48" s="55"/>
      <c r="DQ48" s="55"/>
      <c r="DR48" s="55"/>
      <c r="DS48" s="55"/>
      <c r="DT48" s="55"/>
      <c r="DU48" s="55"/>
      <c r="DV48" s="56"/>
    </row>
  </sheetData>
  <mergeCells count="54">
    <mergeCell ref="DC1:DV1"/>
    <mergeCell ref="DD39:DU39"/>
    <mergeCell ref="DD40:DU40"/>
    <mergeCell ref="DD41:DU41"/>
    <mergeCell ref="DD42:DU42"/>
    <mergeCell ref="CH1:DA1"/>
    <mergeCell ref="CI39:CZ39"/>
    <mergeCell ref="CI40:CZ40"/>
    <mergeCell ref="CI41:CZ41"/>
    <mergeCell ref="CI42:CZ42"/>
    <mergeCell ref="BN43:CE43"/>
    <mergeCell ref="BN44:CE44"/>
    <mergeCell ref="BN45:CE45"/>
    <mergeCell ref="BN46:CE46"/>
    <mergeCell ref="DD43:DU43"/>
    <mergeCell ref="DD44:DU44"/>
    <mergeCell ref="CI43:CZ43"/>
    <mergeCell ref="DD45:DU45"/>
    <mergeCell ref="DD46:DU46"/>
    <mergeCell ref="CI44:CZ44"/>
    <mergeCell ref="CI45:CZ45"/>
    <mergeCell ref="CI46:CZ46"/>
    <mergeCell ref="BM1:CF1"/>
    <mergeCell ref="BN39:CE39"/>
    <mergeCell ref="BN40:CE40"/>
    <mergeCell ref="BN41:CE41"/>
    <mergeCell ref="BN42:CE42"/>
    <mergeCell ref="X45:AO45"/>
    <mergeCell ref="X46:AO46"/>
    <mergeCell ref="AR1:BK1"/>
    <mergeCell ref="AS39:BJ39"/>
    <mergeCell ref="AS40:BJ40"/>
    <mergeCell ref="AS41:BJ41"/>
    <mergeCell ref="AS42:BJ42"/>
    <mergeCell ref="AS43:BJ43"/>
    <mergeCell ref="AS44:BJ44"/>
    <mergeCell ref="AS45:BJ45"/>
    <mergeCell ref="AS46:BJ46"/>
    <mergeCell ref="C44:T44"/>
    <mergeCell ref="C45:T45"/>
    <mergeCell ref="C46:T46"/>
    <mergeCell ref="W1:AP1"/>
    <mergeCell ref="X39:AO39"/>
    <mergeCell ref="X40:AO40"/>
    <mergeCell ref="X41:AO41"/>
    <mergeCell ref="X42:AO42"/>
    <mergeCell ref="X43:AO43"/>
    <mergeCell ref="X44:AO44"/>
    <mergeCell ref="B1:U1"/>
    <mergeCell ref="C39:T39"/>
    <mergeCell ref="C40:T40"/>
    <mergeCell ref="C41:T41"/>
    <mergeCell ref="C42:T42"/>
    <mergeCell ref="C43:T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Lundi S1</vt:lpstr>
      <vt:lpstr>Mardi S1</vt:lpstr>
      <vt:lpstr>Mercredi S1</vt:lpstr>
      <vt:lpstr>Jeudi S1</vt:lpstr>
      <vt:lpstr>Vendredi S1</vt:lpstr>
      <vt:lpstr>Samedi S1</vt:lpstr>
      <vt:lpstr>Synthèse S1</vt:lpstr>
      <vt:lpstr>Lundi S2</vt:lpstr>
      <vt:lpstr>Mardi S2 </vt:lpstr>
      <vt:lpstr>Mercredi S2 </vt:lpstr>
      <vt:lpstr>Jeudi S2 </vt:lpstr>
      <vt:lpstr>Vendredi S2 </vt:lpstr>
      <vt:lpstr>Samedi S2</vt:lpstr>
      <vt:lpstr>Synthèse S2</vt:lpstr>
      <vt:lpstr>Lundi S3</vt:lpstr>
      <vt:lpstr>Mardi S3</vt:lpstr>
      <vt:lpstr>Mercredi S3</vt:lpstr>
      <vt:lpstr>Jeudi S3</vt:lpstr>
      <vt:lpstr>Vendredi S3</vt:lpstr>
      <vt:lpstr>Samedi S3</vt:lpstr>
      <vt:lpstr>Synthèse S3</vt:lpstr>
      <vt:lpstr>Lundi S4</vt:lpstr>
      <vt:lpstr>Mardi S4</vt:lpstr>
      <vt:lpstr>Mercredi S4</vt:lpstr>
      <vt:lpstr>Jeudi S4</vt:lpstr>
      <vt:lpstr>Vendredi S4</vt:lpstr>
      <vt:lpstr>Samedi S4</vt:lpstr>
      <vt:lpstr>Synthèse S4</vt:lpstr>
      <vt:lpstr>Luindi S5</vt:lpstr>
      <vt:lpstr>Mardi S5</vt:lpstr>
      <vt:lpstr>Mercredi S5</vt:lpstr>
      <vt:lpstr>Jeudi S5</vt:lpstr>
      <vt:lpstr>Vendredi S5</vt:lpstr>
      <vt:lpstr>Samedi S5</vt:lpstr>
      <vt:lpstr>Synthèse S5</vt:lpstr>
      <vt:lpstr>Total semaines</vt:lpstr>
      <vt:lpstr>Recap</vt:lpstr>
      <vt:lpstr>Dashbord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N'dri, S. (Serge)</dc:creator>
  <cp:lastModifiedBy>TANOH ERNEST</cp:lastModifiedBy>
  <cp:lastPrinted>2024-06-29T11:58:54Z</cp:lastPrinted>
  <dcterms:created xsi:type="dcterms:W3CDTF">2015-06-05T18:17:20Z</dcterms:created>
  <dcterms:modified xsi:type="dcterms:W3CDTF">2025-12-31T08:02:50Z</dcterms:modified>
</cp:coreProperties>
</file>