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rting-module\DATA BIBLOS\"/>
    </mc:Choice>
  </mc:AlternateContent>
  <xr:revisionPtr revIDLastSave="0" documentId="13_ncr:1_{4EABD30C-C02D-412E-95E8-A93DEA995A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  <sheet name="Feuil3" sheetId="3" r:id="rId2"/>
    <sheet name="Feuil2" sheetId="2" r:id="rId3"/>
  </sheets>
  <definedNames>
    <definedName name="_xlnm.Print_Area" localSheetId="0">Feuil1!$A$1:$AC$14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K28" i="1" l="1"/>
  <c r="GK27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GJ9" i="1"/>
  <c r="GB14" i="1"/>
  <c r="GA14" i="1"/>
  <c r="FZ14" i="1"/>
  <c r="FY14" i="1"/>
  <c r="FX14" i="1"/>
  <c r="FW14" i="1"/>
  <c r="FV14" i="1"/>
  <c r="FU14" i="1"/>
  <c r="FT14" i="1"/>
  <c r="FS14" i="1"/>
  <c r="GD14" i="1" s="1"/>
  <c r="FR14" i="1"/>
  <c r="FQ14" i="1"/>
  <c r="FP14" i="1"/>
  <c r="FO14" i="1"/>
  <c r="FN14" i="1"/>
  <c r="FM14" i="1"/>
  <c r="FL14" i="1"/>
  <c r="FK14" i="1"/>
  <c r="FJ14" i="1"/>
  <c r="FI14" i="1"/>
  <c r="GC14" i="1" s="1"/>
  <c r="GI13" i="1"/>
  <c r="GH13" i="1"/>
  <c r="GG13" i="1"/>
  <c r="GF13" i="1"/>
  <c r="GE13" i="1"/>
  <c r="GD13" i="1"/>
  <c r="GC13" i="1"/>
  <c r="GI12" i="1"/>
  <c r="GH12" i="1"/>
  <c r="GG12" i="1"/>
  <c r="GF12" i="1"/>
  <c r="GE12" i="1"/>
  <c r="GD12" i="1"/>
  <c r="GC12" i="1"/>
  <c r="GI11" i="1"/>
  <c r="GH11" i="1"/>
  <c r="GG11" i="1"/>
  <c r="GF11" i="1"/>
  <c r="GE11" i="1"/>
  <c r="GD11" i="1"/>
  <c r="GC11" i="1"/>
  <c r="GI10" i="1"/>
  <c r="GH10" i="1"/>
  <c r="GG10" i="1"/>
  <c r="GF10" i="1"/>
  <c r="GE10" i="1"/>
  <c r="GD10" i="1"/>
  <c r="GC10" i="1"/>
  <c r="GI9" i="1"/>
  <c r="GH9" i="1"/>
  <c r="GG9" i="1"/>
  <c r="GF9" i="1"/>
  <c r="GE9" i="1"/>
  <c r="GD9" i="1"/>
  <c r="GC9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FE14" i="1" s="1"/>
  <c r="EJ14" i="1"/>
  <c r="EI14" i="1"/>
  <c r="EH14" i="1"/>
  <c r="FH13" i="1"/>
  <c r="FG13" i="1"/>
  <c r="FF13" i="1"/>
  <c r="FE13" i="1"/>
  <c r="FD13" i="1"/>
  <c r="FC13" i="1"/>
  <c r="FB13" i="1"/>
  <c r="FH12" i="1"/>
  <c r="FG12" i="1"/>
  <c r="FF12" i="1"/>
  <c r="FE12" i="1"/>
  <c r="FD12" i="1"/>
  <c r="FC12" i="1"/>
  <c r="FB12" i="1"/>
  <c r="FH11" i="1"/>
  <c r="FG11" i="1"/>
  <c r="FF11" i="1"/>
  <c r="FE11" i="1"/>
  <c r="FD11" i="1"/>
  <c r="FC11" i="1"/>
  <c r="FB11" i="1"/>
  <c r="FH10" i="1"/>
  <c r="FG10" i="1"/>
  <c r="FF10" i="1"/>
  <c r="FE10" i="1"/>
  <c r="FD10" i="1"/>
  <c r="FC10" i="1"/>
  <c r="FB10" i="1"/>
  <c r="FH9" i="1"/>
  <c r="FG9" i="1"/>
  <c r="FF9" i="1"/>
  <c r="FE9" i="1"/>
  <c r="FD9" i="1"/>
  <c r="FC9" i="1"/>
  <c r="FB9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EG13" i="1"/>
  <c r="EF13" i="1"/>
  <c r="EE13" i="1"/>
  <c r="ED13" i="1"/>
  <c r="EC13" i="1"/>
  <c r="EB13" i="1"/>
  <c r="EA13" i="1"/>
  <c r="EG12" i="1"/>
  <c r="EF12" i="1"/>
  <c r="EE12" i="1"/>
  <c r="ED12" i="1"/>
  <c r="EC12" i="1"/>
  <c r="EB12" i="1"/>
  <c r="EA12" i="1"/>
  <c r="EG11" i="1"/>
  <c r="EF11" i="1"/>
  <c r="EE11" i="1"/>
  <c r="ED11" i="1"/>
  <c r="EC11" i="1"/>
  <c r="EB11" i="1"/>
  <c r="EA11" i="1"/>
  <c r="EG10" i="1"/>
  <c r="EF10" i="1"/>
  <c r="EE10" i="1"/>
  <c r="ED10" i="1"/>
  <c r="EC10" i="1"/>
  <c r="EB10" i="1"/>
  <c r="EA10" i="1"/>
  <c r="EG9" i="1"/>
  <c r="EF9" i="1"/>
  <c r="EE9" i="1"/>
  <c r="ED9" i="1"/>
  <c r="EC9" i="1"/>
  <c r="EB9" i="1"/>
  <c r="EA9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DF13" i="1"/>
  <c r="DE13" i="1"/>
  <c r="DD13" i="1"/>
  <c r="DC13" i="1"/>
  <c r="DB13" i="1"/>
  <c r="DA13" i="1"/>
  <c r="CZ13" i="1"/>
  <c r="DF12" i="1"/>
  <c r="DE12" i="1"/>
  <c r="DD12" i="1"/>
  <c r="DC12" i="1"/>
  <c r="DB12" i="1"/>
  <c r="DA12" i="1"/>
  <c r="CZ12" i="1"/>
  <c r="DF11" i="1"/>
  <c r="DE11" i="1"/>
  <c r="DD11" i="1"/>
  <c r="DC11" i="1"/>
  <c r="DB11" i="1"/>
  <c r="DA11" i="1"/>
  <c r="CZ11" i="1"/>
  <c r="DF10" i="1"/>
  <c r="DE10" i="1"/>
  <c r="DD10" i="1"/>
  <c r="DC10" i="1"/>
  <c r="DB10" i="1"/>
  <c r="DA10" i="1"/>
  <c r="CZ10" i="1"/>
  <c r="DF9" i="1"/>
  <c r="DE9" i="1"/>
  <c r="DD9" i="1"/>
  <c r="DC9" i="1"/>
  <c r="DB9" i="1"/>
  <c r="DA9" i="1"/>
  <c r="CZ9" i="1"/>
  <c r="DF14" i="1" l="1"/>
  <c r="FC14" i="1"/>
  <c r="FD14" i="1"/>
  <c r="DB14" i="1"/>
  <c r="ED14" i="1"/>
  <c r="FG14" i="1"/>
  <c r="FH14" i="1"/>
  <c r="GE14" i="1"/>
  <c r="GG14" i="1"/>
  <c r="GH14" i="1"/>
  <c r="GI14" i="1"/>
  <c r="FB14" i="1"/>
  <c r="GF14" i="1"/>
  <c r="FF14" i="1"/>
  <c r="DC14" i="1"/>
  <c r="EE14" i="1"/>
  <c r="CZ14" i="1"/>
  <c r="DD14" i="1"/>
  <c r="EB14" i="1"/>
  <c r="EF14" i="1"/>
  <c r="EA14" i="1"/>
  <c r="DA14" i="1"/>
  <c r="DE14" i="1"/>
  <c r="EC14" i="1"/>
  <c r="EG14" i="1"/>
  <c r="GR14" i="1"/>
  <c r="AK14" i="1"/>
  <c r="AL14" i="1"/>
  <c r="BL14" i="1"/>
  <c r="BM14" i="1"/>
  <c r="J14" i="1"/>
  <c r="K14" i="1"/>
  <c r="BX14" i="1"/>
  <c r="BW14" i="1"/>
  <c r="BV14" i="1"/>
  <c r="BU14" i="1"/>
  <c r="BT14" i="1"/>
  <c r="BS14" i="1"/>
  <c r="BR14" i="1"/>
  <c r="BQ14" i="1"/>
  <c r="BP14" i="1"/>
  <c r="BO14" i="1"/>
  <c r="BN14" i="1"/>
  <c r="BK14" i="1"/>
  <c r="BJ14" i="1"/>
  <c r="BI14" i="1"/>
  <c r="BH14" i="1"/>
  <c r="BG14" i="1"/>
  <c r="BF14" i="1"/>
  <c r="BE14" i="1"/>
  <c r="CE13" i="1"/>
  <c r="CD13" i="1"/>
  <c r="CC13" i="1"/>
  <c r="CB13" i="1"/>
  <c r="CA13" i="1"/>
  <c r="BZ13" i="1"/>
  <c r="BY13" i="1"/>
  <c r="CE12" i="1"/>
  <c r="CD12" i="1"/>
  <c r="CC12" i="1"/>
  <c r="CB12" i="1"/>
  <c r="CA12" i="1"/>
  <c r="BZ12" i="1"/>
  <c r="BY12" i="1"/>
  <c r="CE11" i="1"/>
  <c r="CD11" i="1"/>
  <c r="CC11" i="1"/>
  <c r="CB11" i="1"/>
  <c r="CA11" i="1"/>
  <c r="BZ11" i="1"/>
  <c r="BY11" i="1"/>
  <c r="CE10" i="1"/>
  <c r="CD10" i="1"/>
  <c r="CC10" i="1"/>
  <c r="CB10" i="1"/>
  <c r="CA10" i="1"/>
  <c r="BZ10" i="1"/>
  <c r="BY10" i="1"/>
  <c r="CE9" i="1"/>
  <c r="CD9" i="1"/>
  <c r="CC9" i="1"/>
  <c r="CB9" i="1"/>
  <c r="CA9" i="1"/>
  <c r="BZ9" i="1"/>
  <c r="BY9" i="1"/>
  <c r="GQ14" i="1" l="1"/>
  <c r="CB14" i="1"/>
  <c r="BY14" i="1"/>
  <c r="CC14" i="1"/>
  <c r="BZ14" i="1"/>
  <c r="CD14" i="1"/>
  <c r="CA14" i="1"/>
  <c r="CE14" i="1"/>
  <c r="HE10" i="1"/>
  <c r="HI10" i="1"/>
  <c r="HF11" i="1"/>
  <c r="HJ11" i="1"/>
  <c r="GV14" i="1"/>
  <c r="HF9" i="1"/>
  <c r="HI9" i="1"/>
  <c r="GY14" i="1"/>
  <c r="GL14" i="1"/>
  <c r="GP14" i="1"/>
  <c r="HG11" i="1"/>
  <c r="HD12" i="1"/>
  <c r="HH12" i="1"/>
  <c r="HE13" i="1"/>
  <c r="GJ14" i="1"/>
  <c r="GT14" i="1"/>
  <c r="GM14" i="1"/>
  <c r="HJ13" i="1"/>
  <c r="HH13" i="1"/>
  <c r="HG13" i="1"/>
  <c r="HF13" i="1"/>
  <c r="HD13" i="1"/>
  <c r="HF12" i="1"/>
  <c r="HE12" i="1"/>
  <c r="HI11" i="1"/>
  <c r="HH11" i="1"/>
  <c r="HE11" i="1"/>
  <c r="HJ10" i="1"/>
  <c r="HH10" i="1"/>
  <c r="HG10" i="1"/>
  <c r="HF10" i="1"/>
  <c r="HD10" i="1"/>
  <c r="HG9" i="1"/>
  <c r="HE9" i="1"/>
  <c r="AW14" i="1"/>
  <c r="AV14" i="1"/>
  <c r="AU14" i="1"/>
  <c r="AT14" i="1"/>
  <c r="AS14" i="1"/>
  <c r="AR14" i="1"/>
  <c r="AQ14" i="1"/>
  <c r="AP14" i="1"/>
  <c r="AO14" i="1"/>
  <c r="AZ14" i="1" s="1"/>
  <c r="AN14" i="1"/>
  <c r="AM14" i="1"/>
  <c r="AJ14" i="1"/>
  <c r="AI14" i="1"/>
  <c r="AH14" i="1"/>
  <c r="AG14" i="1"/>
  <c r="AF14" i="1"/>
  <c r="AE14" i="1"/>
  <c r="AD14" i="1"/>
  <c r="BD13" i="1"/>
  <c r="BC13" i="1"/>
  <c r="BB13" i="1"/>
  <c r="BA13" i="1"/>
  <c r="AZ13" i="1"/>
  <c r="AY13" i="1"/>
  <c r="AX13" i="1"/>
  <c r="BD12" i="1"/>
  <c r="BC12" i="1"/>
  <c r="BB12" i="1"/>
  <c r="BA12" i="1"/>
  <c r="AZ12" i="1"/>
  <c r="AY12" i="1"/>
  <c r="AX12" i="1"/>
  <c r="BD11" i="1"/>
  <c r="BC11" i="1"/>
  <c r="BB11" i="1"/>
  <c r="BA11" i="1"/>
  <c r="AZ11" i="1"/>
  <c r="AY11" i="1"/>
  <c r="AX11" i="1"/>
  <c r="BD10" i="1"/>
  <c r="BC10" i="1"/>
  <c r="BB10" i="1"/>
  <c r="BA10" i="1"/>
  <c r="AZ10" i="1"/>
  <c r="AY10" i="1"/>
  <c r="AX10" i="1"/>
  <c r="BD9" i="1"/>
  <c r="BC9" i="1"/>
  <c r="BB9" i="1"/>
  <c r="BA9" i="1"/>
  <c r="AZ9" i="1"/>
  <c r="AY9" i="1"/>
  <c r="AX9" i="1"/>
  <c r="W10" i="1"/>
  <c r="X10" i="1"/>
  <c r="Y10" i="1"/>
  <c r="Z10" i="1"/>
  <c r="AA10" i="1"/>
  <c r="AB10" i="1"/>
  <c r="AC10" i="1"/>
  <c r="W11" i="1"/>
  <c r="X11" i="1"/>
  <c r="Y11" i="1"/>
  <c r="Z11" i="1"/>
  <c r="AA11" i="1"/>
  <c r="AB11" i="1"/>
  <c r="AC11" i="1"/>
  <c r="W12" i="1"/>
  <c r="X12" i="1"/>
  <c r="Y12" i="1"/>
  <c r="Z12" i="1"/>
  <c r="AA12" i="1"/>
  <c r="AB12" i="1"/>
  <c r="AC12" i="1"/>
  <c r="W13" i="1"/>
  <c r="X13" i="1"/>
  <c r="Y13" i="1"/>
  <c r="Z13" i="1"/>
  <c r="AA13" i="1"/>
  <c r="AB13" i="1"/>
  <c r="AC13" i="1"/>
  <c r="X9" i="1"/>
  <c r="Y9" i="1"/>
  <c r="Z9" i="1"/>
  <c r="AA9" i="1"/>
  <c r="AB9" i="1"/>
  <c r="AC9" i="1"/>
  <c r="W9" i="1"/>
  <c r="U14" i="1"/>
  <c r="T14" i="1"/>
  <c r="V14" i="1"/>
  <c r="S14" i="1"/>
  <c r="R14" i="1"/>
  <c r="Q14" i="1"/>
  <c r="P14" i="1"/>
  <c r="O14" i="1"/>
  <c r="N14" i="1"/>
  <c r="M14" i="1"/>
  <c r="L14" i="1"/>
  <c r="BD14" i="1" l="1"/>
  <c r="BB14" i="1"/>
  <c r="BA14" i="1"/>
  <c r="GS14" i="1"/>
  <c r="HD14" i="1" s="1"/>
  <c r="GN14" i="1"/>
  <c r="GU14" i="1"/>
  <c r="HF14" i="1" s="1"/>
  <c r="HJ12" i="1"/>
  <c r="AX14" i="1"/>
  <c r="HG12" i="1"/>
  <c r="GO14" i="1"/>
  <c r="GK14" i="1"/>
  <c r="HE14" i="1" s="1"/>
  <c r="HA14" i="1"/>
  <c r="GW14" i="1"/>
  <c r="HB14" i="1"/>
  <c r="HD11" i="1"/>
  <c r="AY14" i="1"/>
  <c r="BC14" i="1"/>
  <c r="HD9" i="1"/>
  <c r="HI13" i="1"/>
  <c r="GX14" i="1"/>
  <c r="HI14" i="1" s="1"/>
  <c r="HH9" i="1"/>
  <c r="HJ9" i="1"/>
  <c r="HI12" i="1"/>
  <c r="GZ14" i="1"/>
  <c r="HC14" i="1"/>
  <c r="HG14" i="1"/>
  <c r="HJ14" i="1"/>
  <c r="C14" i="1"/>
  <c r="W14" i="1" s="1"/>
  <c r="E14" i="1"/>
  <c r="Y14" i="1" s="1"/>
  <c r="F14" i="1"/>
  <c r="Z14" i="1" s="1"/>
  <c r="G14" i="1"/>
  <c r="AA14" i="1" s="1"/>
  <c r="H14" i="1"/>
  <c r="AB14" i="1" s="1"/>
  <c r="I14" i="1"/>
  <c r="AC14" i="1" s="1"/>
  <c r="D14" i="1"/>
  <c r="X14" i="1" s="1"/>
  <c r="HH14" i="1" l="1"/>
  <c r="B17" i="3"/>
  <c r="I4" i="2" l="1"/>
  <c r="J4" i="2" s="1"/>
  <c r="K4" i="2" s="1"/>
  <c r="I5" i="2"/>
  <c r="J5" i="2" s="1"/>
  <c r="K5" i="2" s="1"/>
  <c r="I6" i="2"/>
  <c r="J6" i="2" s="1"/>
  <c r="K6" i="2" s="1"/>
  <c r="I3" i="2"/>
  <c r="J3" i="2" s="1"/>
  <c r="K3" i="2" s="1"/>
</calcChain>
</file>

<file path=xl/sharedStrings.xml><?xml version="1.0" encoding="utf-8"?>
<sst xmlns="http://schemas.openxmlformats.org/spreadsheetml/2006/main" count="330" uniqueCount="50">
  <si>
    <t>TOTAL</t>
  </si>
  <si>
    <t>30g</t>
  </si>
  <si>
    <t>75g</t>
  </si>
  <si>
    <t>500g</t>
  </si>
  <si>
    <t>900g</t>
  </si>
  <si>
    <t>Taux de réalisation</t>
  </si>
  <si>
    <r>
      <t xml:space="preserve">  </t>
    </r>
    <r>
      <rPr>
        <sz val="16"/>
        <rFont val="Calibri"/>
        <family val="2"/>
        <scheme val="minor"/>
      </rPr>
      <t>Mifa 30G : 100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</si>
  <si>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75G : 150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</si>
  <si>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500G : 440 sacs</t>
    </r>
  </si>
  <si>
    <r>
      <t>-</t>
    </r>
    <r>
      <rPr>
        <sz val="16"/>
        <rFont val="Times New Roman"/>
        <family val="1"/>
      </rPr>
      <t xml:space="preserve">          </t>
    </r>
    <r>
      <rPr>
        <sz val="16"/>
        <rFont val="Calibri"/>
        <family val="2"/>
        <scheme val="minor"/>
      </rPr>
      <t>Mifa 900G : 521 sacs</t>
    </r>
  </si>
  <si>
    <t>REPORTING DES VENTES JOURNALIERES</t>
  </si>
  <si>
    <t>Gadget / Produit</t>
  </si>
  <si>
    <t>Achat minimum</t>
  </si>
  <si>
    <t>30 sachets de 30g soit 1500F d’achat</t>
  </si>
  <si>
    <t>05 sachets de Mifa 30g offerts ou 1 seau 1L Mifa offert  </t>
  </si>
  <si>
    <t>20 sachets de 75g soit 2500F d’achat</t>
  </si>
  <si>
    <t>10 sachets de Mifa 30g offerts ou 1 seau 6L Mifa offert</t>
  </si>
  <si>
    <t>2 sachets de 500g soit 1500F d’achat</t>
  </si>
  <si>
    <t>2 sachets de 900g soit 2700F d’achat</t>
  </si>
  <si>
    <t>VILLE</t>
  </si>
  <si>
    <t>GROSSISTE</t>
  </si>
  <si>
    <t>BONDOUKOU</t>
  </si>
  <si>
    <t>ABENGOUROU</t>
  </si>
  <si>
    <t>BOUAFLE</t>
  </si>
  <si>
    <t>BOUAKE</t>
  </si>
  <si>
    <t>KORHOGO</t>
  </si>
  <si>
    <t>Lait</t>
  </si>
  <si>
    <t>16G</t>
  </si>
  <si>
    <t>360G</t>
  </si>
  <si>
    <t>900G</t>
  </si>
  <si>
    <t>25KG Excell</t>
  </si>
  <si>
    <t>25KG Super</t>
  </si>
  <si>
    <t>Flocon d'avoine</t>
  </si>
  <si>
    <t>50G</t>
  </si>
  <si>
    <t>400G</t>
  </si>
  <si>
    <t>Lait 16G</t>
  </si>
  <si>
    <t>Lait 900G</t>
  </si>
  <si>
    <t>Flocon d'avoine 50g</t>
  </si>
  <si>
    <t>Objectif de vente (carton)</t>
  </si>
  <si>
    <t>Réalisation (carton)</t>
  </si>
  <si>
    <t>Gratuit (chapelet &amp; sachet)</t>
  </si>
  <si>
    <t>Affiche</t>
  </si>
  <si>
    <t>TAHIROU AMADOU</t>
  </si>
  <si>
    <t>DISTRIBAF</t>
  </si>
  <si>
    <t>ETS KONE &amp; FRERE</t>
  </si>
  <si>
    <t>ETS SABAH SOUHEIL</t>
  </si>
  <si>
    <t>SODIAMA</t>
  </si>
  <si>
    <t>ACTIVATION  GROSSISTES LAIT ET FLOCON D'AVOINE BIBLOS</t>
  </si>
  <si>
    <t>personnes approchées</t>
  </si>
  <si>
    <t>Client acheteur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</si>
</sst>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ndara"/>
      <family val="2"/>
    </font>
    <font>
      <b/>
      <sz val="12"/>
      <color rgb="FFFF0000"/>
      <name val="Candara"/>
      <family val="2"/>
    </font>
    <font>
      <b/>
      <sz val="12"/>
      <name val="Calibri"/>
      <family val="2"/>
      <scheme val="minor"/>
    </font>
    <font>
      <sz val="16"/>
      <name val="Times New Roman"/>
      <family val="1"/>
    </font>
    <font>
      <sz val="16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ndara"/>
      <family val="2"/>
    </font>
    <font>
      <b/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2"/>
      <name val="Candara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C00000"/>
      <name val="Candara"/>
      <family val="2"/>
    </font>
    <font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259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3" borderId="2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12" fillId="0" borderId="38" xfId="0" applyFont="1" applyBorder="1" applyAlignment="1">
      <alignment horizontal="left" vertical="center"/>
    </xf>
    <xf numFmtId="9" fontId="11" fillId="4" borderId="16" xfId="1" applyFont="1" applyFill="1" applyBorder="1" applyAlignment="1">
      <alignment horizontal="center" vertical="center"/>
    </xf>
    <xf numFmtId="9" fontId="11" fillId="4" borderId="17" xfId="1" applyFont="1" applyFill="1" applyBorder="1" applyAlignment="1">
      <alignment horizontal="center" vertical="center"/>
    </xf>
    <xf numFmtId="9" fontId="11" fillId="4" borderId="18" xfId="1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6" fillId="6" borderId="15" xfId="0" applyFont="1" applyFill="1" applyBorder="1" applyAlignment="1">
      <alignment horizontal="center" vertical="center" wrapText="1"/>
    </xf>
    <xf numFmtId="0" fontId="16" fillId="6" borderId="42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9" fillId="6" borderId="31" xfId="0" applyFont="1" applyFill="1" applyBorder="1" applyAlignment="1">
      <alignment horizontal="center" vertical="center"/>
    </xf>
    <xf numFmtId="0" fontId="9" fillId="6" borderId="40" xfId="0" applyFont="1" applyFill="1" applyBorder="1" applyAlignment="1">
      <alignment horizontal="center" vertical="center"/>
    </xf>
    <xf numFmtId="9" fontId="9" fillId="6" borderId="30" xfId="1" applyFont="1" applyFill="1" applyBorder="1" applyAlignment="1">
      <alignment horizontal="center" vertical="center"/>
    </xf>
    <xf numFmtId="9" fontId="9" fillId="6" borderId="31" xfId="1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41" xfId="0" applyFont="1" applyFill="1" applyBorder="1" applyAlignment="1">
      <alignment horizontal="center" vertical="center"/>
    </xf>
    <xf numFmtId="9" fontId="9" fillId="6" borderId="10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9" fontId="9" fillId="6" borderId="12" xfId="1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9" fontId="9" fillId="6" borderId="26" xfId="1" applyFont="1" applyFill="1" applyBorder="1" applyAlignment="1">
      <alignment horizontal="center" vertical="center"/>
    </xf>
    <xf numFmtId="9" fontId="9" fillId="6" borderId="27" xfId="1" applyFont="1" applyFill="1" applyBorder="1" applyAlignment="1">
      <alignment horizontal="center" vertical="center"/>
    </xf>
    <xf numFmtId="9" fontId="9" fillId="6" borderId="28" xfId="1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30" xfId="0" applyFont="1" applyFill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9" fillId="5" borderId="40" xfId="0" applyFont="1" applyFill="1" applyBorder="1" applyAlignment="1">
      <alignment horizontal="center" vertical="center"/>
    </xf>
    <xf numFmtId="9" fontId="9" fillId="5" borderId="30" xfId="1" applyFont="1" applyFill="1" applyBorder="1" applyAlignment="1">
      <alignment horizontal="center" vertical="center"/>
    </xf>
    <xf numFmtId="9" fontId="9" fillId="5" borderId="31" xfId="1" applyFont="1" applyFill="1" applyBorder="1" applyAlignment="1">
      <alignment horizontal="center" vertical="center"/>
    </xf>
    <xf numFmtId="9" fontId="9" fillId="5" borderId="29" xfId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41" xfId="0" applyFont="1" applyFill="1" applyBorder="1" applyAlignment="1">
      <alignment horizontal="center" vertical="center"/>
    </xf>
    <xf numFmtId="9" fontId="9" fillId="5" borderId="10" xfId="1" applyFont="1" applyFill="1" applyBorder="1" applyAlignment="1">
      <alignment horizontal="center" vertical="center"/>
    </xf>
    <xf numFmtId="9" fontId="9" fillId="5" borderId="11" xfId="1" applyFont="1" applyFill="1" applyBorder="1" applyAlignment="1">
      <alignment horizontal="center" vertical="center"/>
    </xf>
    <xf numFmtId="9" fontId="9" fillId="5" borderId="12" xfId="1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9" fontId="9" fillId="5" borderId="26" xfId="1" applyFont="1" applyFill="1" applyBorder="1" applyAlignment="1">
      <alignment horizontal="center" vertical="center"/>
    </xf>
    <xf numFmtId="9" fontId="9" fillId="5" borderId="27" xfId="1" applyFont="1" applyFill="1" applyBorder="1" applyAlignment="1">
      <alignment horizontal="center" vertical="center"/>
    </xf>
    <xf numFmtId="9" fontId="9" fillId="5" borderId="28" xfId="1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9" fontId="20" fillId="4" borderId="30" xfId="1" applyFont="1" applyFill="1" applyBorder="1" applyAlignment="1">
      <alignment horizontal="center" vertical="center"/>
    </xf>
    <xf numFmtId="9" fontId="20" fillId="4" borderId="31" xfId="1" applyFont="1" applyFill="1" applyBorder="1" applyAlignment="1">
      <alignment horizontal="center" vertical="center"/>
    </xf>
    <xf numFmtId="9" fontId="20" fillId="4" borderId="29" xfId="1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9" fontId="20" fillId="4" borderId="10" xfId="1" applyFont="1" applyFill="1" applyBorder="1" applyAlignment="1">
      <alignment horizontal="center" vertical="center"/>
    </xf>
    <xf numFmtId="9" fontId="20" fillId="4" borderId="11" xfId="1" applyFont="1" applyFill="1" applyBorder="1" applyAlignment="1">
      <alignment horizontal="center" vertical="center"/>
    </xf>
    <xf numFmtId="9" fontId="20" fillId="4" borderId="12" xfId="1" applyFont="1" applyFill="1" applyBorder="1" applyAlignment="1">
      <alignment horizontal="center" vertical="center"/>
    </xf>
    <xf numFmtId="9" fontId="20" fillId="4" borderId="26" xfId="1" applyFont="1" applyFill="1" applyBorder="1" applyAlignment="1">
      <alignment horizontal="center" vertical="center"/>
    </xf>
    <xf numFmtId="9" fontId="20" fillId="4" borderId="27" xfId="1" applyFont="1" applyFill="1" applyBorder="1" applyAlignment="1">
      <alignment horizontal="center" vertical="center"/>
    </xf>
    <xf numFmtId="9" fontId="20" fillId="4" borderId="28" xfId="1" applyFont="1" applyFill="1" applyBorder="1" applyAlignment="1">
      <alignment horizontal="center" vertical="center"/>
    </xf>
    <xf numFmtId="9" fontId="9" fillId="6" borderId="9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44" xfId="0" applyFont="1" applyBorder="1" applyAlignment="1">
      <alignment horizontal="left" vertical="center"/>
    </xf>
    <xf numFmtId="0" fontId="12" fillId="0" borderId="45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9" fillId="6" borderId="30" xfId="1" applyNumberFormat="1" applyFont="1" applyFill="1" applyBorder="1" applyAlignment="1">
      <alignment horizontal="center" vertical="center"/>
    </xf>
    <xf numFmtId="0" fontId="9" fillId="6" borderId="29" xfId="1" applyNumberFormat="1" applyFont="1" applyFill="1" applyBorder="1" applyAlignment="1">
      <alignment horizontal="center" vertical="center"/>
    </xf>
    <xf numFmtId="0" fontId="9" fillId="6" borderId="10" xfId="1" applyNumberFormat="1" applyFont="1" applyFill="1" applyBorder="1" applyAlignment="1">
      <alignment horizontal="center" vertical="center"/>
    </xf>
    <xf numFmtId="0" fontId="9" fillId="6" borderId="12" xfId="1" applyNumberFormat="1" applyFont="1" applyFill="1" applyBorder="1" applyAlignment="1">
      <alignment horizontal="center" vertical="center"/>
    </xf>
    <xf numFmtId="0" fontId="9" fillId="6" borderId="26" xfId="1" applyNumberFormat="1" applyFont="1" applyFill="1" applyBorder="1" applyAlignment="1">
      <alignment horizontal="center" vertical="center"/>
    </xf>
    <xf numFmtId="0" fontId="9" fillId="6" borderId="28" xfId="1" applyNumberFormat="1" applyFont="1" applyFill="1" applyBorder="1" applyAlignment="1">
      <alignment horizontal="center" vertical="center"/>
    </xf>
    <xf numFmtId="0" fontId="11" fillId="2" borderId="16" xfId="1" applyNumberFormat="1" applyFont="1" applyFill="1" applyBorder="1" applyAlignment="1">
      <alignment horizontal="center" vertical="center"/>
    </xf>
    <xf numFmtId="0" fontId="11" fillId="2" borderId="18" xfId="1" applyNumberFormat="1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5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left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1" fillId="7" borderId="16" xfId="1" applyNumberFormat="1" applyFont="1" applyFill="1" applyBorder="1" applyAlignment="1">
      <alignment horizontal="center" vertical="center"/>
    </xf>
    <xf numFmtId="0" fontId="11" fillId="7" borderId="18" xfId="1" applyNumberFormat="1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0" fillId="7" borderId="43" xfId="0" applyFont="1" applyFill="1" applyBorder="1" applyAlignment="1">
      <alignment horizontal="center" vertical="center"/>
    </xf>
    <xf numFmtId="9" fontId="11" fillId="7" borderId="16" xfId="1" applyFont="1" applyFill="1" applyBorder="1" applyAlignment="1">
      <alignment horizontal="center" vertical="center"/>
    </xf>
    <xf numFmtId="9" fontId="11" fillId="7" borderId="17" xfId="1" applyFont="1" applyFill="1" applyBorder="1" applyAlignment="1">
      <alignment horizontal="center" vertical="center"/>
    </xf>
    <xf numFmtId="9" fontId="11" fillId="7" borderId="18" xfId="1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8" borderId="15" xfId="0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30" xfId="1" applyNumberFormat="1" applyFont="1" applyFill="1" applyBorder="1" applyAlignment="1">
      <alignment horizontal="center" vertical="center"/>
    </xf>
    <xf numFmtId="0" fontId="9" fillId="8" borderId="29" xfId="1" applyNumberFormat="1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30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9" fontId="9" fillId="8" borderId="30" xfId="1" applyFont="1" applyFill="1" applyBorder="1" applyAlignment="1">
      <alignment horizontal="center" vertical="center"/>
    </xf>
    <xf numFmtId="9" fontId="9" fillId="8" borderId="31" xfId="1" applyFont="1" applyFill="1" applyBorder="1" applyAlignment="1">
      <alignment horizontal="center" vertical="center"/>
    </xf>
    <xf numFmtId="9" fontId="9" fillId="8" borderId="9" xfId="1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10" xfId="1" applyNumberFormat="1" applyFont="1" applyFill="1" applyBorder="1" applyAlignment="1">
      <alignment horizontal="center" vertical="center"/>
    </xf>
    <xf numFmtId="0" fontId="9" fillId="8" borderId="12" xfId="1" applyNumberFormat="1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9" fontId="9" fillId="8" borderId="10" xfId="1" applyFont="1" applyFill="1" applyBorder="1" applyAlignment="1">
      <alignment horizontal="center" vertical="center"/>
    </xf>
    <xf numFmtId="9" fontId="9" fillId="8" borderId="11" xfId="1" applyFont="1" applyFill="1" applyBorder="1" applyAlignment="1">
      <alignment horizontal="center" vertical="center"/>
    </xf>
    <xf numFmtId="9" fontId="9" fillId="8" borderId="12" xfId="1" applyFont="1" applyFill="1" applyBorder="1" applyAlignment="1">
      <alignment horizontal="center" vertical="center"/>
    </xf>
    <xf numFmtId="0" fontId="9" fillId="8" borderId="26" xfId="1" applyNumberFormat="1" applyFont="1" applyFill="1" applyBorder="1" applyAlignment="1">
      <alignment horizontal="center" vertical="center"/>
    </xf>
    <xf numFmtId="0" fontId="9" fillId="8" borderId="28" xfId="1" applyNumberFormat="1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9" fontId="9" fillId="8" borderId="26" xfId="1" applyFont="1" applyFill="1" applyBorder="1" applyAlignment="1">
      <alignment horizontal="center" vertical="center"/>
    </xf>
    <xf numFmtId="9" fontId="9" fillId="8" borderId="27" xfId="1" applyFont="1" applyFill="1" applyBorder="1" applyAlignment="1">
      <alignment horizontal="center" vertical="center"/>
    </xf>
    <xf numFmtId="9" fontId="9" fillId="8" borderId="28" xfId="1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6" fillId="5" borderId="26" xfId="0" applyFont="1" applyFill="1" applyBorder="1" applyAlignment="1">
      <alignment horizontal="center" vertical="center" wrapText="1"/>
    </xf>
    <xf numFmtId="0" fontId="16" fillId="5" borderId="46" xfId="0" applyFont="1" applyFill="1" applyBorder="1" applyAlignment="1">
      <alignment horizontal="center" vertical="center" wrapText="1"/>
    </xf>
    <xf numFmtId="0" fontId="16" fillId="5" borderId="51" xfId="0" applyFont="1" applyFill="1" applyBorder="1" applyAlignment="1">
      <alignment horizontal="center" vertical="center" wrapText="1"/>
    </xf>
    <xf numFmtId="14" fontId="5" fillId="5" borderId="6" xfId="0" applyNumberFormat="1" applyFont="1" applyFill="1" applyBorder="1" applyAlignment="1">
      <alignment horizontal="center"/>
    </xf>
    <xf numFmtId="14" fontId="5" fillId="5" borderId="19" xfId="0" applyNumberFormat="1" applyFont="1" applyFill="1" applyBorder="1" applyAlignment="1">
      <alignment horizontal="center"/>
    </xf>
    <xf numFmtId="14" fontId="5" fillId="5" borderId="20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41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23" xfId="0" applyFont="1" applyFill="1" applyBorder="1" applyAlignment="1">
      <alignment horizontal="center" vertical="center" wrapText="1"/>
    </xf>
    <xf numFmtId="0" fontId="16" fillId="5" borderId="24" xfId="0" applyFont="1" applyFill="1" applyBorder="1" applyAlignment="1">
      <alignment horizontal="center" vertical="center" wrapText="1"/>
    </xf>
    <xf numFmtId="0" fontId="16" fillId="5" borderId="25" xfId="0" applyFont="1" applyFill="1" applyBorder="1" applyAlignment="1">
      <alignment horizontal="center" vertical="center" wrapText="1"/>
    </xf>
    <xf numFmtId="0" fontId="16" fillId="5" borderId="34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49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28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48" xfId="0" applyFont="1" applyFill="1" applyBorder="1" applyAlignment="1">
      <alignment horizontal="center" vertical="center" wrapText="1"/>
    </xf>
    <xf numFmtId="0" fontId="16" fillId="5" borderId="5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5" borderId="52" xfId="0" applyFont="1" applyFill="1" applyBorder="1" applyAlignment="1">
      <alignment horizontal="center" vertical="center" wrapText="1"/>
    </xf>
    <xf numFmtId="14" fontId="5" fillId="6" borderId="6" xfId="0" applyNumberFormat="1" applyFont="1" applyFill="1" applyBorder="1" applyAlignment="1">
      <alignment horizontal="center"/>
    </xf>
    <xf numFmtId="14" fontId="5" fillId="6" borderId="19" xfId="0" applyNumberFormat="1" applyFont="1" applyFill="1" applyBorder="1" applyAlignment="1">
      <alignment horizontal="center"/>
    </xf>
    <xf numFmtId="14" fontId="5" fillId="6" borderId="20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6" fillId="6" borderId="24" xfId="0" applyFont="1" applyFill="1" applyBorder="1" applyAlignment="1">
      <alignment horizontal="center" vertical="center" wrapText="1"/>
    </xf>
    <xf numFmtId="0" fontId="16" fillId="6" borderId="25" xfId="0" applyFont="1" applyFill="1" applyBorder="1" applyAlignment="1">
      <alignment horizontal="center" vertical="center" wrapText="1"/>
    </xf>
    <xf numFmtId="0" fontId="16" fillId="6" borderId="34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16" fillId="6" borderId="26" xfId="0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center" wrapText="1"/>
    </xf>
    <xf numFmtId="0" fontId="16" fillId="6" borderId="2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16" fillId="6" borderId="33" xfId="0" applyFont="1" applyFill="1" applyBorder="1" applyAlignment="1">
      <alignment horizontal="center" vertical="center" wrapText="1"/>
    </xf>
    <xf numFmtId="0" fontId="16" fillId="6" borderId="36" xfId="0" applyFont="1" applyFill="1" applyBorder="1" applyAlignment="1">
      <alignment horizontal="center" vertical="center" wrapText="1"/>
    </xf>
    <xf numFmtId="0" fontId="16" fillId="6" borderId="41" xfId="0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6" borderId="46" xfId="0" applyFont="1" applyFill="1" applyBorder="1" applyAlignment="1">
      <alignment horizontal="center" vertical="center" wrapText="1"/>
    </xf>
    <xf numFmtId="0" fontId="16" fillId="6" borderId="51" xfId="0" applyFont="1" applyFill="1" applyBorder="1" applyAlignment="1">
      <alignment horizontal="center" vertical="center" wrapText="1"/>
    </xf>
    <xf numFmtId="0" fontId="16" fillId="6" borderId="48" xfId="0" applyFont="1" applyFill="1" applyBorder="1" applyAlignment="1">
      <alignment horizontal="center" vertical="center" wrapText="1"/>
    </xf>
    <xf numFmtId="0" fontId="16" fillId="6" borderId="50" xfId="0" applyFont="1" applyFill="1" applyBorder="1" applyAlignment="1">
      <alignment horizontal="center" vertical="center" wrapText="1"/>
    </xf>
    <xf numFmtId="14" fontId="18" fillId="4" borderId="6" xfId="0" applyNumberFormat="1" applyFont="1" applyFill="1" applyBorder="1" applyAlignment="1">
      <alignment horizontal="center"/>
    </xf>
    <xf numFmtId="14" fontId="18" fillId="4" borderId="19" xfId="0" applyNumberFormat="1" applyFont="1" applyFill="1" applyBorder="1" applyAlignment="1">
      <alignment horizontal="center"/>
    </xf>
    <xf numFmtId="14" fontId="18" fillId="4" borderId="20" xfId="0" applyNumberFormat="1" applyFont="1" applyFill="1" applyBorder="1" applyAlignment="1">
      <alignment horizont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41" xfId="0" applyFont="1" applyFill="1" applyBorder="1" applyAlignment="1">
      <alignment horizontal="center" vertical="center" wrapText="1"/>
    </xf>
    <xf numFmtId="0" fontId="19" fillId="4" borderId="12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19" fillId="4" borderId="27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9" fillId="4" borderId="46" xfId="0" applyFont="1" applyFill="1" applyBorder="1" applyAlignment="1">
      <alignment horizontal="center" vertical="center" wrapText="1"/>
    </xf>
    <xf numFmtId="0" fontId="19" fillId="4" borderId="47" xfId="0" applyFont="1" applyFill="1" applyBorder="1" applyAlignment="1">
      <alignment horizontal="center" vertical="center" wrapText="1"/>
    </xf>
    <xf numFmtId="0" fontId="19" fillId="4" borderId="48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8" xfId="0" applyFont="1" applyFill="1" applyBorder="1" applyAlignment="1">
      <alignment horizontal="center" vertical="center" wrapText="1"/>
    </xf>
    <xf numFmtId="14" fontId="5" fillId="8" borderId="6" xfId="0" applyNumberFormat="1" applyFont="1" applyFill="1" applyBorder="1" applyAlignment="1">
      <alignment horizontal="center"/>
    </xf>
    <xf numFmtId="14" fontId="5" fillId="8" borderId="19" xfId="0" applyNumberFormat="1" applyFont="1" applyFill="1" applyBorder="1" applyAlignment="1">
      <alignment horizontal="center"/>
    </xf>
    <xf numFmtId="14" fontId="5" fillId="8" borderId="20" xfId="0" applyNumberFormat="1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46" xfId="0" applyFont="1" applyFill="1" applyBorder="1" applyAlignment="1">
      <alignment horizontal="center" vertical="center" wrapText="1"/>
    </xf>
    <xf numFmtId="0" fontId="16" fillId="8" borderId="51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center" vertical="center" wrapText="1"/>
    </xf>
    <xf numFmtId="0" fontId="16" fillId="8" borderId="50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23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0" fontId="16" fillId="8" borderId="25" xfId="0" applyFont="1" applyFill="1" applyBorder="1" applyAlignment="1">
      <alignment horizontal="center" vertical="center" wrapText="1"/>
    </xf>
    <xf numFmtId="0" fontId="16" fillId="8" borderId="34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6" fillId="8" borderId="49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center" vertical="center" wrapText="1"/>
    </xf>
    <xf numFmtId="0" fontId="16" fillId="8" borderId="36" xfId="0" applyFont="1" applyFill="1" applyBorder="1" applyAlignment="1">
      <alignment horizontal="center" vertical="center" wrapText="1"/>
    </xf>
    <xf numFmtId="0" fontId="16" fillId="8" borderId="41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AD8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28"/>
  <sheetViews>
    <sheetView tabSelected="1" zoomScale="43" zoomScaleNormal="100" zoomScaleSheetLayoutView="70" workbookViewId="0">
      <pane xSplit="1" topLeftCell="GF1" activePane="topRight" state="frozen"/>
      <selection pane="topRight" activeCell="GR14" sqref="GR14"/>
    </sheetView>
  </sheetViews>
  <sheetFormatPr defaultColWidth="11.453125" defaultRowHeight="14.5" x14ac:dyDescent="0.35"/>
  <cols>
    <col min="1" max="2" width="38.453125" customWidth="1"/>
    <col min="3" max="29" width="10.7265625" customWidth="1"/>
  </cols>
  <sheetData>
    <row r="1" spans="1:218" ht="17" x14ac:dyDescent="0.4">
      <c r="A1" s="178" t="s">
        <v>47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</row>
    <row r="2" spans="1:218" ht="17" x14ac:dyDescent="0.4">
      <c r="A2" s="178" t="s">
        <v>10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 spans="1:218" ht="17.5" thickBot="1" x14ac:dyDescent="0.45">
      <c r="A3" s="1"/>
      <c r="B3" s="1"/>
    </row>
    <row r="4" spans="1:218" s="2" customFormat="1" ht="16.5" customHeight="1" x14ac:dyDescent="0.35">
      <c r="A4" s="179" t="s">
        <v>19</v>
      </c>
      <c r="B4" s="182" t="s">
        <v>20</v>
      </c>
      <c r="C4" s="155">
        <v>46046</v>
      </c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7"/>
      <c r="AD4" s="186">
        <v>46048</v>
      </c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8"/>
      <c r="BE4" s="155">
        <v>46049</v>
      </c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7"/>
      <c r="CF4" s="233">
        <v>46050</v>
      </c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234"/>
      <c r="DD4" s="234"/>
      <c r="DE4" s="234"/>
      <c r="DF4" s="235"/>
      <c r="DG4" s="155">
        <v>46051</v>
      </c>
      <c r="DH4" s="156"/>
      <c r="DI4" s="156"/>
      <c r="DJ4" s="156"/>
      <c r="DK4" s="156"/>
      <c r="DL4" s="156"/>
      <c r="DM4" s="156"/>
      <c r="DN4" s="156"/>
      <c r="DO4" s="156"/>
      <c r="DP4" s="156"/>
      <c r="DQ4" s="156"/>
      <c r="DR4" s="156"/>
      <c r="DS4" s="156"/>
      <c r="DT4" s="156"/>
      <c r="DU4" s="156"/>
      <c r="DV4" s="156"/>
      <c r="DW4" s="156"/>
      <c r="DX4" s="156"/>
      <c r="DY4" s="156"/>
      <c r="DZ4" s="156"/>
      <c r="EA4" s="156"/>
      <c r="EB4" s="156"/>
      <c r="EC4" s="156"/>
      <c r="ED4" s="156"/>
      <c r="EE4" s="156"/>
      <c r="EF4" s="156"/>
      <c r="EG4" s="157"/>
      <c r="EH4" s="186">
        <v>46052</v>
      </c>
      <c r="EI4" s="187"/>
      <c r="EJ4" s="187"/>
      <c r="EK4" s="187"/>
      <c r="EL4" s="187"/>
      <c r="EM4" s="187"/>
      <c r="EN4" s="187"/>
      <c r="EO4" s="187"/>
      <c r="EP4" s="187"/>
      <c r="EQ4" s="187"/>
      <c r="ER4" s="187"/>
      <c r="ES4" s="187"/>
      <c r="ET4" s="187"/>
      <c r="EU4" s="187"/>
      <c r="EV4" s="187"/>
      <c r="EW4" s="187"/>
      <c r="EX4" s="187"/>
      <c r="EY4" s="187"/>
      <c r="EZ4" s="187"/>
      <c r="FA4" s="187"/>
      <c r="FB4" s="187"/>
      <c r="FC4" s="187"/>
      <c r="FD4" s="187"/>
      <c r="FE4" s="187"/>
      <c r="FF4" s="187"/>
      <c r="FG4" s="187"/>
      <c r="FH4" s="188"/>
      <c r="FI4" s="155">
        <v>46053</v>
      </c>
      <c r="FJ4" s="156"/>
      <c r="FK4" s="156"/>
      <c r="FL4" s="156"/>
      <c r="FM4" s="156"/>
      <c r="FN4" s="156"/>
      <c r="FO4" s="156"/>
      <c r="FP4" s="156"/>
      <c r="FQ4" s="156"/>
      <c r="FR4" s="156"/>
      <c r="FS4" s="156"/>
      <c r="FT4" s="156"/>
      <c r="FU4" s="156"/>
      <c r="FV4" s="156"/>
      <c r="FW4" s="156"/>
      <c r="FX4" s="156"/>
      <c r="FY4" s="156"/>
      <c r="FZ4" s="156"/>
      <c r="GA4" s="156"/>
      <c r="GB4" s="156"/>
      <c r="GC4" s="156"/>
      <c r="GD4" s="156"/>
      <c r="GE4" s="156"/>
      <c r="GF4" s="156"/>
      <c r="GG4" s="156"/>
      <c r="GH4" s="156"/>
      <c r="GI4" s="157"/>
      <c r="GJ4" s="212" t="s">
        <v>0</v>
      </c>
      <c r="GK4" s="213"/>
      <c r="GL4" s="213"/>
      <c r="GM4" s="213"/>
      <c r="GN4" s="213"/>
      <c r="GO4" s="213"/>
      <c r="GP4" s="213"/>
      <c r="GQ4" s="213"/>
      <c r="GR4" s="213"/>
      <c r="GS4" s="213"/>
      <c r="GT4" s="213"/>
      <c r="GU4" s="213"/>
      <c r="GV4" s="213"/>
      <c r="GW4" s="213"/>
      <c r="GX4" s="213"/>
      <c r="GY4" s="213"/>
      <c r="GZ4" s="213"/>
      <c r="HA4" s="213"/>
      <c r="HB4" s="213"/>
      <c r="HC4" s="213"/>
      <c r="HD4" s="213"/>
      <c r="HE4" s="213"/>
      <c r="HF4" s="213"/>
      <c r="HG4" s="213"/>
      <c r="HH4" s="213"/>
      <c r="HI4" s="213"/>
      <c r="HJ4" s="214"/>
    </row>
    <row r="5" spans="1:218" s="2" customFormat="1" ht="15.75" customHeight="1" thickBot="1" x14ac:dyDescent="0.4">
      <c r="A5" s="180"/>
      <c r="B5" s="183"/>
      <c r="C5" s="158" t="s">
        <v>38</v>
      </c>
      <c r="D5" s="159"/>
      <c r="E5" s="159"/>
      <c r="F5" s="159"/>
      <c r="G5" s="159"/>
      <c r="H5" s="159"/>
      <c r="I5" s="161"/>
      <c r="J5" s="152" t="s">
        <v>48</v>
      </c>
      <c r="K5" s="169" t="s">
        <v>49</v>
      </c>
      <c r="L5" s="158" t="s">
        <v>39</v>
      </c>
      <c r="M5" s="159"/>
      <c r="N5" s="159"/>
      <c r="O5" s="159"/>
      <c r="P5" s="159"/>
      <c r="Q5" s="159"/>
      <c r="R5" s="161"/>
      <c r="S5" s="162" t="s">
        <v>40</v>
      </c>
      <c r="T5" s="163"/>
      <c r="U5" s="163"/>
      <c r="V5" s="164"/>
      <c r="W5" s="158" t="s">
        <v>5</v>
      </c>
      <c r="X5" s="159"/>
      <c r="Y5" s="159"/>
      <c r="Z5" s="159"/>
      <c r="AA5" s="159"/>
      <c r="AB5" s="159"/>
      <c r="AC5" s="161"/>
      <c r="AD5" s="189" t="s">
        <v>38</v>
      </c>
      <c r="AE5" s="190"/>
      <c r="AF5" s="190"/>
      <c r="AG5" s="190"/>
      <c r="AH5" s="190"/>
      <c r="AI5" s="190"/>
      <c r="AJ5" s="190"/>
      <c r="AK5" s="198" t="s">
        <v>48</v>
      </c>
      <c r="AL5" s="200" t="s">
        <v>49</v>
      </c>
      <c r="AM5" s="189" t="s">
        <v>39</v>
      </c>
      <c r="AN5" s="190"/>
      <c r="AO5" s="190"/>
      <c r="AP5" s="190"/>
      <c r="AQ5" s="190"/>
      <c r="AR5" s="190"/>
      <c r="AS5" s="191"/>
      <c r="AT5" s="192" t="s">
        <v>40</v>
      </c>
      <c r="AU5" s="193"/>
      <c r="AV5" s="193"/>
      <c r="AW5" s="194"/>
      <c r="AX5" s="189" t="s">
        <v>5</v>
      </c>
      <c r="AY5" s="190"/>
      <c r="AZ5" s="190"/>
      <c r="BA5" s="190"/>
      <c r="BB5" s="190"/>
      <c r="BC5" s="190"/>
      <c r="BD5" s="191"/>
      <c r="BE5" s="158" t="s">
        <v>38</v>
      </c>
      <c r="BF5" s="159"/>
      <c r="BG5" s="159"/>
      <c r="BH5" s="159"/>
      <c r="BI5" s="159"/>
      <c r="BJ5" s="159"/>
      <c r="BK5" s="160"/>
      <c r="BL5" s="152" t="s">
        <v>48</v>
      </c>
      <c r="BM5" s="169" t="s">
        <v>49</v>
      </c>
      <c r="BN5" s="158" t="s">
        <v>39</v>
      </c>
      <c r="BO5" s="159"/>
      <c r="BP5" s="159"/>
      <c r="BQ5" s="159"/>
      <c r="BR5" s="159"/>
      <c r="BS5" s="159"/>
      <c r="BT5" s="161"/>
      <c r="BU5" s="162" t="s">
        <v>40</v>
      </c>
      <c r="BV5" s="163"/>
      <c r="BW5" s="163"/>
      <c r="BX5" s="164"/>
      <c r="BY5" s="158" t="s">
        <v>5</v>
      </c>
      <c r="BZ5" s="159"/>
      <c r="CA5" s="159"/>
      <c r="CB5" s="159"/>
      <c r="CC5" s="159"/>
      <c r="CD5" s="159"/>
      <c r="CE5" s="161"/>
      <c r="CF5" s="236" t="s">
        <v>38</v>
      </c>
      <c r="CG5" s="237"/>
      <c r="CH5" s="237"/>
      <c r="CI5" s="237"/>
      <c r="CJ5" s="237"/>
      <c r="CK5" s="237"/>
      <c r="CL5" s="237"/>
      <c r="CM5" s="238" t="s">
        <v>48</v>
      </c>
      <c r="CN5" s="241" t="s">
        <v>49</v>
      </c>
      <c r="CO5" s="236" t="s">
        <v>39</v>
      </c>
      <c r="CP5" s="237"/>
      <c r="CQ5" s="237"/>
      <c r="CR5" s="237"/>
      <c r="CS5" s="237"/>
      <c r="CT5" s="237"/>
      <c r="CU5" s="244"/>
      <c r="CV5" s="245" t="s">
        <v>40</v>
      </c>
      <c r="CW5" s="246"/>
      <c r="CX5" s="246"/>
      <c r="CY5" s="247"/>
      <c r="CZ5" s="236" t="s">
        <v>5</v>
      </c>
      <c r="DA5" s="237"/>
      <c r="DB5" s="237"/>
      <c r="DC5" s="237"/>
      <c r="DD5" s="237"/>
      <c r="DE5" s="237"/>
      <c r="DF5" s="244"/>
      <c r="DG5" s="158" t="s">
        <v>38</v>
      </c>
      <c r="DH5" s="159"/>
      <c r="DI5" s="159"/>
      <c r="DJ5" s="159"/>
      <c r="DK5" s="159"/>
      <c r="DL5" s="159"/>
      <c r="DM5" s="160"/>
      <c r="DN5" s="152" t="s">
        <v>48</v>
      </c>
      <c r="DO5" s="169" t="s">
        <v>49</v>
      </c>
      <c r="DP5" s="158" t="s">
        <v>39</v>
      </c>
      <c r="DQ5" s="159"/>
      <c r="DR5" s="159"/>
      <c r="DS5" s="159"/>
      <c r="DT5" s="159"/>
      <c r="DU5" s="159"/>
      <c r="DV5" s="161"/>
      <c r="DW5" s="162" t="s">
        <v>40</v>
      </c>
      <c r="DX5" s="163"/>
      <c r="DY5" s="163"/>
      <c r="DZ5" s="164"/>
      <c r="EA5" s="158" t="s">
        <v>5</v>
      </c>
      <c r="EB5" s="159"/>
      <c r="EC5" s="159"/>
      <c r="ED5" s="159"/>
      <c r="EE5" s="159"/>
      <c r="EF5" s="159"/>
      <c r="EG5" s="161"/>
      <c r="EH5" s="189" t="s">
        <v>38</v>
      </c>
      <c r="EI5" s="190"/>
      <c r="EJ5" s="190"/>
      <c r="EK5" s="190"/>
      <c r="EL5" s="190"/>
      <c r="EM5" s="190"/>
      <c r="EN5" s="190"/>
      <c r="EO5" s="198" t="s">
        <v>48</v>
      </c>
      <c r="EP5" s="200" t="s">
        <v>49</v>
      </c>
      <c r="EQ5" s="189" t="s">
        <v>39</v>
      </c>
      <c r="ER5" s="190"/>
      <c r="ES5" s="190"/>
      <c r="ET5" s="190"/>
      <c r="EU5" s="190"/>
      <c r="EV5" s="190"/>
      <c r="EW5" s="191"/>
      <c r="EX5" s="192" t="s">
        <v>40</v>
      </c>
      <c r="EY5" s="193"/>
      <c r="EZ5" s="193"/>
      <c r="FA5" s="194"/>
      <c r="FB5" s="189" t="s">
        <v>5</v>
      </c>
      <c r="FC5" s="190"/>
      <c r="FD5" s="190"/>
      <c r="FE5" s="190"/>
      <c r="FF5" s="190"/>
      <c r="FG5" s="190"/>
      <c r="FH5" s="191"/>
      <c r="FI5" s="158" t="s">
        <v>38</v>
      </c>
      <c r="FJ5" s="159"/>
      <c r="FK5" s="159"/>
      <c r="FL5" s="159"/>
      <c r="FM5" s="159"/>
      <c r="FN5" s="159"/>
      <c r="FO5" s="160"/>
      <c r="FP5" s="152" t="s">
        <v>48</v>
      </c>
      <c r="FQ5" s="169" t="s">
        <v>49</v>
      </c>
      <c r="FR5" s="158" t="s">
        <v>39</v>
      </c>
      <c r="FS5" s="159"/>
      <c r="FT5" s="159"/>
      <c r="FU5" s="159"/>
      <c r="FV5" s="159"/>
      <c r="FW5" s="159"/>
      <c r="FX5" s="161"/>
      <c r="FY5" s="162" t="s">
        <v>40</v>
      </c>
      <c r="FZ5" s="163"/>
      <c r="GA5" s="163"/>
      <c r="GB5" s="164"/>
      <c r="GC5" s="158" t="s">
        <v>5</v>
      </c>
      <c r="GD5" s="159"/>
      <c r="GE5" s="159"/>
      <c r="GF5" s="159"/>
      <c r="GG5" s="159"/>
      <c r="GH5" s="159"/>
      <c r="GI5" s="161"/>
      <c r="GJ5" s="215" t="s">
        <v>38</v>
      </c>
      <c r="GK5" s="216"/>
      <c r="GL5" s="216"/>
      <c r="GM5" s="216"/>
      <c r="GN5" s="216"/>
      <c r="GO5" s="216"/>
      <c r="GP5" s="217"/>
      <c r="GQ5" s="229" t="s">
        <v>48</v>
      </c>
      <c r="GR5" s="231" t="s">
        <v>49</v>
      </c>
      <c r="GS5" s="215" t="s">
        <v>39</v>
      </c>
      <c r="GT5" s="216"/>
      <c r="GU5" s="216"/>
      <c r="GV5" s="216"/>
      <c r="GW5" s="216"/>
      <c r="GX5" s="216"/>
      <c r="GY5" s="218"/>
      <c r="GZ5" s="219" t="s">
        <v>40</v>
      </c>
      <c r="HA5" s="220"/>
      <c r="HB5" s="220"/>
      <c r="HC5" s="221"/>
      <c r="HD5" s="215" t="s">
        <v>5</v>
      </c>
      <c r="HE5" s="216"/>
      <c r="HF5" s="216"/>
      <c r="HG5" s="216"/>
      <c r="HH5" s="216"/>
      <c r="HI5" s="216"/>
      <c r="HJ5" s="218"/>
    </row>
    <row r="6" spans="1:218" s="2" customFormat="1" ht="7.5" customHeight="1" thickBot="1" x14ac:dyDescent="0.4">
      <c r="A6" s="180"/>
      <c r="B6" s="183"/>
      <c r="C6" s="158"/>
      <c r="D6" s="159"/>
      <c r="E6" s="159"/>
      <c r="F6" s="159"/>
      <c r="G6" s="159"/>
      <c r="H6" s="159"/>
      <c r="I6" s="161"/>
      <c r="J6" s="153"/>
      <c r="K6" s="176"/>
      <c r="L6" s="158"/>
      <c r="M6" s="159"/>
      <c r="N6" s="159"/>
      <c r="O6" s="159"/>
      <c r="P6" s="159"/>
      <c r="Q6" s="159"/>
      <c r="R6" s="161"/>
      <c r="S6" s="165"/>
      <c r="T6" s="166"/>
      <c r="U6" s="166"/>
      <c r="V6" s="167"/>
      <c r="W6" s="152"/>
      <c r="X6" s="168"/>
      <c r="Y6" s="168"/>
      <c r="Z6" s="168"/>
      <c r="AA6" s="168"/>
      <c r="AB6" s="168"/>
      <c r="AC6" s="169"/>
      <c r="AD6" s="189"/>
      <c r="AE6" s="190"/>
      <c r="AF6" s="190"/>
      <c r="AG6" s="190"/>
      <c r="AH6" s="190"/>
      <c r="AI6" s="190"/>
      <c r="AJ6" s="190"/>
      <c r="AK6" s="208"/>
      <c r="AL6" s="210"/>
      <c r="AM6" s="189"/>
      <c r="AN6" s="190"/>
      <c r="AO6" s="190"/>
      <c r="AP6" s="190"/>
      <c r="AQ6" s="190"/>
      <c r="AR6" s="190"/>
      <c r="AS6" s="191"/>
      <c r="AT6" s="195"/>
      <c r="AU6" s="196"/>
      <c r="AV6" s="196"/>
      <c r="AW6" s="197"/>
      <c r="AX6" s="198"/>
      <c r="AY6" s="199"/>
      <c r="AZ6" s="199"/>
      <c r="BA6" s="199"/>
      <c r="BB6" s="199"/>
      <c r="BC6" s="199"/>
      <c r="BD6" s="200"/>
      <c r="BE6" s="158"/>
      <c r="BF6" s="159"/>
      <c r="BG6" s="159"/>
      <c r="BH6" s="159"/>
      <c r="BI6" s="159"/>
      <c r="BJ6" s="159"/>
      <c r="BK6" s="160"/>
      <c r="BL6" s="153"/>
      <c r="BM6" s="176"/>
      <c r="BN6" s="158"/>
      <c r="BO6" s="159"/>
      <c r="BP6" s="159"/>
      <c r="BQ6" s="159"/>
      <c r="BR6" s="159"/>
      <c r="BS6" s="159"/>
      <c r="BT6" s="161"/>
      <c r="BU6" s="165"/>
      <c r="BV6" s="166"/>
      <c r="BW6" s="166"/>
      <c r="BX6" s="167"/>
      <c r="BY6" s="152"/>
      <c r="BZ6" s="168"/>
      <c r="CA6" s="168"/>
      <c r="CB6" s="168"/>
      <c r="CC6" s="168"/>
      <c r="CD6" s="168"/>
      <c r="CE6" s="169"/>
      <c r="CF6" s="236"/>
      <c r="CG6" s="237"/>
      <c r="CH6" s="237"/>
      <c r="CI6" s="237"/>
      <c r="CJ6" s="237"/>
      <c r="CK6" s="237"/>
      <c r="CL6" s="237"/>
      <c r="CM6" s="239"/>
      <c r="CN6" s="242"/>
      <c r="CO6" s="236"/>
      <c r="CP6" s="237"/>
      <c r="CQ6" s="237"/>
      <c r="CR6" s="237"/>
      <c r="CS6" s="237"/>
      <c r="CT6" s="237"/>
      <c r="CU6" s="244"/>
      <c r="CV6" s="248"/>
      <c r="CW6" s="249"/>
      <c r="CX6" s="249"/>
      <c r="CY6" s="250"/>
      <c r="CZ6" s="238"/>
      <c r="DA6" s="251"/>
      <c r="DB6" s="251"/>
      <c r="DC6" s="251"/>
      <c r="DD6" s="251"/>
      <c r="DE6" s="251"/>
      <c r="DF6" s="241"/>
      <c r="DG6" s="158"/>
      <c r="DH6" s="159"/>
      <c r="DI6" s="159"/>
      <c r="DJ6" s="159"/>
      <c r="DK6" s="159"/>
      <c r="DL6" s="159"/>
      <c r="DM6" s="160"/>
      <c r="DN6" s="153"/>
      <c r="DO6" s="176"/>
      <c r="DP6" s="158"/>
      <c r="DQ6" s="159"/>
      <c r="DR6" s="159"/>
      <c r="DS6" s="159"/>
      <c r="DT6" s="159"/>
      <c r="DU6" s="159"/>
      <c r="DV6" s="161"/>
      <c r="DW6" s="165"/>
      <c r="DX6" s="166"/>
      <c r="DY6" s="166"/>
      <c r="DZ6" s="167"/>
      <c r="EA6" s="152"/>
      <c r="EB6" s="168"/>
      <c r="EC6" s="168"/>
      <c r="ED6" s="168"/>
      <c r="EE6" s="168"/>
      <c r="EF6" s="168"/>
      <c r="EG6" s="169"/>
      <c r="EH6" s="189"/>
      <c r="EI6" s="190"/>
      <c r="EJ6" s="190"/>
      <c r="EK6" s="190"/>
      <c r="EL6" s="190"/>
      <c r="EM6" s="190"/>
      <c r="EN6" s="190"/>
      <c r="EO6" s="208"/>
      <c r="EP6" s="210"/>
      <c r="EQ6" s="189"/>
      <c r="ER6" s="190"/>
      <c r="ES6" s="190"/>
      <c r="ET6" s="190"/>
      <c r="EU6" s="190"/>
      <c r="EV6" s="190"/>
      <c r="EW6" s="191"/>
      <c r="EX6" s="195"/>
      <c r="EY6" s="196"/>
      <c r="EZ6" s="196"/>
      <c r="FA6" s="197"/>
      <c r="FB6" s="198"/>
      <c r="FC6" s="199"/>
      <c r="FD6" s="199"/>
      <c r="FE6" s="199"/>
      <c r="FF6" s="199"/>
      <c r="FG6" s="199"/>
      <c r="FH6" s="200"/>
      <c r="FI6" s="158"/>
      <c r="FJ6" s="159"/>
      <c r="FK6" s="159"/>
      <c r="FL6" s="159"/>
      <c r="FM6" s="159"/>
      <c r="FN6" s="159"/>
      <c r="FO6" s="160"/>
      <c r="FP6" s="153"/>
      <c r="FQ6" s="176"/>
      <c r="FR6" s="158"/>
      <c r="FS6" s="159"/>
      <c r="FT6" s="159"/>
      <c r="FU6" s="159"/>
      <c r="FV6" s="159"/>
      <c r="FW6" s="159"/>
      <c r="FX6" s="161"/>
      <c r="FY6" s="165"/>
      <c r="FZ6" s="166"/>
      <c r="GA6" s="166"/>
      <c r="GB6" s="167"/>
      <c r="GC6" s="152"/>
      <c r="GD6" s="168"/>
      <c r="GE6" s="168"/>
      <c r="GF6" s="168"/>
      <c r="GG6" s="168"/>
      <c r="GH6" s="168"/>
      <c r="GI6" s="169"/>
      <c r="GJ6" s="215"/>
      <c r="GK6" s="216"/>
      <c r="GL6" s="216"/>
      <c r="GM6" s="216"/>
      <c r="GN6" s="216"/>
      <c r="GO6" s="216"/>
      <c r="GP6" s="217"/>
      <c r="GQ6" s="230"/>
      <c r="GR6" s="232"/>
      <c r="GS6" s="215"/>
      <c r="GT6" s="216"/>
      <c r="GU6" s="216"/>
      <c r="GV6" s="216"/>
      <c r="GW6" s="216"/>
      <c r="GX6" s="216"/>
      <c r="GY6" s="218"/>
      <c r="GZ6" s="222"/>
      <c r="HA6" s="223"/>
      <c r="HB6" s="223"/>
      <c r="HC6" s="224"/>
      <c r="HD6" s="219"/>
      <c r="HE6" s="220"/>
      <c r="HF6" s="220"/>
      <c r="HG6" s="220"/>
      <c r="HH6" s="220"/>
      <c r="HI6" s="220"/>
      <c r="HJ6" s="221"/>
    </row>
    <row r="7" spans="1:218" s="2" customFormat="1" ht="25.5" customHeight="1" thickBot="1" x14ac:dyDescent="0.4">
      <c r="A7" s="180"/>
      <c r="B7" s="183"/>
      <c r="C7" s="170" t="s">
        <v>26</v>
      </c>
      <c r="D7" s="171"/>
      <c r="E7" s="171"/>
      <c r="F7" s="171"/>
      <c r="G7" s="172"/>
      <c r="H7" s="160" t="s">
        <v>32</v>
      </c>
      <c r="I7" s="185"/>
      <c r="J7" s="153"/>
      <c r="K7" s="176"/>
      <c r="L7" s="158" t="s">
        <v>26</v>
      </c>
      <c r="M7" s="159"/>
      <c r="N7" s="159"/>
      <c r="O7" s="159"/>
      <c r="P7" s="159"/>
      <c r="Q7" s="159" t="s">
        <v>32</v>
      </c>
      <c r="R7" s="161"/>
      <c r="S7" s="165"/>
      <c r="T7" s="166"/>
      <c r="U7" s="166"/>
      <c r="V7" s="167"/>
      <c r="W7" s="173" t="s">
        <v>26</v>
      </c>
      <c r="X7" s="174"/>
      <c r="Y7" s="174"/>
      <c r="Z7" s="174"/>
      <c r="AA7" s="174"/>
      <c r="AB7" s="174" t="s">
        <v>32</v>
      </c>
      <c r="AC7" s="175"/>
      <c r="AD7" s="201" t="s">
        <v>26</v>
      </c>
      <c r="AE7" s="202"/>
      <c r="AF7" s="202"/>
      <c r="AG7" s="202"/>
      <c r="AH7" s="203"/>
      <c r="AI7" s="204" t="s">
        <v>32</v>
      </c>
      <c r="AJ7" s="203"/>
      <c r="AK7" s="208"/>
      <c r="AL7" s="210"/>
      <c r="AM7" s="189" t="s">
        <v>26</v>
      </c>
      <c r="AN7" s="190"/>
      <c r="AO7" s="190"/>
      <c r="AP7" s="190"/>
      <c r="AQ7" s="190"/>
      <c r="AR7" s="190" t="s">
        <v>32</v>
      </c>
      <c r="AS7" s="191"/>
      <c r="AT7" s="195"/>
      <c r="AU7" s="196"/>
      <c r="AV7" s="196"/>
      <c r="AW7" s="197"/>
      <c r="AX7" s="205" t="s">
        <v>26</v>
      </c>
      <c r="AY7" s="206"/>
      <c r="AZ7" s="206"/>
      <c r="BA7" s="206"/>
      <c r="BB7" s="206"/>
      <c r="BC7" s="206" t="s">
        <v>32</v>
      </c>
      <c r="BD7" s="207"/>
      <c r="BE7" s="170" t="s">
        <v>26</v>
      </c>
      <c r="BF7" s="171"/>
      <c r="BG7" s="171"/>
      <c r="BH7" s="171"/>
      <c r="BI7" s="172"/>
      <c r="BJ7" s="160" t="s">
        <v>32</v>
      </c>
      <c r="BK7" s="171"/>
      <c r="BL7" s="153"/>
      <c r="BM7" s="176"/>
      <c r="BN7" s="158" t="s">
        <v>26</v>
      </c>
      <c r="BO7" s="159"/>
      <c r="BP7" s="159"/>
      <c r="BQ7" s="159"/>
      <c r="BR7" s="159"/>
      <c r="BS7" s="159" t="s">
        <v>32</v>
      </c>
      <c r="BT7" s="161"/>
      <c r="BU7" s="165"/>
      <c r="BV7" s="166"/>
      <c r="BW7" s="166"/>
      <c r="BX7" s="167"/>
      <c r="BY7" s="173" t="s">
        <v>26</v>
      </c>
      <c r="BZ7" s="174"/>
      <c r="CA7" s="174"/>
      <c r="CB7" s="174"/>
      <c r="CC7" s="174"/>
      <c r="CD7" s="174" t="s">
        <v>32</v>
      </c>
      <c r="CE7" s="175"/>
      <c r="CF7" s="252" t="s">
        <v>26</v>
      </c>
      <c r="CG7" s="253"/>
      <c r="CH7" s="253"/>
      <c r="CI7" s="253"/>
      <c r="CJ7" s="254"/>
      <c r="CK7" s="255" t="s">
        <v>32</v>
      </c>
      <c r="CL7" s="254"/>
      <c r="CM7" s="239"/>
      <c r="CN7" s="242"/>
      <c r="CO7" s="236" t="s">
        <v>26</v>
      </c>
      <c r="CP7" s="237"/>
      <c r="CQ7" s="237"/>
      <c r="CR7" s="237"/>
      <c r="CS7" s="237"/>
      <c r="CT7" s="237" t="s">
        <v>32</v>
      </c>
      <c r="CU7" s="244"/>
      <c r="CV7" s="248"/>
      <c r="CW7" s="249"/>
      <c r="CX7" s="249"/>
      <c r="CY7" s="250"/>
      <c r="CZ7" s="256" t="s">
        <v>26</v>
      </c>
      <c r="DA7" s="257"/>
      <c r="DB7" s="257"/>
      <c r="DC7" s="257"/>
      <c r="DD7" s="257"/>
      <c r="DE7" s="257" t="s">
        <v>32</v>
      </c>
      <c r="DF7" s="258"/>
      <c r="DG7" s="170" t="s">
        <v>26</v>
      </c>
      <c r="DH7" s="171"/>
      <c r="DI7" s="171"/>
      <c r="DJ7" s="171"/>
      <c r="DK7" s="172"/>
      <c r="DL7" s="160" t="s">
        <v>32</v>
      </c>
      <c r="DM7" s="171"/>
      <c r="DN7" s="153"/>
      <c r="DO7" s="176"/>
      <c r="DP7" s="158" t="s">
        <v>26</v>
      </c>
      <c r="DQ7" s="159"/>
      <c r="DR7" s="159"/>
      <c r="DS7" s="159"/>
      <c r="DT7" s="159"/>
      <c r="DU7" s="159" t="s">
        <v>32</v>
      </c>
      <c r="DV7" s="161"/>
      <c r="DW7" s="165"/>
      <c r="DX7" s="166"/>
      <c r="DY7" s="166"/>
      <c r="DZ7" s="167"/>
      <c r="EA7" s="173" t="s">
        <v>26</v>
      </c>
      <c r="EB7" s="174"/>
      <c r="EC7" s="174"/>
      <c r="ED7" s="174"/>
      <c r="EE7" s="174"/>
      <c r="EF7" s="174" t="s">
        <v>32</v>
      </c>
      <c r="EG7" s="175"/>
      <c r="EH7" s="201" t="s">
        <v>26</v>
      </c>
      <c r="EI7" s="202"/>
      <c r="EJ7" s="202"/>
      <c r="EK7" s="202"/>
      <c r="EL7" s="203"/>
      <c r="EM7" s="204" t="s">
        <v>32</v>
      </c>
      <c r="EN7" s="203"/>
      <c r="EO7" s="208"/>
      <c r="EP7" s="210"/>
      <c r="EQ7" s="189" t="s">
        <v>26</v>
      </c>
      <c r="ER7" s="190"/>
      <c r="ES7" s="190"/>
      <c r="ET7" s="190"/>
      <c r="EU7" s="190"/>
      <c r="EV7" s="190" t="s">
        <v>32</v>
      </c>
      <c r="EW7" s="191"/>
      <c r="EX7" s="195"/>
      <c r="EY7" s="196"/>
      <c r="EZ7" s="196"/>
      <c r="FA7" s="197"/>
      <c r="FB7" s="205" t="s">
        <v>26</v>
      </c>
      <c r="FC7" s="206"/>
      <c r="FD7" s="206"/>
      <c r="FE7" s="206"/>
      <c r="FF7" s="206"/>
      <c r="FG7" s="206" t="s">
        <v>32</v>
      </c>
      <c r="FH7" s="207"/>
      <c r="FI7" s="170" t="s">
        <v>26</v>
      </c>
      <c r="FJ7" s="171"/>
      <c r="FK7" s="171"/>
      <c r="FL7" s="171"/>
      <c r="FM7" s="172"/>
      <c r="FN7" s="160" t="s">
        <v>32</v>
      </c>
      <c r="FO7" s="171"/>
      <c r="FP7" s="153"/>
      <c r="FQ7" s="176"/>
      <c r="FR7" s="158" t="s">
        <v>26</v>
      </c>
      <c r="FS7" s="159"/>
      <c r="FT7" s="159"/>
      <c r="FU7" s="159"/>
      <c r="FV7" s="159"/>
      <c r="FW7" s="159" t="s">
        <v>32</v>
      </c>
      <c r="FX7" s="161"/>
      <c r="FY7" s="165"/>
      <c r="FZ7" s="166"/>
      <c r="GA7" s="166"/>
      <c r="GB7" s="167"/>
      <c r="GC7" s="173" t="s">
        <v>26</v>
      </c>
      <c r="GD7" s="174"/>
      <c r="GE7" s="174"/>
      <c r="GF7" s="174"/>
      <c r="GG7" s="174"/>
      <c r="GH7" s="174" t="s">
        <v>32</v>
      </c>
      <c r="GI7" s="175"/>
      <c r="GJ7" s="215" t="s">
        <v>26</v>
      </c>
      <c r="GK7" s="216"/>
      <c r="GL7" s="216"/>
      <c r="GM7" s="216"/>
      <c r="GN7" s="218"/>
      <c r="GO7" s="225" t="s">
        <v>32</v>
      </c>
      <c r="GP7" s="225"/>
      <c r="GQ7" s="230"/>
      <c r="GR7" s="232"/>
      <c r="GS7" s="215" t="s">
        <v>26</v>
      </c>
      <c r="GT7" s="216"/>
      <c r="GU7" s="216"/>
      <c r="GV7" s="216"/>
      <c r="GW7" s="218"/>
      <c r="GX7" s="215" t="s">
        <v>32</v>
      </c>
      <c r="GY7" s="218"/>
      <c r="GZ7" s="222"/>
      <c r="HA7" s="223"/>
      <c r="HB7" s="223"/>
      <c r="HC7" s="224"/>
      <c r="HD7" s="226" t="s">
        <v>26</v>
      </c>
      <c r="HE7" s="227"/>
      <c r="HF7" s="227"/>
      <c r="HG7" s="227"/>
      <c r="HH7" s="227"/>
      <c r="HI7" s="227" t="s">
        <v>32</v>
      </c>
      <c r="HJ7" s="228"/>
    </row>
    <row r="8" spans="1:218" s="2" customFormat="1" ht="51" customHeight="1" thickBot="1" x14ac:dyDescent="0.4">
      <c r="A8" s="181"/>
      <c r="B8" s="184"/>
      <c r="C8" s="49" t="s">
        <v>27</v>
      </c>
      <c r="D8" s="50" t="s">
        <v>28</v>
      </c>
      <c r="E8" s="50" t="s">
        <v>29</v>
      </c>
      <c r="F8" s="50" t="s">
        <v>30</v>
      </c>
      <c r="G8" s="50" t="s">
        <v>31</v>
      </c>
      <c r="H8" s="50" t="s">
        <v>33</v>
      </c>
      <c r="I8" s="51" t="s">
        <v>34</v>
      </c>
      <c r="J8" s="154"/>
      <c r="K8" s="177"/>
      <c r="L8" s="49" t="s">
        <v>27</v>
      </c>
      <c r="M8" s="50" t="s">
        <v>28</v>
      </c>
      <c r="N8" s="50" t="s">
        <v>29</v>
      </c>
      <c r="O8" s="50" t="s">
        <v>30</v>
      </c>
      <c r="P8" s="50" t="s">
        <v>31</v>
      </c>
      <c r="Q8" s="50" t="s">
        <v>33</v>
      </c>
      <c r="R8" s="51" t="s">
        <v>34</v>
      </c>
      <c r="S8" s="49" t="s">
        <v>35</v>
      </c>
      <c r="T8" s="50" t="s">
        <v>36</v>
      </c>
      <c r="U8" s="52" t="s">
        <v>37</v>
      </c>
      <c r="V8" s="51" t="s">
        <v>41</v>
      </c>
      <c r="W8" s="49" t="s">
        <v>27</v>
      </c>
      <c r="X8" s="50" t="s">
        <v>28</v>
      </c>
      <c r="Y8" s="50" t="s">
        <v>29</v>
      </c>
      <c r="Z8" s="50" t="s">
        <v>30</v>
      </c>
      <c r="AA8" s="50" t="s">
        <v>31</v>
      </c>
      <c r="AB8" s="50" t="s">
        <v>33</v>
      </c>
      <c r="AC8" s="51" t="s">
        <v>34</v>
      </c>
      <c r="AD8" s="23" t="s">
        <v>27</v>
      </c>
      <c r="AE8" s="24" t="s">
        <v>28</v>
      </c>
      <c r="AF8" s="24" t="s">
        <v>29</v>
      </c>
      <c r="AG8" s="24" t="s">
        <v>30</v>
      </c>
      <c r="AH8" s="24" t="s">
        <v>31</v>
      </c>
      <c r="AI8" s="24" t="s">
        <v>33</v>
      </c>
      <c r="AJ8" s="24" t="s">
        <v>34</v>
      </c>
      <c r="AK8" s="209"/>
      <c r="AL8" s="211"/>
      <c r="AM8" s="23" t="s">
        <v>27</v>
      </c>
      <c r="AN8" s="24" t="s">
        <v>28</v>
      </c>
      <c r="AO8" s="24" t="s">
        <v>29</v>
      </c>
      <c r="AP8" s="24" t="s">
        <v>30</v>
      </c>
      <c r="AQ8" s="24" t="s">
        <v>31</v>
      </c>
      <c r="AR8" s="24" t="s">
        <v>33</v>
      </c>
      <c r="AS8" s="25" t="s">
        <v>34</v>
      </c>
      <c r="AT8" s="23" t="s">
        <v>35</v>
      </c>
      <c r="AU8" s="24" t="s">
        <v>36</v>
      </c>
      <c r="AV8" s="26" t="s">
        <v>37</v>
      </c>
      <c r="AW8" s="25" t="s">
        <v>41</v>
      </c>
      <c r="AX8" s="23" t="s">
        <v>27</v>
      </c>
      <c r="AY8" s="24" t="s">
        <v>28</v>
      </c>
      <c r="AZ8" s="24" t="s">
        <v>29</v>
      </c>
      <c r="BA8" s="24" t="s">
        <v>30</v>
      </c>
      <c r="BB8" s="24" t="s">
        <v>31</v>
      </c>
      <c r="BC8" s="24" t="s">
        <v>33</v>
      </c>
      <c r="BD8" s="25" t="s">
        <v>34</v>
      </c>
      <c r="BE8" s="49" t="s">
        <v>27</v>
      </c>
      <c r="BF8" s="50" t="s">
        <v>28</v>
      </c>
      <c r="BG8" s="50" t="s">
        <v>29</v>
      </c>
      <c r="BH8" s="50" t="s">
        <v>30</v>
      </c>
      <c r="BI8" s="50" t="s">
        <v>31</v>
      </c>
      <c r="BJ8" s="50" t="s">
        <v>33</v>
      </c>
      <c r="BK8" s="52" t="s">
        <v>34</v>
      </c>
      <c r="BL8" s="154"/>
      <c r="BM8" s="177"/>
      <c r="BN8" s="49" t="s">
        <v>27</v>
      </c>
      <c r="BO8" s="50" t="s">
        <v>28</v>
      </c>
      <c r="BP8" s="50" t="s">
        <v>29</v>
      </c>
      <c r="BQ8" s="50" t="s">
        <v>30</v>
      </c>
      <c r="BR8" s="50" t="s">
        <v>31</v>
      </c>
      <c r="BS8" s="50" t="s">
        <v>33</v>
      </c>
      <c r="BT8" s="51" t="s">
        <v>34</v>
      </c>
      <c r="BU8" s="49" t="s">
        <v>35</v>
      </c>
      <c r="BV8" s="50" t="s">
        <v>36</v>
      </c>
      <c r="BW8" s="52" t="s">
        <v>37</v>
      </c>
      <c r="BX8" s="51" t="s">
        <v>41</v>
      </c>
      <c r="BY8" s="49" t="s">
        <v>27</v>
      </c>
      <c r="BZ8" s="50" t="s">
        <v>28</v>
      </c>
      <c r="CA8" s="50" t="s">
        <v>29</v>
      </c>
      <c r="CB8" s="50" t="s">
        <v>30</v>
      </c>
      <c r="CC8" s="50" t="s">
        <v>31</v>
      </c>
      <c r="CD8" s="50" t="s">
        <v>33</v>
      </c>
      <c r="CE8" s="51" t="s">
        <v>34</v>
      </c>
      <c r="CF8" s="116" t="s">
        <v>27</v>
      </c>
      <c r="CG8" s="117" t="s">
        <v>28</v>
      </c>
      <c r="CH8" s="117" t="s">
        <v>29</v>
      </c>
      <c r="CI8" s="117" t="s">
        <v>30</v>
      </c>
      <c r="CJ8" s="117" t="s">
        <v>31</v>
      </c>
      <c r="CK8" s="117" t="s">
        <v>33</v>
      </c>
      <c r="CL8" s="117" t="s">
        <v>34</v>
      </c>
      <c r="CM8" s="240"/>
      <c r="CN8" s="243"/>
      <c r="CO8" s="116" t="s">
        <v>27</v>
      </c>
      <c r="CP8" s="117" t="s">
        <v>28</v>
      </c>
      <c r="CQ8" s="117" t="s">
        <v>29</v>
      </c>
      <c r="CR8" s="117" t="s">
        <v>30</v>
      </c>
      <c r="CS8" s="117" t="s">
        <v>31</v>
      </c>
      <c r="CT8" s="117" t="s">
        <v>33</v>
      </c>
      <c r="CU8" s="118" t="s">
        <v>34</v>
      </c>
      <c r="CV8" s="116" t="s">
        <v>35</v>
      </c>
      <c r="CW8" s="117" t="s">
        <v>36</v>
      </c>
      <c r="CX8" s="119" t="s">
        <v>37</v>
      </c>
      <c r="CY8" s="118" t="s">
        <v>41</v>
      </c>
      <c r="CZ8" s="116" t="s">
        <v>27</v>
      </c>
      <c r="DA8" s="117" t="s">
        <v>28</v>
      </c>
      <c r="DB8" s="117" t="s">
        <v>29</v>
      </c>
      <c r="DC8" s="117" t="s">
        <v>30</v>
      </c>
      <c r="DD8" s="117" t="s">
        <v>31</v>
      </c>
      <c r="DE8" s="117" t="s">
        <v>33</v>
      </c>
      <c r="DF8" s="118" t="s">
        <v>34</v>
      </c>
      <c r="DG8" s="49" t="s">
        <v>27</v>
      </c>
      <c r="DH8" s="50" t="s">
        <v>28</v>
      </c>
      <c r="DI8" s="50" t="s">
        <v>29</v>
      </c>
      <c r="DJ8" s="50" t="s">
        <v>30</v>
      </c>
      <c r="DK8" s="50" t="s">
        <v>31</v>
      </c>
      <c r="DL8" s="50" t="s">
        <v>33</v>
      </c>
      <c r="DM8" s="52" t="s">
        <v>34</v>
      </c>
      <c r="DN8" s="154"/>
      <c r="DO8" s="177"/>
      <c r="DP8" s="49" t="s">
        <v>27</v>
      </c>
      <c r="DQ8" s="50" t="s">
        <v>28</v>
      </c>
      <c r="DR8" s="50" t="s">
        <v>29</v>
      </c>
      <c r="DS8" s="50" t="s">
        <v>30</v>
      </c>
      <c r="DT8" s="50" t="s">
        <v>31</v>
      </c>
      <c r="DU8" s="50" t="s">
        <v>33</v>
      </c>
      <c r="DV8" s="51" t="s">
        <v>34</v>
      </c>
      <c r="DW8" s="49" t="s">
        <v>35</v>
      </c>
      <c r="DX8" s="50" t="s">
        <v>36</v>
      </c>
      <c r="DY8" s="52" t="s">
        <v>37</v>
      </c>
      <c r="DZ8" s="51" t="s">
        <v>41</v>
      </c>
      <c r="EA8" s="49" t="s">
        <v>27</v>
      </c>
      <c r="EB8" s="50" t="s">
        <v>28</v>
      </c>
      <c r="EC8" s="50" t="s">
        <v>29</v>
      </c>
      <c r="ED8" s="50" t="s">
        <v>30</v>
      </c>
      <c r="EE8" s="50" t="s">
        <v>31</v>
      </c>
      <c r="EF8" s="50" t="s">
        <v>33</v>
      </c>
      <c r="EG8" s="51" t="s">
        <v>34</v>
      </c>
      <c r="EH8" s="23" t="s">
        <v>27</v>
      </c>
      <c r="EI8" s="24" t="s">
        <v>28</v>
      </c>
      <c r="EJ8" s="24" t="s">
        <v>29</v>
      </c>
      <c r="EK8" s="24" t="s">
        <v>30</v>
      </c>
      <c r="EL8" s="24" t="s">
        <v>31</v>
      </c>
      <c r="EM8" s="24" t="s">
        <v>33</v>
      </c>
      <c r="EN8" s="24" t="s">
        <v>34</v>
      </c>
      <c r="EO8" s="209"/>
      <c r="EP8" s="211"/>
      <c r="EQ8" s="23" t="s">
        <v>27</v>
      </c>
      <c r="ER8" s="24" t="s">
        <v>28</v>
      </c>
      <c r="ES8" s="24" t="s">
        <v>29</v>
      </c>
      <c r="ET8" s="24" t="s">
        <v>30</v>
      </c>
      <c r="EU8" s="24" t="s">
        <v>31</v>
      </c>
      <c r="EV8" s="24" t="s">
        <v>33</v>
      </c>
      <c r="EW8" s="25" t="s">
        <v>34</v>
      </c>
      <c r="EX8" s="23" t="s">
        <v>35</v>
      </c>
      <c r="EY8" s="24" t="s">
        <v>36</v>
      </c>
      <c r="EZ8" s="26" t="s">
        <v>37</v>
      </c>
      <c r="FA8" s="25" t="s">
        <v>41</v>
      </c>
      <c r="FB8" s="23" t="s">
        <v>27</v>
      </c>
      <c r="FC8" s="24" t="s">
        <v>28</v>
      </c>
      <c r="FD8" s="24" t="s">
        <v>29</v>
      </c>
      <c r="FE8" s="24" t="s">
        <v>30</v>
      </c>
      <c r="FF8" s="24" t="s">
        <v>31</v>
      </c>
      <c r="FG8" s="24" t="s">
        <v>33</v>
      </c>
      <c r="FH8" s="25" t="s">
        <v>34</v>
      </c>
      <c r="FI8" s="49" t="s">
        <v>27</v>
      </c>
      <c r="FJ8" s="50" t="s">
        <v>28</v>
      </c>
      <c r="FK8" s="50" t="s">
        <v>29</v>
      </c>
      <c r="FL8" s="50" t="s">
        <v>30</v>
      </c>
      <c r="FM8" s="50" t="s">
        <v>31</v>
      </c>
      <c r="FN8" s="50" t="s">
        <v>33</v>
      </c>
      <c r="FO8" s="52" t="s">
        <v>34</v>
      </c>
      <c r="FP8" s="154"/>
      <c r="FQ8" s="177"/>
      <c r="FR8" s="49" t="s">
        <v>27</v>
      </c>
      <c r="FS8" s="50" t="s">
        <v>28</v>
      </c>
      <c r="FT8" s="50" t="s">
        <v>29</v>
      </c>
      <c r="FU8" s="50" t="s">
        <v>30</v>
      </c>
      <c r="FV8" s="50" t="s">
        <v>31</v>
      </c>
      <c r="FW8" s="50" t="s">
        <v>33</v>
      </c>
      <c r="FX8" s="51" t="s">
        <v>34</v>
      </c>
      <c r="FY8" s="49" t="s">
        <v>35</v>
      </c>
      <c r="FZ8" s="50" t="s">
        <v>36</v>
      </c>
      <c r="GA8" s="52" t="s">
        <v>37</v>
      </c>
      <c r="GB8" s="51" t="s">
        <v>41</v>
      </c>
      <c r="GC8" s="49" t="s">
        <v>27</v>
      </c>
      <c r="GD8" s="50" t="s">
        <v>28</v>
      </c>
      <c r="GE8" s="50" t="s">
        <v>29</v>
      </c>
      <c r="GF8" s="50" t="s">
        <v>30</v>
      </c>
      <c r="GG8" s="50" t="s">
        <v>31</v>
      </c>
      <c r="GH8" s="50" t="s">
        <v>33</v>
      </c>
      <c r="GI8" s="51" t="s">
        <v>34</v>
      </c>
      <c r="GJ8" s="149" t="s">
        <v>27</v>
      </c>
      <c r="GK8" s="150" t="s">
        <v>28</v>
      </c>
      <c r="GL8" s="150" t="s">
        <v>29</v>
      </c>
      <c r="GM8" s="150" t="s">
        <v>30</v>
      </c>
      <c r="GN8" s="151" t="s">
        <v>31</v>
      </c>
      <c r="GO8" s="149" t="s">
        <v>33</v>
      </c>
      <c r="GP8" s="151" t="s">
        <v>34</v>
      </c>
      <c r="GQ8" s="230"/>
      <c r="GR8" s="232"/>
      <c r="GS8" s="76" t="s">
        <v>27</v>
      </c>
      <c r="GT8" s="77" t="s">
        <v>28</v>
      </c>
      <c r="GU8" s="77" t="s">
        <v>29</v>
      </c>
      <c r="GV8" s="77" t="s">
        <v>30</v>
      </c>
      <c r="GW8" s="78" t="s">
        <v>31</v>
      </c>
      <c r="GX8" s="76" t="s">
        <v>33</v>
      </c>
      <c r="GY8" s="78" t="s">
        <v>34</v>
      </c>
      <c r="GZ8" s="76" t="s">
        <v>35</v>
      </c>
      <c r="HA8" s="77" t="s">
        <v>36</v>
      </c>
      <c r="HB8" s="77" t="s">
        <v>37</v>
      </c>
      <c r="HC8" s="78" t="s">
        <v>41</v>
      </c>
      <c r="HD8" s="76" t="s">
        <v>27</v>
      </c>
      <c r="HE8" s="77" t="s">
        <v>28</v>
      </c>
      <c r="HF8" s="77" t="s">
        <v>29</v>
      </c>
      <c r="HG8" s="77" t="s">
        <v>30</v>
      </c>
      <c r="HH8" s="77" t="s">
        <v>31</v>
      </c>
      <c r="HI8" s="77" t="s">
        <v>33</v>
      </c>
      <c r="HJ8" s="78" t="s">
        <v>34</v>
      </c>
    </row>
    <row r="9" spans="1:218" s="7" customFormat="1" ht="40" customHeight="1" x14ac:dyDescent="0.35">
      <c r="A9" s="93" t="s">
        <v>21</v>
      </c>
      <c r="B9" s="13" t="s">
        <v>42</v>
      </c>
      <c r="C9" s="53">
        <v>5</v>
      </c>
      <c r="D9" s="54">
        <v>5</v>
      </c>
      <c r="E9" s="54">
        <v>1</v>
      </c>
      <c r="F9" s="54">
        <v>1</v>
      </c>
      <c r="G9" s="54">
        <v>1</v>
      </c>
      <c r="H9" s="54">
        <v>5</v>
      </c>
      <c r="I9" s="104">
        <v>5</v>
      </c>
      <c r="J9" s="53">
        <v>28</v>
      </c>
      <c r="K9" s="104">
        <v>0</v>
      </c>
      <c r="L9" s="53"/>
      <c r="M9" s="54"/>
      <c r="N9" s="54"/>
      <c r="O9" s="54"/>
      <c r="P9" s="54"/>
      <c r="Q9" s="54"/>
      <c r="R9" s="55"/>
      <c r="S9" s="56"/>
      <c r="T9" s="57"/>
      <c r="U9" s="58"/>
      <c r="V9" s="55"/>
      <c r="W9" s="59">
        <f t="shared" ref="W9:AC9" si="0">L9/C9</f>
        <v>0</v>
      </c>
      <c r="X9" s="60">
        <f t="shared" si="0"/>
        <v>0</v>
      </c>
      <c r="Y9" s="60">
        <f t="shared" si="0"/>
        <v>0</v>
      </c>
      <c r="Z9" s="60">
        <f t="shared" si="0"/>
        <v>0</v>
      </c>
      <c r="AA9" s="60">
        <f t="shared" si="0"/>
        <v>0</v>
      </c>
      <c r="AB9" s="60">
        <f t="shared" si="0"/>
        <v>0</v>
      </c>
      <c r="AC9" s="61">
        <f t="shared" si="0"/>
        <v>0</v>
      </c>
      <c r="AD9" s="27">
        <v>5</v>
      </c>
      <c r="AE9" s="28">
        <v>5</v>
      </c>
      <c r="AF9" s="28">
        <v>1</v>
      </c>
      <c r="AG9" s="28">
        <v>1</v>
      </c>
      <c r="AH9" s="28">
        <v>1</v>
      </c>
      <c r="AI9" s="28">
        <v>5</v>
      </c>
      <c r="AJ9" s="28">
        <v>5</v>
      </c>
      <c r="AK9" s="96">
        <v>55</v>
      </c>
      <c r="AL9" s="97">
        <v>3</v>
      </c>
      <c r="AM9" s="27">
        <v>1</v>
      </c>
      <c r="AN9" s="28"/>
      <c r="AO9" s="28"/>
      <c r="AP9" s="28"/>
      <c r="AQ9" s="28"/>
      <c r="AR9" s="28">
        <v>1</v>
      </c>
      <c r="AS9" s="29">
        <v>1</v>
      </c>
      <c r="AT9" s="30">
        <v>2</v>
      </c>
      <c r="AU9" s="31"/>
      <c r="AV9" s="32">
        <v>1</v>
      </c>
      <c r="AW9" s="29">
        <v>0</v>
      </c>
      <c r="AX9" s="33">
        <f>AM9/AD9</f>
        <v>0.2</v>
      </c>
      <c r="AY9" s="34">
        <f t="shared" ref="AY9:AY14" si="1">AN9/AE9</f>
        <v>0</v>
      </c>
      <c r="AZ9" s="34">
        <f t="shared" ref="AZ9:AZ14" si="2">AO9/AF9</f>
        <v>0</v>
      </c>
      <c r="BA9" s="34">
        <f t="shared" ref="BA9:BA14" si="3">AP9/AG9</f>
        <v>0</v>
      </c>
      <c r="BB9" s="34">
        <f t="shared" ref="BB9:BB14" si="4">AQ9/AH9</f>
        <v>0</v>
      </c>
      <c r="BC9" s="34">
        <f t="shared" ref="BC9:BC14" si="5">AR9/AI9</f>
        <v>0.2</v>
      </c>
      <c r="BD9" s="91">
        <f t="shared" ref="BD9:BD14" si="6">AS9/AJ9</f>
        <v>0.2</v>
      </c>
      <c r="BE9" s="53">
        <v>5</v>
      </c>
      <c r="BF9" s="54">
        <v>5</v>
      </c>
      <c r="BG9" s="54">
        <v>1</v>
      </c>
      <c r="BH9" s="54">
        <v>1</v>
      </c>
      <c r="BI9" s="54">
        <v>1</v>
      </c>
      <c r="BJ9" s="54">
        <v>5</v>
      </c>
      <c r="BK9" s="105">
        <v>5</v>
      </c>
      <c r="BL9" s="53">
        <v>35</v>
      </c>
      <c r="BM9" s="104">
        <v>2</v>
      </c>
      <c r="BN9" s="53">
        <v>2</v>
      </c>
      <c r="BO9" s="54"/>
      <c r="BP9" s="54"/>
      <c r="BQ9" s="54"/>
      <c r="BR9" s="54"/>
      <c r="BS9" s="54"/>
      <c r="BT9" s="55"/>
      <c r="BU9" s="56">
        <v>2</v>
      </c>
      <c r="BV9" s="57"/>
      <c r="BW9" s="58"/>
      <c r="BX9" s="55"/>
      <c r="BY9" s="59">
        <f>BN9/BE9</f>
        <v>0.4</v>
      </c>
      <c r="BZ9" s="60">
        <f t="shared" ref="BZ9:BZ14" si="7">BO9/BF9</f>
        <v>0</v>
      </c>
      <c r="CA9" s="60">
        <f t="shared" ref="CA9:CA14" si="8">BP9/BG9</f>
        <v>0</v>
      </c>
      <c r="CB9" s="60">
        <f t="shared" ref="CB9:CB14" si="9">BQ9/BH9</f>
        <v>0</v>
      </c>
      <c r="CC9" s="60">
        <f t="shared" ref="CC9:CC14" si="10">BR9/BI9</f>
        <v>0</v>
      </c>
      <c r="CD9" s="60">
        <f t="shared" ref="CD9:CD14" si="11">BS9/BJ9</f>
        <v>0</v>
      </c>
      <c r="CE9" s="61">
        <f t="shared" ref="CE9:CE14" si="12">BT9/BK9</f>
        <v>0</v>
      </c>
      <c r="CF9" s="120">
        <v>5</v>
      </c>
      <c r="CG9" s="121">
        <v>5</v>
      </c>
      <c r="CH9" s="121">
        <v>1</v>
      </c>
      <c r="CI9" s="121">
        <v>1</v>
      </c>
      <c r="CJ9" s="121">
        <v>1</v>
      </c>
      <c r="CK9" s="121">
        <v>5</v>
      </c>
      <c r="CL9" s="121">
        <v>5</v>
      </c>
      <c r="CM9" s="122">
        <v>30</v>
      </c>
      <c r="CN9" s="123">
        <v>2</v>
      </c>
      <c r="CO9" s="120">
        <v>1</v>
      </c>
      <c r="CP9" s="121"/>
      <c r="CQ9" s="121"/>
      <c r="CR9" s="121"/>
      <c r="CS9" s="121"/>
      <c r="CT9" s="121"/>
      <c r="CU9" s="124">
        <v>1</v>
      </c>
      <c r="CV9" s="125">
        <v>1</v>
      </c>
      <c r="CW9" s="126"/>
      <c r="CX9" s="127">
        <v>1</v>
      </c>
      <c r="CY9" s="124"/>
      <c r="CZ9" s="128">
        <f>CO9/CF9</f>
        <v>0.2</v>
      </c>
      <c r="DA9" s="129">
        <f t="shared" ref="DA9:DA14" si="13">CP9/CG9</f>
        <v>0</v>
      </c>
      <c r="DB9" s="129">
        <f t="shared" ref="DB9:DB14" si="14">CQ9/CH9</f>
        <v>0</v>
      </c>
      <c r="DC9" s="129">
        <f t="shared" ref="DC9:DC14" si="15">CR9/CI9</f>
        <v>0</v>
      </c>
      <c r="DD9" s="129">
        <f t="shared" ref="DD9:DD14" si="16">CS9/CJ9</f>
        <v>0</v>
      </c>
      <c r="DE9" s="129">
        <f t="shared" ref="DE9:DE14" si="17">CT9/CK9</f>
        <v>0</v>
      </c>
      <c r="DF9" s="130">
        <f t="shared" ref="DF9:DF14" si="18">CU9/CL9</f>
        <v>0.2</v>
      </c>
      <c r="DG9" s="53">
        <v>5</v>
      </c>
      <c r="DH9" s="54">
        <v>5</v>
      </c>
      <c r="DI9" s="54">
        <v>1</v>
      </c>
      <c r="DJ9" s="54">
        <v>1</v>
      </c>
      <c r="DK9" s="54">
        <v>1</v>
      </c>
      <c r="DL9" s="54">
        <v>5</v>
      </c>
      <c r="DM9" s="105">
        <v>5</v>
      </c>
      <c r="DN9" s="53">
        <v>27</v>
      </c>
      <c r="DO9" s="104">
        <v>0</v>
      </c>
      <c r="DP9" s="53"/>
      <c r="DQ9" s="54"/>
      <c r="DR9" s="54"/>
      <c r="DS9" s="54"/>
      <c r="DT9" s="54"/>
      <c r="DU9" s="54"/>
      <c r="DV9" s="55"/>
      <c r="DW9" s="56"/>
      <c r="DX9" s="57"/>
      <c r="DY9" s="58"/>
      <c r="DZ9" s="55"/>
      <c r="EA9" s="59">
        <f>DP9/DG9</f>
        <v>0</v>
      </c>
      <c r="EB9" s="60">
        <f t="shared" ref="EB9:EB14" si="19">DQ9/DH9</f>
        <v>0</v>
      </c>
      <c r="EC9" s="60">
        <f t="shared" ref="EC9:EC14" si="20">DR9/DI9</f>
        <v>0</v>
      </c>
      <c r="ED9" s="60">
        <f t="shared" ref="ED9:ED14" si="21">DS9/DJ9</f>
        <v>0</v>
      </c>
      <c r="EE9" s="60">
        <f t="shared" ref="EE9:EE14" si="22">DT9/DK9</f>
        <v>0</v>
      </c>
      <c r="EF9" s="60">
        <f t="shared" ref="EF9:EF14" si="23">DU9/DL9</f>
        <v>0</v>
      </c>
      <c r="EG9" s="61">
        <f t="shared" ref="EG9:EG14" si="24">DV9/DM9</f>
        <v>0</v>
      </c>
      <c r="EH9" s="27">
        <v>5</v>
      </c>
      <c r="EI9" s="28">
        <v>5</v>
      </c>
      <c r="EJ9" s="28">
        <v>1</v>
      </c>
      <c r="EK9" s="28">
        <v>1</v>
      </c>
      <c r="EL9" s="28">
        <v>1</v>
      </c>
      <c r="EM9" s="28">
        <v>5</v>
      </c>
      <c r="EN9" s="28">
        <v>5</v>
      </c>
      <c r="EO9" s="96">
        <v>35</v>
      </c>
      <c r="EP9" s="97">
        <v>2</v>
      </c>
      <c r="EQ9" s="27">
        <v>1</v>
      </c>
      <c r="ER9" s="28"/>
      <c r="ES9" s="28"/>
      <c r="ET9" s="28"/>
      <c r="EU9" s="28"/>
      <c r="EV9" s="28"/>
      <c r="EW9" s="29">
        <v>1</v>
      </c>
      <c r="EX9" s="30">
        <v>1</v>
      </c>
      <c r="EY9" s="31"/>
      <c r="EZ9" s="32">
        <v>1</v>
      </c>
      <c r="FA9" s="29"/>
      <c r="FB9" s="33">
        <f>EQ9/EH9</f>
        <v>0.2</v>
      </c>
      <c r="FC9" s="34">
        <f t="shared" ref="FC9:FC14" si="25">ER9/EI9</f>
        <v>0</v>
      </c>
      <c r="FD9" s="34">
        <f t="shared" ref="FD9:FD14" si="26">ES9/EJ9</f>
        <v>0</v>
      </c>
      <c r="FE9" s="34">
        <f t="shared" ref="FE9:FE14" si="27">ET9/EK9</f>
        <v>0</v>
      </c>
      <c r="FF9" s="34">
        <f t="shared" ref="FF9:FF14" si="28">EU9/EL9</f>
        <v>0</v>
      </c>
      <c r="FG9" s="34">
        <f t="shared" ref="FG9:FG14" si="29">EV9/EM9</f>
        <v>0</v>
      </c>
      <c r="FH9" s="91">
        <f t="shared" ref="FH9:FH14" si="30">EW9/EN9</f>
        <v>0.2</v>
      </c>
      <c r="FI9" s="53">
        <v>5</v>
      </c>
      <c r="FJ9" s="54">
        <v>5</v>
      </c>
      <c r="FK9" s="54">
        <v>1</v>
      </c>
      <c r="FL9" s="54">
        <v>1</v>
      </c>
      <c r="FM9" s="54">
        <v>1</v>
      </c>
      <c r="FN9" s="54">
        <v>5</v>
      </c>
      <c r="FO9" s="105">
        <v>5</v>
      </c>
      <c r="FP9" s="53">
        <v>27</v>
      </c>
      <c r="FQ9" s="104">
        <v>0</v>
      </c>
      <c r="FR9" s="53"/>
      <c r="FS9" s="54"/>
      <c r="FT9" s="54"/>
      <c r="FU9" s="54"/>
      <c r="FV9" s="54"/>
      <c r="FW9" s="54"/>
      <c r="FX9" s="55"/>
      <c r="FY9" s="56"/>
      <c r="FZ9" s="57"/>
      <c r="GA9" s="58"/>
      <c r="GB9" s="55"/>
      <c r="GC9" s="59">
        <f>FR9/FI9</f>
        <v>0</v>
      </c>
      <c r="GD9" s="60">
        <f t="shared" ref="GD9:GD14" si="31">FS9/FJ9</f>
        <v>0</v>
      </c>
      <c r="GE9" s="60">
        <f t="shared" ref="GE9:GE14" si="32">FT9/FK9</f>
        <v>0</v>
      </c>
      <c r="GF9" s="60">
        <f t="shared" ref="GF9:GF14" si="33">FU9/FL9</f>
        <v>0</v>
      </c>
      <c r="GG9" s="60">
        <f t="shared" ref="GG9:GG14" si="34">FV9/FM9</f>
        <v>0</v>
      </c>
      <c r="GH9" s="60">
        <f t="shared" ref="GH9:GH14" si="35">FW9/FN9</f>
        <v>0</v>
      </c>
      <c r="GI9" s="61">
        <f t="shared" ref="GI9:GI14" si="36">FX9/FO9</f>
        <v>0</v>
      </c>
      <c r="GJ9" s="82">
        <f>C9+AD9+BE9+CF9+DG9+EH9+FI9</f>
        <v>35</v>
      </c>
      <c r="GK9" s="83">
        <f t="shared" ref="GK9:HC9" si="37">D9+AE9+BF9+CG9+DH9+EI9+FJ9</f>
        <v>35</v>
      </c>
      <c r="GL9" s="83">
        <f t="shared" si="37"/>
        <v>7</v>
      </c>
      <c r="GM9" s="83">
        <f t="shared" si="37"/>
        <v>7</v>
      </c>
      <c r="GN9" s="84">
        <f t="shared" si="37"/>
        <v>7</v>
      </c>
      <c r="GO9" s="82">
        <f t="shared" si="37"/>
        <v>35</v>
      </c>
      <c r="GP9" s="84">
        <f t="shared" si="37"/>
        <v>35</v>
      </c>
      <c r="GQ9" s="82">
        <f t="shared" si="37"/>
        <v>237</v>
      </c>
      <c r="GR9" s="84">
        <f t="shared" si="37"/>
        <v>9</v>
      </c>
      <c r="GS9" s="82">
        <f t="shared" si="37"/>
        <v>5</v>
      </c>
      <c r="GT9" s="83">
        <f t="shared" si="37"/>
        <v>0</v>
      </c>
      <c r="GU9" s="83">
        <f t="shared" si="37"/>
        <v>0</v>
      </c>
      <c r="GV9" s="83">
        <f t="shared" si="37"/>
        <v>0</v>
      </c>
      <c r="GW9" s="84">
        <f t="shared" si="37"/>
        <v>0</v>
      </c>
      <c r="GX9" s="82">
        <f t="shared" si="37"/>
        <v>1</v>
      </c>
      <c r="GY9" s="84">
        <f t="shared" si="37"/>
        <v>3</v>
      </c>
      <c r="GZ9" s="82">
        <f t="shared" si="37"/>
        <v>6</v>
      </c>
      <c r="HA9" s="83">
        <f t="shared" si="37"/>
        <v>0</v>
      </c>
      <c r="HB9" s="83">
        <f t="shared" si="37"/>
        <v>3</v>
      </c>
      <c r="HC9" s="84">
        <f t="shared" si="37"/>
        <v>0</v>
      </c>
      <c r="HD9" s="79">
        <f>GS9/GJ9</f>
        <v>0.14285714285714285</v>
      </c>
      <c r="HE9" s="80">
        <f t="shared" ref="HE9:HE14" si="38">GT9/GK9</f>
        <v>0</v>
      </c>
      <c r="HF9" s="80">
        <f t="shared" ref="HF9:HF14" si="39">GU9/GL9</f>
        <v>0</v>
      </c>
      <c r="HG9" s="80">
        <f t="shared" ref="HG9:HG14" si="40">GV9/GM9</f>
        <v>0</v>
      </c>
      <c r="HH9" s="80">
        <f t="shared" ref="HH9:HH14" si="41">GW9/GN9</f>
        <v>0</v>
      </c>
      <c r="HI9" s="80">
        <f t="shared" ref="HI9:HI14" si="42">GX9/GO9</f>
        <v>2.8571428571428571E-2</v>
      </c>
      <c r="HJ9" s="81">
        <f t="shared" ref="HJ9:HJ14" si="43">GY9/GP9</f>
        <v>8.5714285714285715E-2</v>
      </c>
    </row>
    <row r="10" spans="1:218" s="7" customFormat="1" ht="40" customHeight="1" x14ac:dyDescent="0.35">
      <c r="A10" s="94" t="s">
        <v>22</v>
      </c>
      <c r="B10" s="19" t="s">
        <v>43</v>
      </c>
      <c r="C10" s="62">
        <v>5</v>
      </c>
      <c r="D10" s="63">
        <v>5</v>
      </c>
      <c r="E10" s="63">
        <v>1</v>
      </c>
      <c r="F10" s="63">
        <v>1</v>
      </c>
      <c r="G10" s="63">
        <v>1</v>
      </c>
      <c r="H10" s="63">
        <v>5</v>
      </c>
      <c r="I10" s="64">
        <v>5</v>
      </c>
      <c r="J10" s="62">
        <v>36</v>
      </c>
      <c r="K10" s="64">
        <v>1</v>
      </c>
      <c r="L10" s="62">
        <v>1</v>
      </c>
      <c r="M10" s="63"/>
      <c r="N10" s="63"/>
      <c r="O10" s="63"/>
      <c r="P10" s="63"/>
      <c r="Q10" s="63"/>
      <c r="R10" s="64"/>
      <c r="S10" s="62">
        <v>1</v>
      </c>
      <c r="T10" s="63"/>
      <c r="U10" s="65"/>
      <c r="V10" s="64">
        <v>0</v>
      </c>
      <c r="W10" s="66">
        <f t="shared" ref="W10:W13" si="44">L10/C10</f>
        <v>0.2</v>
      </c>
      <c r="X10" s="67">
        <f t="shared" ref="X10:X13" si="45">M10/D10</f>
        <v>0</v>
      </c>
      <c r="Y10" s="67">
        <f t="shared" ref="Y10:Y13" si="46">N10/E10</f>
        <v>0</v>
      </c>
      <c r="Z10" s="67">
        <f t="shared" ref="Z10:Z13" si="47">O10/F10</f>
        <v>0</v>
      </c>
      <c r="AA10" s="67">
        <f t="shared" ref="AA10:AA13" si="48">P10/G10</f>
        <v>0</v>
      </c>
      <c r="AB10" s="67">
        <f t="shared" ref="AB10:AB13" si="49">Q10/H10</f>
        <v>0</v>
      </c>
      <c r="AC10" s="68">
        <f t="shared" ref="AC10:AC13" si="50">R10/I10</f>
        <v>0</v>
      </c>
      <c r="AD10" s="35">
        <v>5</v>
      </c>
      <c r="AE10" s="36">
        <v>5</v>
      </c>
      <c r="AF10" s="36">
        <v>1</v>
      </c>
      <c r="AG10" s="36">
        <v>1</v>
      </c>
      <c r="AH10" s="36">
        <v>1</v>
      </c>
      <c r="AI10" s="36">
        <v>5</v>
      </c>
      <c r="AJ10" s="36">
        <v>5</v>
      </c>
      <c r="AK10" s="98">
        <v>45</v>
      </c>
      <c r="AL10" s="99">
        <v>0</v>
      </c>
      <c r="AM10" s="35"/>
      <c r="AN10" s="36"/>
      <c r="AO10" s="36"/>
      <c r="AP10" s="36"/>
      <c r="AQ10" s="36"/>
      <c r="AR10" s="36"/>
      <c r="AS10" s="37"/>
      <c r="AT10" s="35"/>
      <c r="AU10" s="36"/>
      <c r="AV10" s="38"/>
      <c r="AW10" s="37"/>
      <c r="AX10" s="39">
        <f t="shared" ref="AX10:AX14" si="51">AM10/AD10</f>
        <v>0</v>
      </c>
      <c r="AY10" s="40">
        <f t="shared" si="1"/>
        <v>0</v>
      </c>
      <c r="AZ10" s="40">
        <f t="shared" si="2"/>
        <v>0</v>
      </c>
      <c r="BA10" s="40">
        <f t="shared" si="3"/>
        <v>0</v>
      </c>
      <c r="BB10" s="40">
        <f t="shared" si="4"/>
        <v>0</v>
      </c>
      <c r="BC10" s="40">
        <f t="shared" si="5"/>
        <v>0</v>
      </c>
      <c r="BD10" s="41">
        <f t="shared" si="6"/>
        <v>0</v>
      </c>
      <c r="BE10" s="62">
        <v>5</v>
      </c>
      <c r="BF10" s="63">
        <v>5</v>
      </c>
      <c r="BG10" s="63">
        <v>1</v>
      </c>
      <c r="BH10" s="63">
        <v>1</v>
      </c>
      <c r="BI10" s="63">
        <v>1</v>
      </c>
      <c r="BJ10" s="63">
        <v>5</v>
      </c>
      <c r="BK10" s="65">
        <v>5</v>
      </c>
      <c r="BL10" s="62">
        <v>56</v>
      </c>
      <c r="BM10" s="64">
        <v>0</v>
      </c>
      <c r="BN10" s="62"/>
      <c r="BO10" s="63"/>
      <c r="BP10" s="63"/>
      <c r="BQ10" s="63"/>
      <c r="BR10" s="63"/>
      <c r="BS10" s="63"/>
      <c r="BT10" s="64"/>
      <c r="BU10" s="62"/>
      <c r="BV10" s="63"/>
      <c r="BW10" s="65"/>
      <c r="BX10" s="64"/>
      <c r="BY10" s="66">
        <f t="shared" ref="BY10:BY14" si="52">BN10/BE10</f>
        <v>0</v>
      </c>
      <c r="BZ10" s="67">
        <f t="shared" si="7"/>
        <v>0</v>
      </c>
      <c r="CA10" s="67">
        <f t="shared" si="8"/>
        <v>0</v>
      </c>
      <c r="CB10" s="67">
        <f t="shared" si="9"/>
        <v>0</v>
      </c>
      <c r="CC10" s="67">
        <f t="shared" si="10"/>
        <v>0</v>
      </c>
      <c r="CD10" s="67">
        <f t="shared" si="11"/>
        <v>0</v>
      </c>
      <c r="CE10" s="68">
        <f t="shared" si="12"/>
        <v>0</v>
      </c>
      <c r="CF10" s="131">
        <v>5</v>
      </c>
      <c r="CG10" s="132">
        <v>5</v>
      </c>
      <c r="CH10" s="132">
        <v>1</v>
      </c>
      <c r="CI10" s="132">
        <v>1</v>
      </c>
      <c r="CJ10" s="132">
        <v>1</v>
      </c>
      <c r="CK10" s="132">
        <v>5</v>
      </c>
      <c r="CL10" s="132">
        <v>5</v>
      </c>
      <c r="CM10" s="133">
        <v>12</v>
      </c>
      <c r="CN10" s="134"/>
      <c r="CO10" s="131"/>
      <c r="CP10" s="132"/>
      <c r="CQ10" s="132"/>
      <c r="CR10" s="132"/>
      <c r="CS10" s="132"/>
      <c r="CT10" s="132"/>
      <c r="CU10" s="135"/>
      <c r="CV10" s="131"/>
      <c r="CW10" s="132"/>
      <c r="CX10" s="136"/>
      <c r="CY10" s="135"/>
      <c r="CZ10" s="137">
        <f t="shared" ref="CZ10:CZ14" si="53">CO10/CF10</f>
        <v>0</v>
      </c>
      <c r="DA10" s="138">
        <f t="shared" si="13"/>
        <v>0</v>
      </c>
      <c r="DB10" s="138">
        <f t="shared" si="14"/>
        <v>0</v>
      </c>
      <c r="DC10" s="138">
        <f t="shared" si="15"/>
        <v>0</v>
      </c>
      <c r="DD10" s="138">
        <f t="shared" si="16"/>
        <v>0</v>
      </c>
      <c r="DE10" s="138">
        <f t="shared" si="17"/>
        <v>0</v>
      </c>
      <c r="DF10" s="139">
        <f t="shared" si="18"/>
        <v>0</v>
      </c>
      <c r="DG10" s="62">
        <v>5</v>
      </c>
      <c r="DH10" s="63">
        <v>5</v>
      </c>
      <c r="DI10" s="63">
        <v>1</v>
      </c>
      <c r="DJ10" s="63">
        <v>1</v>
      </c>
      <c r="DK10" s="63">
        <v>1</v>
      </c>
      <c r="DL10" s="63">
        <v>5</v>
      </c>
      <c r="DM10" s="65">
        <v>5</v>
      </c>
      <c r="DN10" s="62">
        <v>25</v>
      </c>
      <c r="DO10" s="64">
        <v>0</v>
      </c>
      <c r="DP10" s="62"/>
      <c r="DQ10" s="63"/>
      <c r="DR10" s="63"/>
      <c r="DS10" s="63"/>
      <c r="DT10" s="63"/>
      <c r="DU10" s="63"/>
      <c r="DV10" s="64"/>
      <c r="DW10" s="62"/>
      <c r="DX10" s="63"/>
      <c r="DY10" s="65"/>
      <c r="DZ10" s="64"/>
      <c r="EA10" s="66">
        <f t="shared" ref="EA10:EA14" si="54">DP10/DG10</f>
        <v>0</v>
      </c>
      <c r="EB10" s="67">
        <f t="shared" si="19"/>
        <v>0</v>
      </c>
      <c r="EC10" s="67">
        <f t="shared" si="20"/>
        <v>0</v>
      </c>
      <c r="ED10" s="67">
        <f t="shared" si="21"/>
        <v>0</v>
      </c>
      <c r="EE10" s="67">
        <f t="shared" si="22"/>
        <v>0</v>
      </c>
      <c r="EF10" s="67">
        <f t="shared" si="23"/>
        <v>0</v>
      </c>
      <c r="EG10" s="68">
        <f t="shared" si="24"/>
        <v>0</v>
      </c>
      <c r="EH10" s="35">
        <v>5</v>
      </c>
      <c r="EI10" s="36">
        <v>5</v>
      </c>
      <c r="EJ10" s="36">
        <v>1</v>
      </c>
      <c r="EK10" s="36">
        <v>1</v>
      </c>
      <c r="EL10" s="36">
        <v>1</v>
      </c>
      <c r="EM10" s="36">
        <v>5</v>
      </c>
      <c r="EN10" s="36">
        <v>5</v>
      </c>
      <c r="EO10" s="98">
        <v>36</v>
      </c>
      <c r="EP10" s="99">
        <v>0</v>
      </c>
      <c r="EQ10" s="35"/>
      <c r="ER10" s="36"/>
      <c r="ES10" s="36"/>
      <c r="ET10" s="36"/>
      <c r="EU10" s="36"/>
      <c r="EV10" s="36"/>
      <c r="EW10" s="37"/>
      <c r="EX10" s="35"/>
      <c r="EY10" s="36"/>
      <c r="EZ10" s="38"/>
      <c r="FA10" s="37"/>
      <c r="FB10" s="39">
        <f t="shared" ref="FB10:FB14" si="55">EQ10/EH10</f>
        <v>0</v>
      </c>
      <c r="FC10" s="40">
        <f t="shared" si="25"/>
        <v>0</v>
      </c>
      <c r="FD10" s="40">
        <f t="shared" si="26"/>
        <v>0</v>
      </c>
      <c r="FE10" s="40">
        <f t="shared" si="27"/>
        <v>0</v>
      </c>
      <c r="FF10" s="40">
        <f t="shared" si="28"/>
        <v>0</v>
      </c>
      <c r="FG10" s="40">
        <f t="shared" si="29"/>
        <v>0</v>
      </c>
      <c r="FH10" s="41">
        <f t="shared" si="30"/>
        <v>0</v>
      </c>
      <c r="FI10" s="62">
        <v>5</v>
      </c>
      <c r="FJ10" s="63">
        <v>5</v>
      </c>
      <c r="FK10" s="63">
        <v>1</v>
      </c>
      <c r="FL10" s="63">
        <v>1</v>
      </c>
      <c r="FM10" s="63">
        <v>1</v>
      </c>
      <c r="FN10" s="63">
        <v>5</v>
      </c>
      <c r="FO10" s="65">
        <v>5</v>
      </c>
      <c r="FP10" s="62">
        <v>40</v>
      </c>
      <c r="FQ10" s="64">
        <v>0</v>
      </c>
      <c r="FR10" s="62"/>
      <c r="FS10" s="63"/>
      <c r="FT10" s="63"/>
      <c r="FU10" s="63"/>
      <c r="FV10" s="63"/>
      <c r="FW10" s="63"/>
      <c r="FX10" s="64"/>
      <c r="FY10" s="62"/>
      <c r="FZ10" s="63"/>
      <c r="GA10" s="65"/>
      <c r="GB10" s="64"/>
      <c r="GC10" s="66">
        <f t="shared" ref="GC10:GC14" si="56">FR10/FI10</f>
        <v>0</v>
      </c>
      <c r="GD10" s="67">
        <f t="shared" si="31"/>
        <v>0</v>
      </c>
      <c r="GE10" s="67">
        <f t="shared" si="32"/>
        <v>0</v>
      </c>
      <c r="GF10" s="67">
        <f t="shared" si="33"/>
        <v>0</v>
      </c>
      <c r="GG10" s="67">
        <f t="shared" si="34"/>
        <v>0</v>
      </c>
      <c r="GH10" s="67">
        <f t="shared" si="35"/>
        <v>0</v>
      </c>
      <c r="GI10" s="68">
        <f t="shared" si="36"/>
        <v>0</v>
      </c>
      <c r="GJ10" s="82">
        <f t="shared" ref="GJ10:GJ13" si="57">C10+AD10+BE10+CF10+DG10+EH10+FI10</f>
        <v>35</v>
      </c>
      <c r="GK10" s="83">
        <f t="shared" ref="GK10:GK13" si="58">D10+AE10+BF10+CG10+DH10+EI10+FJ10</f>
        <v>35</v>
      </c>
      <c r="GL10" s="83">
        <f t="shared" ref="GL10:GL13" si="59">E10+AF10+BG10+CH10+DI10+EJ10+FK10</f>
        <v>7</v>
      </c>
      <c r="GM10" s="83">
        <f t="shared" ref="GM10:GM13" si="60">F10+AG10+BH10+CI10+DJ10+EK10+FL10</f>
        <v>7</v>
      </c>
      <c r="GN10" s="84">
        <f t="shared" ref="GN10:GN13" si="61">G10+AH10+BI10+CJ10+DK10+EL10+FM10</f>
        <v>7</v>
      </c>
      <c r="GO10" s="82">
        <f t="shared" ref="GO10:GO13" si="62">H10+AI10+BJ10+CK10+DL10+EM10+FN10</f>
        <v>35</v>
      </c>
      <c r="GP10" s="84">
        <f t="shared" ref="GP10:GP13" si="63">I10+AJ10+BK10+CL10+DM10+EN10+FO10</f>
        <v>35</v>
      </c>
      <c r="GQ10" s="82">
        <f t="shared" ref="GQ10:GQ13" si="64">J10+AK10+BL10+CM10+DN10+EO10+FP10</f>
        <v>250</v>
      </c>
      <c r="GR10" s="84">
        <f t="shared" ref="GR10:GR13" si="65">K10+AL10+BM10+CN10+DO10+EP10+FQ10</f>
        <v>1</v>
      </c>
      <c r="GS10" s="82">
        <f t="shared" ref="GS10:GS13" si="66">L10+AM10+BN10+CO10+DP10+EQ10+FR10</f>
        <v>1</v>
      </c>
      <c r="GT10" s="83">
        <f t="shared" ref="GT10:GT13" si="67">M10+AN10+BO10+CP10+DQ10+ER10+FS10</f>
        <v>0</v>
      </c>
      <c r="GU10" s="83">
        <f t="shared" ref="GU10:GU13" si="68">N10+AO10+BP10+CQ10+DR10+ES10+FT10</f>
        <v>0</v>
      </c>
      <c r="GV10" s="83">
        <f t="shared" ref="GV10:GV13" si="69">O10+AP10+BQ10+CR10+DS10+ET10+FU10</f>
        <v>0</v>
      </c>
      <c r="GW10" s="84">
        <f t="shared" ref="GW10:GW13" si="70">P10+AQ10+BR10+CS10+DT10+EU10+FV10</f>
        <v>0</v>
      </c>
      <c r="GX10" s="82">
        <f t="shared" ref="GX10:GX13" si="71">Q10+AR10+BS10+CT10+DU10+EV10+FW10</f>
        <v>0</v>
      </c>
      <c r="GY10" s="84">
        <f t="shared" ref="GY10:GY13" si="72">R10+AS10+BT10+CU10+DV10+EW10+FX10</f>
        <v>0</v>
      </c>
      <c r="GZ10" s="82">
        <f t="shared" ref="GZ10:GZ13" si="73">S10+AT10+BU10+CV10+DW10+EX10+FY10</f>
        <v>1</v>
      </c>
      <c r="HA10" s="83">
        <f t="shared" ref="HA10:HA13" si="74">T10+AU10+BV10+CW10+DX10+EY10+FZ10</f>
        <v>0</v>
      </c>
      <c r="HB10" s="83">
        <f t="shared" ref="HB10:HB13" si="75">U10+AV10+BW10+CX10+DY10+EZ10+GA10</f>
        <v>0</v>
      </c>
      <c r="HC10" s="84">
        <f t="shared" ref="HC10:HC13" si="76">V10+AW10+BX10+CY10+DZ10+FA10+GB10</f>
        <v>0</v>
      </c>
      <c r="HD10" s="85">
        <f t="shared" ref="HD10:HD14" si="77">GS10/GJ10</f>
        <v>2.8571428571428571E-2</v>
      </c>
      <c r="HE10" s="86">
        <f t="shared" si="38"/>
        <v>0</v>
      </c>
      <c r="HF10" s="86">
        <f t="shared" si="39"/>
        <v>0</v>
      </c>
      <c r="HG10" s="86">
        <f t="shared" si="40"/>
        <v>0</v>
      </c>
      <c r="HH10" s="86">
        <f t="shared" si="41"/>
        <v>0</v>
      </c>
      <c r="HI10" s="86">
        <f t="shared" si="42"/>
        <v>0</v>
      </c>
      <c r="HJ10" s="87">
        <f t="shared" si="43"/>
        <v>0</v>
      </c>
    </row>
    <row r="11" spans="1:218" s="7" customFormat="1" ht="40" customHeight="1" x14ac:dyDescent="0.35">
      <c r="A11" s="94" t="s">
        <v>23</v>
      </c>
      <c r="B11" s="14" t="s">
        <v>45</v>
      </c>
      <c r="C11" s="62">
        <v>5</v>
      </c>
      <c r="D11" s="63">
        <v>5</v>
      </c>
      <c r="E11" s="63">
        <v>1</v>
      </c>
      <c r="F11" s="63">
        <v>1</v>
      </c>
      <c r="G11" s="63">
        <v>1</v>
      </c>
      <c r="H11" s="63">
        <v>5</v>
      </c>
      <c r="I11" s="64">
        <v>5</v>
      </c>
      <c r="J11" s="62"/>
      <c r="K11" s="64"/>
      <c r="L11" s="62"/>
      <c r="M11" s="63"/>
      <c r="N11" s="63"/>
      <c r="O11" s="63"/>
      <c r="P11" s="63"/>
      <c r="Q11" s="63"/>
      <c r="R11" s="64"/>
      <c r="S11" s="62"/>
      <c r="T11" s="63"/>
      <c r="U11" s="65"/>
      <c r="V11" s="64"/>
      <c r="W11" s="66">
        <f t="shared" si="44"/>
        <v>0</v>
      </c>
      <c r="X11" s="67">
        <f t="shared" si="45"/>
        <v>0</v>
      </c>
      <c r="Y11" s="67">
        <f t="shared" si="46"/>
        <v>0</v>
      </c>
      <c r="Z11" s="67">
        <f t="shared" si="47"/>
        <v>0</v>
      </c>
      <c r="AA11" s="67">
        <f t="shared" si="48"/>
        <v>0</v>
      </c>
      <c r="AB11" s="67">
        <f t="shared" si="49"/>
        <v>0</v>
      </c>
      <c r="AC11" s="68">
        <f t="shared" si="50"/>
        <v>0</v>
      </c>
      <c r="AD11" s="35">
        <v>5</v>
      </c>
      <c r="AE11" s="36">
        <v>5</v>
      </c>
      <c r="AF11" s="36">
        <v>1</v>
      </c>
      <c r="AG11" s="36">
        <v>1</v>
      </c>
      <c r="AH11" s="36">
        <v>1</v>
      </c>
      <c r="AI11" s="36">
        <v>5</v>
      </c>
      <c r="AJ11" s="36">
        <v>5</v>
      </c>
      <c r="AK11" s="98"/>
      <c r="AL11" s="99"/>
      <c r="AM11" s="35"/>
      <c r="AN11" s="36"/>
      <c r="AO11" s="36"/>
      <c r="AP11" s="36"/>
      <c r="AQ11" s="36"/>
      <c r="AR11" s="36"/>
      <c r="AS11" s="37"/>
      <c r="AT11" s="35"/>
      <c r="AU11" s="36"/>
      <c r="AV11" s="38"/>
      <c r="AW11" s="37"/>
      <c r="AX11" s="39">
        <f t="shared" si="51"/>
        <v>0</v>
      </c>
      <c r="AY11" s="40">
        <f t="shared" si="1"/>
        <v>0</v>
      </c>
      <c r="AZ11" s="40">
        <f t="shared" si="2"/>
        <v>0</v>
      </c>
      <c r="BA11" s="40">
        <f t="shared" si="3"/>
        <v>0</v>
      </c>
      <c r="BB11" s="40">
        <f t="shared" si="4"/>
        <v>0</v>
      </c>
      <c r="BC11" s="40">
        <f t="shared" si="5"/>
        <v>0</v>
      </c>
      <c r="BD11" s="41">
        <f t="shared" si="6"/>
        <v>0</v>
      </c>
      <c r="BE11" s="62">
        <v>5</v>
      </c>
      <c r="BF11" s="63">
        <v>5</v>
      </c>
      <c r="BG11" s="63">
        <v>1</v>
      </c>
      <c r="BH11" s="63">
        <v>1</v>
      </c>
      <c r="BI11" s="63">
        <v>1</v>
      </c>
      <c r="BJ11" s="63">
        <v>5</v>
      </c>
      <c r="BK11" s="65">
        <v>5</v>
      </c>
      <c r="BL11" s="62"/>
      <c r="BM11" s="64"/>
      <c r="BN11" s="62"/>
      <c r="BO11" s="63"/>
      <c r="BP11" s="63"/>
      <c r="BQ11" s="63"/>
      <c r="BR11" s="63"/>
      <c r="BS11" s="63"/>
      <c r="BT11" s="64"/>
      <c r="BU11" s="62"/>
      <c r="BV11" s="63"/>
      <c r="BW11" s="65"/>
      <c r="BX11" s="64"/>
      <c r="BY11" s="66">
        <f t="shared" si="52"/>
        <v>0</v>
      </c>
      <c r="BZ11" s="67">
        <f t="shared" si="7"/>
        <v>0</v>
      </c>
      <c r="CA11" s="67">
        <f t="shared" si="8"/>
        <v>0</v>
      </c>
      <c r="CB11" s="67">
        <f t="shared" si="9"/>
        <v>0</v>
      </c>
      <c r="CC11" s="67">
        <f t="shared" si="10"/>
        <v>0</v>
      </c>
      <c r="CD11" s="67">
        <f t="shared" si="11"/>
        <v>0</v>
      </c>
      <c r="CE11" s="68">
        <f t="shared" si="12"/>
        <v>0</v>
      </c>
      <c r="CF11" s="131">
        <v>5</v>
      </c>
      <c r="CG11" s="132">
        <v>5</v>
      </c>
      <c r="CH11" s="132">
        <v>1</v>
      </c>
      <c r="CI11" s="132">
        <v>1</v>
      </c>
      <c r="CJ11" s="132">
        <v>1</v>
      </c>
      <c r="CK11" s="132">
        <v>5</v>
      </c>
      <c r="CL11" s="132">
        <v>5</v>
      </c>
      <c r="CM11" s="133"/>
      <c r="CN11" s="134"/>
      <c r="CO11" s="131"/>
      <c r="CP11" s="132"/>
      <c r="CQ11" s="132"/>
      <c r="CR11" s="132"/>
      <c r="CS11" s="132"/>
      <c r="CT11" s="132"/>
      <c r="CU11" s="135"/>
      <c r="CV11" s="131"/>
      <c r="CW11" s="132"/>
      <c r="CX11" s="136"/>
      <c r="CY11" s="135"/>
      <c r="CZ11" s="137">
        <f t="shared" si="53"/>
        <v>0</v>
      </c>
      <c r="DA11" s="138">
        <f t="shared" si="13"/>
        <v>0</v>
      </c>
      <c r="DB11" s="138">
        <f t="shared" si="14"/>
        <v>0</v>
      </c>
      <c r="DC11" s="138">
        <f t="shared" si="15"/>
        <v>0</v>
      </c>
      <c r="DD11" s="138">
        <f t="shared" si="16"/>
        <v>0</v>
      </c>
      <c r="DE11" s="138">
        <f t="shared" si="17"/>
        <v>0</v>
      </c>
      <c r="DF11" s="139">
        <f t="shared" si="18"/>
        <v>0</v>
      </c>
      <c r="DG11" s="62">
        <v>5</v>
      </c>
      <c r="DH11" s="63">
        <v>5</v>
      </c>
      <c r="DI11" s="63">
        <v>1</v>
      </c>
      <c r="DJ11" s="63">
        <v>1</v>
      </c>
      <c r="DK11" s="63">
        <v>1</v>
      </c>
      <c r="DL11" s="63">
        <v>5</v>
      </c>
      <c r="DM11" s="65">
        <v>5</v>
      </c>
      <c r="DN11" s="62"/>
      <c r="DO11" s="64"/>
      <c r="DP11" s="62"/>
      <c r="DQ11" s="63"/>
      <c r="DR11" s="63"/>
      <c r="DS11" s="63"/>
      <c r="DT11" s="63"/>
      <c r="DU11" s="63"/>
      <c r="DV11" s="64"/>
      <c r="DW11" s="62"/>
      <c r="DX11" s="63"/>
      <c r="DY11" s="65"/>
      <c r="DZ11" s="64"/>
      <c r="EA11" s="66">
        <f t="shared" si="54"/>
        <v>0</v>
      </c>
      <c r="EB11" s="67">
        <f t="shared" si="19"/>
        <v>0</v>
      </c>
      <c r="EC11" s="67">
        <f t="shared" si="20"/>
        <v>0</v>
      </c>
      <c r="ED11" s="67">
        <f t="shared" si="21"/>
        <v>0</v>
      </c>
      <c r="EE11" s="67">
        <f t="shared" si="22"/>
        <v>0</v>
      </c>
      <c r="EF11" s="67">
        <f t="shared" si="23"/>
        <v>0</v>
      </c>
      <c r="EG11" s="68">
        <f t="shared" si="24"/>
        <v>0</v>
      </c>
      <c r="EH11" s="35">
        <v>5</v>
      </c>
      <c r="EI11" s="36">
        <v>5</v>
      </c>
      <c r="EJ11" s="36">
        <v>1</v>
      </c>
      <c r="EK11" s="36">
        <v>1</v>
      </c>
      <c r="EL11" s="36">
        <v>1</v>
      </c>
      <c r="EM11" s="36">
        <v>5</v>
      </c>
      <c r="EN11" s="36">
        <v>5</v>
      </c>
      <c r="EO11" s="98"/>
      <c r="EP11" s="99"/>
      <c r="EQ11" s="35"/>
      <c r="ER11" s="36"/>
      <c r="ES11" s="36"/>
      <c r="ET11" s="36"/>
      <c r="EU11" s="36"/>
      <c r="EV11" s="36"/>
      <c r="EW11" s="37"/>
      <c r="EX11" s="35"/>
      <c r="EY11" s="36"/>
      <c r="EZ11" s="38"/>
      <c r="FA11" s="37"/>
      <c r="FB11" s="39">
        <f t="shared" si="55"/>
        <v>0</v>
      </c>
      <c r="FC11" s="40">
        <f t="shared" si="25"/>
        <v>0</v>
      </c>
      <c r="FD11" s="40">
        <f t="shared" si="26"/>
        <v>0</v>
      </c>
      <c r="FE11" s="40">
        <f t="shared" si="27"/>
        <v>0</v>
      </c>
      <c r="FF11" s="40">
        <f t="shared" si="28"/>
        <v>0</v>
      </c>
      <c r="FG11" s="40">
        <f t="shared" si="29"/>
        <v>0</v>
      </c>
      <c r="FH11" s="41">
        <f t="shared" si="30"/>
        <v>0</v>
      </c>
      <c r="FI11" s="62">
        <v>5</v>
      </c>
      <c r="FJ11" s="63">
        <v>5</v>
      </c>
      <c r="FK11" s="63">
        <v>1</v>
      </c>
      <c r="FL11" s="63">
        <v>1</v>
      </c>
      <c r="FM11" s="63">
        <v>1</v>
      </c>
      <c r="FN11" s="63">
        <v>5</v>
      </c>
      <c r="FO11" s="65">
        <v>5</v>
      </c>
      <c r="FP11" s="62"/>
      <c r="FQ11" s="64"/>
      <c r="FR11" s="62"/>
      <c r="FS11" s="63"/>
      <c r="FT11" s="63"/>
      <c r="FU11" s="63"/>
      <c r="FV11" s="63"/>
      <c r="FW11" s="63"/>
      <c r="FX11" s="64"/>
      <c r="FY11" s="62"/>
      <c r="FZ11" s="63"/>
      <c r="GA11" s="65"/>
      <c r="GB11" s="64"/>
      <c r="GC11" s="66">
        <f t="shared" si="56"/>
        <v>0</v>
      </c>
      <c r="GD11" s="67">
        <f t="shared" si="31"/>
        <v>0</v>
      </c>
      <c r="GE11" s="67">
        <f t="shared" si="32"/>
        <v>0</v>
      </c>
      <c r="GF11" s="67">
        <f t="shared" si="33"/>
        <v>0</v>
      </c>
      <c r="GG11" s="67">
        <f t="shared" si="34"/>
        <v>0</v>
      </c>
      <c r="GH11" s="67">
        <f t="shared" si="35"/>
        <v>0</v>
      </c>
      <c r="GI11" s="68">
        <f t="shared" si="36"/>
        <v>0</v>
      </c>
      <c r="GJ11" s="82">
        <f t="shared" si="57"/>
        <v>35</v>
      </c>
      <c r="GK11" s="83">
        <f t="shared" si="58"/>
        <v>35</v>
      </c>
      <c r="GL11" s="83">
        <f t="shared" si="59"/>
        <v>7</v>
      </c>
      <c r="GM11" s="83">
        <f t="shared" si="60"/>
        <v>7</v>
      </c>
      <c r="GN11" s="84">
        <f t="shared" si="61"/>
        <v>7</v>
      </c>
      <c r="GO11" s="82">
        <f t="shared" si="62"/>
        <v>35</v>
      </c>
      <c r="GP11" s="84">
        <f t="shared" si="63"/>
        <v>35</v>
      </c>
      <c r="GQ11" s="82">
        <f t="shared" si="64"/>
        <v>0</v>
      </c>
      <c r="GR11" s="84">
        <f t="shared" si="65"/>
        <v>0</v>
      </c>
      <c r="GS11" s="82">
        <f t="shared" si="66"/>
        <v>0</v>
      </c>
      <c r="GT11" s="83">
        <f t="shared" si="67"/>
        <v>0</v>
      </c>
      <c r="GU11" s="83">
        <f t="shared" si="68"/>
        <v>0</v>
      </c>
      <c r="GV11" s="83">
        <f t="shared" si="69"/>
        <v>0</v>
      </c>
      <c r="GW11" s="84">
        <f t="shared" si="70"/>
        <v>0</v>
      </c>
      <c r="GX11" s="82">
        <f t="shared" si="71"/>
        <v>0</v>
      </c>
      <c r="GY11" s="84">
        <f t="shared" si="72"/>
        <v>0</v>
      </c>
      <c r="GZ11" s="82">
        <f t="shared" si="73"/>
        <v>0</v>
      </c>
      <c r="HA11" s="83">
        <f t="shared" si="74"/>
        <v>0</v>
      </c>
      <c r="HB11" s="83">
        <f t="shared" si="75"/>
        <v>0</v>
      </c>
      <c r="HC11" s="84">
        <f t="shared" si="76"/>
        <v>0</v>
      </c>
      <c r="HD11" s="85">
        <f t="shared" si="77"/>
        <v>0</v>
      </c>
      <c r="HE11" s="86">
        <f t="shared" si="38"/>
        <v>0</v>
      </c>
      <c r="HF11" s="86">
        <f t="shared" si="39"/>
        <v>0</v>
      </c>
      <c r="HG11" s="86">
        <f t="shared" si="40"/>
        <v>0</v>
      </c>
      <c r="HH11" s="86">
        <f t="shared" si="41"/>
        <v>0</v>
      </c>
      <c r="HI11" s="86">
        <f t="shared" si="42"/>
        <v>0</v>
      </c>
      <c r="HJ11" s="87">
        <f t="shared" si="43"/>
        <v>0</v>
      </c>
    </row>
    <row r="12" spans="1:218" s="7" customFormat="1" ht="40" customHeight="1" x14ac:dyDescent="0.35">
      <c r="A12" s="94" t="s">
        <v>24</v>
      </c>
      <c r="B12" s="14" t="s">
        <v>46</v>
      </c>
      <c r="C12" s="62">
        <v>5</v>
      </c>
      <c r="D12" s="63">
        <v>5</v>
      </c>
      <c r="E12" s="63">
        <v>1</v>
      </c>
      <c r="F12" s="63">
        <v>1</v>
      </c>
      <c r="G12" s="63">
        <v>1</v>
      </c>
      <c r="H12" s="63">
        <v>5</v>
      </c>
      <c r="I12" s="64">
        <v>5</v>
      </c>
      <c r="J12" s="62">
        <v>62</v>
      </c>
      <c r="K12" s="64">
        <v>13</v>
      </c>
      <c r="L12" s="62">
        <v>2</v>
      </c>
      <c r="M12" s="63"/>
      <c r="N12" s="63"/>
      <c r="O12" s="63"/>
      <c r="P12" s="63">
        <v>19</v>
      </c>
      <c r="Q12" s="63">
        <v>4</v>
      </c>
      <c r="R12" s="64"/>
      <c r="S12" s="62">
        <v>2</v>
      </c>
      <c r="T12" s="63">
        <v>19</v>
      </c>
      <c r="U12" s="65">
        <v>4</v>
      </c>
      <c r="V12" s="64">
        <v>13</v>
      </c>
      <c r="W12" s="66">
        <f t="shared" si="44"/>
        <v>0.4</v>
      </c>
      <c r="X12" s="67">
        <f t="shared" si="45"/>
        <v>0</v>
      </c>
      <c r="Y12" s="67">
        <f t="shared" si="46"/>
        <v>0</v>
      </c>
      <c r="Z12" s="67">
        <f t="shared" si="47"/>
        <v>0</v>
      </c>
      <c r="AA12" s="67">
        <f t="shared" si="48"/>
        <v>19</v>
      </c>
      <c r="AB12" s="67">
        <f t="shared" si="49"/>
        <v>0.8</v>
      </c>
      <c r="AC12" s="68">
        <f t="shared" si="50"/>
        <v>0</v>
      </c>
      <c r="AD12" s="35">
        <v>5</v>
      </c>
      <c r="AE12" s="36">
        <v>5</v>
      </c>
      <c r="AF12" s="36">
        <v>1</v>
      </c>
      <c r="AG12" s="36">
        <v>1</v>
      </c>
      <c r="AH12" s="36">
        <v>1</v>
      </c>
      <c r="AI12" s="36">
        <v>5</v>
      </c>
      <c r="AJ12" s="36">
        <v>5</v>
      </c>
      <c r="AK12" s="98">
        <v>56</v>
      </c>
      <c r="AL12" s="99">
        <v>16</v>
      </c>
      <c r="AM12" s="35">
        <v>1</v>
      </c>
      <c r="AN12" s="36"/>
      <c r="AO12" s="36"/>
      <c r="AP12" s="36">
        <v>37</v>
      </c>
      <c r="AQ12" s="36"/>
      <c r="AR12" s="36">
        <v>2</v>
      </c>
      <c r="AS12" s="37">
        <v>1</v>
      </c>
      <c r="AT12" s="35">
        <v>1</v>
      </c>
      <c r="AU12" s="36">
        <v>37</v>
      </c>
      <c r="AV12" s="38">
        <v>3</v>
      </c>
      <c r="AW12" s="37">
        <v>16</v>
      </c>
      <c r="AX12" s="39">
        <f t="shared" si="51"/>
        <v>0.2</v>
      </c>
      <c r="AY12" s="40">
        <f t="shared" si="1"/>
        <v>0</v>
      </c>
      <c r="AZ12" s="40">
        <f t="shared" si="2"/>
        <v>0</v>
      </c>
      <c r="BA12" s="40">
        <f t="shared" si="3"/>
        <v>37</v>
      </c>
      <c r="BB12" s="40">
        <f t="shared" si="4"/>
        <v>0</v>
      </c>
      <c r="BC12" s="40">
        <f t="shared" si="5"/>
        <v>0.4</v>
      </c>
      <c r="BD12" s="41">
        <f t="shared" si="6"/>
        <v>0.2</v>
      </c>
      <c r="BE12" s="62">
        <v>5</v>
      </c>
      <c r="BF12" s="63">
        <v>5</v>
      </c>
      <c r="BG12" s="63">
        <v>1</v>
      </c>
      <c r="BH12" s="63">
        <v>1</v>
      </c>
      <c r="BI12" s="63">
        <v>1</v>
      </c>
      <c r="BJ12" s="63">
        <v>5</v>
      </c>
      <c r="BK12" s="65">
        <v>5</v>
      </c>
      <c r="BL12" s="62">
        <v>32</v>
      </c>
      <c r="BM12" s="64">
        <v>6</v>
      </c>
      <c r="BN12" s="62"/>
      <c r="BO12" s="63"/>
      <c r="BP12" s="63">
        <v>0.5</v>
      </c>
      <c r="BQ12" s="63">
        <v>14</v>
      </c>
      <c r="BR12" s="63"/>
      <c r="BS12" s="63">
        <v>1</v>
      </c>
      <c r="BT12" s="64"/>
      <c r="BU12" s="62"/>
      <c r="BV12" s="63">
        <v>14</v>
      </c>
      <c r="BW12" s="65">
        <v>1</v>
      </c>
      <c r="BX12" s="64">
        <v>6</v>
      </c>
      <c r="BY12" s="66">
        <f t="shared" si="52"/>
        <v>0</v>
      </c>
      <c r="BZ12" s="67">
        <f t="shared" si="7"/>
        <v>0</v>
      </c>
      <c r="CA12" s="67">
        <f t="shared" si="8"/>
        <v>0.5</v>
      </c>
      <c r="CB12" s="67">
        <f t="shared" si="9"/>
        <v>14</v>
      </c>
      <c r="CC12" s="67">
        <f t="shared" si="10"/>
        <v>0</v>
      </c>
      <c r="CD12" s="67">
        <f t="shared" si="11"/>
        <v>0.2</v>
      </c>
      <c r="CE12" s="68">
        <f t="shared" si="12"/>
        <v>0</v>
      </c>
      <c r="CF12" s="131">
        <v>5</v>
      </c>
      <c r="CG12" s="132">
        <v>5</v>
      </c>
      <c r="CH12" s="132">
        <v>1</v>
      </c>
      <c r="CI12" s="132">
        <v>1</v>
      </c>
      <c r="CJ12" s="132">
        <v>1</v>
      </c>
      <c r="CK12" s="132">
        <v>5</v>
      </c>
      <c r="CL12" s="132">
        <v>5</v>
      </c>
      <c r="CM12" s="133">
        <v>40</v>
      </c>
      <c r="CN12" s="134">
        <v>8</v>
      </c>
      <c r="CO12" s="131"/>
      <c r="CP12" s="132"/>
      <c r="CQ12" s="132"/>
      <c r="CR12" s="132">
        <v>15</v>
      </c>
      <c r="CS12" s="132"/>
      <c r="CT12" s="132">
        <v>1</v>
      </c>
      <c r="CU12" s="135"/>
      <c r="CV12" s="131"/>
      <c r="CW12" s="132">
        <v>15</v>
      </c>
      <c r="CX12" s="136">
        <v>1</v>
      </c>
      <c r="CY12" s="135"/>
      <c r="CZ12" s="137">
        <f t="shared" si="53"/>
        <v>0</v>
      </c>
      <c r="DA12" s="138">
        <f t="shared" si="13"/>
        <v>0</v>
      </c>
      <c r="DB12" s="138">
        <f t="shared" si="14"/>
        <v>0</v>
      </c>
      <c r="DC12" s="138">
        <f t="shared" si="15"/>
        <v>15</v>
      </c>
      <c r="DD12" s="138">
        <f t="shared" si="16"/>
        <v>0</v>
      </c>
      <c r="DE12" s="138">
        <f t="shared" si="17"/>
        <v>0.2</v>
      </c>
      <c r="DF12" s="139">
        <f t="shared" si="18"/>
        <v>0</v>
      </c>
      <c r="DG12" s="62">
        <v>5</v>
      </c>
      <c r="DH12" s="63">
        <v>5</v>
      </c>
      <c r="DI12" s="63">
        <v>1</v>
      </c>
      <c r="DJ12" s="63">
        <v>1</v>
      </c>
      <c r="DK12" s="63">
        <v>1</v>
      </c>
      <c r="DL12" s="63">
        <v>5</v>
      </c>
      <c r="DM12" s="65">
        <v>5</v>
      </c>
      <c r="DN12" s="62">
        <v>42</v>
      </c>
      <c r="DO12" s="64">
        <v>6</v>
      </c>
      <c r="DP12" s="62"/>
      <c r="DQ12" s="63"/>
      <c r="DR12" s="63">
        <v>1</v>
      </c>
      <c r="DS12" s="63">
        <v>78</v>
      </c>
      <c r="DT12" s="63"/>
      <c r="DU12" s="63"/>
      <c r="DV12" s="64"/>
      <c r="DW12" s="62"/>
      <c r="DX12" s="63">
        <v>79</v>
      </c>
      <c r="DY12" s="65"/>
      <c r="DZ12" s="64">
        <v>6</v>
      </c>
      <c r="EA12" s="66">
        <f t="shared" si="54"/>
        <v>0</v>
      </c>
      <c r="EB12" s="67">
        <f t="shared" si="19"/>
        <v>0</v>
      </c>
      <c r="EC12" s="67">
        <f t="shared" si="20"/>
        <v>1</v>
      </c>
      <c r="ED12" s="67">
        <f t="shared" si="21"/>
        <v>78</v>
      </c>
      <c r="EE12" s="67">
        <f t="shared" si="22"/>
        <v>0</v>
      </c>
      <c r="EF12" s="67">
        <f t="shared" si="23"/>
        <v>0</v>
      </c>
      <c r="EG12" s="68">
        <f t="shared" si="24"/>
        <v>0</v>
      </c>
      <c r="EH12" s="35">
        <v>5</v>
      </c>
      <c r="EI12" s="36">
        <v>5</v>
      </c>
      <c r="EJ12" s="36">
        <v>1</v>
      </c>
      <c r="EK12" s="36">
        <v>1</v>
      </c>
      <c r="EL12" s="36">
        <v>1</v>
      </c>
      <c r="EM12" s="36">
        <v>5</v>
      </c>
      <c r="EN12" s="36">
        <v>5</v>
      </c>
      <c r="EO12" s="98">
        <v>30</v>
      </c>
      <c r="EP12" s="99">
        <v>3</v>
      </c>
      <c r="EQ12" s="35"/>
      <c r="ER12" s="36"/>
      <c r="ES12" s="36"/>
      <c r="ET12" s="36"/>
      <c r="EU12" s="36">
        <v>3</v>
      </c>
      <c r="EV12" s="36">
        <v>1</v>
      </c>
      <c r="EW12" s="37"/>
      <c r="EX12" s="35"/>
      <c r="EY12" s="36">
        <v>3</v>
      </c>
      <c r="EZ12" s="38">
        <v>1</v>
      </c>
      <c r="FA12" s="37"/>
      <c r="FB12" s="39">
        <f t="shared" si="55"/>
        <v>0</v>
      </c>
      <c r="FC12" s="40">
        <f t="shared" si="25"/>
        <v>0</v>
      </c>
      <c r="FD12" s="40">
        <f t="shared" si="26"/>
        <v>0</v>
      </c>
      <c r="FE12" s="40">
        <f t="shared" si="27"/>
        <v>0</v>
      </c>
      <c r="FF12" s="40">
        <f t="shared" si="28"/>
        <v>3</v>
      </c>
      <c r="FG12" s="40">
        <f t="shared" si="29"/>
        <v>0.2</v>
      </c>
      <c r="FH12" s="41">
        <f t="shared" si="30"/>
        <v>0</v>
      </c>
      <c r="FI12" s="62">
        <v>5</v>
      </c>
      <c r="FJ12" s="63">
        <v>5</v>
      </c>
      <c r="FK12" s="63">
        <v>1</v>
      </c>
      <c r="FL12" s="63">
        <v>1</v>
      </c>
      <c r="FM12" s="63">
        <v>1</v>
      </c>
      <c r="FN12" s="63">
        <v>5</v>
      </c>
      <c r="FO12" s="65">
        <v>5</v>
      </c>
      <c r="FP12" s="62">
        <v>32</v>
      </c>
      <c r="FQ12" s="64">
        <v>2</v>
      </c>
      <c r="FR12" s="62"/>
      <c r="FS12" s="63"/>
      <c r="FT12" s="63"/>
      <c r="FU12" s="63">
        <v>2</v>
      </c>
      <c r="FV12" s="63"/>
      <c r="FW12" s="63"/>
      <c r="FX12" s="64"/>
      <c r="FY12" s="62"/>
      <c r="FZ12" s="63">
        <v>2</v>
      </c>
      <c r="GA12" s="65"/>
      <c r="GB12" s="64"/>
      <c r="GC12" s="66">
        <f t="shared" si="56"/>
        <v>0</v>
      </c>
      <c r="GD12" s="67">
        <f t="shared" si="31"/>
        <v>0</v>
      </c>
      <c r="GE12" s="67">
        <f t="shared" si="32"/>
        <v>0</v>
      </c>
      <c r="GF12" s="67">
        <f t="shared" si="33"/>
        <v>2</v>
      </c>
      <c r="GG12" s="67">
        <f t="shared" si="34"/>
        <v>0</v>
      </c>
      <c r="GH12" s="67">
        <f t="shared" si="35"/>
        <v>0</v>
      </c>
      <c r="GI12" s="68">
        <f t="shared" si="36"/>
        <v>0</v>
      </c>
      <c r="GJ12" s="82">
        <f t="shared" si="57"/>
        <v>35</v>
      </c>
      <c r="GK12" s="83">
        <f t="shared" si="58"/>
        <v>35</v>
      </c>
      <c r="GL12" s="83">
        <f t="shared" si="59"/>
        <v>7</v>
      </c>
      <c r="GM12" s="83">
        <f t="shared" si="60"/>
        <v>7</v>
      </c>
      <c r="GN12" s="84">
        <f t="shared" si="61"/>
        <v>7</v>
      </c>
      <c r="GO12" s="82">
        <f t="shared" si="62"/>
        <v>35</v>
      </c>
      <c r="GP12" s="84">
        <f t="shared" si="63"/>
        <v>35</v>
      </c>
      <c r="GQ12" s="82">
        <f t="shared" si="64"/>
        <v>294</v>
      </c>
      <c r="GR12" s="84">
        <f t="shared" si="65"/>
        <v>54</v>
      </c>
      <c r="GS12" s="82">
        <f t="shared" si="66"/>
        <v>3</v>
      </c>
      <c r="GT12" s="83">
        <f t="shared" si="67"/>
        <v>0</v>
      </c>
      <c r="GU12" s="83">
        <f t="shared" si="68"/>
        <v>1.5</v>
      </c>
      <c r="GV12" s="83">
        <f t="shared" si="69"/>
        <v>146</v>
      </c>
      <c r="GW12" s="84">
        <f t="shared" si="70"/>
        <v>22</v>
      </c>
      <c r="GX12" s="82">
        <f t="shared" si="71"/>
        <v>9</v>
      </c>
      <c r="GY12" s="84">
        <f t="shared" si="72"/>
        <v>1</v>
      </c>
      <c r="GZ12" s="82">
        <f t="shared" si="73"/>
        <v>3</v>
      </c>
      <c r="HA12" s="83">
        <f t="shared" si="74"/>
        <v>169</v>
      </c>
      <c r="HB12" s="83">
        <f t="shared" si="75"/>
        <v>10</v>
      </c>
      <c r="HC12" s="84">
        <f t="shared" si="76"/>
        <v>41</v>
      </c>
      <c r="HD12" s="85">
        <f t="shared" si="77"/>
        <v>8.5714285714285715E-2</v>
      </c>
      <c r="HE12" s="86">
        <f t="shared" si="38"/>
        <v>0</v>
      </c>
      <c r="HF12" s="86">
        <f t="shared" si="39"/>
        <v>0.21428571428571427</v>
      </c>
      <c r="HG12" s="86">
        <f t="shared" si="40"/>
        <v>20.857142857142858</v>
      </c>
      <c r="HH12" s="86">
        <f t="shared" si="41"/>
        <v>3.1428571428571428</v>
      </c>
      <c r="HI12" s="86">
        <f t="shared" si="42"/>
        <v>0.25714285714285712</v>
      </c>
      <c r="HJ12" s="87">
        <f t="shared" si="43"/>
        <v>2.8571428571428571E-2</v>
      </c>
    </row>
    <row r="13" spans="1:218" s="6" customFormat="1" ht="40" customHeight="1" thickBot="1" x14ac:dyDescent="0.4">
      <c r="A13" s="95" t="s">
        <v>25</v>
      </c>
      <c r="B13" s="14" t="s">
        <v>44</v>
      </c>
      <c r="C13" s="62">
        <v>5</v>
      </c>
      <c r="D13" s="63">
        <v>5</v>
      </c>
      <c r="E13" s="63">
        <v>1</v>
      </c>
      <c r="F13" s="63">
        <v>1</v>
      </c>
      <c r="G13" s="63">
        <v>1</v>
      </c>
      <c r="H13" s="63">
        <v>5</v>
      </c>
      <c r="I13" s="64">
        <v>5</v>
      </c>
      <c r="J13" s="62">
        <v>38</v>
      </c>
      <c r="K13" s="64">
        <v>1</v>
      </c>
      <c r="L13" s="62"/>
      <c r="M13" s="63"/>
      <c r="N13" s="63"/>
      <c r="O13" s="63"/>
      <c r="P13" s="63"/>
      <c r="Q13" s="63">
        <v>1</v>
      </c>
      <c r="R13" s="64"/>
      <c r="S13" s="69"/>
      <c r="T13" s="70"/>
      <c r="U13" s="71">
        <v>1</v>
      </c>
      <c r="V13" s="72">
        <v>0</v>
      </c>
      <c r="W13" s="73">
        <f t="shared" si="44"/>
        <v>0</v>
      </c>
      <c r="X13" s="74">
        <f t="shared" si="45"/>
        <v>0</v>
      </c>
      <c r="Y13" s="74">
        <f t="shared" si="46"/>
        <v>0</v>
      </c>
      <c r="Z13" s="74">
        <f t="shared" si="47"/>
        <v>0</v>
      </c>
      <c r="AA13" s="74">
        <f t="shared" si="48"/>
        <v>0</v>
      </c>
      <c r="AB13" s="74">
        <f t="shared" si="49"/>
        <v>0.2</v>
      </c>
      <c r="AC13" s="75">
        <f t="shared" si="50"/>
        <v>0</v>
      </c>
      <c r="AD13" s="35">
        <v>5</v>
      </c>
      <c r="AE13" s="36">
        <v>5</v>
      </c>
      <c r="AF13" s="36">
        <v>1</v>
      </c>
      <c r="AG13" s="36">
        <v>1</v>
      </c>
      <c r="AH13" s="36">
        <v>1</v>
      </c>
      <c r="AI13" s="36">
        <v>5</v>
      </c>
      <c r="AJ13" s="36">
        <v>5</v>
      </c>
      <c r="AK13" s="100">
        <v>61</v>
      </c>
      <c r="AL13" s="101">
        <v>1</v>
      </c>
      <c r="AM13" s="35">
        <v>3</v>
      </c>
      <c r="AN13" s="36"/>
      <c r="AO13" s="36"/>
      <c r="AP13" s="36"/>
      <c r="AQ13" s="36"/>
      <c r="AR13" s="36">
        <v>3</v>
      </c>
      <c r="AS13" s="37"/>
      <c r="AT13" s="42">
        <v>3</v>
      </c>
      <c r="AU13" s="43"/>
      <c r="AV13" s="44">
        <v>3</v>
      </c>
      <c r="AW13" s="45">
        <v>0</v>
      </c>
      <c r="AX13" s="46">
        <f t="shared" si="51"/>
        <v>0.6</v>
      </c>
      <c r="AY13" s="47">
        <f t="shared" si="1"/>
        <v>0</v>
      </c>
      <c r="AZ13" s="47">
        <f t="shared" si="2"/>
        <v>0</v>
      </c>
      <c r="BA13" s="47">
        <f t="shared" si="3"/>
        <v>0</v>
      </c>
      <c r="BB13" s="47">
        <f t="shared" si="4"/>
        <v>0</v>
      </c>
      <c r="BC13" s="47">
        <f t="shared" si="5"/>
        <v>0.6</v>
      </c>
      <c r="BD13" s="48">
        <f t="shared" si="6"/>
        <v>0</v>
      </c>
      <c r="BE13" s="62">
        <v>5</v>
      </c>
      <c r="BF13" s="63">
        <v>5</v>
      </c>
      <c r="BG13" s="63">
        <v>1</v>
      </c>
      <c r="BH13" s="63">
        <v>1</v>
      </c>
      <c r="BI13" s="63">
        <v>1</v>
      </c>
      <c r="BJ13" s="63">
        <v>5</v>
      </c>
      <c r="BK13" s="65">
        <v>5</v>
      </c>
      <c r="BL13" s="62">
        <v>69</v>
      </c>
      <c r="BM13" s="64">
        <v>3</v>
      </c>
      <c r="BN13" s="62"/>
      <c r="BO13" s="63"/>
      <c r="BP13" s="63"/>
      <c r="BQ13" s="63">
        <v>6</v>
      </c>
      <c r="BR13" s="63"/>
      <c r="BS13" s="63"/>
      <c r="BT13" s="64">
        <v>1</v>
      </c>
      <c r="BU13" s="69"/>
      <c r="BV13" s="70">
        <v>6</v>
      </c>
      <c r="BW13" s="71">
        <v>1</v>
      </c>
      <c r="BX13" s="72"/>
      <c r="BY13" s="73">
        <f t="shared" si="52"/>
        <v>0</v>
      </c>
      <c r="BZ13" s="74">
        <f t="shared" si="7"/>
        <v>0</v>
      </c>
      <c r="CA13" s="74">
        <f t="shared" si="8"/>
        <v>0</v>
      </c>
      <c r="CB13" s="74">
        <f t="shared" si="9"/>
        <v>6</v>
      </c>
      <c r="CC13" s="74">
        <f t="shared" si="10"/>
        <v>0</v>
      </c>
      <c r="CD13" s="74">
        <f t="shared" si="11"/>
        <v>0</v>
      </c>
      <c r="CE13" s="75">
        <f t="shared" si="12"/>
        <v>0.2</v>
      </c>
      <c r="CF13" s="131">
        <v>5</v>
      </c>
      <c r="CG13" s="132">
        <v>5</v>
      </c>
      <c r="CH13" s="132">
        <v>1</v>
      </c>
      <c r="CI13" s="132">
        <v>1</v>
      </c>
      <c r="CJ13" s="132">
        <v>1</v>
      </c>
      <c r="CK13" s="132">
        <v>5</v>
      </c>
      <c r="CL13" s="132">
        <v>5</v>
      </c>
      <c r="CM13" s="140">
        <v>72</v>
      </c>
      <c r="CN13" s="141">
        <v>1</v>
      </c>
      <c r="CO13" s="131"/>
      <c r="CP13" s="132"/>
      <c r="CQ13" s="132"/>
      <c r="CR13" s="132"/>
      <c r="CS13" s="132"/>
      <c r="CT13" s="132">
        <v>1</v>
      </c>
      <c r="CU13" s="135"/>
      <c r="CV13" s="142"/>
      <c r="CW13" s="143"/>
      <c r="CX13" s="144">
        <v>1</v>
      </c>
      <c r="CY13" s="145"/>
      <c r="CZ13" s="146">
        <f t="shared" si="53"/>
        <v>0</v>
      </c>
      <c r="DA13" s="147">
        <f t="shared" si="13"/>
        <v>0</v>
      </c>
      <c r="DB13" s="147">
        <f t="shared" si="14"/>
        <v>0</v>
      </c>
      <c r="DC13" s="147">
        <f t="shared" si="15"/>
        <v>0</v>
      </c>
      <c r="DD13" s="147">
        <f t="shared" si="16"/>
        <v>0</v>
      </c>
      <c r="DE13" s="147">
        <f t="shared" si="17"/>
        <v>0.2</v>
      </c>
      <c r="DF13" s="148">
        <f t="shared" si="18"/>
        <v>0</v>
      </c>
      <c r="DG13" s="62">
        <v>5</v>
      </c>
      <c r="DH13" s="63">
        <v>5</v>
      </c>
      <c r="DI13" s="63">
        <v>1</v>
      </c>
      <c r="DJ13" s="63">
        <v>1</v>
      </c>
      <c r="DK13" s="63">
        <v>1</v>
      </c>
      <c r="DL13" s="63">
        <v>5</v>
      </c>
      <c r="DM13" s="65">
        <v>5</v>
      </c>
      <c r="DN13" s="62">
        <v>52</v>
      </c>
      <c r="DO13" s="64">
        <v>1</v>
      </c>
      <c r="DP13" s="62"/>
      <c r="DQ13" s="63"/>
      <c r="DR13" s="63"/>
      <c r="DS13" s="63"/>
      <c r="DT13" s="63"/>
      <c r="DU13" s="63">
        <v>1</v>
      </c>
      <c r="DV13" s="64"/>
      <c r="DW13" s="69"/>
      <c r="DX13" s="70"/>
      <c r="DY13" s="71">
        <v>1</v>
      </c>
      <c r="DZ13" s="72"/>
      <c r="EA13" s="73">
        <f t="shared" si="54"/>
        <v>0</v>
      </c>
      <c r="EB13" s="74">
        <f t="shared" si="19"/>
        <v>0</v>
      </c>
      <c r="EC13" s="74">
        <f t="shared" si="20"/>
        <v>0</v>
      </c>
      <c r="ED13" s="74">
        <f t="shared" si="21"/>
        <v>0</v>
      </c>
      <c r="EE13" s="74">
        <f t="shared" si="22"/>
        <v>0</v>
      </c>
      <c r="EF13" s="74">
        <f t="shared" si="23"/>
        <v>0.2</v>
      </c>
      <c r="EG13" s="75">
        <f t="shared" si="24"/>
        <v>0</v>
      </c>
      <c r="EH13" s="35">
        <v>5</v>
      </c>
      <c r="EI13" s="36">
        <v>5</v>
      </c>
      <c r="EJ13" s="36">
        <v>1</v>
      </c>
      <c r="EK13" s="36">
        <v>1</v>
      </c>
      <c r="EL13" s="36">
        <v>1</v>
      </c>
      <c r="EM13" s="36">
        <v>5</v>
      </c>
      <c r="EN13" s="36">
        <v>5</v>
      </c>
      <c r="EO13" s="100">
        <v>72</v>
      </c>
      <c r="EP13" s="101">
        <v>2</v>
      </c>
      <c r="EQ13" s="35"/>
      <c r="ER13" s="36"/>
      <c r="ES13" s="36"/>
      <c r="ET13" s="36"/>
      <c r="EU13" s="36"/>
      <c r="EV13" s="36">
        <v>2</v>
      </c>
      <c r="EW13" s="37"/>
      <c r="EX13" s="42"/>
      <c r="EY13" s="43"/>
      <c r="EZ13" s="44">
        <v>2</v>
      </c>
      <c r="FA13" s="45"/>
      <c r="FB13" s="46">
        <f t="shared" si="55"/>
        <v>0</v>
      </c>
      <c r="FC13" s="47">
        <f t="shared" si="25"/>
        <v>0</v>
      </c>
      <c r="FD13" s="47">
        <f t="shared" si="26"/>
        <v>0</v>
      </c>
      <c r="FE13" s="47">
        <f t="shared" si="27"/>
        <v>0</v>
      </c>
      <c r="FF13" s="47">
        <f t="shared" si="28"/>
        <v>0</v>
      </c>
      <c r="FG13" s="47">
        <f t="shared" si="29"/>
        <v>0.4</v>
      </c>
      <c r="FH13" s="48">
        <f t="shared" si="30"/>
        <v>0</v>
      </c>
      <c r="FI13" s="62">
        <v>5</v>
      </c>
      <c r="FJ13" s="63">
        <v>5</v>
      </c>
      <c r="FK13" s="63">
        <v>1</v>
      </c>
      <c r="FL13" s="63">
        <v>1</v>
      </c>
      <c r="FM13" s="63">
        <v>1</v>
      </c>
      <c r="FN13" s="63">
        <v>5</v>
      </c>
      <c r="FO13" s="65">
        <v>5</v>
      </c>
      <c r="FP13" s="62">
        <v>59</v>
      </c>
      <c r="FQ13" s="64">
        <v>1</v>
      </c>
      <c r="FR13" s="62"/>
      <c r="FS13" s="63"/>
      <c r="FT13" s="63"/>
      <c r="FU13" s="63">
        <v>1</v>
      </c>
      <c r="FV13" s="63"/>
      <c r="FW13" s="63"/>
      <c r="FX13" s="64"/>
      <c r="FY13" s="69"/>
      <c r="FZ13" s="70">
        <v>1</v>
      </c>
      <c r="GA13" s="71"/>
      <c r="GB13" s="72"/>
      <c r="GC13" s="73">
        <f t="shared" si="56"/>
        <v>0</v>
      </c>
      <c r="GD13" s="74">
        <f t="shared" si="31"/>
        <v>0</v>
      </c>
      <c r="GE13" s="74">
        <f t="shared" si="32"/>
        <v>0</v>
      </c>
      <c r="GF13" s="74">
        <f t="shared" si="33"/>
        <v>1</v>
      </c>
      <c r="GG13" s="74">
        <f t="shared" si="34"/>
        <v>0</v>
      </c>
      <c r="GH13" s="74">
        <f t="shared" si="35"/>
        <v>0</v>
      </c>
      <c r="GI13" s="75">
        <f t="shared" si="36"/>
        <v>0</v>
      </c>
      <c r="GJ13" s="82">
        <f t="shared" si="57"/>
        <v>35</v>
      </c>
      <c r="GK13" s="83">
        <f t="shared" si="58"/>
        <v>35</v>
      </c>
      <c r="GL13" s="83">
        <f t="shared" si="59"/>
        <v>7</v>
      </c>
      <c r="GM13" s="83">
        <f t="shared" si="60"/>
        <v>7</v>
      </c>
      <c r="GN13" s="84">
        <f t="shared" si="61"/>
        <v>7</v>
      </c>
      <c r="GO13" s="82">
        <f t="shared" si="62"/>
        <v>35</v>
      </c>
      <c r="GP13" s="84">
        <f t="shared" si="63"/>
        <v>35</v>
      </c>
      <c r="GQ13" s="82">
        <f t="shared" si="64"/>
        <v>423</v>
      </c>
      <c r="GR13" s="84">
        <f t="shared" si="65"/>
        <v>10</v>
      </c>
      <c r="GS13" s="82">
        <f t="shared" si="66"/>
        <v>3</v>
      </c>
      <c r="GT13" s="83">
        <f t="shared" si="67"/>
        <v>0</v>
      </c>
      <c r="GU13" s="83">
        <f t="shared" si="68"/>
        <v>0</v>
      </c>
      <c r="GV13" s="83">
        <f t="shared" si="69"/>
        <v>7</v>
      </c>
      <c r="GW13" s="84">
        <f t="shared" si="70"/>
        <v>0</v>
      </c>
      <c r="GX13" s="82">
        <f t="shared" si="71"/>
        <v>8</v>
      </c>
      <c r="GY13" s="84">
        <f t="shared" si="72"/>
        <v>1</v>
      </c>
      <c r="GZ13" s="82">
        <f t="shared" si="73"/>
        <v>3</v>
      </c>
      <c r="HA13" s="83">
        <f t="shared" si="74"/>
        <v>7</v>
      </c>
      <c r="HB13" s="83">
        <f t="shared" si="75"/>
        <v>9</v>
      </c>
      <c r="HC13" s="84">
        <f t="shared" si="76"/>
        <v>0</v>
      </c>
      <c r="HD13" s="88">
        <f t="shared" si="77"/>
        <v>8.5714285714285715E-2</v>
      </c>
      <c r="HE13" s="89">
        <f t="shared" si="38"/>
        <v>0</v>
      </c>
      <c r="HF13" s="89">
        <f t="shared" si="39"/>
        <v>0</v>
      </c>
      <c r="HG13" s="89">
        <f t="shared" si="40"/>
        <v>1</v>
      </c>
      <c r="HH13" s="89">
        <f t="shared" si="41"/>
        <v>0</v>
      </c>
      <c r="HI13" s="89">
        <f t="shared" si="42"/>
        <v>0.22857142857142856</v>
      </c>
      <c r="HJ13" s="90">
        <f t="shared" si="43"/>
        <v>2.8571428571428571E-2</v>
      </c>
    </row>
    <row r="14" spans="1:218" s="92" customFormat="1" ht="40" customHeight="1" thickBot="1" x14ac:dyDescent="0.4">
      <c r="A14" s="106" t="s">
        <v>0</v>
      </c>
      <c r="B14" s="106"/>
      <c r="C14" s="15">
        <f t="shared" ref="C14:I14" si="78">SUM(C9:C13)</f>
        <v>25</v>
      </c>
      <c r="D14" s="16">
        <f t="shared" si="78"/>
        <v>25</v>
      </c>
      <c r="E14" s="16">
        <f t="shared" si="78"/>
        <v>5</v>
      </c>
      <c r="F14" s="16">
        <f t="shared" si="78"/>
        <v>5</v>
      </c>
      <c r="G14" s="16">
        <f t="shared" si="78"/>
        <v>5</v>
      </c>
      <c r="H14" s="16">
        <f t="shared" si="78"/>
        <v>25</v>
      </c>
      <c r="I14" s="17">
        <f t="shared" si="78"/>
        <v>25</v>
      </c>
      <c r="J14" s="15">
        <f>SUM(J9:J13)</f>
        <v>164</v>
      </c>
      <c r="K14" s="17">
        <f>SUM(K9:K13)</f>
        <v>15</v>
      </c>
      <c r="L14" s="15">
        <f t="shared" ref="L14:R14" si="79">SUM(L9:L13)</f>
        <v>3</v>
      </c>
      <c r="M14" s="16">
        <f t="shared" si="79"/>
        <v>0</v>
      </c>
      <c r="N14" s="16">
        <f t="shared" si="79"/>
        <v>0</v>
      </c>
      <c r="O14" s="16">
        <f t="shared" si="79"/>
        <v>0</v>
      </c>
      <c r="P14" s="16">
        <f t="shared" si="79"/>
        <v>19</v>
      </c>
      <c r="Q14" s="16">
        <f t="shared" si="79"/>
        <v>5</v>
      </c>
      <c r="R14" s="17">
        <f t="shared" si="79"/>
        <v>0</v>
      </c>
      <c r="S14" s="15">
        <f>SUM(S9:S13)</f>
        <v>3</v>
      </c>
      <c r="T14" s="16">
        <f>SUM(T9:T13)</f>
        <v>19</v>
      </c>
      <c r="U14" s="18">
        <f>SUM(U9:U13)</f>
        <v>5</v>
      </c>
      <c r="V14" s="17">
        <f>SUM(V9:V13)</f>
        <v>13</v>
      </c>
      <c r="W14" s="20">
        <f t="shared" ref="W14" si="80">L14/C14</f>
        <v>0.12</v>
      </c>
      <c r="X14" s="21">
        <f t="shared" ref="X14" si="81">M14/D14</f>
        <v>0</v>
      </c>
      <c r="Y14" s="21">
        <f t="shared" ref="Y14" si="82">N14/E14</f>
        <v>0</v>
      </c>
      <c r="Z14" s="21">
        <f t="shared" ref="Z14" si="83">O14/F14</f>
        <v>0</v>
      </c>
      <c r="AA14" s="21">
        <f t="shared" ref="AA14" si="84">P14/G14</f>
        <v>3.8</v>
      </c>
      <c r="AB14" s="21">
        <f t="shared" ref="AB14" si="85">Q14/H14</f>
        <v>0.2</v>
      </c>
      <c r="AC14" s="22">
        <f t="shared" ref="AC14" si="86">R14/I14</f>
        <v>0</v>
      </c>
      <c r="AD14" s="15">
        <f t="shared" ref="AD14:AS14" si="87">SUM(AD9:AD13)</f>
        <v>25</v>
      </c>
      <c r="AE14" s="16">
        <f t="shared" si="87"/>
        <v>25</v>
      </c>
      <c r="AF14" s="16">
        <f t="shared" si="87"/>
        <v>5</v>
      </c>
      <c r="AG14" s="16">
        <f t="shared" si="87"/>
        <v>5</v>
      </c>
      <c r="AH14" s="16">
        <f t="shared" si="87"/>
        <v>5</v>
      </c>
      <c r="AI14" s="16">
        <f t="shared" si="87"/>
        <v>25</v>
      </c>
      <c r="AJ14" s="16">
        <f t="shared" si="87"/>
        <v>25</v>
      </c>
      <c r="AK14" s="102">
        <f>SUM(AK9:AK13)</f>
        <v>217</v>
      </c>
      <c r="AL14" s="103">
        <f>SUM(AL9:AL13)</f>
        <v>20</v>
      </c>
      <c r="AM14" s="15">
        <f t="shared" si="87"/>
        <v>5</v>
      </c>
      <c r="AN14" s="16">
        <f t="shared" si="87"/>
        <v>0</v>
      </c>
      <c r="AO14" s="16">
        <f t="shared" si="87"/>
        <v>0</v>
      </c>
      <c r="AP14" s="16">
        <f t="shared" si="87"/>
        <v>37</v>
      </c>
      <c r="AQ14" s="16">
        <f t="shared" si="87"/>
        <v>0</v>
      </c>
      <c r="AR14" s="16">
        <f t="shared" si="87"/>
        <v>6</v>
      </c>
      <c r="AS14" s="17">
        <f t="shared" si="87"/>
        <v>2</v>
      </c>
      <c r="AT14" s="15">
        <f>SUM(AT9:AT13)</f>
        <v>6</v>
      </c>
      <c r="AU14" s="16">
        <f>SUM(AU9:AU13)</f>
        <v>37</v>
      </c>
      <c r="AV14" s="18">
        <f>SUM(AV9:AV13)</f>
        <v>7</v>
      </c>
      <c r="AW14" s="17">
        <f>SUM(AW9:AW13)</f>
        <v>16</v>
      </c>
      <c r="AX14" s="20">
        <f t="shared" si="51"/>
        <v>0.2</v>
      </c>
      <c r="AY14" s="21">
        <f t="shared" si="1"/>
        <v>0</v>
      </c>
      <c r="AZ14" s="21">
        <f t="shared" si="2"/>
        <v>0</v>
      </c>
      <c r="BA14" s="21">
        <f t="shared" si="3"/>
        <v>7.4</v>
      </c>
      <c r="BB14" s="21">
        <f t="shared" si="4"/>
        <v>0</v>
      </c>
      <c r="BC14" s="21">
        <f t="shared" si="5"/>
        <v>0.24</v>
      </c>
      <c r="BD14" s="22">
        <f t="shared" si="6"/>
        <v>0.08</v>
      </c>
      <c r="BE14" s="15">
        <f t="shared" ref="BE14:BK14" si="88">SUM(BE9:BE13)</f>
        <v>25</v>
      </c>
      <c r="BF14" s="16">
        <f t="shared" si="88"/>
        <v>25</v>
      </c>
      <c r="BG14" s="16">
        <f t="shared" si="88"/>
        <v>5</v>
      </c>
      <c r="BH14" s="16">
        <f t="shared" si="88"/>
        <v>5</v>
      </c>
      <c r="BI14" s="16">
        <f t="shared" si="88"/>
        <v>5</v>
      </c>
      <c r="BJ14" s="16">
        <f t="shared" si="88"/>
        <v>25</v>
      </c>
      <c r="BK14" s="18">
        <f t="shared" si="88"/>
        <v>25</v>
      </c>
      <c r="BL14" s="15">
        <f>SUM(BL9:BL13)</f>
        <v>192</v>
      </c>
      <c r="BM14" s="17">
        <f>SUM(BM9:BM13)</f>
        <v>11</v>
      </c>
      <c r="BN14" s="15">
        <f t="shared" ref="BN14:BT14" si="89">SUM(BN9:BN13)</f>
        <v>2</v>
      </c>
      <c r="BO14" s="16">
        <f t="shared" si="89"/>
        <v>0</v>
      </c>
      <c r="BP14" s="16">
        <f t="shared" si="89"/>
        <v>0.5</v>
      </c>
      <c r="BQ14" s="16">
        <f t="shared" si="89"/>
        <v>20</v>
      </c>
      <c r="BR14" s="16">
        <f t="shared" si="89"/>
        <v>0</v>
      </c>
      <c r="BS14" s="16">
        <f t="shared" si="89"/>
        <v>1</v>
      </c>
      <c r="BT14" s="17">
        <f t="shared" si="89"/>
        <v>1</v>
      </c>
      <c r="BU14" s="15">
        <f>SUM(BU9:BU13)</f>
        <v>2</v>
      </c>
      <c r="BV14" s="16">
        <f>SUM(BV9:BV13)</f>
        <v>20</v>
      </c>
      <c r="BW14" s="18">
        <f>SUM(BW9:BW13)</f>
        <v>2</v>
      </c>
      <c r="BX14" s="17">
        <f>SUM(BX9:BX13)</f>
        <v>6</v>
      </c>
      <c r="BY14" s="20">
        <f t="shared" si="52"/>
        <v>0.08</v>
      </c>
      <c r="BZ14" s="21">
        <f t="shared" si="7"/>
        <v>0</v>
      </c>
      <c r="CA14" s="21">
        <f t="shared" si="8"/>
        <v>0.1</v>
      </c>
      <c r="CB14" s="21">
        <f t="shared" si="9"/>
        <v>4</v>
      </c>
      <c r="CC14" s="21">
        <f t="shared" si="10"/>
        <v>0</v>
      </c>
      <c r="CD14" s="21">
        <f t="shared" si="11"/>
        <v>0.04</v>
      </c>
      <c r="CE14" s="22">
        <f t="shared" si="12"/>
        <v>0.04</v>
      </c>
      <c r="CF14" s="107">
        <f t="shared" ref="CF14:CL14" si="90">SUM(CF9:CF13)</f>
        <v>25</v>
      </c>
      <c r="CG14" s="108">
        <f t="shared" si="90"/>
        <v>25</v>
      </c>
      <c r="CH14" s="108">
        <f t="shared" si="90"/>
        <v>5</v>
      </c>
      <c r="CI14" s="108">
        <f t="shared" si="90"/>
        <v>5</v>
      </c>
      <c r="CJ14" s="108">
        <f t="shared" si="90"/>
        <v>5</v>
      </c>
      <c r="CK14" s="108">
        <f t="shared" si="90"/>
        <v>25</v>
      </c>
      <c r="CL14" s="108">
        <f t="shared" si="90"/>
        <v>25</v>
      </c>
      <c r="CM14" s="109">
        <f>SUM(CM9:CM13)</f>
        <v>154</v>
      </c>
      <c r="CN14" s="110">
        <f>SUM(CN9:CN13)</f>
        <v>11</v>
      </c>
      <c r="CO14" s="107">
        <f t="shared" ref="CO14:CU14" si="91">SUM(CO9:CO13)</f>
        <v>1</v>
      </c>
      <c r="CP14" s="108">
        <f t="shared" si="91"/>
        <v>0</v>
      </c>
      <c r="CQ14" s="108">
        <f t="shared" si="91"/>
        <v>0</v>
      </c>
      <c r="CR14" s="108">
        <f t="shared" si="91"/>
        <v>15</v>
      </c>
      <c r="CS14" s="108">
        <f t="shared" si="91"/>
        <v>0</v>
      </c>
      <c r="CT14" s="108">
        <f t="shared" si="91"/>
        <v>2</v>
      </c>
      <c r="CU14" s="111">
        <f t="shared" si="91"/>
        <v>1</v>
      </c>
      <c r="CV14" s="107">
        <f>SUM(CV9:CV13)</f>
        <v>1</v>
      </c>
      <c r="CW14" s="108">
        <f>SUM(CW9:CW13)</f>
        <v>15</v>
      </c>
      <c r="CX14" s="112">
        <f>SUM(CX9:CX13)</f>
        <v>3</v>
      </c>
      <c r="CY14" s="111">
        <f>SUM(CY9:CY13)</f>
        <v>0</v>
      </c>
      <c r="CZ14" s="113">
        <f t="shared" si="53"/>
        <v>0.04</v>
      </c>
      <c r="DA14" s="114">
        <f t="shared" si="13"/>
        <v>0</v>
      </c>
      <c r="DB14" s="114">
        <f t="shared" si="14"/>
        <v>0</v>
      </c>
      <c r="DC14" s="114">
        <f t="shared" si="15"/>
        <v>3</v>
      </c>
      <c r="DD14" s="114">
        <f t="shared" si="16"/>
        <v>0</v>
      </c>
      <c r="DE14" s="114">
        <f t="shared" si="17"/>
        <v>0.08</v>
      </c>
      <c r="DF14" s="115">
        <f t="shared" si="18"/>
        <v>0.04</v>
      </c>
      <c r="DG14" s="15">
        <f t="shared" ref="DG14:DM14" si="92">SUM(DG9:DG13)</f>
        <v>25</v>
      </c>
      <c r="DH14" s="16">
        <f t="shared" si="92"/>
        <v>25</v>
      </c>
      <c r="DI14" s="16">
        <f t="shared" si="92"/>
        <v>5</v>
      </c>
      <c r="DJ14" s="16">
        <f t="shared" si="92"/>
        <v>5</v>
      </c>
      <c r="DK14" s="16">
        <f t="shared" si="92"/>
        <v>5</v>
      </c>
      <c r="DL14" s="16">
        <f t="shared" si="92"/>
        <v>25</v>
      </c>
      <c r="DM14" s="18">
        <f t="shared" si="92"/>
        <v>25</v>
      </c>
      <c r="DN14" s="15">
        <f>SUM(DN9:DN13)</f>
        <v>146</v>
      </c>
      <c r="DO14" s="17">
        <f>SUM(DO9:DO13)</f>
        <v>7</v>
      </c>
      <c r="DP14" s="15">
        <f t="shared" ref="DP14:DV14" si="93">SUM(DP9:DP13)</f>
        <v>0</v>
      </c>
      <c r="DQ14" s="16">
        <f t="shared" si="93"/>
        <v>0</v>
      </c>
      <c r="DR14" s="16">
        <f t="shared" si="93"/>
        <v>1</v>
      </c>
      <c r="DS14" s="16">
        <f t="shared" si="93"/>
        <v>78</v>
      </c>
      <c r="DT14" s="16">
        <f t="shared" si="93"/>
        <v>0</v>
      </c>
      <c r="DU14" s="16">
        <f t="shared" si="93"/>
        <v>1</v>
      </c>
      <c r="DV14" s="17">
        <f t="shared" si="93"/>
        <v>0</v>
      </c>
      <c r="DW14" s="15">
        <f>SUM(DW9:DW13)</f>
        <v>0</v>
      </c>
      <c r="DX14" s="16">
        <f>SUM(DX9:DX13)</f>
        <v>79</v>
      </c>
      <c r="DY14" s="18">
        <f>SUM(DY9:DY13)</f>
        <v>1</v>
      </c>
      <c r="DZ14" s="17">
        <f>SUM(DZ9:DZ13)</f>
        <v>6</v>
      </c>
      <c r="EA14" s="20">
        <f t="shared" si="54"/>
        <v>0</v>
      </c>
      <c r="EB14" s="21">
        <f t="shared" si="19"/>
        <v>0</v>
      </c>
      <c r="EC14" s="21">
        <f t="shared" si="20"/>
        <v>0.2</v>
      </c>
      <c r="ED14" s="21">
        <f t="shared" si="21"/>
        <v>15.6</v>
      </c>
      <c r="EE14" s="21">
        <f t="shared" si="22"/>
        <v>0</v>
      </c>
      <c r="EF14" s="21">
        <f t="shared" si="23"/>
        <v>0.04</v>
      </c>
      <c r="EG14" s="22">
        <f t="shared" si="24"/>
        <v>0</v>
      </c>
      <c r="EH14" s="15">
        <f t="shared" ref="EH14:EN14" si="94">SUM(EH9:EH13)</f>
        <v>25</v>
      </c>
      <c r="EI14" s="16">
        <f t="shared" si="94"/>
        <v>25</v>
      </c>
      <c r="EJ14" s="16">
        <f t="shared" si="94"/>
        <v>5</v>
      </c>
      <c r="EK14" s="16">
        <f t="shared" si="94"/>
        <v>5</v>
      </c>
      <c r="EL14" s="16">
        <f t="shared" si="94"/>
        <v>5</v>
      </c>
      <c r="EM14" s="16">
        <f t="shared" si="94"/>
        <v>25</v>
      </c>
      <c r="EN14" s="16">
        <f t="shared" si="94"/>
        <v>25</v>
      </c>
      <c r="EO14" s="102">
        <f>SUM(EO9:EO13)</f>
        <v>173</v>
      </c>
      <c r="EP14" s="103">
        <f>SUM(EP9:EP13)</f>
        <v>7</v>
      </c>
      <c r="EQ14" s="15">
        <f t="shared" ref="EQ14:EW14" si="95">SUM(EQ9:EQ13)</f>
        <v>1</v>
      </c>
      <c r="ER14" s="16">
        <f t="shared" si="95"/>
        <v>0</v>
      </c>
      <c r="ES14" s="16">
        <f t="shared" si="95"/>
        <v>0</v>
      </c>
      <c r="ET14" s="16">
        <f t="shared" si="95"/>
        <v>0</v>
      </c>
      <c r="EU14" s="16">
        <f t="shared" si="95"/>
        <v>3</v>
      </c>
      <c r="EV14" s="16">
        <f t="shared" si="95"/>
        <v>3</v>
      </c>
      <c r="EW14" s="17">
        <f t="shared" si="95"/>
        <v>1</v>
      </c>
      <c r="EX14" s="15">
        <f>SUM(EX9:EX13)</f>
        <v>1</v>
      </c>
      <c r="EY14" s="16">
        <f>SUM(EY9:EY13)</f>
        <v>3</v>
      </c>
      <c r="EZ14" s="18">
        <f>SUM(EZ9:EZ13)</f>
        <v>4</v>
      </c>
      <c r="FA14" s="17">
        <f>SUM(FA9:FA13)</f>
        <v>0</v>
      </c>
      <c r="FB14" s="20">
        <f t="shared" si="55"/>
        <v>0.04</v>
      </c>
      <c r="FC14" s="21">
        <f t="shared" si="25"/>
        <v>0</v>
      </c>
      <c r="FD14" s="21">
        <f t="shared" si="26"/>
        <v>0</v>
      </c>
      <c r="FE14" s="21">
        <f t="shared" si="27"/>
        <v>0</v>
      </c>
      <c r="FF14" s="21">
        <f t="shared" si="28"/>
        <v>0.6</v>
      </c>
      <c r="FG14" s="21">
        <f t="shared" si="29"/>
        <v>0.12</v>
      </c>
      <c r="FH14" s="22">
        <f t="shared" si="30"/>
        <v>0.04</v>
      </c>
      <c r="FI14" s="15">
        <f t="shared" ref="FI14:FO14" si="96">SUM(FI9:FI13)</f>
        <v>25</v>
      </c>
      <c r="FJ14" s="16">
        <f t="shared" si="96"/>
        <v>25</v>
      </c>
      <c r="FK14" s="16">
        <f t="shared" si="96"/>
        <v>5</v>
      </c>
      <c r="FL14" s="16">
        <f t="shared" si="96"/>
        <v>5</v>
      </c>
      <c r="FM14" s="16">
        <f t="shared" si="96"/>
        <v>5</v>
      </c>
      <c r="FN14" s="16">
        <f t="shared" si="96"/>
        <v>25</v>
      </c>
      <c r="FO14" s="18">
        <f t="shared" si="96"/>
        <v>25</v>
      </c>
      <c r="FP14" s="15">
        <f>SUM(FP9:FP13)</f>
        <v>158</v>
      </c>
      <c r="FQ14" s="17">
        <f>SUM(FQ9:FQ13)</f>
        <v>3</v>
      </c>
      <c r="FR14" s="15">
        <f t="shared" ref="FR14:FX14" si="97">SUM(FR9:FR13)</f>
        <v>0</v>
      </c>
      <c r="FS14" s="16">
        <f t="shared" si="97"/>
        <v>0</v>
      </c>
      <c r="FT14" s="16">
        <f t="shared" si="97"/>
        <v>0</v>
      </c>
      <c r="FU14" s="16">
        <f t="shared" si="97"/>
        <v>3</v>
      </c>
      <c r="FV14" s="16">
        <f t="shared" si="97"/>
        <v>0</v>
      </c>
      <c r="FW14" s="16">
        <f t="shared" si="97"/>
        <v>0</v>
      </c>
      <c r="FX14" s="17">
        <f t="shared" si="97"/>
        <v>0</v>
      </c>
      <c r="FY14" s="15">
        <f>SUM(FY9:FY13)</f>
        <v>0</v>
      </c>
      <c r="FZ14" s="16">
        <f>SUM(FZ9:FZ13)</f>
        <v>3</v>
      </c>
      <c r="GA14" s="18">
        <f>SUM(GA9:GA13)</f>
        <v>0</v>
      </c>
      <c r="GB14" s="17">
        <f>SUM(GB9:GB13)</f>
        <v>0</v>
      </c>
      <c r="GC14" s="20">
        <f t="shared" si="56"/>
        <v>0</v>
      </c>
      <c r="GD14" s="21">
        <f t="shared" si="31"/>
        <v>0</v>
      </c>
      <c r="GE14" s="21">
        <f t="shared" si="32"/>
        <v>0</v>
      </c>
      <c r="GF14" s="21">
        <f t="shared" si="33"/>
        <v>0.6</v>
      </c>
      <c r="GG14" s="21">
        <f t="shared" si="34"/>
        <v>0</v>
      </c>
      <c r="GH14" s="21">
        <f t="shared" si="35"/>
        <v>0</v>
      </c>
      <c r="GI14" s="22">
        <f t="shared" si="36"/>
        <v>0</v>
      </c>
      <c r="GJ14" s="15">
        <f t="shared" ref="GJ14:GY14" si="98">SUM(GJ9:GJ13)</f>
        <v>175</v>
      </c>
      <c r="GK14" s="16">
        <f t="shared" si="98"/>
        <v>175</v>
      </c>
      <c r="GL14" s="16">
        <f t="shared" si="98"/>
        <v>35</v>
      </c>
      <c r="GM14" s="16">
        <f t="shared" si="98"/>
        <v>35</v>
      </c>
      <c r="GN14" s="17">
        <f t="shared" si="98"/>
        <v>35</v>
      </c>
      <c r="GO14" s="15">
        <f t="shared" si="98"/>
        <v>175</v>
      </c>
      <c r="GP14" s="17">
        <f t="shared" si="98"/>
        <v>175</v>
      </c>
      <c r="GQ14" s="15">
        <f>SUM(GQ9:GQ13)</f>
        <v>1204</v>
      </c>
      <c r="GR14" s="17">
        <f>SUM(GR9:GR13)</f>
        <v>74</v>
      </c>
      <c r="GS14" s="15">
        <f t="shared" si="98"/>
        <v>12</v>
      </c>
      <c r="GT14" s="16">
        <f t="shared" si="98"/>
        <v>0</v>
      </c>
      <c r="GU14" s="16">
        <f t="shared" si="98"/>
        <v>1.5</v>
      </c>
      <c r="GV14" s="16">
        <f t="shared" si="98"/>
        <v>153</v>
      </c>
      <c r="GW14" s="17">
        <f t="shared" si="98"/>
        <v>22</v>
      </c>
      <c r="GX14" s="15">
        <f t="shared" si="98"/>
        <v>18</v>
      </c>
      <c r="GY14" s="17">
        <f t="shared" si="98"/>
        <v>5</v>
      </c>
      <c r="GZ14" s="15">
        <f>SUM(GZ9:GZ13)</f>
        <v>13</v>
      </c>
      <c r="HA14" s="16">
        <f>SUM(HA9:HA13)</f>
        <v>176</v>
      </c>
      <c r="HB14" s="16">
        <f>SUM(HB9:HB13)</f>
        <v>22</v>
      </c>
      <c r="HC14" s="17">
        <f>SUM(HC9:HC13)</f>
        <v>41</v>
      </c>
      <c r="HD14" s="20">
        <f t="shared" si="77"/>
        <v>6.8571428571428575E-2</v>
      </c>
      <c r="HE14" s="21">
        <f t="shared" si="38"/>
        <v>0</v>
      </c>
      <c r="HF14" s="21">
        <f t="shared" si="39"/>
        <v>4.2857142857142858E-2</v>
      </c>
      <c r="HG14" s="21">
        <f t="shared" si="40"/>
        <v>4.371428571428571</v>
      </c>
      <c r="HH14" s="21">
        <f t="shared" si="41"/>
        <v>0.62857142857142856</v>
      </c>
      <c r="HI14" s="21">
        <f t="shared" si="42"/>
        <v>0.10285714285714286</v>
      </c>
      <c r="HJ14" s="22">
        <f t="shared" si="43"/>
        <v>2.8571428571428571E-2</v>
      </c>
    </row>
    <row r="22" spans="4:193" x14ac:dyDescent="0.35">
      <c r="D22">
        <v>2</v>
      </c>
    </row>
    <row r="25" spans="4:193" x14ac:dyDescent="0.35">
      <c r="GK25">
        <v>115</v>
      </c>
    </row>
    <row r="26" spans="4:193" x14ac:dyDescent="0.35">
      <c r="GK26">
        <v>7</v>
      </c>
    </row>
    <row r="27" spans="4:193" x14ac:dyDescent="0.35">
      <c r="GK27">
        <f>+GK25</f>
        <v>115</v>
      </c>
    </row>
    <row r="28" spans="4:193" x14ac:dyDescent="0.35">
      <c r="GK28">
        <f>SUMPRODUCT(GK25,GK26)</f>
        <v>805</v>
      </c>
    </row>
  </sheetData>
  <mergeCells count="108">
    <mergeCell ref="FI4:GI4"/>
    <mergeCell ref="FI5:FO6"/>
    <mergeCell ref="FP5:FP8"/>
    <mergeCell ref="FQ5:FQ8"/>
    <mergeCell ref="FR5:FX6"/>
    <mergeCell ref="FY5:GB7"/>
    <mergeCell ref="GC5:GI6"/>
    <mergeCell ref="FI7:FM7"/>
    <mergeCell ref="FN7:FO7"/>
    <mergeCell ref="FR7:FV7"/>
    <mergeCell ref="FW7:FX7"/>
    <mergeCell ref="GC7:GG7"/>
    <mergeCell ref="GH7:GI7"/>
    <mergeCell ref="EH4:FH4"/>
    <mergeCell ref="EH5:EN6"/>
    <mergeCell ref="EO5:EO8"/>
    <mergeCell ref="EP5:EP8"/>
    <mergeCell ref="EQ5:EW6"/>
    <mergeCell ref="EX5:FA7"/>
    <mergeCell ref="FB5:FH6"/>
    <mergeCell ref="EH7:EL7"/>
    <mergeCell ref="EM7:EN7"/>
    <mergeCell ref="EQ7:EU7"/>
    <mergeCell ref="EV7:EW7"/>
    <mergeCell ref="FB7:FF7"/>
    <mergeCell ref="FG7:FH7"/>
    <mergeCell ref="DG4:EG4"/>
    <mergeCell ref="DG5:DM6"/>
    <mergeCell ref="DN5:DN8"/>
    <mergeCell ref="DO5:DO8"/>
    <mergeCell ref="DP5:DV6"/>
    <mergeCell ref="DW5:DZ7"/>
    <mergeCell ref="EA5:EG6"/>
    <mergeCell ref="DG7:DK7"/>
    <mergeCell ref="DL7:DM7"/>
    <mergeCell ref="DP7:DT7"/>
    <mergeCell ref="DU7:DV7"/>
    <mergeCell ref="EA7:EE7"/>
    <mergeCell ref="EF7:EG7"/>
    <mergeCell ref="CF4:DF4"/>
    <mergeCell ref="CF5:CL6"/>
    <mergeCell ref="CM5:CM8"/>
    <mergeCell ref="CN5:CN8"/>
    <mergeCell ref="CO5:CU6"/>
    <mergeCell ref="CV5:CY7"/>
    <mergeCell ref="CZ5:DF6"/>
    <mergeCell ref="CF7:CJ7"/>
    <mergeCell ref="CK7:CL7"/>
    <mergeCell ref="CO7:CS7"/>
    <mergeCell ref="CT7:CU7"/>
    <mergeCell ref="CZ7:DD7"/>
    <mergeCell ref="DE7:DF7"/>
    <mergeCell ref="GJ4:HJ4"/>
    <mergeCell ref="GJ5:GP6"/>
    <mergeCell ref="GS5:GY6"/>
    <mergeCell ref="GZ5:HC7"/>
    <mergeCell ref="HD5:HJ6"/>
    <mergeCell ref="GJ7:GN7"/>
    <mergeCell ref="GO7:GP7"/>
    <mergeCell ref="GS7:GW7"/>
    <mergeCell ref="GX7:GY7"/>
    <mergeCell ref="HD7:HH7"/>
    <mergeCell ref="HI7:HJ7"/>
    <mergeCell ref="GQ5:GQ8"/>
    <mergeCell ref="GR5:GR8"/>
    <mergeCell ref="AD4:BD4"/>
    <mergeCell ref="AD5:AJ6"/>
    <mergeCell ref="AM5:AS6"/>
    <mergeCell ref="AT5:AW7"/>
    <mergeCell ref="AX5:BD6"/>
    <mergeCell ref="AD7:AH7"/>
    <mergeCell ref="AI7:AJ7"/>
    <mergeCell ref="AM7:AQ7"/>
    <mergeCell ref="AR7:AS7"/>
    <mergeCell ref="AX7:BB7"/>
    <mergeCell ref="BC7:BD7"/>
    <mergeCell ref="AK5:AK8"/>
    <mergeCell ref="AL5:AL8"/>
    <mergeCell ref="A1:AC1"/>
    <mergeCell ref="A2:AC2"/>
    <mergeCell ref="A4:A8"/>
    <mergeCell ref="C5:I6"/>
    <mergeCell ref="B4:B8"/>
    <mergeCell ref="C7:G7"/>
    <mergeCell ref="J5:J8"/>
    <mergeCell ref="K5:K8"/>
    <mergeCell ref="W5:AC6"/>
    <mergeCell ref="W7:AA7"/>
    <mergeCell ref="AB7:AC7"/>
    <mergeCell ref="C4:AC4"/>
    <mergeCell ref="S5:V7"/>
    <mergeCell ref="H7:I7"/>
    <mergeCell ref="L5:R6"/>
    <mergeCell ref="L7:P7"/>
    <mergeCell ref="Q7:R7"/>
    <mergeCell ref="BL5:BL8"/>
    <mergeCell ref="BE4:CE4"/>
    <mergeCell ref="BE5:BK6"/>
    <mergeCell ref="BN5:BT6"/>
    <mergeCell ref="BU5:BX7"/>
    <mergeCell ref="BY5:CE6"/>
    <mergeCell ref="BE7:BI7"/>
    <mergeCell ref="BJ7:BK7"/>
    <mergeCell ref="BN7:BR7"/>
    <mergeCell ref="BS7:BT7"/>
    <mergeCell ref="BY7:CC7"/>
    <mergeCell ref="CD7:CE7"/>
    <mergeCell ref="BM5:BM8"/>
  </mergeCells>
  <pageMargins left="0.19685039370078741" right="0.11811023622047245" top="0.74803149606299213" bottom="0.74803149606299213" header="0.31496062992125984" footer="0.31496062992125984"/>
  <pageSetup paperSize="9" scale="1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B18" sqref="B18"/>
    </sheetView>
  </sheetViews>
  <sheetFormatPr defaultColWidth="11.453125" defaultRowHeight="14.5" x14ac:dyDescent="0.35"/>
  <cols>
    <col min="1" max="1" width="63" customWidth="1"/>
    <col min="2" max="2" width="81.1796875" customWidth="1"/>
  </cols>
  <sheetData>
    <row r="1" spans="1:2" ht="20.5" thickBot="1" x14ac:dyDescent="0.4">
      <c r="A1" s="9" t="s">
        <v>11</v>
      </c>
      <c r="B1" s="8" t="s">
        <v>12</v>
      </c>
    </row>
    <row r="2" spans="1:2" ht="30" customHeight="1" thickBot="1" x14ac:dyDescent="0.4">
      <c r="A2" s="10" t="s">
        <v>13</v>
      </c>
      <c r="B2" s="11" t="s">
        <v>14</v>
      </c>
    </row>
    <row r="3" spans="1:2" ht="26.25" customHeight="1" thickBot="1" x14ac:dyDescent="0.4">
      <c r="A3" s="10" t="s">
        <v>15</v>
      </c>
      <c r="B3" s="12" t="s">
        <v>16</v>
      </c>
    </row>
    <row r="4" spans="1:2" ht="28.5" customHeight="1" thickBot="1" x14ac:dyDescent="0.4">
      <c r="A4" s="10" t="s">
        <v>17</v>
      </c>
      <c r="B4" s="11" t="s">
        <v>14</v>
      </c>
    </row>
    <row r="5" spans="1:2" ht="31.5" customHeight="1" thickBot="1" x14ac:dyDescent="0.4">
      <c r="A5" s="10" t="s">
        <v>18</v>
      </c>
      <c r="B5" s="12" t="s">
        <v>16</v>
      </c>
    </row>
    <row r="17" spans="2:2" x14ac:dyDescent="0.35">
      <c r="B17">
        <f>400/30</f>
        <v>13.333333333333334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L10"/>
  <sheetViews>
    <sheetView workbookViewId="0">
      <selection activeCell="E21" sqref="E21"/>
    </sheetView>
  </sheetViews>
  <sheetFormatPr defaultColWidth="11.453125" defaultRowHeight="21" x14ac:dyDescent="0.5"/>
  <cols>
    <col min="1" max="16384" width="11.453125" style="4"/>
  </cols>
  <sheetData>
    <row r="3" spans="3:12" ht="26" x14ac:dyDescent="0.6">
      <c r="C3" s="3" t="s">
        <v>6</v>
      </c>
      <c r="G3" s="5" t="s">
        <v>1</v>
      </c>
      <c r="H3" s="5">
        <v>100</v>
      </c>
      <c r="I3" s="5">
        <f>H3/3</f>
        <v>33.333333333333336</v>
      </c>
      <c r="J3" s="5">
        <f>I3/14</f>
        <v>2.3809523809523809</v>
      </c>
      <c r="K3" s="4">
        <f>J3*120</f>
        <v>285.71428571428572</v>
      </c>
      <c r="L3" s="4">
        <v>286</v>
      </c>
    </row>
    <row r="4" spans="3:12" ht="26" x14ac:dyDescent="0.6">
      <c r="G4" s="5" t="s">
        <v>2</v>
      </c>
      <c r="H4" s="5">
        <v>150</v>
      </c>
      <c r="I4" s="5">
        <f t="shared" ref="I4:I6" si="0">H4/3</f>
        <v>50</v>
      </c>
      <c r="J4" s="5">
        <f t="shared" ref="J4:J6" si="1">I4/14</f>
        <v>3.5714285714285716</v>
      </c>
      <c r="K4" s="4">
        <f>J4*80</f>
        <v>285.71428571428572</v>
      </c>
      <c r="L4" s="4">
        <v>286</v>
      </c>
    </row>
    <row r="5" spans="3:12" ht="26" x14ac:dyDescent="0.6">
      <c r="C5" s="4" t="s">
        <v>7</v>
      </c>
      <c r="G5" s="5" t="s">
        <v>3</v>
      </c>
      <c r="H5" s="5">
        <v>440</v>
      </c>
      <c r="I5" s="5">
        <f t="shared" si="0"/>
        <v>146.66666666666666</v>
      </c>
      <c r="J5" s="5">
        <f t="shared" si="1"/>
        <v>10.476190476190476</v>
      </c>
      <c r="K5" s="4">
        <f>J5*12</f>
        <v>125.71428571428572</v>
      </c>
      <c r="L5" s="4">
        <v>126</v>
      </c>
    </row>
    <row r="6" spans="3:12" ht="26" x14ac:dyDescent="0.6">
      <c r="G6" s="5" t="s">
        <v>4</v>
      </c>
      <c r="H6" s="5">
        <v>521</v>
      </c>
      <c r="I6" s="5">
        <f t="shared" si="0"/>
        <v>173.66666666666666</v>
      </c>
      <c r="J6" s="5">
        <f t="shared" si="1"/>
        <v>12.404761904761903</v>
      </c>
      <c r="K6" s="4">
        <f>J6*10</f>
        <v>124.04761904761904</v>
      </c>
      <c r="L6" s="4">
        <v>124</v>
      </c>
    </row>
    <row r="7" spans="3:12" ht="26" x14ac:dyDescent="0.6">
      <c r="C7" s="4" t="s">
        <v>8</v>
      </c>
      <c r="G7" s="5"/>
      <c r="H7" s="5"/>
      <c r="I7" s="5"/>
      <c r="J7" s="5"/>
    </row>
    <row r="8" spans="3:12" ht="26" x14ac:dyDescent="0.6">
      <c r="G8" s="5"/>
      <c r="H8" s="5"/>
      <c r="I8" s="5"/>
      <c r="J8" s="5"/>
    </row>
    <row r="9" spans="3:12" ht="26" x14ac:dyDescent="0.6">
      <c r="C9" s="4" t="s">
        <v>9</v>
      </c>
      <c r="G9" s="5"/>
      <c r="H9" s="5"/>
      <c r="I9" s="5"/>
      <c r="J9" s="5"/>
    </row>
    <row r="10" spans="3:12" ht="26" x14ac:dyDescent="0.6">
      <c r="G10" s="5"/>
      <c r="H10" s="5"/>
      <c r="I10" s="5"/>
      <c r="J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Feuil1</vt:lpstr>
      <vt:lpstr>Feuil3</vt:lpstr>
      <vt:lpstr>Feuil2</vt:lpstr>
      <vt:lpstr>Feuil1!Print_Area</vt:lpstr>
    </vt:vector>
  </TitlesOfParts>
  <Company>HELC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TANOH</dc:creator>
  <cp:lastModifiedBy>Touré, C.T. (Cédric-Ange)</cp:lastModifiedBy>
  <cp:lastPrinted>2014-06-10T03:22:17Z</cp:lastPrinted>
  <dcterms:created xsi:type="dcterms:W3CDTF">2014-06-03T22:09:22Z</dcterms:created>
  <dcterms:modified xsi:type="dcterms:W3CDTF">2026-06-14T02:37:30Z</dcterms:modified>
</cp:coreProperties>
</file>